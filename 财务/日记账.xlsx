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效率提升自动化\财务\"/>
    </mc:Choice>
  </mc:AlternateContent>
  <xr:revisionPtr revIDLastSave="0" documentId="13_ncr:1_{B8FCECD0-D665-4B02-AB2A-FA271098DB2D}" xr6:coauthVersionLast="47" xr6:coauthVersionMax="47" xr10:uidLastSave="{00000000-0000-0000-0000-000000000000}"/>
  <bookViews>
    <workbookView xWindow="28680" yWindow="-120" windowWidth="29040" windowHeight="16440" tabRatio="930" activeTab="2" xr2:uid="{00000000-000D-0000-FFFF-FFFF00000000}"/>
  </bookViews>
  <sheets>
    <sheet name="各账户余额表" sheetId="30" r:id="rId1"/>
    <sheet name="承兑余额表" sheetId="74" r:id="rId2"/>
    <sheet name="迈本石家庄招行" sheetId="41" r:id="rId3"/>
    <sheet name="迈本交行" sheetId="31" r:id="rId4"/>
    <sheet name="迈本建行" sheetId="51" r:id="rId5"/>
    <sheet name="迈本建行外外币户" sheetId="57" r:id="rId6"/>
    <sheet name="迈本招行保证金户" sheetId="63" r:id="rId7"/>
    <sheet name="迈本石家庄承兑" sheetId="67" r:id="rId8"/>
    <sheet name="迈本仪器（交行）" sheetId="48" r:id="rId9"/>
    <sheet name="仪器交行（数币户）" sheetId="60" r:id="rId10"/>
    <sheet name="仪器承兑" sheetId="68" r:id="rId11"/>
    <sheet name="北威" sheetId="40" r:id="rId12"/>
    <sheet name="迈本成都" sheetId="12" r:id="rId13"/>
    <sheet name="迈本成都承兑" sheetId="69" r:id="rId14"/>
    <sheet name="迈本沈阳" sheetId="13" r:id="rId15"/>
    <sheet name="迈本沈阳承兑" sheetId="72" r:id="rId16"/>
    <sheet name="迈本苏州" sheetId="26" r:id="rId17"/>
    <sheet name="迈本苏州承兑" sheetId="73" r:id="rId18"/>
    <sheet name="长春奥强" sheetId="27" r:id="rId19"/>
    <sheet name="苏州澳强" sheetId="17" r:id="rId20"/>
    <sheet name="天津富麦" sheetId="16" r:id="rId21"/>
    <sheet name="迪青" sheetId="18" r:id="rId22"/>
    <sheet name="义岭" sheetId="20" r:id="rId23"/>
    <sheet name="沛能" sheetId="19" r:id="rId24"/>
    <sheet name="现金" sheetId="33" r:id="rId25"/>
    <sheet name="康丽进（银行）" sheetId="47" r:id="rId26"/>
    <sheet name="吴利君" sheetId="52" r:id="rId27"/>
    <sheet name="马蕾" sheetId="53" r:id="rId28"/>
    <sheet name="王建肖" sheetId="54" r:id="rId29"/>
    <sheet name="白秀敏" sheetId="55" r:id="rId30"/>
    <sheet name="雷朝霞" sheetId="56" r:id="rId31"/>
    <sheet name="李冬日" sheetId="58" r:id="rId32"/>
    <sheet name="佟丽" sheetId="64" r:id="rId33"/>
    <sheet name="雷杰" sheetId="65" r:id="rId34"/>
    <sheet name="晟才" sheetId="59" r:id="rId35"/>
    <sheet name="马义岭" sheetId="62" r:id="rId36"/>
    <sheet name="刘勇" sheetId="36" r:id="rId37"/>
    <sheet name="王茜" sheetId="32" r:id="rId38"/>
    <sheet name="李晓东" sheetId="35" r:id="rId39"/>
    <sheet name="刘硕" sheetId="42" r:id="rId40"/>
  </sheets>
  <definedNames>
    <definedName name="_xlnm._FilterDatabase" localSheetId="11" hidden="1">北威!$A$3:$O$504</definedName>
    <definedName name="_xlnm._FilterDatabase" localSheetId="21" hidden="1">迪青!$A$5:$IU$22</definedName>
    <definedName name="_xlnm._FilterDatabase" localSheetId="38" hidden="1">李晓东!$A$4:$L$497</definedName>
    <definedName name="_xlnm._FilterDatabase" localSheetId="39" hidden="1">刘硕!$A$4:$L$497</definedName>
    <definedName name="_xlnm._FilterDatabase" localSheetId="12" hidden="1">迈本成都!$A$4:$M$498</definedName>
    <definedName name="_xlnm._FilterDatabase" localSheetId="4" hidden="1">迈本建行!$A$4:$M$499</definedName>
    <definedName name="_xlnm._FilterDatabase" localSheetId="3" hidden="1">迈本交行!$A$4:$M$506</definedName>
    <definedName name="_xlnm._FilterDatabase" localSheetId="14" hidden="1">迈本沈阳!$A$4:$M$496</definedName>
    <definedName name="_xlnm._FilterDatabase" localSheetId="2" hidden="1">迈本石家庄招行!$A$3:$M$1277</definedName>
    <definedName name="_xlnm._FilterDatabase" localSheetId="16" hidden="1">迈本苏州!$A$4:$M$499</definedName>
    <definedName name="_xlnm._FilterDatabase" localSheetId="8" hidden="1">'迈本仪器（交行）'!$A$4:$M$516</definedName>
    <definedName name="_xlnm._FilterDatabase" localSheetId="23" hidden="1">沛能!$A$5:$IT$49</definedName>
    <definedName name="_xlnm._FilterDatabase" localSheetId="19" hidden="1">苏州澳强!$A$4:$M$500</definedName>
    <definedName name="_xlnm._FilterDatabase" localSheetId="20" hidden="1">天津富麦!$A$4:$L$498</definedName>
    <definedName name="_xlnm._FilterDatabase" localSheetId="37" hidden="1">王茜!$A$4:$L$499</definedName>
    <definedName name="_xlnm._FilterDatabase" localSheetId="24" hidden="1">现金!$A$4:$L$490</definedName>
    <definedName name="_xlnm._FilterDatabase" localSheetId="22" hidden="1">义岭!$A$5:$IU$25</definedName>
    <definedName name="_xlnm._FilterDatabase" localSheetId="18" hidden="1">长春奥强!$A$5:$IV$500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7" i="42" l="1"/>
  <c r="K496" i="42"/>
  <c r="J496" i="42"/>
  <c r="K495" i="42"/>
  <c r="K494" i="42"/>
  <c r="J494" i="42"/>
  <c r="K493" i="42"/>
  <c r="K492" i="42"/>
  <c r="J492" i="42"/>
  <c r="K491" i="42"/>
  <c r="K490" i="42"/>
  <c r="J490" i="42"/>
  <c r="K489" i="42"/>
  <c r="K488" i="42"/>
  <c r="J488" i="42"/>
  <c r="K487" i="42"/>
  <c r="K486" i="42"/>
  <c r="J486" i="42"/>
  <c r="K485" i="42"/>
  <c r="K484" i="42"/>
  <c r="J484" i="42"/>
  <c r="K483" i="42"/>
  <c r="K482" i="42"/>
  <c r="J482" i="42"/>
  <c r="K481" i="42"/>
  <c r="K480" i="42"/>
  <c r="J480" i="42"/>
  <c r="K479" i="42"/>
  <c r="K478" i="42"/>
  <c r="J478" i="42"/>
  <c r="K477" i="42"/>
  <c r="K476" i="42"/>
  <c r="J476" i="42"/>
  <c r="K475" i="42"/>
  <c r="K474" i="42"/>
  <c r="J474" i="42"/>
  <c r="K473" i="42"/>
  <c r="K472" i="42"/>
  <c r="J472" i="42"/>
  <c r="K471" i="42"/>
  <c r="K470" i="42"/>
  <c r="J470" i="42"/>
  <c r="K469" i="42"/>
  <c r="K468" i="42"/>
  <c r="J468" i="42"/>
  <c r="K467" i="42"/>
  <c r="K466" i="42"/>
  <c r="J466" i="42"/>
  <c r="K465" i="42"/>
  <c r="K464" i="42"/>
  <c r="J464" i="42"/>
  <c r="K463" i="42"/>
  <c r="K462" i="42"/>
  <c r="J462" i="42"/>
  <c r="K461" i="42"/>
  <c r="K460" i="42"/>
  <c r="J460" i="42"/>
  <c r="K459" i="42"/>
  <c r="K458" i="42"/>
  <c r="J458" i="42"/>
  <c r="K457" i="42"/>
  <c r="K456" i="42"/>
  <c r="J456" i="42"/>
  <c r="K455" i="42"/>
  <c r="K454" i="42"/>
  <c r="J454" i="42"/>
  <c r="K453" i="42"/>
  <c r="K452" i="42"/>
  <c r="J452" i="42"/>
  <c r="K451" i="42"/>
  <c r="K450" i="42"/>
  <c r="J450" i="42"/>
  <c r="K449" i="42"/>
  <c r="K448" i="42"/>
  <c r="J448" i="42"/>
  <c r="K447" i="42"/>
  <c r="K446" i="42"/>
  <c r="J446" i="42"/>
  <c r="K445" i="42"/>
  <c r="K444" i="42"/>
  <c r="J444" i="42"/>
  <c r="K443" i="42"/>
  <c r="K442" i="42"/>
  <c r="J442" i="42"/>
  <c r="K441" i="42"/>
  <c r="K440" i="42"/>
  <c r="J440" i="42"/>
  <c r="K439" i="42"/>
  <c r="K438" i="42"/>
  <c r="J438" i="42"/>
  <c r="K437" i="42"/>
  <c r="K436" i="42"/>
  <c r="J436" i="42"/>
  <c r="K435" i="42"/>
  <c r="K434" i="42"/>
  <c r="J434" i="42"/>
  <c r="K433" i="42"/>
  <c r="K432" i="42"/>
  <c r="J432" i="42"/>
  <c r="K431" i="42"/>
  <c r="K430" i="42"/>
  <c r="J430" i="42"/>
  <c r="K429" i="42"/>
  <c r="K428" i="42"/>
  <c r="J428" i="42"/>
  <c r="K427" i="42"/>
  <c r="K426" i="42"/>
  <c r="J426" i="42"/>
  <c r="K425" i="42"/>
  <c r="K424" i="42"/>
  <c r="J424" i="42"/>
  <c r="K423" i="42"/>
  <c r="K422" i="42"/>
  <c r="J422" i="42"/>
  <c r="K421" i="42"/>
  <c r="K420" i="42"/>
  <c r="J420" i="42"/>
  <c r="K419" i="42"/>
  <c r="K418" i="42"/>
  <c r="J418" i="42"/>
  <c r="K417" i="42"/>
  <c r="K416" i="42"/>
  <c r="J416" i="42"/>
  <c r="K415" i="42"/>
  <c r="K414" i="42"/>
  <c r="J414" i="42"/>
  <c r="K413" i="42"/>
  <c r="K412" i="42"/>
  <c r="J412" i="42"/>
  <c r="K411" i="42"/>
  <c r="K410" i="42"/>
  <c r="J410" i="42"/>
  <c r="K409" i="42"/>
  <c r="K408" i="42"/>
  <c r="J408" i="42"/>
  <c r="K407" i="42"/>
  <c r="K406" i="42"/>
  <c r="J406" i="42"/>
  <c r="K405" i="42"/>
  <c r="K404" i="42"/>
  <c r="J404" i="42"/>
  <c r="K403" i="42"/>
  <c r="K402" i="42"/>
  <c r="J402" i="42"/>
  <c r="K401" i="42"/>
  <c r="K400" i="42"/>
  <c r="J400" i="42"/>
  <c r="K399" i="42"/>
  <c r="K398" i="42"/>
  <c r="J398" i="42"/>
  <c r="K397" i="42"/>
  <c r="K396" i="42"/>
  <c r="J396" i="42"/>
  <c r="K395" i="42"/>
  <c r="K394" i="42"/>
  <c r="J394" i="42"/>
  <c r="K393" i="42"/>
  <c r="K392" i="42"/>
  <c r="J392" i="42"/>
  <c r="K391" i="42"/>
  <c r="K390" i="42"/>
  <c r="J390" i="42"/>
  <c r="K389" i="42"/>
  <c r="K388" i="42"/>
  <c r="J388" i="42"/>
  <c r="K387" i="42"/>
  <c r="K386" i="42"/>
  <c r="J386" i="42"/>
  <c r="K385" i="42"/>
  <c r="K384" i="42"/>
  <c r="J384" i="42"/>
  <c r="K383" i="42"/>
  <c r="K382" i="42"/>
  <c r="J382" i="42"/>
  <c r="K381" i="42"/>
  <c r="K380" i="42"/>
  <c r="J380" i="42"/>
  <c r="K379" i="42"/>
  <c r="K378" i="42"/>
  <c r="J378" i="42"/>
  <c r="K377" i="42"/>
  <c r="K376" i="42"/>
  <c r="J376" i="42"/>
  <c r="K375" i="42"/>
  <c r="K374" i="42"/>
  <c r="J374" i="42"/>
  <c r="K373" i="42"/>
  <c r="K372" i="42"/>
  <c r="J372" i="42"/>
  <c r="K371" i="42"/>
  <c r="K370" i="42"/>
  <c r="J370" i="42"/>
  <c r="K369" i="42"/>
  <c r="K368" i="42"/>
  <c r="J368" i="42"/>
  <c r="K367" i="42"/>
  <c r="K366" i="42"/>
  <c r="J366" i="42"/>
  <c r="K365" i="42"/>
  <c r="K364" i="42"/>
  <c r="J364" i="42"/>
  <c r="K363" i="42"/>
  <c r="K362" i="42"/>
  <c r="J362" i="42"/>
  <c r="K361" i="42"/>
  <c r="K360" i="42"/>
  <c r="J360" i="42"/>
  <c r="K359" i="42"/>
  <c r="K358" i="42"/>
  <c r="J358" i="42"/>
  <c r="K357" i="42"/>
  <c r="K356" i="42"/>
  <c r="J356" i="42"/>
  <c r="K355" i="42"/>
  <c r="K354" i="42"/>
  <c r="J354" i="42"/>
  <c r="K353" i="42"/>
  <c r="K352" i="42"/>
  <c r="J352" i="42"/>
  <c r="K351" i="42"/>
  <c r="K350" i="42"/>
  <c r="J350" i="42"/>
  <c r="K349" i="42"/>
  <c r="K348" i="42"/>
  <c r="J348" i="42"/>
  <c r="K347" i="42"/>
  <c r="K346" i="42"/>
  <c r="J346" i="42"/>
  <c r="K345" i="42"/>
  <c r="K344" i="42"/>
  <c r="J344" i="42"/>
  <c r="K343" i="42"/>
  <c r="K342" i="42"/>
  <c r="J342" i="42"/>
  <c r="K341" i="42"/>
  <c r="K340" i="42"/>
  <c r="J340" i="42"/>
  <c r="K339" i="42"/>
  <c r="K338" i="42"/>
  <c r="J338" i="42"/>
  <c r="K337" i="42"/>
  <c r="K336" i="42"/>
  <c r="J336" i="42"/>
  <c r="K335" i="42"/>
  <c r="K334" i="42"/>
  <c r="J334" i="42"/>
  <c r="K333" i="42"/>
  <c r="K332" i="42"/>
  <c r="J332" i="42"/>
  <c r="K331" i="42"/>
  <c r="K330" i="42"/>
  <c r="J330" i="42"/>
  <c r="K329" i="42"/>
  <c r="K328" i="42"/>
  <c r="J328" i="42"/>
  <c r="K327" i="42"/>
  <c r="K326" i="42"/>
  <c r="J326" i="42"/>
  <c r="K325" i="42"/>
  <c r="K324" i="42"/>
  <c r="J324" i="42"/>
  <c r="K323" i="42"/>
  <c r="K322" i="42"/>
  <c r="J322" i="42"/>
  <c r="K321" i="42"/>
  <c r="K320" i="42"/>
  <c r="J320" i="42"/>
  <c r="K319" i="42"/>
  <c r="K318" i="42"/>
  <c r="J318" i="42"/>
  <c r="K317" i="42"/>
  <c r="K316" i="42"/>
  <c r="J316" i="42"/>
  <c r="K315" i="42"/>
  <c r="K314" i="42"/>
  <c r="J314" i="42"/>
  <c r="K313" i="42"/>
  <c r="K312" i="42"/>
  <c r="J312" i="42"/>
  <c r="K311" i="42"/>
  <c r="K310" i="42"/>
  <c r="J310" i="42"/>
  <c r="K309" i="42"/>
  <c r="K308" i="42"/>
  <c r="J308" i="42"/>
  <c r="K307" i="42"/>
  <c r="K306" i="42"/>
  <c r="J306" i="42"/>
  <c r="K305" i="42"/>
  <c r="K304" i="42"/>
  <c r="J304" i="42"/>
  <c r="K303" i="42"/>
  <c r="K302" i="42"/>
  <c r="J302" i="42"/>
  <c r="K301" i="42"/>
  <c r="K300" i="42"/>
  <c r="J300" i="42"/>
  <c r="K299" i="42"/>
  <c r="K298" i="42"/>
  <c r="J298" i="42"/>
  <c r="K297" i="42"/>
  <c r="K296" i="42"/>
  <c r="J296" i="42"/>
  <c r="K295" i="42"/>
  <c r="K294" i="42"/>
  <c r="J294" i="42"/>
  <c r="K293" i="42"/>
  <c r="K292" i="42"/>
  <c r="J292" i="42"/>
  <c r="K291" i="42"/>
  <c r="K290" i="42"/>
  <c r="J290" i="42"/>
  <c r="K289" i="42"/>
  <c r="K288" i="42"/>
  <c r="J288" i="42"/>
  <c r="K287" i="42"/>
  <c r="K286" i="42"/>
  <c r="J286" i="42"/>
  <c r="K285" i="42"/>
  <c r="K284" i="42"/>
  <c r="J284" i="42"/>
  <c r="K283" i="42"/>
  <c r="K282" i="42"/>
  <c r="J282" i="42"/>
  <c r="K281" i="42"/>
  <c r="K280" i="42"/>
  <c r="J280" i="42"/>
  <c r="K279" i="42"/>
  <c r="K278" i="42"/>
  <c r="J278" i="42"/>
  <c r="K277" i="42"/>
  <c r="K276" i="42"/>
  <c r="J276" i="42"/>
  <c r="K275" i="42"/>
  <c r="K274" i="42"/>
  <c r="J274" i="42"/>
  <c r="K273" i="42"/>
  <c r="K272" i="42"/>
  <c r="J272" i="42"/>
  <c r="K271" i="42"/>
  <c r="K270" i="42"/>
  <c r="J270" i="42"/>
  <c r="K269" i="42"/>
  <c r="K268" i="42"/>
  <c r="J268" i="42"/>
  <c r="K267" i="42"/>
  <c r="K266" i="42"/>
  <c r="J266" i="42"/>
  <c r="K265" i="42"/>
  <c r="K264" i="42"/>
  <c r="J264" i="42"/>
  <c r="K263" i="42"/>
  <c r="K262" i="42"/>
  <c r="J262" i="42"/>
  <c r="K261" i="42"/>
  <c r="K260" i="42"/>
  <c r="J260" i="42"/>
  <c r="K259" i="42"/>
  <c r="K258" i="42"/>
  <c r="J258" i="42"/>
  <c r="K257" i="42"/>
  <c r="K256" i="42"/>
  <c r="J256" i="42"/>
  <c r="K255" i="42"/>
  <c r="K254" i="42"/>
  <c r="J254" i="42"/>
  <c r="K253" i="42"/>
  <c r="K252" i="42"/>
  <c r="J252" i="42"/>
  <c r="K251" i="42"/>
  <c r="K250" i="42"/>
  <c r="J250" i="42"/>
  <c r="K249" i="42"/>
  <c r="K248" i="42"/>
  <c r="J248" i="42"/>
  <c r="K247" i="42"/>
  <c r="K246" i="42"/>
  <c r="J246" i="42"/>
  <c r="K245" i="42"/>
  <c r="K244" i="42"/>
  <c r="J244" i="42"/>
  <c r="K243" i="42"/>
  <c r="K242" i="42"/>
  <c r="J242" i="42"/>
  <c r="K241" i="42"/>
  <c r="K240" i="42"/>
  <c r="J240" i="42"/>
  <c r="K239" i="42"/>
  <c r="K238" i="42"/>
  <c r="J238" i="42"/>
  <c r="K237" i="42"/>
  <c r="K236" i="42"/>
  <c r="J236" i="42"/>
  <c r="K235" i="42"/>
  <c r="K234" i="42"/>
  <c r="J234" i="42"/>
  <c r="K233" i="42"/>
  <c r="K232" i="42"/>
  <c r="J232" i="42"/>
  <c r="K231" i="42"/>
  <c r="K230" i="42"/>
  <c r="J230" i="42"/>
  <c r="K229" i="42"/>
  <c r="K228" i="42"/>
  <c r="J228" i="42"/>
  <c r="K227" i="42"/>
  <c r="K226" i="42"/>
  <c r="J226" i="42"/>
  <c r="K225" i="42"/>
  <c r="K224" i="42"/>
  <c r="J224" i="42"/>
  <c r="K223" i="42"/>
  <c r="K222" i="42"/>
  <c r="J222" i="42"/>
  <c r="K221" i="42"/>
  <c r="K220" i="42"/>
  <c r="J220" i="42"/>
  <c r="K219" i="42"/>
  <c r="K218" i="42"/>
  <c r="J218" i="42"/>
  <c r="K217" i="42"/>
  <c r="K216" i="42"/>
  <c r="J216" i="42"/>
  <c r="K215" i="42"/>
  <c r="K214" i="42"/>
  <c r="J214" i="42"/>
  <c r="K213" i="42"/>
  <c r="K212" i="42"/>
  <c r="J212" i="42"/>
  <c r="K211" i="42"/>
  <c r="K210" i="42"/>
  <c r="J210" i="42"/>
  <c r="K209" i="42"/>
  <c r="K208" i="42"/>
  <c r="J208" i="42"/>
  <c r="K207" i="42"/>
  <c r="K206" i="42"/>
  <c r="J206" i="42"/>
  <c r="K205" i="42"/>
  <c r="K204" i="42"/>
  <c r="J204" i="42"/>
  <c r="K203" i="42"/>
  <c r="K202" i="42"/>
  <c r="J202" i="42"/>
  <c r="K201" i="42"/>
  <c r="K200" i="42"/>
  <c r="J200" i="42"/>
  <c r="K199" i="42"/>
  <c r="K198" i="42"/>
  <c r="J198" i="42"/>
  <c r="K197" i="42"/>
  <c r="K196" i="42"/>
  <c r="J196" i="42"/>
  <c r="K195" i="42"/>
  <c r="K194" i="42"/>
  <c r="J194" i="42"/>
  <c r="K193" i="42"/>
  <c r="K192" i="42"/>
  <c r="J192" i="42"/>
  <c r="K191" i="42"/>
  <c r="K190" i="42"/>
  <c r="J190" i="42"/>
  <c r="K189" i="42"/>
  <c r="K188" i="42"/>
  <c r="J188" i="42"/>
  <c r="K187" i="42"/>
  <c r="K186" i="42"/>
  <c r="J186" i="42"/>
  <c r="K185" i="42"/>
  <c r="K184" i="42"/>
  <c r="J184" i="42"/>
  <c r="K183" i="42"/>
  <c r="K182" i="42"/>
  <c r="J182" i="42"/>
  <c r="K181" i="42"/>
  <c r="K180" i="42"/>
  <c r="J180" i="42"/>
  <c r="K179" i="42"/>
  <c r="K178" i="42"/>
  <c r="J178" i="42"/>
  <c r="K177" i="42"/>
  <c r="K176" i="42"/>
  <c r="J176" i="42"/>
  <c r="K175" i="42"/>
  <c r="K174" i="42"/>
  <c r="J174" i="42"/>
  <c r="K173" i="42"/>
  <c r="K172" i="42"/>
  <c r="J172" i="42"/>
  <c r="K171" i="42"/>
  <c r="K170" i="42"/>
  <c r="J170" i="42"/>
  <c r="K169" i="42"/>
  <c r="J169" i="42"/>
  <c r="K168" i="42"/>
  <c r="J168" i="42"/>
  <c r="K167" i="42"/>
  <c r="J167" i="42"/>
  <c r="K166" i="42"/>
  <c r="J166" i="42"/>
  <c r="K165" i="42"/>
  <c r="J165" i="42"/>
  <c r="K164" i="42"/>
  <c r="J164" i="42"/>
  <c r="K163" i="42"/>
  <c r="J163" i="42"/>
  <c r="K162" i="42"/>
  <c r="J162" i="42"/>
  <c r="K161" i="42"/>
  <c r="J161" i="42"/>
  <c r="K160" i="42"/>
  <c r="J160" i="42"/>
  <c r="K159" i="42"/>
  <c r="J159" i="42"/>
  <c r="K158" i="42"/>
  <c r="J158" i="42"/>
  <c r="K157" i="42"/>
  <c r="J157" i="42"/>
  <c r="K156" i="42"/>
  <c r="J156" i="42"/>
  <c r="K155" i="42"/>
  <c r="J155" i="42"/>
  <c r="K154" i="42"/>
  <c r="J154" i="42"/>
  <c r="K153" i="42"/>
  <c r="J153" i="42"/>
  <c r="K152" i="42"/>
  <c r="J152" i="42"/>
  <c r="K151" i="42"/>
  <c r="J151" i="42"/>
  <c r="K150" i="42"/>
  <c r="J150" i="42"/>
  <c r="K149" i="42"/>
  <c r="J149" i="42"/>
  <c r="K148" i="42"/>
  <c r="J148" i="42"/>
  <c r="K147" i="42"/>
  <c r="J147" i="42"/>
  <c r="K146" i="42"/>
  <c r="J146" i="42"/>
  <c r="K145" i="42"/>
  <c r="J145" i="42"/>
  <c r="K144" i="42"/>
  <c r="J144" i="42"/>
  <c r="K143" i="42"/>
  <c r="J143" i="42"/>
  <c r="K142" i="42"/>
  <c r="J142" i="42"/>
  <c r="K141" i="42"/>
  <c r="J141" i="42"/>
  <c r="K140" i="42"/>
  <c r="J140" i="42"/>
  <c r="K139" i="42"/>
  <c r="J139" i="42"/>
  <c r="K138" i="42"/>
  <c r="J138" i="42"/>
  <c r="K137" i="42"/>
  <c r="J137" i="42"/>
  <c r="K136" i="42"/>
  <c r="J136" i="42"/>
  <c r="K135" i="42"/>
  <c r="J135" i="42"/>
  <c r="K134" i="42"/>
  <c r="J134" i="42"/>
  <c r="K133" i="42"/>
  <c r="J133" i="42"/>
  <c r="K132" i="42"/>
  <c r="J132" i="42"/>
  <c r="K131" i="42"/>
  <c r="J131" i="42"/>
  <c r="K130" i="42"/>
  <c r="J130" i="42"/>
  <c r="K129" i="42"/>
  <c r="J129" i="42"/>
  <c r="K128" i="42"/>
  <c r="J128" i="42"/>
  <c r="K127" i="42"/>
  <c r="J127" i="42"/>
  <c r="K126" i="42"/>
  <c r="J126" i="42"/>
  <c r="K125" i="42"/>
  <c r="J125" i="42"/>
  <c r="K124" i="42"/>
  <c r="J124" i="42"/>
  <c r="K123" i="42"/>
  <c r="J123" i="42"/>
  <c r="K122" i="42"/>
  <c r="J122" i="42"/>
  <c r="K121" i="42"/>
  <c r="J121" i="42"/>
  <c r="K120" i="42"/>
  <c r="J120" i="42"/>
  <c r="K119" i="42"/>
  <c r="J119" i="42"/>
  <c r="K118" i="42"/>
  <c r="J118" i="42"/>
  <c r="K117" i="42"/>
  <c r="J117" i="42"/>
  <c r="K116" i="42"/>
  <c r="J116" i="42"/>
  <c r="K115" i="42"/>
  <c r="J115" i="42"/>
  <c r="K114" i="42"/>
  <c r="J114" i="42"/>
  <c r="K113" i="42"/>
  <c r="J113" i="42"/>
  <c r="K112" i="42"/>
  <c r="J112" i="42"/>
  <c r="K111" i="42"/>
  <c r="J111" i="42"/>
  <c r="K110" i="42"/>
  <c r="J110" i="42"/>
  <c r="K109" i="42"/>
  <c r="J109" i="42"/>
  <c r="K108" i="42"/>
  <c r="J108" i="42"/>
  <c r="K107" i="42"/>
  <c r="J107" i="42"/>
  <c r="K106" i="42"/>
  <c r="J106" i="42"/>
  <c r="K105" i="42"/>
  <c r="J105" i="42"/>
  <c r="K104" i="42"/>
  <c r="J104" i="42"/>
  <c r="K103" i="42"/>
  <c r="J103" i="42"/>
  <c r="K102" i="42"/>
  <c r="J102" i="42"/>
  <c r="K101" i="42"/>
  <c r="J101" i="42"/>
  <c r="K100" i="42"/>
  <c r="J100" i="42"/>
  <c r="K99" i="42"/>
  <c r="J99" i="42"/>
  <c r="K98" i="42"/>
  <c r="J98" i="42"/>
  <c r="K97" i="42"/>
  <c r="J97" i="42"/>
  <c r="K96" i="42"/>
  <c r="J96" i="42"/>
  <c r="K95" i="42"/>
  <c r="J95" i="42"/>
  <c r="K94" i="42"/>
  <c r="J94" i="42"/>
  <c r="K93" i="42"/>
  <c r="J93" i="42"/>
  <c r="K92" i="42"/>
  <c r="J92" i="42"/>
  <c r="K91" i="42"/>
  <c r="J91" i="42"/>
  <c r="K90" i="42"/>
  <c r="J90" i="42"/>
  <c r="K89" i="42"/>
  <c r="J89" i="42"/>
  <c r="K88" i="42"/>
  <c r="J88" i="42"/>
  <c r="K87" i="42"/>
  <c r="J87" i="42"/>
  <c r="K86" i="42"/>
  <c r="J86" i="42"/>
  <c r="K85" i="42"/>
  <c r="J85" i="42"/>
  <c r="K84" i="42"/>
  <c r="J84" i="42"/>
  <c r="K83" i="42"/>
  <c r="J83" i="42"/>
  <c r="K82" i="42"/>
  <c r="J82" i="42"/>
  <c r="K81" i="42"/>
  <c r="J81" i="42"/>
  <c r="K80" i="42"/>
  <c r="J80" i="42"/>
  <c r="K79" i="42"/>
  <c r="J79" i="42"/>
  <c r="K78" i="42"/>
  <c r="J78" i="42"/>
  <c r="K77" i="42"/>
  <c r="J77" i="42"/>
  <c r="K76" i="42"/>
  <c r="J76" i="42"/>
  <c r="K75" i="42"/>
  <c r="K74" i="42"/>
  <c r="J74" i="42"/>
  <c r="K73" i="42"/>
  <c r="K72" i="42"/>
  <c r="J72" i="42"/>
  <c r="K71" i="42"/>
  <c r="K70" i="42"/>
  <c r="J70" i="42"/>
  <c r="K69" i="42"/>
  <c r="K68" i="42"/>
  <c r="J68" i="42"/>
  <c r="K67" i="42"/>
  <c r="K66" i="42"/>
  <c r="J66" i="42"/>
  <c r="K65" i="42"/>
  <c r="K64" i="42"/>
  <c r="J64" i="42"/>
  <c r="K63" i="42"/>
  <c r="K62" i="42"/>
  <c r="J62" i="42"/>
  <c r="K61" i="42"/>
  <c r="K60" i="42"/>
  <c r="J60" i="42"/>
  <c r="K59" i="42"/>
  <c r="K58" i="42"/>
  <c r="J58" i="42"/>
  <c r="K57" i="42"/>
  <c r="K56" i="42"/>
  <c r="J56" i="42"/>
  <c r="K55" i="42"/>
  <c r="K54" i="42"/>
  <c r="J54" i="42"/>
  <c r="K53" i="42"/>
  <c r="K52" i="42"/>
  <c r="J52" i="42"/>
  <c r="K51" i="42"/>
  <c r="K50" i="42"/>
  <c r="J50" i="42"/>
  <c r="K49" i="42"/>
  <c r="K48" i="42"/>
  <c r="J48" i="42"/>
  <c r="K47" i="42"/>
  <c r="K46" i="42"/>
  <c r="J46" i="42"/>
  <c r="K45" i="42"/>
  <c r="K44" i="42"/>
  <c r="J44" i="42"/>
  <c r="K43" i="42"/>
  <c r="K42" i="42"/>
  <c r="J42" i="42"/>
  <c r="K41" i="42"/>
  <c r="K40" i="42"/>
  <c r="J40" i="42"/>
  <c r="K39" i="42"/>
  <c r="K38" i="42"/>
  <c r="J38" i="42"/>
  <c r="K37" i="42"/>
  <c r="K36" i="42"/>
  <c r="J36" i="42"/>
  <c r="K35" i="42"/>
  <c r="K34" i="42"/>
  <c r="J34" i="42"/>
  <c r="K33" i="42"/>
  <c r="K32" i="42"/>
  <c r="J32" i="42"/>
  <c r="K31" i="42"/>
  <c r="K30" i="42"/>
  <c r="J30" i="42"/>
  <c r="K29" i="42"/>
  <c r="K28" i="42"/>
  <c r="J28" i="42"/>
  <c r="K27" i="42"/>
  <c r="K26" i="42"/>
  <c r="J26" i="42"/>
  <c r="K25" i="42"/>
  <c r="K24" i="42"/>
  <c r="J24" i="42"/>
  <c r="K23" i="42"/>
  <c r="K22" i="42"/>
  <c r="J22" i="42"/>
  <c r="K21" i="42"/>
  <c r="K20" i="42"/>
  <c r="J20" i="42"/>
  <c r="K19" i="42"/>
  <c r="K18" i="42"/>
  <c r="J18" i="42"/>
  <c r="K17" i="42"/>
  <c r="K16" i="42"/>
  <c r="J16" i="42"/>
  <c r="K15" i="42"/>
  <c r="K14" i="42"/>
  <c r="J14" i="42"/>
  <c r="K13" i="42"/>
  <c r="K12" i="42"/>
  <c r="J12" i="42"/>
  <c r="K11" i="42"/>
  <c r="K10" i="42"/>
  <c r="J10" i="42"/>
  <c r="K9" i="42"/>
  <c r="K8" i="42"/>
  <c r="J8" i="42"/>
  <c r="K7" i="42"/>
  <c r="K6" i="42"/>
  <c r="J6" i="42"/>
  <c r="K3" i="42"/>
  <c r="I3" i="42"/>
  <c r="H3" i="42"/>
  <c r="K497" i="35"/>
  <c r="J497" i="35"/>
  <c r="K496" i="35"/>
  <c r="J496" i="35"/>
  <c r="K495" i="35"/>
  <c r="J495" i="35"/>
  <c r="K494" i="35"/>
  <c r="J494" i="35"/>
  <c r="K493" i="35"/>
  <c r="J493" i="35"/>
  <c r="K492" i="35"/>
  <c r="J492" i="35"/>
  <c r="K491" i="35"/>
  <c r="J491" i="35"/>
  <c r="K490" i="35"/>
  <c r="J490" i="35"/>
  <c r="K489" i="35"/>
  <c r="J489" i="35"/>
  <c r="K488" i="35"/>
  <c r="J488" i="35"/>
  <c r="K487" i="35"/>
  <c r="J487" i="35"/>
  <c r="K486" i="35"/>
  <c r="J486" i="35"/>
  <c r="K485" i="35"/>
  <c r="J485" i="35"/>
  <c r="K484" i="35"/>
  <c r="J484" i="35"/>
  <c r="K483" i="35"/>
  <c r="J483" i="35"/>
  <c r="K482" i="35"/>
  <c r="J482" i="35"/>
  <c r="K481" i="35"/>
  <c r="J481" i="35"/>
  <c r="K480" i="35"/>
  <c r="J480" i="35"/>
  <c r="K479" i="35"/>
  <c r="J479" i="35"/>
  <c r="K478" i="35"/>
  <c r="J478" i="35"/>
  <c r="K477" i="35"/>
  <c r="J477" i="35"/>
  <c r="K476" i="35"/>
  <c r="J476" i="35"/>
  <c r="K475" i="35"/>
  <c r="J475" i="35"/>
  <c r="K474" i="35"/>
  <c r="J474" i="35"/>
  <c r="K473" i="35"/>
  <c r="J473" i="35"/>
  <c r="K472" i="35"/>
  <c r="J472" i="35"/>
  <c r="K471" i="35"/>
  <c r="J471" i="35"/>
  <c r="K470" i="35"/>
  <c r="J470" i="35"/>
  <c r="K469" i="35"/>
  <c r="J469" i="35"/>
  <c r="K468" i="35"/>
  <c r="J468" i="35"/>
  <c r="K467" i="35"/>
  <c r="J467" i="35"/>
  <c r="K466" i="35"/>
  <c r="J466" i="35"/>
  <c r="K465" i="35"/>
  <c r="J465" i="35"/>
  <c r="K464" i="35"/>
  <c r="J464" i="35"/>
  <c r="K463" i="35"/>
  <c r="J463" i="35"/>
  <c r="K462" i="35"/>
  <c r="J462" i="35"/>
  <c r="K461" i="35"/>
  <c r="J461" i="35"/>
  <c r="K460" i="35"/>
  <c r="J460" i="35"/>
  <c r="K459" i="35"/>
  <c r="J459" i="35"/>
  <c r="K458" i="35"/>
  <c r="J458" i="35"/>
  <c r="K457" i="35"/>
  <c r="J457" i="35"/>
  <c r="K456" i="35"/>
  <c r="J456" i="35"/>
  <c r="K455" i="35"/>
  <c r="J455" i="35"/>
  <c r="K454" i="35"/>
  <c r="J454" i="35"/>
  <c r="K453" i="35"/>
  <c r="J453" i="35"/>
  <c r="K452" i="35"/>
  <c r="J452" i="35"/>
  <c r="K451" i="35"/>
  <c r="J451" i="35"/>
  <c r="K450" i="35"/>
  <c r="J450" i="35"/>
  <c r="K449" i="35"/>
  <c r="J449" i="35"/>
  <c r="K448" i="35"/>
  <c r="J448" i="35"/>
  <c r="K447" i="35"/>
  <c r="J447" i="35"/>
  <c r="K446" i="35"/>
  <c r="J446" i="35"/>
  <c r="K445" i="35"/>
  <c r="J445" i="35"/>
  <c r="K444" i="35"/>
  <c r="J444" i="35"/>
  <c r="K443" i="35"/>
  <c r="J443" i="35"/>
  <c r="K442" i="35"/>
  <c r="J442" i="35"/>
  <c r="K441" i="35"/>
  <c r="J441" i="35"/>
  <c r="K440" i="35"/>
  <c r="J440" i="35"/>
  <c r="K439" i="35"/>
  <c r="J439" i="35"/>
  <c r="K438" i="35"/>
  <c r="J438" i="35"/>
  <c r="K437" i="35"/>
  <c r="J437" i="35"/>
  <c r="K436" i="35"/>
  <c r="J436" i="35"/>
  <c r="K435" i="35"/>
  <c r="J435" i="35"/>
  <c r="K434" i="35"/>
  <c r="J434" i="35"/>
  <c r="K433" i="35"/>
  <c r="J433" i="35"/>
  <c r="K432" i="35"/>
  <c r="J432" i="35"/>
  <c r="K431" i="35"/>
  <c r="J431" i="35"/>
  <c r="K430" i="35"/>
  <c r="J430" i="35"/>
  <c r="K429" i="35"/>
  <c r="J429" i="35"/>
  <c r="K428" i="35"/>
  <c r="J428" i="35"/>
  <c r="K427" i="35"/>
  <c r="J427" i="35"/>
  <c r="K426" i="35"/>
  <c r="J426" i="35"/>
  <c r="K425" i="35"/>
  <c r="J425" i="35"/>
  <c r="K424" i="35"/>
  <c r="J424" i="35"/>
  <c r="K423" i="35"/>
  <c r="J423" i="35"/>
  <c r="K422" i="35"/>
  <c r="J422" i="35"/>
  <c r="K421" i="35"/>
  <c r="J421" i="35"/>
  <c r="K420" i="35"/>
  <c r="J420" i="35"/>
  <c r="K419" i="35"/>
  <c r="J419" i="35"/>
  <c r="K418" i="35"/>
  <c r="J418" i="35"/>
  <c r="K417" i="35"/>
  <c r="J417" i="35"/>
  <c r="K416" i="35"/>
  <c r="J416" i="35"/>
  <c r="K415" i="35"/>
  <c r="J415" i="35"/>
  <c r="K414" i="35"/>
  <c r="J414" i="35"/>
  <c r="K413" i="35"/>
  <c r="J413" i="35"/>
  <c r="K412" i="35"/>
  <c r="J412" i="35"/>
  <c r="K411" i="35"/>
  <c r="J411" i="35"/>
  <c r="K410" i="35"/>
  <c r="J410" i="35"/>
  <c r="K409" i="35"/>
  <c r="J409" i="35"/>
  <c r="K408" i="35"/>
  <c r="J408" i="35"/>
  <c r="K407" i="35"/>
  <c r="J407" i="35"/>
  <c r="K406" i="35"/>
  <c r="J406" i="35"/>
  <c r="K405" i="35"/>
  <c r="J405" i="35"/>
  <c r="K404" i="35"/>
  <c r="J404" i="35"/>
  <c r="K403" i="35"/>
  <c r="J403" i="35"/>
  <c r="K402" i="35"/>
  <c r="J402" i="35"/>
  <c r="K401" i="35"/>
  <c r="J401" i="35"/>
  <c r="K400" i="35"/>
  <c r="J400" i="35"/>
  <c r="K399" i="35"/>
  <c r="J399" i="35"/>
  <c r="K398" i="35"/>
  <c r="J398" i="35"/>
  <c r="K397" i="35"/>
  <c r="J397" i="35"/>
  <c r="K396" i="35"/>
  <c r="J396" i="35"/>
  <c r="K395" i="35"/>
  <c r="J395" i="35"/>
  <c r="K394" i="35"/>
  <c r="J394" i="35"/>
  <c r="K393" i="35"/>
  <c r="J393" i="35"/>
  <c r="K392" i="35"/>
  <c r="J392" i="35"/>
  <c r="K391" i="35"/>
  <c r="J391" i="35"/>
  <c r="K390" i="35"/>
  <c r="J390" i="35"/>
  <c r="K389" i="35"/>
  <c r="J389" i="35"/>
  <c r="K388" i="35"/>
  <c r="J388" i="35"/>
  <c r="K387" i="35"/>
  <c r="J387" i="35"/>
  <c r="K386" i="35"/>
  <c r="J386" i="35"/>
  <c r="K385" i="35"/>
  <c r="J385" i="35"/>
  <c r="K384" i="35"/>
  <c r="J384" i="35"/>
  <c r="K383" i="35"/>
  <c r="J383" i="35"/>
  <c r="K382" i="35"/>
  <c r="J382" i="35"/>
  <c r="K381" i="35"/>
  <c r="J381" i="35"/>
  <c r="K380" i="35"/>
  <c r="J380" i="35"/>
  <c r="K379" i="35"/>
  <c r="J379" i="35"/>
  <c r="K378" i="35"/>
  <c r="J378" i="35"/>
  <c r="K377" i="35"/>
  <c r="J377" i="35"/>
  <c r="K376" i="35"/>
  <c r="J376" i="35"/>
  <c r="K375" i="35"/>
  <c r="J375" i="35"/>
  <c r="K374" i="35"/>
  <c r="J374" i="35"/>
  <c r="K373" i="35"/>
  <c r="J373" i="35"/>
  <c r="K372" i="35"/>
  <c r="J372" i="35"/>
  <c r="K371" i="35"/>
  <c r="J371" i="35"/>
  <c r="K370" i="35"/>
  <c r="J370" i="35"/>
  <c r="K369" i="35"/>
  <c r="J369" i="35"/>
  <c r="K368" i="35"/>
  <c r="J368" i="35"/>
  <c r="K367" i="35"/>
  <c r="J367" i="35"/>
  <c r="K366" i="35"/>
  <c r="J366" i="35"/>
  <c r="K365" i="35"/>
  <c r="J365" i="35"/>
  <c r="K364" i="35"/>
  <c r="J364" i="35"/>
  <c r="K363" i="35"/>
  <c r="J363" i="35"/>
  <c r="K362" i="35"/>
  <c r="J362" i="35"/>
  <c r="K361" i="35"/>
  <c r="J361" i="35"/>
  <c r="K360" i="35"/>
  <c r="J360" i="35"/>
  <c r="K359" i="35"/>
  <c r="J359" i="35"/>
  <c r="K358" i="35"/>
  <c r="J358" i="35"/>
  <c r="K357" i="35"/>
  <c r="J357" i="35"/>
  <c r="K356" i="35"/>
  <c r="J356" i="35"/>
  <c r="K355" i="35"/>
  <c r="J355" i="35"/>
  <c r="K354" i="35"/>
  <c r="J354" i="35"/>
  <c r="K353" i="35"/>
  <c r="J353" i="35"/>
  <c r="K352" i="35"/>
  <c r="J352" i="35"/>
  <c r="K351" i="35"/>
  <c r="J351" i="35"/>
  <c r="K350" i="35"/>
  <c r="J350" i="35"/>
  <c r="K349" i="35"/>
  <c r="J349" i="35"/>
  <c r="K348" i="35"/>
  <c r="J348" i="35"/>
  <c r="K347" i="35"/>
  <c r="J347" i="35"/>
  <c r="K346" i="35"/>
  <c r="J346" i="35"/>
  <c r="K345" i="35"/>
  <c r="J345" i="35"/>
  <c r="K344" i="35"/>
  <c r="J344" i="35"/>
  <c r="K343" i="35"/>
  <c r="J343" i="35"/>
  <c r="K342" i="35"/>
  <c r="J342" i="35"/>
  <c r="K341" i="35"/>
  <c r="J341" i="35"/>
  <c r="K340" i="35"/>
  <c r="J340" i="35"/>
  <c r="K339" i="35"/>
  <c r="J339" i="35"/>
  <c r="K338" i="35"/>
  <c r="J338" i="35"/>
  <c r="K337" i="35"/>
  <c r="J337" i="35"/>
  <c r="K336" i="35"/>
  <c r="J336" i="35"/>
  <c r="K335" i="35"/>
  <c r="J335" i="35"/>
  <c r="K334" i="35"/>
  <c r="J334" i="35"/>
  <c r="K333" i="35"/>
  <c r="J333" i="35"/>
  <c r="K332" i="35"/>
  <c r="J332" i="35"/>
  <c r="K331" i="35"/>
  <c r="J331" i="35"/>
  <c r="K330" i="35"/>
  <c r="J330" i="35"/>
  <c r="K329" i="35"/>
  <c r="J329" i="35"/>
  <c r="K328" i="35"/>
  <c r="J328" i="35"/>
  <c r="K327" i="35"/>
  <c r="J327" i="35"/>
  <c r="K326" i="35"/>
  <c r="J326" i="35"/>
  <c r="K325" i="35"/>
  <c r="J325" i="35"/>
  <c r="K324" i="35"/>
  <c r="J324" i="35"/>
  <c r="K323" i="35"/>
  <c r="J323" i="35"/>
  <c r="K322" i="35"/>
  <c r="J322" i="35"/>
  <c r="K321" i="35"/>
  <c r="J321" i="35"/>
  <c r="K320" i="35"/>
  <c r="J320" i="35"/>
  <c r="K319" i="35"/>
  <c r="J319" i="35"/>
  <c r="K318" i="35"/>
  <c r="J318" i="35"/>
  <c r="K317" i="35"/>
  <c r="J317" i="35"/>
  <c r="K316" i="35"/>
  <c r="J316" i="35"/>
  <c r="K315" i="35"/>
  <c r="J315" i="35"/>
  <c r="K314" i="35"/>
  <c r="J314" i="35"/>
  <c r="K313" i="35"/>
  <c r="J313" i="35"/>
  <c r="K312" i="35"/>
  <c r="J312" i="35"/>
  <c r="K311" i="35"/>
  <c r="J311" i="35"/>
  <c r="K310" i="35"/>
  <c r="J310" i="35"/>
  <c r="K309" i="35"/>
  <c r="J309" i="35"/>
  <c r="K308" i="35"/>
  <c r="J308" i="35"/>
  <c r="K307" i="35"/>
  <c r="J307" i="35"/>
  <c r="K306" i="35"/>
  <c r="J306" i="35"/>
  <c r="K305" i="35"/>
  <c r="J305" i="35"/>
  <c r="K304" i="35"/>
  <c r="J304" i="35"/>
  <c r="K303" i="35"/>
  <c r="J303" i="35"/>
  <c r="K302" i="35"/>
  <c r="J302" i="35"/>
  <c r="K301" i="35"/>
  <c r="J301" i="35"/>
  <c r="K300" i="35"/>
  <c r="J300" i="35"/>
  <c r="K299" i="35"/>
  <c r="J299" i="35"/>
  <c r="K298" i="35"/>
  <c r="J298" i="35"/>
  <c r="K297" i="35"/>
  <c r="J297" i="35"/>
  <c r="K296" i="35"/>
  <c r="J296" i="35"/>
  <c r="K295" i="35"/>
  <c r="J295" i="35"/>
  <c r="K294" i="35"/>
  <c r="J294" i="35"/>
  <c r="K293" i="35"/>
  <c r="J293" i="35"/>
  <c r="K292" i="35"/>
  <c r="J292" i="35"/>
  <c r="K291" i="35"/>
  <c r="J291" i="35"/>
  <c r="K290" i="35"/>
  <c r="J290" i="35"/>
  <c r="K289" i="35"/>
  <c r="J289" i="35"/>
  <c r="K288" i="35"/>
  <c r="J288" i="35"/>
  <c r="K287" i="35"/>
  <c r="J287" i="35"/>
  <c r="K286" i="35"/>
  <c r="J286" i="35"/>
  <c r="K285" i="35"/>
  <c r="J285" i="35"/>
  <c r="K284" i="35"/>
  <c r="J284" i="35"/>
  <c r="K283" i="35"/>
  <c r="J283" i="35"/>
  <c r="K282" i="35"/>
  <c r="J282" i="35"/>
  <c r="K281" i="35"/>
  <c r="J281" i="35"/>
  <c r="K280" i="35"/>
  <c r="J280" i="35"/>
  <c r="K279" i="35"/>
  <c r="J279" i="35"/>
  <c r="K278" i="35"/>
  <c r="J278" i="35"/>
  <c r="K277" i="35"/>
  <c r="J277" i="35"/>
  <c r="K276" i="35"/>
  <c r="J276" i="35"/>
  <c r="K275" i="35"/>
  <c r="J275" i="35"/>
  <c r="K274" i="35"/>
  <c r="J274" i="35"/>
  <c r="K273" i="35"/>
  <c r="J273" i="35"/>
  <c r="K272" i="35"/>
  <c r="J272" i="35"/>
  <c r="K271" i="35"/>
  <c r="J271" i="35"/>
  <c r="K270" i="35"/>
  <c r="J270" i="35"/>
  <c r="K269" i="35"/>
  <c r="J269" i="35"/>
  <c r="K268" i="35"/>
  <c r="J268" i="35"/>
  <c r="K267" i="35"/>
  <c r="J267" i="35"/>
  <c r="K266" i="35"/>
  <c r="J266" i="35"/>
  <c r="K265" i="35"/>
  <c r="J265" i="35"/>
  <c r="K264" i="35"/>
  <c r="J264" i="35"/>
  <c r="K263" i="35"/>
  <c r="J263" i="35"/>
  <c r="K262" i="35"/>
  <c r="J262" i="35"/>
  <c r="K261" i="35"/>
  <c r="J261" i="35"/>
  <c r="K260" i="35"/>
  <c r="J260" i="35"/>
  <c r="K259" i="35"/>
  <c r="J259" i="35"/>
  <c r="K258" i="35"/>
  <c r="J258" i="35"/>
  <c r="K257" i="35"/>
  <c r="J257" i="35"/>
  <c r="K256" i="35"/>
  <c r="J256" i="35"/>
  <c r="K255" i="35"/>
  <c r="J255" i="35"/>
  <c r="K254" i="35"/>
  <c r="J254" i="35"/>
  <c r="K253" i="35"/>
  <c r="J253" i="35"/>
  <c r="K252" i="35"/>
  <c r="J252" i="35"/>
  <c r="K251" i="35"/>
  <c r="J251" i="35"/>
  <c r="K250" i="35"/>
  <c r="J250" i="35"/>
  <c r="K249" i="35"/>
  <c r="J249" i="35"/>
  <c r="K248" i="35"/>
  <c r="J248" i="35"/>
  <c r="K247" i="35"/>
  <c r="J247" i="35"/>
  <c r="K246" i="35"/>
  <c r="J246" i="35"/>
  <c r="K245" i="35"/>
  <c r="J245" i="35"/>
  <c r="K244" i="35"/>
  <c r="J244" i="35"/>
  <c r="K243" i="35"/>
  <c r="J243" i="35"/>
  <c r="K242" i="35"/>
  <c r="J242" i="35"/>
  <c r="K241" i="35"/>
  <c r="J241" i="35"/>
  <c r="K240" i="35"/>
  <c r="J240" i="35"/>
  <c r="K239" i="35"/>
  <c r="J239" i="35"/>
  <c r="K238" i="35"/>
  <c r="J238" i="35"/>
  <c r="K237" i="35"/>
  <c r="J237" i="35"/>
  <c r="K236" i="35"/>
  <c r="J236" i="35"/>
  <c r="K235" i="35"/>
  <c r="J235" i="35"/>
  <c r="K234" i="35"/>
  <c r="J234" i="35"/>
  <c r="K233" i="35"/>
  <c r="J233" i="35"/>
  <c r="K232" i="35"/>
  <c r="J232" i="35"/>
  <c r="K231" i="35"/>
  <c r="J231" i="35"/>
  <c r="K230" i="35"/>
  <c r="J230" i="35"/>
  <c r="K229" i="35"/>
  <c r="J229" i="35"/>
  <c r="K228" i="35"/>
  <c r="J228" i="35"/>
  <c r="K227" i="35"/>
  <c r="J227" i="35"/>
  <c r="K226" i="35"/>
  <c r="J226" i="35"/>
  <c r="K225" i="35"/>
  <c r="J225" i="35"/>
  <c r="K224" i="35"/>
  <c r="J224" i="35"/>
  <c r="K223" i="35"/>
  <c r="J223" i="35"/>
  <c r="K222" i="35"/>
  <c r="J222" i="35"/>
  <c r="K221" i="35"/>
  <c r="J221" i="35"/>
  <c r="K220" i="35"/>
  <c r="J220" i="35"/>
  <c r="K219" i="35"/>
  <c r="J219" i="35"/>
  <c r="K218" i="35"/>
  <c r="J218" i="35"/>
  <c r="K217" i="35"/>
  <c r="J217" i="35"/>
  <c r="K216" i="35"/>
  <c r="J216" i="35"/>
  <c r="K215" i="35"/>
  <c r="J215" i="35"/>
  <c r="K214" i="35"/>
  <c r="J214" i="35"/>
  <c r="K213" i="35"/>
  <c r="J213" i="35"/>
  <c r="K212" i="35"/>
  <c r="J212" i="35"/>
  <c r="K211" i="35"/>
  <c r="J211" i="35"/>
  <c r="K210" i="35"/>
  <c r="J210" i="35"/>
  <c r="K209" i="35"/>
  <c r="J209" i="35"/>
  <c r="K208" i="35"/>
  <c r="J208" i="35"/>
  <c r="K207" i="35"/>
  <c r="J207" i="35"/>
  <c r="K206" i="35"/>
  <c r="J206" i="35"/>
  <c r="K205" i="35"/>
  <c r="J205" i="35"/>
  <c r="K204" i="35"/>
  <c r="J204" i="35"/>
  <c r="K203" i="35"/>
  <c r="J203" i="35"/>
  <c r="K202" i="35"/>
  <c r="J202" i="35"/>
  <c r="K201" i="35"/>
  <c r="J201" i="35"/>
  <c r="K200" i="35"/>
  <c r="J200" i="35"/>
  <c r="K199" i="35"/>
  <c r="J199" i="35"/>
  <c r="K198" i="35"/>
  <c r="J198" i="35"/>
  <c r="K197" i="35"/>
  <c r="J197" i="35"/>
  <c r="K196" i="35"/>
  <c r="J196" i="35"/>
  <c r="K195" i="35"/>
  <c r="J195" i="35"/>
  <c r="K194" i="35"/>
  <c r="J194" i="35"/>
  <c r="K193" i="35"/>
  <c r="J193" i="35"/>
  <c r="K192" i="35"/>
  <c r="J192" i="35"/>
  <c r="K191" i="35"/>
  <c r="J191" i="35"/>
  <c r="K190" i="35"/>
  <c r="J190" i="35"/>
  <c r="K189" i="35"/>
  <c r="J189" i="35"/>
  <c r="K188" i="35"/>
  <c r="J188" i="35"/>
  <c r="K187" i="35"/>
  <c r="J187" i="35"/>
  <c r="K186" i="35"/>
  <c r="J186" i="35"/>
  <c r="K185" i="35"/>
  <c r="J185" i="35"/>
  <c r="K184" i="35"/>
  <c r="J184" i="35"/>
  <c r="K183" i="35"/>
  <c r="J183" i="35"/>
  <c r="K182" i="35"/>
  <c r="J182" i="35"/>
  <c r="K181" i="35"/>
  <c r="J181" i="35"/>
  <c r="K180" i="35"/>
  <c r="J180" i="35"/>
  <c r="K179" i="35"/>
  <c r="J179" i="35"/>
  <c r="K178" i="35"/>
  <c r="J178" i="35"/>
  <c r="K177" i="35"/>
  <c r="J177" i="35"/>
  <c r="K176" i="35"/>
  <c r="J176" i="35"/>
  <c r="K175" i="35"/>
  <c r="J175" i="35"/>
  <c r="K174" i="35"/>
  <c r="J174" i="35"/>
  <c r="K173" i="35"/>
  <c r="J173" i="35"/>
  <c r="K172" i="35"/>
  <c r="J172" i="35"/>
  <c r="K171" i="35"/>
  <c r="J171" i="35"/>
  <c r="K170" i="35"/>
  <c r="J170" i="35"/>
  <c r="K169" i="35"/>
  <c r="J169" i="35"/>
  <c r="K168" i="35"/>
  <c r="J168" i="35"/>
  <c r="K167" i="35"/>
  <c r="J167" i="35"/>
  <c r="K166" i="35"/>
  <c r="J166" i="35"/>
  <c r="K165" i="35"/>
  <c r="J165" i="35"/>
  <c r="K164" i="35"/>
  <c r="J164" i="35"/>
  <c r="K163" i="35"/>
  <c r="J163" i="35"/>
  <c r="K162" i="35"/>
  <c r="J162" i="35"/>
  <c r="K161" i="35"/>
  <c r="J161" i="35"/>
  <c r="K160" i="35"/>
  <c r="J160" i="35"/>
  <c r="K159" i="35"/>
  <c r="J159" i="35"/>
  <c r="K158" i="35"/>
  <c r="J158" i="35"/>
  <c r="K157" i="35"/>
  <c r="J157" i="35"/>
  <c r="K156" i="35"/>
  <c r="J156" i="35"/>
  <c r="K155" i="35"/>
  <c r="J155" i="35"/>
  <c r="K154" i="35"/>
  <c r="J154" i="35"/>
  <c r="K153" i="35"/>
  <c r="J153" i="35"/>
  <c r="K152" i="35"/>
  <c r="J152" i="35"/>
  <c r="K151" i="35"/>
  <c r="J151" i="35"/>
  <c r="K150" i="35"/>
  <c r="J150" i="35"/>
  <c r="K149" i="35"/>
  <c r="J149" i="35"/>
  <c r="K148" i="35"/>
  <c r="J148" i="35"/>
  <c r="K147" i="35"/>
  <c r="J147" i="35"/>
  <c r="K146" i="35"/>
  <c r="J146" i="35"/>
  <c r="K145" i="35"/>
  <c r="J145" i="35"/>
  <c r="K144" i="35"/>
  <c r="J144" i="35"/>
  <c r="K143" i="35"/>
  <c r="J143" i="35"/>
  <c r="K142" i="35"/>
  <c r="J142" i="35"/>
  <c r="K141" i="35"/>
  <c r="J141" i="35"/>
  <c r="K140" i="35"/>
  <c r="J140" i="35"/>
  <c r="K139" i="35"/>
  <c r="J139" i="35"/>
  <c r="K138" i="35"/>
  <c r="J138" i="35"/>
  <c r="K137" i="35"/>
  <c r="J137" i="35"/>
  <c r="K136" i="35"/>
  <c r="J136" i="35"/>
  <c r="K135" i="35"/>
  <c r="J135" i="35"/>
  <c r="K134" i="35"/>
  <c r="J134" i="35"/>
  <c r="K133" i="35"/>
  <c r="J133" i="35"/>
  <c r="K132" i="35"/>
  <c r="J132" i="35"/>
  <c r="K131" i="35"/>
  <c r="J131" i="35"/>
  <c r="K130" i="35"/>
  <c r="J130" i="35"/>
  <c r="K129" i="35"/>
  <c r="J129" i="35"/>
  <c r="K128" i="35"/>
  <c r="J128" i="35"/>
  <c r="K127" i="35"/>
  <c r="J127" i="35"/>
  <c r="K126" i="35"/>
  <c r="J126" i="35"/>
  <c r="K125" i="35"/>
  <c r="J125" i="35"/>
  <c r="K124" i="35"/>
  <c r="J124" i="35"/>
  <c r="K123" i="35"/>
  <c r="J123" i="35"/>
  <c r="K122" i="35"/>
  <c r="J122" i="35"/>
  <c r="K121" i="35"/>
  <c r="J121" i="35"/>
  <c r="K120" i="35"/>
  <c r="J120" i="35"/>
  <c r="K119" i="35"/>
  <c r="J119" i="35"/>
  <c r="K118" i="35"/>
  <c r="J118" i="35"/>
  <c r="K117" i="35"/>
  <c r="J117" i="35"/>
  <c r="K116" i="35"/>
  <c r="J116" i="35"/>
  <c r="K115" i="35"/>
  <c r="J115" i="35"/>
  <c r="K114" i="35"/>
  <c r="J114" i="35"/>
  <c r="K113" i="35"/>
  <c r="J113" i="35"/>
  <c r="K112" i="35"/>
  <c r="J112" i="35"/>
  <c r="K111" i="35"/>
  <c r="J111" i="35"/>
  <c r="K110" i="35"/>
  <c r="J110" i="35"/>
  <c r="K109" i="35"/>
  <c r="J109" i="35"/>
  <c r="K108" i="35"/>
  <c r="J108" i="35"/>
  <c r="K107" i="35"/>
  <c r="J107" i="35"/>
  <c r="K106" i="35"/>
  <c r="J106" i="35"/>
  <c r="K105" i="35"/>
  <c r="J105" i="35"/>
  <c r="K104" i="35"/>
  <c r="J104" i="35"/>
  <c r="K103" i="35"/>
  <c r="J103" i="35"/>
  <c r="K102" i="35"/>
  <c r="J102" i="35"/>
  <c r="K101" i="35"/>
  <c r="J101" i="35"/>
  <c r="K100" i="35"/>
  <c r="J100" i="35"/>
  <c r="K99" i="35"/>
  <c r="J99" i="35"/>
  <c r="K98" i="35"/>
  <c r="J98" i="35"/>
  <c r="K97" i="35"/>
  <c r="J97" i="35"/>
  <c r="K96" i="35"/>
  <c r="J96" i="35"/>
  <c r="K95" i="35"/>
  <c r="J95" i="35"/>
  <c r="K94" i="35"/>
  <c r="J94" i="35"/>
  <c r="K93" i="35"/>
  <c r="J93" i="35"/>
  <c r="K92" i="35"/>
  <c r="J92" i="35"/>
  <c r="K91" i="35"/>
  <c r="J91" i="35"/>
  <c r="K90" i="35"/>
  <c r="J90" i="35"/>
  <c r="K89" i="35"/>
  <c r="J89" i="35"/>
  <c r="K88" i="35"/>
  <c r="J88" i="35"/>
  <c r="K87" i="35"/>
  <c r="J87" i="35"/>
  <c r="K86" i="35"/>
  <c r="J86" i="35"/>
  <c r="K85" i="35"/>
  <c r="J85" i="35"/>
  <c r="K84" i="35"/>
  <c r="J84" i="35"/>
  <c r="K83" i="35"/>
  <c r="J83" i="35"/>
  <c r="K82" i="35"/>
  <c r="J82" i="35"/>
  <c r="K81" i="35"/>
  <c r="J81" i="35"/>
  <c r="K80" i="35"/>
  <c r="J80" i="35"/>
  <c r="K79" i="35"/>
  <c r="J79" i="35"/>
  <c r="K78" i="35"/>
  <c r="J78" i="35"/>
  <c r="K77" i="35"/>
  <c r="J77" i="35"/>
  <c r="K76" i="35"/>
  <c r="J76" i="35"/>
  <c r="K75" i="35"/>
  <c r="J75" i="35"/>
  <c r="K74" i="35"/>
  <c r="J74" i="35"/>
  <c r="K73" i="35"/>
  <c r="J73" i="35"/>
  <c r="K72" i="35"/>
  <c r="J72" i="35"/>
  <c r="K71" i="35"/>
  <c r="J71" i="35"/>
  <c r="K70" i="35"/>
  <c r="J70" i="35"/>
  <c r="K69" i="35"/>
  <c r="J69" i="35"/>
  <c r="K68" i="35"/>
  <c r="J68" i="35"/>
  <c r="K67" i="35"/>
  <c r="J67" i="35"/>
  <c r="K66" i="35"/>
  <c r="J66" i="35"/>
  <c r="K65" i="35"/>
  <c r="J65" i="35"/>
  <c r="K64" i="35"/>
  <c r="J64" i="35"/>
  <c r="K63" i="35"/>
  <c r="J63" i="35"/>
  <c r="K62" i="35"/>
  <c r="J62" i="35"/>
  <c r="K61" i="35"/>
  <c r="J61" i="35"/>
  <c r="K60" i="35"/>
  <c r="J60" i="35"/>
  <c r="K59" i="35"/>
  <c r="J59" i="35"/>
  <c r="K58" i="35"/>
  <c r="J58" i="35"/>
  <c r="K57" i="35"/>
  <c r="J57" i="35"/>
  <c r="K56" i="35"/>
  <c r="J56" i="35"/>
  <c r="K55" i="35"/>
  <c r="J55" i="35"/>
  <c r="K54" i="35"/>
  <c r="J54" i="35"/>
  <c r="K53" i="35"/>
  <c r="J53" i="35"/>
  <c r="K52" i="35"/>
  <c r="J52" i="35"/>
  <c r="K51" i="35"/>
  <c r="J51" i="35"/>
  <c r="K50" i="35"/>
  <c r="J50" i="35"/>
  <c r="K49" i="35"/>
  <c r="J49" i="35"/>
  <c r="K48" i="35"/>
  <c r="J48" i="35"/>
  <c r="K47" i="35"/>
  <c r="J47" i="35"/>
  <c r="K46" i="35"/>
  <c r="J46" i="35"/>
  <c r="K45" i="35"/>
  <c r="J45" i="35"/>
  <c r="K44" i="35"/>
  <c r="J44" i="35"/>
  <c r="K43" i="35"/>
  <c r="J43" i="35"/>
  <c r="K42" i="35"/>
  <c r="J42" i="35"/>
  <c r="K41" i="35"/>
  <c r="J41" i="35"/>
  <c r="K40" i="35"/>
  <c r="J40" i="35"/>
  <c r="K39" i="35"/>
  <c r="J39" i="35"/>
  <c r="K38" i="35"/>
  <c r="J38" i="35"/>
  <c r="K37" i="35"/>
  <c r="J37" i="35"/>
  <c r="K36" i="35"/>
  <c r="J36" i="35"/>
  <c r="K35" i="35"/>
  <c r="J35" i="35"/>
  <c r="K34" i="35"/>
  <c r="J34" i="35"/>
  <c r="K33" i="35"/>
  <c r="J33" i="35"/>
  <c r="K32" i="35"/>
  <c r="J32" i="35"/>
  <c r="K31" i="35"/>
  <c r="J31" i="35"/>
  <c r="K30" i="35"/>
  <c r="J30" i="35"/>
  <c r="K29" i="35"/>
  <c r="J29" i="35"/>
  <c r="K28" i="35"/>
  <c r="J28" i="35"/>
  <c r="K27" i="35"/>
  <c r="J27" i="35"/>
  <c r="K26" i="35"/>
  <c r="J26" i="35"/>
  <c r="K25" i="35"/>
  <c r="J25" i="35"/>
  <c r="K24" i="35"/>
  <c r="J24" i="35"/>
  <c r="K23" i="35"/>
  <c r="J23" i="35"/>
  <c r="K22" i="35"/>
  <c r="J22" i="35"/>
  <c r="K21" i="35"/>
  <c r="J21" i="35"/>
  <c r="K20" i="35"/>
  <c r="J20" i="35"/>
  <c r="K19" i="35"/>
  <c r="J19" i="35"/>
  <c r="K18" i="35"/>
  <c r="J18" i="35"/>
  <c r="K17" i="35"/>
  <c r="J17" i="35"/>
  <c r="K16" i="35"/>
  <c r="J16" i="35"/>
  <c r="K15" i="35"/>
  <c r="J15" i="35"/>
  <c r="K14" i="35"/>
  <c r="J14" i="35"/>
  <c r="K13" i="35"/>
  <c r="J13" i="35"/>
  <c r="K12" i="35"/>
  <c r="J12" i="35"/>
  <c r="K11" i="35"/>
  <c r="J11" i="35"/>
  <c r="K10" i="35"/>
  <c r="J10" i="35"/>
  <c r="K9" i="35"/>
  <c r="J9" i="35"/>
  <c r="K8" i="35"/>
  <c r="J8" i="35"/>
  <c r="K7" i="35"/>
  <c r="J7" i="35"/>
  <c r="K6" i="35"/>
  <c r="J6" i="35"/>
  <c r="K3" i="35"/>
  <c r="I3" i="35"/>
  <c r="H3" i="35"/>
  <c r="K499" i="32"/>
  <c r="J499" i="32"/>
  <c r="K498" i="32"/>
  <c r="J498" i="32"/>
  <c r="K497" i="32"/>
  <c r="J497" i="32"/>
  <c r="K496" i="32"/>
  <c r="J496" i="32"/>
  <c r="K495" i="32"/>
  <c r="J495" i="32"/>
  <c r="K494" i="32"/>
  <c r="J494" i="32"/>
  <c r="K493" i="32"/>
  <c r="J493" i="32"/>
  <c r="K492" i="32"/>
  <c r="J492" i="32"/>
  <c r="K491" i="32"/>
  <c r="J491" i="32"/>
  <c r="K490" i="32"/>
  <c r="J490" i="32"/>
  <c r="K489" i="32"/>
  <c r="J489" i="32"/>
  <c r="K488" i="32"/>
  <c r="J488" i="32"/>
  <c r="K487" i="32"/>
  <c r="J487" i="32"/>
  <c r="K486" i="32"/>
  <c r="J486" i="32"/>
  <c r="K485" i="32"/>
  <c r="J485" i="32"/>
  <c r="K484" i="32"/>
  <c r="J484" i="32"/>
  <c r="K483" i="32"/>
  <c r="J483" i="32"/>
  <c r="K482" i="32"/>
  <c r="J482" i="32"/>
  <c r="K481" i="32"/>
  <c r="J481" i="32"/>
  <c r="K480" i="32"/>
  <c r="J480" i="32"/>
  <c r="K479" i="32"/>
  <c r="J479" i="32"/>
  <c r="K478" i="32"/>
  <c r="J478" i="32"/>
  <c r="K477" i="32"/>
  <c r="J477" i="32"/>
  <c r="K476" i="32"/>
  <c r="J476" i="32"/>
  <c r="K475" i="32"/>
  <c r="J475" i="32"/>
  <c r="K474" i="32"/>
  <c r="J474" i="32"/>
  <c r="K473" i="32"/>
  <c r="J473" i="32"/>
  <c r="K472" i="32"/>
  <c r="J472" i="32"/>
  <c r="K471" i="32"/>
  <c r="J471" i="32"/>
  <c r="K470" i="32"/>
  <c r="J470" i="32"/>
  <c r="K469" i="32"/>
  <c r="J469" i="32"/>
  <c r="K468" i="32"/>
  <c r="J468" i="32"/>
  <c r="K467" i="32"/>
  <c r="J467" i="32"/>
  <c r="K466" i="32"/>
  <c r="J466" i="32"/>
  <c r="K465" i="32"/>
  <c r="J465" i="32"/>
  <c r="K464" i="32"/>
  <c r="J464" i="32"/>
  <c r="K463" i="32"/>
  <c r="J463" i="32"/>
  <c r="K462" i="32"/>
  <c r="J462" i="32"/>
  <c r="K461" i="32"/>
  <c r="J461" i="32"/>
  <c r="K460" i="32"/>
  <c r="J460" i="32"/>
  <c r="K459" i="32"/>
  <c r="J459" i="32"/>
  <c r="K458" i="32"/>
  <c r="J458" i="32"/>
  <c r="K457" i="32"/>
  <c r="J457" i="32"/>
  <c r="K456" i="32"/>
  <c r="J456" i="32"/>
  <c r="K455" i="32"/>
  <c r="J455" i="32"/>
  <c r="K454" i="32"/>
  <c r="J454" i="32"/>
  <c r="K453" i="32"/>
  <c r="J453" i="32"/>
  <c r="K452" i="32"/>
  <c r="J452" i="32"/>
  <c r="K451" i="32"/>
  <c r="J451" i="32"/>
  <c r="K450" i="32"/>
  <c r="J450" i="32"/>
  <c r="K449" i="32"/>
  <c r="J449" i="32"/>
  <c r="K448" i="32"/>
  <c r="J448" i="32"/>
  <c r="K447" i="32"/>
  <c r="J447" i="32"/>
  <c r="K446" i="32"/>
  <c r="J446" i="32"/>
  <c r="K445" i="32"/>
  <c r="J445" i="32"/>
  <c r="K444" i="32"/>
  <c r="J444" i="32"/>
  <c r="K443" i="32"/>
  <c r="J443" i="32"/>
  <c r="K442" i="32"/>
  <c r="J442" i="32"/>
  <c r="K441" i="32"/>
  <c r="J441" i="32"/>
  <c r="K440" i="32"/>
  <c r="J440" i="32"/>
  <c r="K439" i="32"/>
  <c r="J439" i="32"/>
  <c r="K438" i="32"/>
  <c r="J438" i="32"/>
  <c r="K437" i="32"/>
  <c r="J437" i="32"/>
  <c r="K436" i="32"/>
  <c r="J436" i="32"/>
  <c r="K435" i="32"/>
  <c r="J435" i="32"/>
  <c r="K434" i="32"/>
  <c r="J434" i="32"/>
  <c r="K433" i="32"/>
  <c r="J433" i="32"/>
  <c r="K432" i="32"/>
  <c r="J432" i="32"/>
  <c r="K431" i="32"/>
  <c r="J431" i="32"/>
  <c r="K430" i="32"/>
  <c r="J430" i="32"/>
  <c r="K429" i="32"/>
  <c r="J429" i="32"/>
  <c r="K428" i="32"/>
  <c r="J428" i="32"/>
  <c r="K427" i="32"/>
  <c r="J427" i="32"/>
  <c r="K426" i="32"/>
  <c r="J426" i="32"/>
  <c r="K425" i="32"/>
  <c r="J425" i="32"/>
  <c r="K424" i="32"/>
  <c r="J424" i="32"/>
  <c r="K423" i="32"/>
  <c r="J423" i="32"/>
  <c r="K422" i="32"/>
  <c r="J422" i="32"/>
  <c r="K421" i="32"/>
  <c r="J421" i="32"/>
  <c r="K420" i="32"/>
  <c r="J420" i="32"/>
  <c r="K419" i="32"/>
  <c r="J419" i="32"/>
  <c r="K418" i="32"/>
  <c r="J418" i="32"/>
  <c r="K417" i="32"/>
  <c r="J417" i="32"/>
  <c r="K416" i="32"/>
  <c r="J416" i="32"/>
  <c r="K415" i="32"/>
  <c r="J415" i="32"/>
  <c r="K414" i="32"/>
  <c r="J414" i="32"/>
  <c r="K413" i="32"/>
  <c r="J413" i="32"/>
  <c r="K412" i="32"/>
  <c r="J412" i="32"/>
  <c r="K411" i="32"/>
  <c r="J411" i="32"/>
  <c r="K410" i="32"/>
  <c r="J410" i="32"/>
  <c r="K409" i="32"/>
  <c r="J409" i="32"/>
  <c r="K408" i="32"/>
  <c r="J408" i="32"/>
  <c r="K407" i="32"/>
  <c r="J407" i="32"/>
  <c r="K406" i="32"/>
  <c r="J406" i="32"/>
  <c r="K405" i="32"/>
  <c r="J405" i="32"/>
  <c r="K404" i="32"/>
  <c r="J404" i="32"/>
  <c r="K403" i="32"/>
  <c r="J403" i="32"/>
  <c r="K402" i="32"/>
  <c r="J402" i="32"/>
  <c r="K401" i="32"/>
  <c r="J401" i="32"/>
  <c r="K400" i="32"/>
  <c r="J400" i="32"/>
  <c r="K399" i="32"/>
  <c r="J399" i="32"/>
  <c r="K398" i="32"/>
  <c r="J398" i="32"/>
  <c r="K397" i="32"/>
  <c r="J397" i="32"/>
  <c r="K396" i="32"/>
  <c r="J396" i="32"/>
  <c r="K395" i="32"/>
  <c r="J395" i="32"/>
  <c r="K394" i="32"/>
  <c r="J394" i="32"/>
  <c r="K393" i="32"/>
  <c r="J393" i="32"/>
  <c r="K392" i="32"/>
  <c r="J392" i="32"/>
  <c r="K391" i="32"/>
  <c r="J391" i="32"/>
  <c r="K390" i="32"/>
  <c r="J390" i="32"/>
  <c r="K389" i="32"/>
  <c r="J389" i="32"/>
  <c r="K388" i="32"/>
  <c r="J388" i="32"/>
  <c r="K387" i="32"/>
  <c r="J387" i="32"/>
  <c r="K386" i="32"/>
  <c r="J386" i="32"/>
  <c r="K385" i="32"/>
  <c r="J385" i="32"/>
  <c r="K384" i="32"/>
  <c r="J384" i="32"/>
  <c r="K383" i="32"/>
  <c r="J383" i="32"/>
  <c r="K382" i="32"/>
  <c r="J382" i="32"/>
  <c r="K381" i="32"/>
  <c r="J381" i="32"/>
  <c r="K380" i="32"/>
  <c r="J380" i="32"/>
  <c r="K379" i="32"/>
  <c r="J379" i="32"/>
  <c r="K378" i="32"/>
  <c r="J378" i="32"/>
  <c r="K377" i="32"/>
  <c r="J377" i="32"/>
  <c r="K376" i="32"/>
  <c r="J376" i="32"/>
  <c r="K375" i="32"/>
  <c r="J375" i="32"/>
  <c r="K374" i="32"/>
  <c r="J374" i="32"/>
  <c r="K373" i="32"/>
  <c r="J373" i="32"/>
  <c r="K372" i="32"/>
  <c r="J372" i="32"/>
  <c r="K371" i="32"/>
  <c r="J371" i="32"/>
  <c r="K370" i="32"/>
  <c r="J370" i="32"/>
  <c r="K369" i="32"/>
  <c r="J369" i="32"/>
  <c r="K368" i="32"/>
  <c r="J368" i="32"/>
  <c r="K367" i="32"/>
  <c r="J367" i="32"/>
  <c r="K366" i="32"/>
  <c r="J366" i="32"/>
  <c r="K365" i="32"/>
  <c r="J365" i="32"/>
  <c r="K364" i="32"/>
  <c r="J364" i="32"/>
  <c r="K363" i="32"/>
  <c r="J363" i="32"/>
  <c r="K362" i="32"/>
  <c r="J362" i="32"/>
  <c r="K361" i="32"/>
  <c r="J361" i="32"/>
  <c r="K360" i="32"/>
  <c r="J360" i="32"/>
  <c r="K359" i="32"/>
  <c r="J359" i="32"/>
  <c r="K358" i="32"/>
  <c r="J358" i="32"/>
  <c r="K357" i="32"/>
  <c r="J357" i="32"/>
  <c r="K356" i="32"/>
  <c r="J356" i="32"/>
  <c r="K355" i="32"/>
  <c r="J355" i="32"/>
  <c r="K354" i="32"/>
  <c r="J354" i="32"/>
  <c r="K353" i="32"/>
  <c r="J353" i="32"/>
  <c r="K352" i="32"/>
  <c r="J352" i="32"/>
  <c r="K351" i="32"/>
  <c r="J351" i="32"/>
  <c r="K350" i="32"/>
  <c r="J350" i="32"/>
  <c r="K349" i="32"/>
  <c r="J349" i="32"/>
  <c r="K348" i="32"/>
  <c r="J348" i="32"/>
  <c r="K347" i="32"/>
  <c r="J347" i="32"/>
  <c r="K346" i="32"/>
  <c r="J346" i="32"/>
  <c r="K345" i="32"/>
  <c r="J345" i="32"/>
  <c r="K344" i="32"/>
  <c r="J344" i="32"/>
  <c r="K343" i="32"/>
  <c r="J343" i="32"/>
  <c r="K342" i="32"/>
  <c r="J342" i="32"/>
  <c r="K341" i="32"/>
  <c r="J341" i="32"/>
  <c r="K340" i="32"/>
  <c r="J340" i="32"/>
  <c r="K339" i="32"/>
  <c r="J339" i="32"/>
  <c r="K338" i="32"/>
  <c r="J338" i="32"/>
  <c r="K337" i="32"/>
  <c r="J337" i="32"/>
  <c r="K336" i="32"/>
  <c r="J336" i="32"/>
  <c r="K335" i="32"/>
  <c r="J335" i="32"/>
  <c r="K334" i="32"/>
  <c r="J334" i="32"/>
  <c r="K333" i="32"/>
  <c r="J333" i="32"/>
  <c r="K332" i="32"/>
  <c r="J332" i="32"/>
  <c r="K331" i="32"/>
  <c r="J331" i="32"/>
  <c r="K330" i="32"/>
  <c r="J330" i="32"/>
  <c r="K329" i="32"/>
  <c r="J329" i="32"/>
  <c r="K328" i="32"/>
  <c r="J328" i="32"/>
  <c r="K327" i="32"/>
  <c r="J327" i="32"/>
  <c r="K326" i="32"/>
  <c r="J326" i="32"/>
  <c r="K325" i="32"/>
  <c r="J325" i="32"/>
  <c r="K324" i="32"/>
  <c r="J324" i="32"/>
  <c r="K323" i="32"/>
  <c r="J323" i="32"/>
  <c r="K322" i="32"/>
  <c r="J322" i="32"/>
  <c r="K321" i="32"/>
  <c r="J321" i="32"/>
  <c r="K320" i="32"/>
  <c r="J320" i="32"/>
  <c r="K319" i="32"/>
  <c r="J319" i="32"/>
  <c r="K318" i="32"/>
  <c r="J318" i="32"/>
  <c r="K317" i="32"/>
  <c r="J317" i="32"/>
  <c r="K316" i="32"/>
  <c r="J316" i="32"/>
  <c r="K315" i="32"/>
  <c r="J315" i="32"/>
  <c r="K314" i="32"/>
  <c r="J314" i="32"/>
  <c r="K313" i="32"/>
  <c r="J313" i="32"/>
  <c r="K312" i="32"/>
  <c r="J312" i="32"/>
  <c r="K311" i="32"/>
  <c r="J311" i="32"/>
  <c r="K310" i="32"/>
  <c r="J310" i="32"/>
  <c r="K309" i="32"/>
  <c r="J309" i="32"/>
  <c r="K308" i="32"/>
  <c r="J308" i="32"/>
  <c r="K307" i="32"/>
  <c r="J307" i="32"/>
  <c r="K306" i="32"/>
  <c r="J306" i="32"/>
  <c r="K305" i="32"/>
  <c r="J305" i="32"/>
  <c r="K304" i="32"/>
  <c r="J304" i="32"/>
  <c r="K303" i="32"/>
  <c r="J303" i="32"/>
  <c r="K302" i="32"/>
  <c r="J302" i="32"/>
  <c r="K301" i="32"/>
  <c r="J301" i="32"/>
  <c r="K300" i="32"/>
  <c r="J300" i="32"/>
  <c r="K299" i="32"/>
  <c r="J299" i="32"/>
  <c r="K298" i="32"/>
  <c r="J298" i="32"/>
  <c r="K297" i="32"/>
  <c r="J297" i="32"/>
  <c r="K296" i="32"/>
  <c r="J296" i="32"/>
  <c r="K295" i="32"/>
  <c r="J295" i="32"/>
  <c r="K294" i="32"/>
  <c r="J294" i="32"/>
  <c r="K293" i="32"/>
  <c r="J293" i="32"/>
  <c r="K292" i="32"/>
  <c r="J292" i="32"/>
  <c r="K291" i="32"/>
  <c r="J291" i="32"/>
  <c r="K290" i="32"/>
  <c r="J290" i="32"/>
  <c r="K289" i="32"/>
  <c r="J289" i="32"/>
  <c r="K288" i="32"/>
  <c r="J288" i="32"/>
  <c r="K287" i="32"/>
  <c r="J287" i="32"/>
  <c r="K286" i="32"/>
  <c r="J286" i="32"/>
  <c r="K285" i="32"/>
  <c r="J285" i="32"/>
  <c r="K284" i="32"/>
  <c r="J284" i="32"/>
  <c r="K283" i="32"/>
  <c r="J283" i="32"/>
  <c r="K282" i="32"/>
  <c r="J282" i="32"/>
  <c r="K281" i="32"/>
  <c r="J281" i="32"/>
  <c r="K280" i="32"/>
  <c r="J280" i="32"/>
  <c r="K279" i="32"/>
  <c r="J279" i="32"/>
  <c r="K278" i="32"/>
  <c r="J278" i="32"/>
  <c r="K277" i="32"/>
  <c r="J277" i="32"/>
  <c r="K276" i="32"/>
  <c r="J276" i="32"/>
  <c r="K275" i="32"/>
  <c r="J275" i="32"/>
  <c r="K274" i="32"/>
  <c r="J274" i="32"/>
  <c r="K273" i="32"/>
  <c r="J273" i="32"/>
  <c r="K272" i="32"/>
  <c r="J272" i="32"/>
  <c r="K271" i="32"/>
  <c r="J271" i="32"/>
  <c r="K270" i="32"/>
  <c r="J270" i="32"/>
  <c r="K269" i="32"/>
  <c r="J269" i="32"/>
  <c r="K268" i="32"/>
  <c r="J268" i="32"/>
  <c r="K267" i="32"/>
  <c r="J267" i="32"/>
  <c r="K266" i="32"/>
  <c r="J266" i="32"/>
  <c r="K265" i="32"/>
  <c r="J265" i="32"/>
  <c r="K264" i="32"/>
  <c r="J264" i="32"/>
  <c r="K263" i="32"/>
  <c r="J263" i="32"/>
  <c r="K262" i="32"/>
  <c r="J262" i="32"/>
  <c r="K261" i="32"/>
  <c r="J261" i="32"/>
  <c r="K260" i="32"/>
  <c r="J260" i="32"/>
  <c r="K259" i="32"/>
  <c r="J259" i="32"/>
  <c r="K258" i="32"/>
  <c r="J258" i="32"/>
  <c r="K257" i="32"/>
  <c r="J257" i="32"/>
  <c r="K256" i="32"/>
  <c r="J256" i="32"/>
  <c r="K255" i="32"/>
  <c r="J255" i="32"/>
  <c r="K254" i="32"/>
  <c r="J254" i="32"/>
  <c r="K253" i="32"/>
  <c r="J253" i="32"/>
  <c r="K252" i="32"/>
  <c r="J252" i="32"/>
  <c r="K251" i="32"/>
  <c r="J251" i="32"/>
  <c r="K250" i="32"/>
  <c r="J250" i="32"/>
  <c r="K249" i="32"/>
  <c r="J249" i="32"/>
  <c r="K248" i="32"/>
  <c r="J248" i="32"/>
  <c r="K247" i="32"/>
  <c r="J247" i="32"/>
  <c r="K246" i="32"/>
  <c r="J246" i="32"/>
  <c r="K245" i="32"/>
  <c r="J245" i="32"/>
  <c r="K244" i="32"/>
  <c r="J244" i="32"/>
  <c r="K243" i="32"/>
  <c r="J243" i="32"/>
  <c r="K242" i="32"/>
  <c r="J242" i="32"/>
  <c r="K241" i="32"/>
  <c r="J241" i="32"/>
  <c r="K240" i="32"/>
  <c r="J240" i="32"/>
  <c r="K239" i="32"/>
  <c r="J239" i="32"/>
  <c r="K238" i="32"/>
  <c r="J238" i="32"/>
  <c r="K237" i="32"/>
  <c r="J237" i="32"/>
  <c r="K236" i="32"/>
  <c r="J236" i="32"/>
  <c r="K235" i="32"/>
  <c r="J235" i="32"/>
  <c r="K234" i="32"/>
  <c r="J234" i="32"/>
  <c r="K233" i="32"/>
  <c r="J233" i="32"/>
  <c r="K232" i="32"/>
  <c r="J232" i="32"/>
  <c r="K231" i="32"/>
  <c r="J231" i="32"/>
  <c r="K230" i="32"/>
  <c r="J230" i="32"/>
  <c r="K229" i="32"/>
  <c r="J229" i="32"/>
  <c r="K228" i="32"/>
  <c r="J228" i="32"/>
  <c r="K227" i="32"/>
  <c r="J227" i="32"/>
  <c r="K226" i="32"/>
  <c r="J226" i="32"/>
  <c r="K225" i="32"/>
  <c r="J225" i="32"/>
  <c r="K224" i="32"/>
  <c r="J224" i="32"/>
  <c r="K223" i="32"/>
  <c r="J223" i="32"/>
  <c r="K222" i="32"/>
  <c r="J222" i="32"/>
  <c r="K221" i="32"/>
  <c r="J221" i="32"/>
  <c r="K220" i="32"/>
  <c r="J220" i="32"/>
  <c r="K219" i="32"/>
  <c r="J219" i="32"/>
  <c r="K218" i="32"/>
  <c r="J218" i="32"/>
  <c r="K217" i="32"/>
  <c r="J217" i="32"/>
  <c r="K216" i="32"/>
  <c r="J216" i="32"/>
  <c r="K215" i="32"/>
  <c r="J215" i="32"/>
  <c r="K214" i="32"/>
  <c r="J214" i="32"/>
  <c r="K213" i="32"/>
  <c r="J213" i="32"/>
  <c r="K212" i="32"/>
  <c r="J212" i="32"/>
  <c r="K211" i="32"/>
  <c r="J211" i="32"/>
  <c r="K210" i="32"/>
  <c r="J210" i="32"/>
  <c r="K209" i="32"/>
  <c r="J209" i="32"/>
  <c r="K208" i="32"/>
  <c r="J208" i="32"/>
  <c r="K207" i="32"/>
  <c r="J207" i="32"/>
  <c r="K206" i="32"/>
  <c r="J206" i="32"/>
  <c r="K205" i="32"/>
  <c r="J205" i="32"/>
  <c r="K204" i="32"/>
  <c r="J204" i="32"/>
  <c r="K203" i="32"/>
  <c r="J203" i="32"/>
  <c r="K202" i="32"/>
  <c r="J202" i="32"/>
  <c r="K201" i="32"/>
  <c r="J201" i="32"/>
  <c r="K200" i="32"/>
  <c r="J200" i="32"/>
  <c r="K199" i="32"/>
  <c r="J199" i="32"/>
  <c r="K198" i="32"/>
  <c r="J198" i="32"/>
  <c r="K197" i="32"/>
  <c r="J197" i="32"/>
  <c r="K196" i="32"/>
  <c r="J196" i="32"/>
  <c r="K195" i="32"/>
  <c r="J195" i="32"/>
  <c r="K194" i="32"/>
  <c r="J194" i="32"/>
  <c r="K193" i="32"/>
  <c r="J193" i="32"/>
  <c r="K192" i="32"/>
  <c r="J192" i="32"/>
  <c r="K191" i="32"/>
  <c r="J191" i="32"/>
  <c r="K190" i="32"/>
  <c r="J190" i="32"/>
  <c r="K189" i="32"/>
  <c r="J189" i="32"/>
  <c r="K188" i="32"/>
  <c r="J188" i="32"/>
  <c r="K187" i="32"/>
  <c r="J187" i="32"/>
  <c r="K186" i="32"/>
  <c r="J186" i="32"/>
  <c r="K185" i="32"/>
  <c r="J185" i="32"/>
  <c r="K184" i="32"/>
  <c r="J184" i="32"/>
  <c r="K183" i="32"/>
  <c r="J183" i="32"/>
  <c r="K182" i="32"/>
  <c r="J182" i="32"/>
  <c r="K181" i="32"/>
  <c r="J181" i="32"/>
  <c r="K180" i="32"/>
  <c r="J180" i="32"/>
  <c r="K179" i="32"/>
  <c r="J179" i="32"/>
  <c r="K178" i="32"/>
  <c r="J178" i="32"/>
  <c r="K177" i="32"/>
  <c r="J177" i="32"/>
  <c r="K176" i="32"/>
  <c r="J176" i="32"/>
  <c r="K175" i="32"/>
  <c r="J175" i="32"/>
  <c r="K174" i="32"/>
  <c r="J174" i="32"/>
  <c r="K173" i="32"/>
  <c r="J173" i="32"/>
  <c r="K172" i="32"/>
  <c r="J172" i="32"/>
  <c r="K171" i="32"/>
  <c r="J171" i="32"/>
  <c r="K170" i="32"/>
  <c r="J170" i="32"/>
  <c r="K169" i="32"/>
  <c r="J169" i="32"/>
  <c r="K168" i="32"/>
  <c r="J168" i="32"/>
  <c r="K167" i="32"/>
  <c r="J167" i="32"/>
  <c r="K166" i="32"/>
  <c r="J166" i="32"/>
  <c r="K165" i="32"/>
  <c r="J165" i="32"/>
  <c r="K164" i="32"/>
  <c r="J164" i="32"/>
  <c r="K163" i="32"/>
  <c r="J163" i="32"/>
  <c r="K162" i="32"/>
  <c r="J162" i="32"/>
  <c r="K161" i="32"/>
  <c r="J161" i="32"/>
  <c r="K160" i="32"/>
  <c r="J160" i="32"/>
  <c r="K159" i="32"/>
  <c r="J159" i="32"/>
  <c r="K158" i="32"/>
  <c r="J158" i="32"/>
  <c r="K157" i="32"/>
  <c r="J157" i="32"/>
  <c r="K156" i="32"/>
  <c r="J156" i="32"/>
  <c r="K155" i="32"/>
  <c r="J155" i="32"/>
  <c r="K154" i="32"/>
  <c r="J154" i="32"/>
  <c r="K153" i="32"/>
  <c r="J153" i="32"/>
  <c r="K152" i="32"/>
  <c r="J152" i="32"/>
  <c r="K151" i="32"/>
  <c r="J151" i="32"/>
  <c r="K150" i="32"/>
  <c r="J150" i="32"/>
  <c r="K149" i="32"/>
  <c r="J149" i="32"/>
  <c r="K148" i="32"/>
  <c r="J148" i="32"/>
  <c r="K147" i="32"/>
  <c r="J147" i="32"/>
  <c r="K146" i="32"/>
  <c r="J146" i="32"/>
  <c r="K145" i="32"/>
  <c r="J145" i="32"/>
  <c r="K144" i="32"/>
  <c r="J144" i="32"/>
  <c r="K143" i="32"/>
  <c r="J143" i="32"/>
  <c r="K142" i="32"/>
  <c r="J142" i="32"/>
  <c r="K141" i="32"/>
  <c r="J141" i="32"/>
  <c r="K140" i="32"/>
  <c r="J140" i="32"/>
  <c r="K139" i="32"/>
  <c r="J139" i="32"/>
  <c r="K138" i="32"/>
  <c r="J138" i="32"/>
  <c r="K137" i="32"/>
  <c r="J137" i="32"/>
  <c r="K136" i="32"/>
  <c r="J136" i="32"/>
  <c r="K135" i="32"/>
  <c r="J135" i="32"/>
  <c r="K134" i="32"/>
  <c r="J134" i="32"/>
  <c r="K133" i="32"/>
  <c r="J133" i="32"/>
  <c r="K132" i="32"/>
  <c r="J132" i="32"/>
  <c r="K131" i="32"/>
  <c r="J131" i="32"/>
  <c r="K130" i="32"/>
  <c r="J130" i="32"/>
  <c r="K129" i="32"/>
  <c r="J129" i="32"/>
  <c r="K128" i="32"/>
  <c r="J128" i="32"/>
  <c r="K127" i="32"/>
  <c r="J127" i="32"/>
  <c r="K126" i="32"/>
  <c r="J126" i="32"/>
  <c r="K125" i="32"/>
  <c r="J125" i="32"/>
  <c r="K124" i="32"/>
  <c r="J124" i="32"/>
  <c r="K123" i="32"/>
  <c r="J123" i="32"/>
  <c r="K122" i="32"/>
  <c r="J122" i="32"/>
  <c r="K121" i="32"/>
  <c r="J121" i="32"/>
  <c r="K120" i="32"/>
  <c r="J120" i="32"/>
  <c r="K119" i="32"/>
  <c r="J119" i="32"/>
  <c r="K118" i="32"/>
  <c r="J118" i="32"/>
  <c r="K117" i="32"/>
  <c r="J117" i="32"/>
  <c r="K116" i="32"/>
  <c r="J116" i="32"/>
  <c r="K115" i="32"/>
  <c r="J115" i="32"/>
  <c r="K114" i="32"/>
  <c r="J114" i="32"/>
  <c r="K113" i="32"/>
  <c r="J113" i="32"/>
  <c r="K112" i="32"/>
  <c r="J112" i="32"/>
  <c r="K111" i="32"/>
  <c r="J111" i="32"/>
  <c r="K110" i="32"/>
  <c r="J110" i="32"/>
  <c r="K109" i="32"/>
  <c r="J109" i="32"/>
  <c r="K108" i="32"/>
  <c r="J108" i="32"/>
  <c r="K107" i="32"/>
  <c r="J107" i="32"/>
  <c r="K106" i="32"/>
  <c r="J106" i="32"/>
  <c r="K105" i="32"/>
  <c r="J105" i="32"/>
  <c r="K104" i="32"/>
  <c r="J104" i="32"/>
  <c r="K103" i="32"/>
  <c r="J103" i="32"/>
  <c r="K102" i="32"/>
  <c r="J102" i="32"/>
  <c r="K101" i="32"/>
  <c r="J101" i="32"/>
  <c r="K100" i="32"/>
  <c r="J100" i="32"/>
  <c r="K99" i="32"/>
  <c r="J99" i="32"/>
  <c r="K98" i="32"/>
  <c r="J98" i="32"/>
  <c r="K97" i="32"/>
  <c r="J97" i="32"/>
  <c r="K96" i="32"/>
  <c r="J96" i="32"/>
  <c r="K95" i="32"/>
  <c r="J95" i="32"/>
  <c r="K94" i="32"/>
  <c r="J94" i="32"/>
  <c r="K93" i="32"/>
  <c r="J93" i="32"/>
  <c r="K92" i="32"/>
  <c r="J92" i="32"/>
  <c r="K91" i="32"/>
  <c r="J91" i="32"/>
  <c r="K90" i="32"/>
  <c r="J90" i="32"/>
  <c r="K89" i="32"/>
  <c r="J89" i="32"/>
  <c r="K88" i="32"/>
  <c r="J88" i="32"/>
  <c r="K87" i="32"/>
  <c r="J87" i="32"/>
  <c r="K86" i="32"/>
  <c r="J86" i="32"/>
  <c r="K85" i="32"/>
  <c r="J85" i="32"/>
  <c r="K84" i="32"/>
  <c r="J84" i="32"/>
  <c r="K83" i="32"/>
  <c r="J83" i="32"/>
  <c r="K82" i="32"/>
  <c r="J82" i="32"/>
  <c r="K81" i="32"/>
  <c r="J81" i="32"/>
  <c r="K80" i="32"/>
  <c r="J80" i="32"/>
  <c r="K79" i="32"/>
  <c r="J79" i="32"/>
  <c r="K78" i="32"/>
  <c r="J78" i="32"/>
  <c r="K77" i="32"/>
  <c r="J77" i="32"/>
  <c r="K76" i="32"/>
  <c r="J76" i="32"/>
  <c r="K75" i="32"/>
  <c r="J75" i="32"/>
  <c r="K74" i="32"/>
  <c r="J74" i="32"/>
  <c r="K73" i="32"/>
  <c r="J73" i="32"/>
  <c r="K72" i="32"/>
  <c r="J72" i="32"/>
  <c r="K71" i="32"/>
  <c r="J71" i="32"/>
  <c r="K70" i="32"/>
  <c r="J70" i="32"/>
  <c r="K69" i="32"/>
  <c r="J69" i="32"/>
  <c r="K68" i="32"/>
  <c r="J68" i="32"/>
  <c r="K67" i="32"/>
  <c r="J67" i="32"/>
  <c r="K66" i="32"/>
  <c r="J66" i="32"/>
  <c r="K65" i="32"/>
  <c r="J65" i="32"/>
  <c r="K64" i="32"/>
  <c r="J64" i="32"/>
  <c r="K63" i="32"/>
  <c r="J63" i="32"/>
  <c r="K62" i="32"/>
  <c r="J62" i="32"/>
  <c r="K61" i="32"/>
  <c r="J61" i="32"/>
  <c r="K60" i="32"/>
  <c r="J60" i="32"/>
  <c r="K59" i="32"/>
  <c r="J59" i="32"/>
  <c r="K58" i="32"/>
  <c r="J58" i="32"/>
  <c r="K57" i="32"/>
  <c r="J57" i="32"/>
  <c r="K56" i="32"/>
  <c r="J56" i="32"/>
  <c r="K55" i="32"/>
  <c r="J55" i="32"/>
  <c r="K54" i="32"/>
  <c r="J54" i="32"/>
  <c r="K53" i="32"/>
  <c r="J53" i="32"/>
  <c r="K52" i="32"/>
  <c r="J52" i="32"/>
  <c r="K51" i="32"/>
  <c r="J51" i="32"/>
  <c r="K50" i="32"/>
  <c r="J50" i="32"/>
  <c r="K49" i="32"/>
  <c r="J49" i="32"/>
  <c r="K48" i="32"/>
  <c r="J48" i="32"/>
  <c r="K47" i="32"/>
  <c r="J47" i="32"/>
  <c r="K46" i="32"/>
  <c r="J46" i="32"/>
  <c r="K45" i="32"/>
  <c r="J45" i="32"/>
  <c r="K44" i="32"/>
  <c r="J44" i="32"/>
  <c r="K43" i="32"/>
  <c r="J43" i="32"/>
  <c r="K42" i="32"/>
  <c r="J42" i="32"/>
  <c r="K41" i="32"/>
  <c r="J41" i="32"/>
  <c r="K40" i="32"/>
  <c r="J40" i="32"/>
  <c r="K39" i="32"/>
  <c r="J39" i="32"/>
  <c r="K38" i="32"/>
  <c r="J38" i="32"/>
  <c r="K37" i="32"/>
  <c r="J37" i="32"/>
  <c r="K36" i="32"/>
  <c r="J36" i="32"/>
  <c r="K35" i="32"/>
  <c r="J35" i="32"/>
  <c r="K34" i="32"/>
  <c r="J34" i="32"/>
  <c r="K33" i="32"/>
  <c r="J33" i="32"/>
  <c r="K32" i="32"/>
  <c r="J32" i="32"/>
  <c r="K31" i="32"/>
  <c r="J31" i="32"/>
  <c r="K30" i="32"/>
  <c r="J30" i="32"/>
  <c r="K29" i="32"/>
  <c r="J29" i="32"/>
  <c r="K28" i="32"/>
  <c r="J28" i="32"/>
  <c r="K27" i="32"/>
  <c r="J27" i="32"/>
  <c r="K26" i="32"/>
  <c r="J26" i="32"/>
  <c r="K25" i="32"/>
  <c r="J25" i="32"/>
  <c r="K24" i="32"/>
  <c r="J24" i="32"/>
  <c r="K23" i="32"/>
  <c r="J23" i="32"/>
  <c r="K22" i="32"/>
  <c r="J22" i="32"/>
  <c r="K21" i="32"/>
  <c r="J21" i="32"/>
  <c r="K20" i="32"/>
  <c r="J20" i="32"/>
  <c r="K19" i="32"/>
  <c r="J19" i="32"/>
  <c r="K18" i="32"/>
  <c r="J18" i="32"/>
  <c r="K17" i="32"/>
  <c r="J17" i="32"/>
  <c r="K16" i="32"/>
  <c r="J16" i="32"/>
  <c r="K15" i="32"/>
  <c r="J15" i="32"/>
  <c r="K14" i="32"/>
  <c r="J14" i="32"/>
  <c r="K13" i="32"/>
  <c r="J13" i="32"/>
  <c r="K12" i="32"/>
  <c r="J12" i="32"/>
  <c r="K11" i="32"/>
  <c r="J11" i="32"/>
  <c r="K10" i="32"/>
  <c r="J10" i="32"/>
  <c r="K9" i="32"/>
  <c r="J9" i="32"/>
  <c r="K8" i="32"/>
  <c r="J8" i="32"/>
  <c r="K7" i="32"/>
  <c r="J7" i="32"/>
  <c r="K6" i="32"/>
  <c r="J6" i="32"/>
  <c r="K3" i="32"/>
  <c r="I3" i="32"/>
  <c r="H3" i="32"/>
  <c r="K497" i="36"/>
  <c r="J497" i="36"/>
  <c r="K496" i="36"/>
  <c r="J496" i="36"/>
  <c r="K495" i="36"/>
  <c r="J495" i="36"/>
  <c r="K494" i="36"/>
  <c r="J494" i="36"/>
  <c r="K493" i="36"/>
  <c r="J493" i="36"/>
  <c r="K492" i="36"/>
  <c r="J492" i="36"/>
  <c r="K491" i="36"/>
  <c r="J491" i="36"/>
  <c r="K490" i="36"/>
  <c r="J490" i="36"/>
  <c r="K489" i="36"/>
  <c r="J489" i="36"/>
  <c r="K488" i="36"/>
  <c r="J488" i="36"/>
  <c r="K487" i="36"/>
  <c r="J487" i="36"/>
  <c r="K486" i="36"/>
  <c r="J486" i="36"/>
  <c r="K485" i="36"/>
  <c r="J485" i="36"/>
  <c r="K484" i="36"/>
  <c r="J484" i="36"/>
  <c r="K483" i="36"/>
  <c r="J483" i="36"/>
  <c r="K482" i="36"/>
  <c r="J482" i="36"/>
  <c r="K481" i="36"/>
  <c r="J481" i="36"/>
  <c r="K480" i="36"/>
  <c r="J480" i="36"/>
  <c r="K479" i="36"/>
  <c r="J479" i="36"/>
  <c r="K478" i="36"/>
  <c r="J478" i="36"/>
  <c r="K477" i="36"/>
  <c r="J477" i="36"/>
  <c r="K476" i="36"/>
  <c r="J476" i="36"/>
  <c r="K475" i="36"/>
  <c r="J475" i="36"/>
  <c r="K474" i="36"/>
  <c r="J474" i="36"/>
  <c r="K473" i="36"/>
  <c r="J473" i="36"/>
  <c r="K472" i="36"/>
  <c r="J472" i="36"/>
  <c r="K471" i="36"/>
  <c r="J471" i="36"/>
  <c r="K470" i="36"/>
  <c r="J470" i="36"/>
  <c r="K469" i="36"/>
  <c r="J469" i="36"/>
  <c r="K468" i="36"/>
  <c r="J468" i="36"/>
  <c r="K467" i="36"/>
  <c r="J467" i="36"/>
  <c r="K466" i="36"/>
  <c r="J466" i="36"/>
  <c r="K465" i="36"/>
  <c r="J465" i="36"/>
  <c r="K464" i="36"/>
  <c r="J464" i="36"/>
  <c r="K463" i="36"/>
  <c r="J463" i="36"/>
  <c r="K462" i="36"/>
  <c r="J462" i="36"/>
  <c r="K461" i="36"/>
  <c r="J461" i="36"/>
  <c r="K460" i="36"/>
  <c r="J460" i="36"/>
  <c r="K459" i="36"/>
  <c r="J459" i="36"/>
  <c r="K458" i="36"/>
  <c r="J458" i="36"/>
  <c r="K457" i="36"/>
  <c r="J457" i="36"/>
  <c r="K456" i="36"/>
  <c r="J456" i="36"/>
  <c r="K455" i="36"/>
  <c r="J455" i="36"/>
  <c r="K454" i="36"/>
  <c r="J454" i="36"/>
  <c r="K453" i="36"/>
  <c r="J453" i="36"/>
  <c r="K452" i="36"/>
  <c r="J452" i="36"/>
  <c r="K451" i="36"/>
  <c r="J451" i="36"/>
  <c r="K450" i="36"/>
  <c r="J450" i="36"/>
  <c r="K449" i="36"/>
  <c r="J449" i="36"/>
  <c r="K448" i="36"/>
  <c r="J448" i="36"/>
  <c r="K447" i="36"/>
  <c r="J447" i="36"/>
  <c r="K446" i="36"/>
  <c r="J446" i="36"/>
  <c r="K445" i="36"/>
  <c r="J445" i="36"/>
  <c r="K444" i="36"/>
  <c r="J444" i="36"/>
  <c r="K443" i="36"/>
  <c r="J443" i="36"/>
  <c r="K442" i="36"/>
  <c r="J442" i="36"/>
  <c r="K441" i="36"/>
  <c r="J441" i="36"/>
  <c r="K440" i="36"/>
  <c r="J440" i="36"/>
  <c r="K439" i="36"/>
  <c r="J439" i="36"/>
  <c r="K438" i="36"/>
  <c r="J438" i="36"/>
  <c r="K437" i="36"/>
  <c r="J437" i="36"/>
  <c r="K436" i="36"/>
  <c r="J436" i="36"/>
  <c r="K435" i="36"/>
  <c r="J435" i="36"/>
  <c r="K434" i="36"/>
  <c r="J434" i="36"/>
  <c r="K433" i="36"/>
  <c r="J433" i="36"/>
  <c r="K432" i="36"/>
  <c r="J432" i="36"/>
  <c r="K431" i="36"/>
  <c r="J431" i="36"/>
  <c r="K430" i="36"/>
  <c r="J430" i="36"/>
  <c r="K429" i="36"/>
  <c r="J429" i="36"/>
  <c r="K428" i="36"/>
  <c r="J428" i="36"/>
  <c r="K427" i="36"/>
  <c r="J427" i="36"/>
  <c r="K426" i="36"/>
  <c r="J426" i="36"/>
  <c r="K425" i="36"/>
  <c r="J425" i="36"/>
  <c r="K424" i="36"/>
  <c r="J424" i="36"/>
  <c r="K423" i="36"/>
  <c r="J423" i="36"/>
  <c r="K422" i="36"/>
  <c r="J422" i="36"/>
  <c r="K421" i="36"/>
  <c r="J421" i="36"/>
  <c r="K420" i="36"/>
  <c r="J420" i="36"/>
  <c r="K419" i="36"/>
  <c r="J419" i="36"/>
  <c r="K418" i="36"/>
  <c r="J418" i="36"/>
  <c r="K417" i="36"/>
  <c r="J417" i="36"/>
  <c r="K416" i="36"/>
  <c r="J416" i="36"/>
  <c r="K415" i="36"/>
  <c r="J415" i="36"/>
  <c r="K414" i="36"/>
  <c r="J414" i="36"/>
  <c r="K413" i="36"/>
  <c r="J413" i="36"/>
  <c r="K412" i="36"/>
  <c r="J412" i="36"/>
  <c r="K411" i="36"/>
  <c r="J411" i="36"/>
  <c r="K410" i="36"/>
  <c r="J410" i="36"/>
  <c r="K409" i="36"/>
  <c r="J409" i="36"/>
  <c r="K408" i="36"/>
  <c r="J408" i="36"/>
  <c r="K407" i="36"/>
  <c r="J407" i="36"/>
  <c r="K406" i="36"/>
  <c r="J406" i="36"/>
  <c r="K405" i="36"/>
  <c r="J405" i="36"/>
  <c r="K404" i="36"/>
  <c r="J404" i="36"/>
  <c r="K403" i="36"/>
  <c r="J403" i="36"/>
  <c r="K402" i="36"/>
  <c r="J402" i="36"/>
  <c r="K401" i="36"/>
  <c r="J401" i="36"/>
  <c r="K400" i="36"/>
  <c r="J400" i="36"/>
  <c r="K399" i="36"/>
  <c r="J399" i="36"/>
  <c r="K398" i="36"/>
  <c r="J398" i="36"/>
  <c r="K397" i="36"/>
  <c r="J397" i="36"/>
  <c r="K396" i="36"/>
  <c r="J396" i="36"/>
  <c r="K395" i="36"/>
  <c r="J395" i="36"/>
  <c r="K394" i="36"/>
  <c r="J394" i="36"/>
  <c r="K393" i="36"/>
  <c r="J393" i="36"/>
  <c r="K392" i="36"/>
  <c r="J392" i="36"/>
  <c r="K391" i="36"/>
  <c r="J391" i="36"/>
  <c r="K390" i="36"/>
  <c r="J390" i="36"/>
  <c r="K389" i="36"/>
  <c r="J389" i="36"/>
  <c r="K388" i="36"/>
  <c r="J388" i="36"/>
  <c r="K387" i="36"/>
  <c r="J387" i="36"/>
  <c r="K386" i="36"/>
  <c r="J386" i="36"/>
  <c r="K385" i="36"/>
  <c r="J385" i="36"/>
  <c r="K384" i="36"/>
  <c r="J384" i="36"/>
  <c r="K383" i="36"/>
  <c r="J383" i="36"/>
  <c r="K382" i="36"/>
  <c r="J382" i="36"/>
  <c r="K381" i="36"/>
  <c r="J381" i="36"/>
  <c r="K380" i="36"/>
  <c r="J380" i="36"/>
  <c r="K379" i="36"/>
  <c r="J379" i="36"/>
  <c r="K378" i="36"/>
  <c r="J378" i="36"/>
  <c r="K377" i="36"/>
  <c r="J377" i="36"/>
  <c r="K376" i="36"/>
  <c r="J376" i="36"/>
  <c r="K375" i="36"/>
  <c r="J375" i="36"/>
  <c r="K374" i="36"/>
  <c r="J374" i="36"/>
  <c r="K373" i="36"/>
  <c r="J373" i="36"/>
  <c r="K372" i="36"/>
  <c r="J372" i="36"/>
  <c r="K371" i="36"/>
  <c r="J371" i="36"/>
  <c r="K370" i="36"/>
  <c r="J370" i="36"/>
  <c r="K369" i="36"/>
  <c r="J369" i="36"/>
  <c r="K368" i="36"/>
  <c r="J368" i="36"/>
  <c r="K367" i="36"/>
  <c r="J367" i="36"/>
  <c r="K366" i="36"/>
  <c r="J366" i="36"/>
  <c r="K365" i="36"/>
  <c r="J365" i="36"/>
  <c r="K364" i="36"/>
  <c r="J364" i="36"/>
  <c r="K363" i="36"/>
  <c r="J363" i="36"/>
  <c r="K362" i="36"/>
  <c r="J362" i="36"/>
  <c r="K361" i="36"/>
  <c r="J361" i="36"/>
  <c r="K360" i="36"/>
  <c r="J360" i="36"/>
  <c r="K359" i="36"/>
  <c r="J359" i="36"/>
  <c r="K358" i="36"/>
  <c r="J358" i="36"/>
  <c r="K357" i="36"/>
  <c r="J357" i="36"/>
  <c r="K356" i="36"/>
  <c r="J356" i="36"/>
  <c r="K355" i="36"/>
  <c r="J355" i="36"/>
  <c r="K354" i="36"/>
  <c r="J354" i="36"/>
  <c r="K353" i="36"/>
  <c r="J353" i="36"/>
  <c r="K352" i="36"/>
  <c r="J352" i="36"/>
  <c r="K351" i="36"/>
  <c r="J351" i="36"/>
  <c r="K350" i="36"/>
  <c r="J350" i="36"/>
  <c r="K349" i="36"/>
  <c r="J349" i="36"/>
  <c r="K348" i="36"/>
  <c r="J348" i="36"/>
  <c r="K347" i="36"/>
  <c r="J347" i="36"/>
  <c r="K346" i="36"/>
  <c r="J346" i="36"/>
  <c r="K345" i="36"/>
  <c r="J345" i="36"/>
  <c r="K344" i="36"/>
  <c r="J344" i="36"/>
  <c r="K343" i="36"/>
  <c r="J343" i="36"/>
  <c r="K342" i="36"/>
  <c r="J342" i="36"/>
  <c r="K341" i="36"/>
  <c r="J341" i="36"/>
  <c r="K340" i="36"/>
  <c r="J340" i="36"/>
  <c r="K339" i="36"/>
  <c r="J339" i="36"/>
  <c r="K338" i="36"/>
  <c r="J338" i="36"/>
  <c r="K337" i="36"/>
  <c r="J337" i="36"/>
  <c r="K336" i="36"/>
  <c r="J336" i="36"/>
  <c r="K335" i="36"/>
  <c r="J335" i="36"/>
  <c r="K334" i="36"/>
  <c r="J334" i="36"/>
  <c r="K333" i="36"/>
  <c r="J333" i="36"/>
  <c r="K332" i="36"/>
  <c r="J332" i="36"/>
  <c r="K331" i="36"/>
  <c r="J331" i="36"/>
  <c r="K330" i="36"/>
  <c r="J330" i="36"/>
  <c r="K329" i="36"/>
  <c r="J329" i="36"/>
  <c r="K328" i="36"/>
  <c r="J328" i="36"/>
  <c r="K327" i="36"/>
  <c r="J327" i="36"/>
  <c r="K326" i="36"/>
  <c r="J326" i="36"/>
  <c r="K325" i="36"/>
  <c r="J325" i="36"/>
  <c r="K324" i="36"/>
  <c r="J324" i="36"/>
  <c r="K323" i="36"/>
  <c r="J323" i="36"/>
  <c r="K322" i="36"/>
  <c r="J322" i="36"/>
  <c r="K321" i="36"/>
  <c r="J321" i="36"/>
  <c r="K320" i="36"/>
  <c r="J320" i="36"/>
  <c r="K319" i="36"/>
  <c r="J319" i="36"/>
  <c r="K318" i="36"/>
  <c r="J318" i="36"/>
  <c r="K317" i="36"/>
  <c r="J317" i="36"/>
  <c r="K316" i="36"/>
  <c r="J316" i="36"/>
  <c r="K315" i="36"/>
  <c r="J315" i="36"/>
  <c r="K314" i="36"/>
  <c r="J314" i="36"/>
  <c r="K313" i="36"/>
  <c r="J313" i="36"/>
  <c r="K312" i="36"/>
  <c r="J312" i="36"/>
  <c r="K311" i="36"/>
  <c r="J311" i="36"/>
  <c r="K310" i="36"/>
  <c r="J310" i="36"/>
  <c r="K309" i="36"/>
  <c r="J309" i="36"/>
  <c r="K308" i="36"/>
  <c r="J308" i="36"/>
  <c r="K307" i="36"/>
  <c r="J307" i="36"/>
  <c r="K306" i="36"/>
  <c r="J306" i="36"/>
  <c r="K305" i="36"/>
  <c r="J305" i="36"/>
  <c r="K304" i="36"/>
  <c r="J304" i="36"/>
  <c r="K303" i="36"/>
  <c r="J303" i="36"/>
  <c r="K302" i="36"/>
  <c r="J302" i="36"/>
  <c r="K301" i="36"/>
  <c r="J301" i="36"/>
  <c r="K300" i="36"/>
  <c r="J300" i="36"/>
  <c r="K299" i="36"/>
  <c r="J299" i="36"/>
  <c r="K298" i="36"/>
  <c r="J298" i="36"/>
  <c r="K297" i="36"/>
  <c r="J297" i="36"/>
  <c r="K296" i="36"/>
  <c r="J296" i="36"/>
  <c r="K295" i="36"/>
  <c r="J295" i="36"/>
  <c r="K294" i="36"/>
  <c r="J294" i="36"/>
  <c r="K293" i="36"/>
  <c r="J293" i="36"/>
  <c r="K292" i="36"/>
  <c r="J292" i="36"/>
  <c r="K291" i="36"/>
  <c r="J291" i="36"/>
  <c r="K290" i="36"/>
  <c r="J290" i="36"/>
  <c r="K289" i="36"/>
  <c r="J289" i="36"/>
  <c r="K288" i="36"/>
  <c r="J288" i="36"/>
  <c r="K287" i="36"/>
  <c r="J287" i="36"/>
  <c r="K286" i="36"/>
  <c r="J286" i="36"/>
  <c r="K285" i="36"/>
  <c r="J285" i="36"/>
  <c r="K284" i="36"/>
  <c r="J284" i="36"/>
  <c r="K283" i="36"/>
  <c r="J283" i="36"/>
  <c r="K282" i="36"/>
  <c r="J282" i="36"/>
  <c r="K281" i="36"/>
  <c r="J281" i="36"/>
  <c r="K280" i="36"/>
  <c r="J280" i="36"/>
  <c r="K279" i="36"/>
  <c r="J279" i="36"/>
  <c r="K278" i="36"/>
  <c r="J278" i="36"/>
  <c r="K277" i="36"/>
  <c r="J277" i="36"/>
  <c r="K276" i="36"/>
  <c r="J276" i="36"/>
  <c r="K275" i="36"/>
  <c r="J275" i="36"/>
  <c r="K274" i="36"/>
  <c r="J274" i="36"/>
  <c r="K273" i="36"/>
  <c r="J273" i="36"/>
  <c r="K272" i="36"/>
  <c r="J272" i="36"/>
  <c r="K271" i="36"/>
  <c r="J271" i="36"/>
  <c r="K270" i="36"/>
  <c r="J270" i="36"/>
  <c r="K269" i="36"/>
  <c r="J269" i="36"/>
  <c r="K268" i="36"/>
  <c r="J268" i="36"/>
  <c r="K267" i="36"/>
  <c r="J267" i="36"/>
  <c r="K266" i="36"/>
  <c r="J266" i="36"/>
  <c r="K265" i="36"/>
  <c r="J265" i="36"/>
  <c r="K264" i="36"/>
  <c r="J264" i="36"/>
  <c r="K263" i="36"/>
  <c r="J263" i="36"/>
  <c r="K262" i="36"/>
  <c r="J262" i="36"/>
  <c r="K261" i="36"/>
  <c r="J261" i="36"/>
  <c r="K260" i="36"/>
  <c r="J260" i="36"/>
  <c r="K259" i="36"/>
  <c r="J259" i="36"/>
  <c r="K258" i="36"/>
  <c r="J258" i="36"/>
  <c r="K257" i="36"/>
  <c r="J257" i="36"/>
  <c r="K256" i="36"/>
  <c r="J256" i="36"/>
  <c r="K255" i="36"/>
  <c r="J255" i="36"/>
  <c r="K254" i="36"/>
  <c r="J254" i="36"/>
  <c r="K253" i="36"/>
  <c r="J253" i="36"/>
  <c r="K252" i="36"/>
  <c r="J252" i="36"/>
  <c r="K251" i="36"/>
  <c r="J251" i="36"/>
  <c r="K250" i="36"/>
  <c r="J250" i="36"/>
  <c r="K249" i="36"/>
  <c r="J249" i="36"/>
  <c r="K248" i="36"/>
  <c r="J248" i="36"/>
  <c r="K247" i="36"/>
  <c r="J247" i="36"/>
  <c r="K246" i="36"/>
  <c r="J246" i="36"/>
  <c r="K245" i="36"/>
  <c r="J245" i="36"/>
  <c r="K244" i="36"/>
  <c r="J244" i="36"/>
  <c r="K243" i="36"/>
  <c r="J243" i="36"/>
  <c r="K242" i="36"/>
  <c r="J242" i="36"/>
  <c r="K241" i="36"/>
  <c r="J241" i="36"/>
  <c r="K240" i="36"/>
  <c r="J240" i="36"/>
  <c r="K239" i="36"/>
  <c r="J239" i="36"/>
  <c r="K238" i="36"/>
  <c r="J238" i="36"/>
  <c r="K237" i="36"/>
  <c r="J237" i="36"/>
  <c r="K236" i="36"/>
  <c r="J236" i="36"/>
  <c r="K235" i="36"/>
  <c r="J235" i="36"/>
  <c r="K234" i="36"/>
  <c r="J234" i="36"/>
  <c r="K233" i="36"/>
  <c r="J233" i="36"/>
  <c r="K232" i="36"/>
  <c r="J232" i="36"/>
  <c r="K231" i="36"/>
  <c r="J231" i="36"/>
  <c r="K230" i="36"/>
  <c r="J230" i="36"/>
  <c r="K229" i="36"/>
  <c r="J229" i="36"/>
  <c r="K228" i="36"/>
  <c r="J228" i="36"/>
  <c r="K227" i="36"/>
  <c r="J227" i="36"/>
  <c r="K226" i="36"/>
  <c r="J226" i="36"/>
  <c r="K225" i="36"/>
  <c r="J225" i="36"/>
  <c r="K224" i="36"/>
  <c r="J224" i="36"/>
  <c r="K223" i="36"/>
  <c r="J223" i="36"/>
  <c r="K222" i="36"/>
  <c r="J222" i="36"/>
  <c r="K221" i="36"/>
  <c r="J221" i="36"/>
  <c r="K220" i="36"/>
  <c r="J220" i="36"/>
  <c r="K219" i="36"/>
  <c r="J219" i="36"/>
  <c r="K218" i="36"/>
  <c r="J218" i="36"/>
  <c r="K217" i="36"/>
  <c r="J217" i="36"/>
  <c r="K216" i="36"/>
  <c r="J216" i="36"/>
  <c r="K215" i="36"/>
  <c r="J215" i="36"/>
  <c r="K214" i="36"/>
  <c r="J214" i="36"/>
  <c r="K213" i="36"/>
  <c r="J213" i="36"/>
  <c r="K212" i="36"/>
  <c r="J212" i="36"/>
  <c r="K211" i="36"/>
  <c r="J211" i="36"/>
  <c r="K210" i="36"/>
  <c r="J210" i="36"/>
  <c r="K209" i="36"/>
  <c r="J209" i="36"/>
  <c r="K208" i="36"/>
  <c r="J208" i="36"/>
  <c r="K207" i="36"/>
  <c r="J207" i="36"/>
  <c r="K206" i="36"/>
  <c r="J206" i="36"/>
  <c r="K205" i="36"/>
  <c r="J205" i="36"/>
  <c r="K204" i="36"/>
  <c r="J204" i="36"/>
  <c r="K203" i="36"/>
  <c r="J203" i="36"/>
  <c r="K202" i="36"/>
  <c r="J202" i="36"/>
  <c r="K201" i="36"/>
  <c r="J201" i="36"/>
  <c r="K200" i="36"/>
  <c r="J200" i="36"/>
  <c r="K199" i="36"/>
  <c r="J199" i="36"/>
  <c r="K198" i="36"/>
  <c r="J198" i="36"/>
  <c r="K197" i="36"/>
  <c r="J197" i="36"/>
  <c r="K196" i="36"/>
  <c r="J196" i="36"/>
  <c r="K195" i="36"/>
  <c r="J195" i="36"/>
  <c r="K194" i="36"/>
  <c r="J194" i="36"/>
  <c r="K193" i="36"/>
  <c r="J193" i="36"/>
  <c r="K192" i="36"/>
  <c r="J192" i="36"/>
  <c r="K191" i="36"/>
  <c r="J191" i="36"/>
  <c r="K190" i="36"/>
  <c r="J190" i="36"/>
  <c r="K189" i="36"/>
  <c r="J189" i="36"/>
  <c r="K188" i="36"/>
  <c r="J188" i="36"/>
  <c r="K187" i="36"/>
  <c r="J187" i="36"/>
  <c r="K186" i="36"/>
  <c r="J186" i="36"/>
  <c r="K185" i="36"/>
  <c r="J185" i="36"/>
  <c r="K184" i="36"/>
  <c r="J184" i="36"/>
  <c r="K183" i="36"/>
  <c r="J183" i="36"/>
  <c r="K182" i="36"/>
  <c r="J182" i="36"/>
  <c r="K181" i="36"/>
  <c r="J181" i="36"/>
  <c r="K180" i="36"/>
  <c r="J180" i="36"/>
  <c r="K179" i="36"/>
  <c r="J179" i="36"/>
  <c r="K178" i="36"/>
  <c r="J178" i="36"/>
  <c r="K177" i="36"/>
  <c r="J177" i="36"/>
  <c r="K176" i="36"/>
  <c r="J176" i="36"/>
  <c r="K175" i="36"/>
  <c r="J175" i="36"/>
  <c r="K174" i="36"/>
  <c r="J174" i="36"/>
  <c r="K173" i="36"/>
  <c r="J173" i="36"/>
  <c r="K172" i="36"/>
  <c r="J172" i="36"/>
  <c r="K171" i="36"/>
  <c r="J171" i="36"/>
  <c r="K170" i="36"/>
  <c r="J170" i="36"/>
  <c r="K169" i="36"/>
  <c r="J169" i="36"/>
  <c r="K168" i="36"/>
  <c r="J168" i="36"/>
  <c r="K167" i="36"/>
  <c r="J167" i="36"/>
  <c r="K166" i="36"/>
  <c r="J166" i="36"/>
  <c r="K165" i="36"/>
  <c r="J165" i="36"/>
  <c r="K164" i="36"/>
  <c r="J164" i="36"/>
  <c r="K163" i="36"/>
  <c r="J163" i="36"/>
  <c r="K162" i="36"/>
  <c r="J162" i="36"/>
  <c r="K161" i="36"/>
  <c r="J161" i="36"/>
  <c r="K160" i="36"/>
  <c r="J160" i="36"/>
  <c r="K159" i="36"/>
  <c r="J159" i="36"/>
  <c r="K158" i="36"/>
  <c r="J158" i="36"/>
  <c r="K157" i="36"/>
  <c r="J157" i="36"/>
  <c r="K156" i="36"/>
  <c r="J156" i="36"/>
  <c r="K155" i="36"/>
  <c r="J155" i="36"/>
  <c r="K154" i="36"/>
  <c r="J154" i="36"/>
  <c r="K153" i="36"/>
  <c r="J153" i="36"/>
  <c r="K152" i="36"/>
  <c r="J152" i="36"/>
  <c r="K151" i="36"/>
  <c r="J151" i="36"/>
  <c r="K150" i="36"/>
  <c r="J150" i="36"/>
  <c r="K149" i="36"/>
  <c r="J149" i="36"/>
  <c r="K148" i="36"/>
  <c r="J148" i="36"/>
  <c r="K147" i="36"/>
  <c r="J147" i="36"/>
  <c r="K146" i="36"/>
  <c r="J146" i="36"/>
  <c r="K145" i="36"/>
  <c r="J145" i="36"/>
  <c r="K144" i="36"/>
  <c r="J144" i="36"/>
  <c r="K143" i="36"/>
  <c r="J143" i="36"/>
  <c r="K142" i="36"/>
  <c r="J142" i="36"/>
  <c r="K141" i="36"/>
  <c r="J141" i="36"/>
  <c r="K140" i="36"/>
  <c r="J140" i="36"/>
  <c r="K139" i="36"/>
  <c r="J139" i="36"/>
  <c r="K138" i="36"/>
  <c r="J138" i="36"/>
  <c r="K137" i="36"/>
  <c r="J137" i="36"/>
  <c r="K136" i="36"/>
  <c r="J136" i="36"/>
  <c r="K135" i="36"/>
  <c r="J135" i="36"/>
  <c r="K134" i="36"/>
  <c r="J134" i="36"/>
  <c r="K133" i="36"/>
  <c r="J133" i="36"/>
  <c r="K132" i="36"/>
  <c r="J132" i="36"/>
  <c r="K131" i="36"/>
  <c r="J131" i="36"/>
  <c r="K130" i="36"/>
  <c r="J130" i="36"/>
  <c r="K129" i="36"/>
  <c r="J129" i="36"/>
  <c r="K128" i="36"/>
  <c r="J128" i="36"/>
  <c r="K127" i="36"/>
  <c r="J127" i="36"/>
  <c r="K126" i="36"/>
  <c r="J126" i="36"/>
  <c r="K125" i="36"/>
  <c r="J125" i="36"/>
  <c r="K124" i="36"/>
  <c r="J124" i="36"/>
  <c r="K123" i="36"/>
  <c r="J123" i="36"/>
  <c r="K122" i="36"/>
  <c r="J122" i="36"/>
  <c r="K121" i="36"/>
  <c r="J121" i="36"/>
  <c r="K120" i="36"/>
  <c r="J120" i="36"/>
  <c r="K119" i="36"/>
  <c r="J119" i="36"/>
  <c r="K118" i="36"/>
  <c r="J118" i="36"/>
  <c r="K117" i="36"/>
  <c r="J117" i="36"/>
  <c r="K116" i="36"/>
  <c r="J116" i="36"/>
  <c r="K115" i="36"/>
  <c r="J115" i="36"/>
  <c r="K114" i="36"/>
  <c r="J114" i="36"/>
  <c r="K113" i="36"/>
  <c r="J113" i="36"/>
  <c r="K112" i="36"/>
  <c r="J112" i="36"/>
  <c r="K111" i="36"/>
  <c r="J111" i="36"/>
  <c r="K110" i="36"/>
  <c r="J110" i="36"/>
  <c r="K109" i="36"/>
  <c r="J109" i="36"/>
  <c r="K108" i="36"/>
  <c r="J108" i="36"/>
  <c r="K107" i="36"/>
  <c r="J107" i="36"/>
  <c r="K106" i="36"/>
  <c r="J106" i="36"/>
  <c r="K105" i="36"/>
  <c r="J105" i="36"/>
  <c r="K104" i="36"/>
  <c r="J104" i="36"/>
  <c r="K103" i="36"/>
  <c r="J103" i="36"/>
  <c r="K102" i="36"/>
  <c r="J102" i="36"/>
  <c r="K101" i="36"/>
  <c r="J101" i="36"/>
  <c r="K100" i="36"/>
  <c r="J100" i="36"/>
  <c r="K99" i="36"/>
  <c r="J99" i="36"/>
  <c r="K98" i="36"/>
  <c r="J98" i="36"/>
  <c r="K97" i="36"/>
  <c r="J97" i="36"/>
  <c r="K96" i="36"/>
  <c r="J96" i="36"/>
  <c r="K95" i="36"/>
  <c r="J95" i="36"/>
  <c r="K94" i="36"/>
  <c r="J94" i="36"/>
  <c r="K93" i="36"/>
  <c r="J93" i="36"/>
  <c r="K92" i="36"/>
  <c r="J92" i="36"/>
  <c r="K91" i="36"/>
  <c r="J91" i="36"/>
  <c r="K90" i="36"/>
  <c r="J90" i="36"/>
  <c r="K89" i="36"/>
  <c r="J89" i="36"/>
  <c r="K88" i="36"/>
  <c r="J88" i="36"/>
  <c r="K87" i="36"/>
  <c r="J87" i="36"/>
  <c r="K86" i="36"/>
  <c r="J86" i="36"/>
  <c r="K85" i="36"/>
  <c r="J85" i="36"/>
  <c r="K84" i="36"/>
  <c r="J84" i="36"/>
  <c r="K83" i="36"/>
  <c r="J83" i="36"/>
  <c r="K82" i="36"/>
  <c r="J82" i="36"/>
  <c r="K81" i="36"/>
  <c r="J81" i="36"/>
  <c r="K80" i="36"/>
  <c r="J80" i="36"/>
  <c r="K79" i="36"/>
  <c r="J79" i="36"/>
  <c r="K78" i="36"/>
  <c r="J78" i="36"/>
  <c r="K77" i="36"/>
  <c r="J77" i="36"/>
  <c r="K76" i="36"/>
  <c r="J76" i="36"/>
  <c r="K75" i="36"/>
  <c r="J75" i="36"/>
  <c r="K74" i="36"/>
  <c r="J74" i="36"/>
  <c r="K73" i="36"/>
  <c r="J73" i="36"/>
  <c r="K72" i="36"/>
  <c r="J72" i="36"/>
  <c r="K71" i="36"/>
  <c r="J71" i="36"/>
  <c r="K70" i="36"/>
  <c r="J70" i="36"/>
  <c r="K69" i="36"/>
  <c r="J69" i="36"/>
  <c r="K68" i="36"/>
  <c r="J68" i="36"/>
  <c r="K67" i="36"/>
  <c r="J67" i="36"/>
  <c r="K66" i="36"/>
  <c r="J66" i="36"/>
  <c r="K65" i="36"/>
  <c r="J65" i="36"/>
  <c r="K64" i="36"/>
  <c r="J64" i="36"/>
  <c r="K63" i="36"/>
  <c r="J63" i="36"/>
  <c r="K62" i="36"/>
  <c r="J62" i="36"/>
  <c r="K61" i="36"/>
  <c r="J61" i="36"/>
  <c r="K60" i="36"/>
  <c r="J60" i="36"/>
  <c r="K59" i="36"/>
  <c r="J59" i="36"/>
  <c r="K58" i="36"/>
  <c r="J58" i="36"/>
  <c r="K57" i="36"/>
  <c r="J57" i="36"/>
  <c r="K56" i="36"/>
  <c r="J56" i="36"/>
  <c r="K55" i="36"/>
  <c r="J55" i="36"/>
  <c r="K54" i="36"/>
  <c r="J54" i="36"/>
  <c r="K53" i="36"/>
  <c r="J53" i="36"/>
  <c r="K52" i="36"/>
  <c r="J52" i="36"/>
  <c r="K51" i="36"/>
  <c r="J51" i="36"/>
  <c r="K50" i="36"/>
  <c r="J50" i="36"/>
  <c r="K49" i="36"/>
  <c r="J49" i="36"/>
  <c r="K48" i="36"/>
  <c r="J48" i="36"/>
  <c r="K47" i="36"/>
  <c r="J47" i="36"/>
  <c r="K46" i="36"/>
  <c r="J46" i="36"/>
  <c r="K45" i="36"/>
  <c r="J45" i="36"/>
  <c r="K44" i="36"/>
  <c r="J44" i="36"/>
  <c r="K43" i="36"/>
  <c r="J43" i="36"/>
  <c r="K42" i="36"/>
  <c r="J42" i="36"/>
  <c r="K41" i="36"/>
  <c r="J41" i="36"/>
  <c r="K40" i="36"/>
  <c r="J40" i="36"/>
  <c r="K39" i="36"/>
  <c r="J39" i="36"/>
  <c r="K38" i="36"/>
  <c r="J38" i="36"/>
  <c r="K37" i="36"/>
  <c r="J37" i="36"/>
  <c r="K36" i="36"/>
  <c r="J36" i="36"/>
  <c r="K35" i="36"/>
  <c r="J35" i="36"/>
  <c r="K34" i="36"/>
  <c r="J34" i="36"/>
  <c r="K33" i="36"/>
  <c r="J33" i="36"/>
  <c r="K32" i="36"/>
  <c r="J32" i="36"/>
  <c r="K31" i="36"/>
  <c r="J31" i="36"/>
  <c r="K30" i="36"/>
  <c r="J30" i="36"/>
  <c r="K29" i="36"/>
  <c r="J29" i="36"/>
  <c r="K28" i="36"/>
  <c r="J28" i="36"/>
  <c r="K27" i="36"/>
  <c r="J27" i="36"/>
  <c r="K26" i="36"/>
  <c r="J26" i="36"/>
  <c r="K25" i="36"/>
  <c r="J25" i="36"/>
  <c r="K24" i="36"/>
  <c r="J24" i="36"/>
  <c r="K23" i="36"/>
  <c r="J23" i="36"/>
  <c r="K22" i="36"/>
  <c r="J22" i="36"/>
  <c r="K21" i="36"/>
  <c r="J21" i="36"/>
  <c r="K20" i="36"/>
  <c r="J20" i="36"/>
  <c r="K19" i="36"/>
  <c r="J19" i="36"/>
  <c r="K18" i="36"/>
  <c r="J18" i="36"/>
  <c r="K17" i="36"/>
  <c r="J17" i="36"/>
  <c r="K16" i="36"/>
  <c r="J16" i="36"/>
  <c r="K15" i="36"/>
  <c r="J15" i="36"/>
  <c r="K14" i="36"/>
  <c r="J14" i="36"/>
  <c r="K13" i="36"/>
  <c r="J13" i="36"/>
  <c r="K12" i="36"/>
  <c r="J12" i="36"/>
  <c r="K11" i="36"/>
  <c r="J11" i="36"/>
  <c r="K10" i="36"/>
  <c r="J10" i="36"/>
  <c r="K9" i="36"/>
  <c r="J9" i="36"/>
  <c r="K8" i="36"/>
  <c r="J8" i="36"/>
  <c r="K7" i="36"/>
  <c r="J7" i="36"/>
  <c r="K6" i="36"/>
  <c r="J6" i="36"/>
  <c r="K3" i="36"/>
  <c r="I3" i="36"/>
  <c r="H3" i="36"/>
  <c r="K497" i="62"/>
  <c r="J497" i="62"/>
  <c r="K496" i="62"/>
  <c r="J496" i="62"/>
  <c r="K495" i="62"/>
  <c r="J495" i="62"/>
  <c r="K494" i="62"/>
  <c r="J494" i="62"/>
  <c r="K493" i="62"/>
  <c r="J493" i="62"/>
  <c r="K492" i="62"/>
  <c r="J492" i="62"/>
  <c r="K491" i="62"/>
  <c r="J491" i="62"/>
  <c r="K490" i="62"/>
  <c r="J490" i="62"/>
  <c r="K489" i="62"/>
  <c r="J489" i="62"/>
  <c r="K488" i="62"/>
  <c r="J488" i="62"/>
  <c r="K487" i="62"/>
  <c r="J487" i="62"/>
  <c r="K486" i="62"/>
  <c r="J486" i="62"/>
  <c r="K485" i="62"/>
  <c r="J485" i="62"/>
  <c r="K484" i="62"/>
  <c r="J484" i="62"/>
  <c r="K483" i="62"/>
  <c r="J483" i="62"/>
  <c r="K482" i="62"/>
  <c r="J482" i="62"/>
  <c r="K481" i="62"/>
  <c r="J481" i="62"/>
  <c r="K480" i="62"/>
  <c r="J480" i="62"/>
  <c r="K479" i="62"/>
  <c r="J479" i="62"/>
  <c r="K478" i="62"/>
  <c r="J478" i="62"/>
  <c r="K477" i="62"/>
  <c r="J477" i="62"/>
  <c r="K476" i="62"/>
  <c r="J476" i="62"/>
  <c r="K475" i="62"/>
  <c r="J475" i="62"/>
  <c r="K474" i="62"/>
  <c r="J474" i="62"/>
  <c r="K473" i="62"/>
  <c r="J473" i="62"/>
  <c r="K472" i="62"/>
  <c r="J472" i="62"/>
  <c r="K471" i="62"/>
  <c r="J471" i="62"/>
  <c r="K470" i="62"/>
  <c r="J470" i="62"/>
  <c r="K469" i="62"/>
  <c r="J469" i="62"/>
  <c r="K468" i="62"/>
  <c r="J468" i="62"/>
  <c r="K467" i="62"/>
  <c r="J467" i="62"/>
  <c r="K466" i="62"/>
  <c r="J466" i="62"/>
  <c r="K465" i="62"/>
  <c r="J465" i="62"/>
  <c r="K464" i="62"/>
  <c r="J464" i="62"/>
  <c r="K463" i="62"/>
  <c r="J463" i="62"/>
  <c r="K462" i="62"/>
  <c r="J462" i="62"/>
  <c r="K461" i="62"/>
  <c r="J461" i="62"/>
  <c r="K460" i="62"/>
  <c r="J460" i="62"/>
  <c r="K459" i="62"/>
  <c r="J459" i="62"/>
  <c r="K458" i="62"/>
  <c r="J458" i="62"/>
  <c r="K457" i="62"/>
  <c r="J457" i="62"/>
  <c r="K456" i="62"/>
  <c r="J456" i="62"/>
  <c r="K455" i="62"/>
  <c r="J455" i="62"/>
  <c r="K454" i="62"/>
  <c r="J454" i="62"/>
  <c r="K453" i="62"/>
  <c r="J453" i="62"/>
  <c r="K452" i="62"/>
  <c r="J452" i="62"/>
  <c r="K451" i="62"/>
  <c r="J451" i="62"/>
  <c r="K450" i="62"/>
  <c r="J450" i="62"/>
  <c r="K449" i="62"/>
  <c r="J449" i="62"/>
  <c r="K448" i="62"/>
  <c r="J448" i="62"/>
  <c r="K447" i="62"/>
  <c r="J447" i="62"/>
  <c r="K446" i="62"/>
  <c r="J446" i="62"/>
  <c r="K445" i="62"/>
  <c r="J445" i="62"/>
  <c r="K444" i="62"/>
  <c r="J444" i="62"/>
  <c r="K443" i="62"/>
  <c r="J443" i="62"/>
  <c r="K442" i="62"/>
  <c r="J442" i="62"/>
  <c r="K441" i="62"/>
  <c r="J441" i="62"/>
  <c r="K440" i="62"/>
  <c r="J440" i="62"/>
  <c r="K439" i="62"/>
  <c r="J439" i="62"/>
  <c r="K438" i="62"/>
  <c r="J438" i="62"/>
  <c r="K437" i="62"/>
  <c r="J437" i="62"/>
  <c r="K436" i="62"/>
  <c r="J436" i="62"/>
  <c r="K435" i="62"/>
  <c r="J435" i="62"/>
  <c r="K434" i="62"/>
  <c r="J434" i="62"/>
  <c r="K433" i="62"/>
  <c r="J433" i="62"/>
  <c r="K432" i="62"/>
  <c r="J432" i="62"/>
  <c r="K431" i="62"/>
  <c r="J431" i="62"/>
  <c r="K430" i="62"/>
  <c r="J430" i="62"/>
  <c r="K429" i="62"/>
  <c r="J429" i="62"/>
  <c r="K428" i="62"/>
  <c r="J428" i="62"/>
  <c r="K427" i="62"/>
  <c r="J427" i="62"/>
  <c r="K426" i="62"/>
  <c r="J426" i="62"/>
  <c r="K425" i="62"/>
  <c r="J425" i="62"/>
  <c r="K424" i="62"/>
  <c r="J424" i="62"/>
  <c r="K423" i="62"/>
  <c r="J423" i="62"/>
  <c r="K422" i="62"/>
  <c r="J422" i="62"/>
  <c r="K421" i="62"/>
  <c r="J421" i="62"/>
  <c r="K420" i="62"/>
  <c r="J420" i="62"/>
  <c r="K419" i="62"/>
  <c r="J419" i="62"/>
  <c r="K418" i="62"/>
  <c r="J418" i="62"/>
  <c r="K417" i="62"/>
  <c r="J417" i="62"/>
  <c r="K416" i="62"/>
  <c r="J416" i="62"/>
  <c r="K415" i="62"/>
  <c r="J415" i="62"/>
  <c r="K414" i="62"/>
  <c r="J414" i="62"/>
  <c r="K413" i="62"/>
  <c r="J413" i="62"/>
  <c r="K412" i="62"/>
  <c r="J412" i="62"/>
  <c r="K411" i="62"/>
  <c r="J411" i="62"/>
  <c r="K410" i="62"/>
  <c r="J410" i="62"/>
  <c r="K409" i="62"/>
  <c r="J409" i="62"/>
  <c r="K408" i="62"/>
  <c r="J408" i="62"/>
  <c r="K407" i="62"/>
  <c r="J407" i="62"/>
  <c r="K406" i="62"/>
  <c r="J406" i="62"/>
  <c r="K405" i="62"/>
  <c r="J405" i="62"/>
  <c r="K404" i="62"/>
  <c r="J404" i="62"/>
  <c r="K403" i="62"/>
  <c r="J403" i="62"/>
  <c r="K402" i="62"/>
  <c r="J402" i="62"/>
  <c r="K401" i="62"/>
  <c r="J401" i="62"/>
  <c r="K400" i="62"/>
  <c r="J400" i="62"/>
  <c r="K399" i="62"/>
  <c r="J399" i="62"/>
  <c r="K398" i="62"/>
  <c r="J398" i="62"/>
  <c r="K397" i="62"/>
  <c r="J397" i="62"/>
  <c r="K396" i="62"/>
  <c r="J396" i="62"/>
  <c r="K395" i="62"/>
  <c r="J395" i="62"/>
  <c r="K394" i="62"/>
  <c r="J394" i="62"/>
  <c r="K393" i="62"/>
  <c r="J393" i="62"/>
  <c r="K392" i="62"/>
  <c r="J392" i="62"/>
  <c r="K391" i="62"/>
  <c r="J391" i="62"/>
  <c r="K390" i="62"/>
  <c r="J390" i="62"/>
  <c r="K389" i="62"/>
  <c r="J389" i="62"/>
  <c r="K388" i="62"/>
  <c r="J388" i="62"/>
  <c r="K387" i="62"/>
  <c r="J387" i="62"/>
  <c r="K386" i="62"/>
  <c r="J386" i="62"/>
  <c r="K385" i="62"/>
  <c r="J385" i="62"/>
  <c r="K384" i="62"/>
  <c r="J384" i="62"/>
  <c r="K383" i="62"/>
  <c r="J383" i="62"/>
  <c r="K382" i="62"/>
  <c r="J382" i="62"/>
  <c r="K381" i="62"/>
  <c r="J381" i="62"/>
  <c r="K380" i="62"/>
  <c r="J380" i="62"/>
  <c r="K379" i="62"/>
  <c r="J379" i="62"/>
  <c r="K378" i="62"/>
  <c r="J378" i="62"/>
  <c r="K377" i="62"/>
  <c r="J377" i="62"/>
  <c r="K376" i="62"/>
  <c r="J376" i="62"/>
  <c r="K375" i="62"/>
  <c r="J375" i="62"/>
  <c r="K374" i="62"/>
  <c r="J374" i="62"/>
  <c r="K373" i="62"/>
  <c r="J373" i="62"/>
  <c r="K372" i="62"/>
  <c r="J372" i="62"/>
  <c r="K371" i="62"/>
  <c r="J371" i="62"/>
  <c r="K370" i="62"/>
  <c r="J370" i="62"/>
  <c r="K369" i="62"/>
  <c r="J369" i="62"/>
  <c r="K368" i="62"/>
  <c r="J368" i="62"/>
  <c r="K367" i="62"/>
  <c r="J367" i="62"/>
  <c r="K366" i="62"/>
  <c r="J366" i="62"/>
  <c r="K365" i="62"/>
  <c r="J365" i="62"/>
  <c r="K364" i="62"/>
  <c r="J364" i="62"/>
  <c r="K363" i="62"/>
  <c r="J363" i="62"/>
  <c r="K362" i="62"/>
  <c r="J362" i="62"/>
  <c r="K361" i="62"/>
  <c r="J361" i="62"/>
  <c r="K360" i="62"/>
  <c r="J360" i="62"/>
  <c r="K359" i="62"/>
  <c r="J359" i="62"/>
  <c r="K358" i="62"/>
  <c r="J358" i="62"/>
  <c r="K357" i="62"/>
  <c r="J357" i="62"/>
  <c r="K356" i="62"/>
  <c r="J356" i="62"/>
  <c r="K355" i="62"/>
  <c r="J355" i="62"/>
  <c r="K354" i="62"/>
  <c r="J354" i="62"/>
  <c r="K353" i="62"/>
  <c r="J353" i="62"/>
  <c r="K352" i="62"/>
  <c r="J352" i="62"/>
  <c r="K351" i="62"/>
  <c r="J351" i="62"/>
  <c r="K350" i="62"/>
  <c r="J350" i="62"/>
  <c r="K349" i="62"/>
  <c r="J349" i="62"/>
  <c r="K348" i="62"/>
  <c r="J348" i="62"/>
  <c r="K347" i="62"/>
  <c r="J347" i="62"/>
  <c r="K346" i="62"/>
  <c r="J346" i="62"/>
  <c r="K345" i="62"/>
  <c r="J345" i="62"/>
  <c r="K344" i="62"/>
  <c r="J344" i="62"/>
  <c r="K343" i="62"/>
  <c r="J343" i="62"/>
  <c r="K342" i="62"/>
  <c r="J342" i="62"/>
  <c r="K341" i="62"/>
  <c r="J341" i="62"/>
  <c r="K340" i="62"/>
  <c r="J340" i="62"/>
  <c r="K339" i="62"/>
  <c r="J339" i="62"/>
  <c r="K338" i="62"/>
  <c r="J338" i="62"/>
  <c r="K337" i="62"/>
  <c r="J337" i="62"/>
  <c r="K336" i="62"/>
  <c r="J336" i="62"/>
  <c r="K335" i="62"/>
  <c r="J335" i="62"/>
  <c r="K334" i="62"/>
  <c r="J334" i="62"/>
  <c r="K333" i="62"/>
  <c r="J333" i="62"/>
  <c r="K332" i="62"/>
  <c r="J332" i="62"/>
  <c r="K331" i="62"/>
  <c r="J331" i="62"/>
  <c r="K330" i="62"/>
  <c r="J330" i="62"/>
  <c r="K329" i="62"/>
  <c r="J329" i="62"/>
  <c r="K328" i="62"/>
  <c r="J328" i="62"/>
  <c r="K327" i="62"/>
  <c r="J327" i="62"/>
  <c r="K326" i="62"/>
  <c r="J326" i="62"/>
  <c r="K325" i="62"/>
  <c r="J325" i="62"/>
  <c r="K324" i="62"/>
  <c r="J324" i="62"/>
  <c r="K323" i="62"/>
  <c r="J323" i="62"/>
  <c r="K322" i="62"/>
  <c r="J322" i="62"/>
  <c r="K321" i="62"/>
  <c r="J321" i="62"/>
  <c r="K320" i="62"/>
  <c r="J320" i="62"/>
  <c r="K319" i="62"/>
  <c r="J319" i="62"/>
  <c r="K318" i="62"/>
  <c r="J318" i="62"/>
  <c r="K317" i="62"/>
  <c r="J317" i="62"/>
  <c r="K316" i="62"/>
  <c r="J316" i="62"/>
  <c r="K315" i="62"/>
  <c r="J315" i="62"/>
  <c r="K314" i="62"/>
  <c r="J314" i="62"/>
  <c r="K313" i="62"/>
  <c r="J313" i="62"/>
  <c r="K312" i="62"/>
  <c r="J312" i="62"/>
  <c r="K311" i="62"/>
  <c r="J311" i="62"/>
  <c r="K310" i="62"/>
  <c r="J310" i="62"/>
  <c r="K309" i="62"/>
  <c r="J309" i="62"/>
  <c r="K308" i="62"/>
  <c r="J308" i="62"/>
  <c r="K307" i="62"/>
  <c r="J307" i="62"/>
  <c r="K306" i="62"/>
  <c r="J306" i="62"/>
  <c r="K305" i="62"/>
  <c r="J305" i="62"/>
  <c r="K304" i="62"/>
  <c r="J304" i="62"/>
  <c r="K303" i="62"/>
  <c r="J303" i="62"/>
  <c r="K302" i="62"/>
  <c r="J302" i="62"/>
  <c r="K301" i="62"/>
  <c r="J301" i="62"/>
  <c r="K300" i="62"/>
  <c r="J300" i="62"/>
  <c r="K299" i="62"/>
  <c r="J299" i="62"/>
  <c r="K298" i="62"/>
  <c r="J298" i="62"/>
  <c r="K297" i="62"/>
  <c r="J297" i="62"/>
  <c r="K296" i="62"/>
  <c r="J296" i="62"/>
  <c r="K295" i="62"/>
  <c r="J295" i="62"/>
  <c r="K294" i="62"/>
  <c r="J294" i="62"/>
  <c r="K293" i="62"/>
  <c r="J293" i="62"/>
  <c r="K292" i="62"/>
  <c r="J292" i="62"/>
  <c r="K291" i="62"/>
  <c r="J291" i="62"/>
  <c r="K290" i="62"/>
  <c r="J290" i="62"/>
  <c r="K289" i="62"/>
  <c r="J289" i="62"/>
  <c r="K288" i="62"/>
  <c r="J288" i="62"/>
  <c r="K287" i="62"/>
  <c r="J287" i="62"/>
  <c r="K286" i="62"/>
  <c r="J286" i="62"/>
  <c r="K285" i="62"/>
  <c r="J285" i="62"/>
  <c r="K284" i="62"/>
  <c r="J284" i="62"/>
  <c r="K283" i="62"/>
  <c r="J283" i="62"/>
  <c r="K282" i="62"/>
  <c r="J282" i="62"/>
  <c r="K281" i="62"/>
  <c r="J281" i="62"/>
  <c r="K280" i="62"/>
  <c r="J280" i="62"/>
  <c r="K279" i="62"/>
  <c r="J279" i="62"/>
  <c r="K278" i="62"/>
  <c r="J278" i="62"/>
  <c r="K277" i="62"/>
  <c r="J277" i="62"/>
  <c r="K276" i="62"/>
  <c r="J276" i="62"/>
  <c r="K275" i="62"/>
  <c r="J275" i="62"/>
  <c r="K274" i="62"/>
  <c r="J274" i="62"/>
  <c r="K273" i="62"/>
  <c r="J273" i="62"/>
  <c r="K272" i="62"/>
  <c r="J272" i="62"/>
  <c r="K271" i="62"/>
  <c r="J271" i="62"/>
  <c r="K270" i="62"/>
  <c r="J270" i="62"/>
  <c r="K269" i="62"/>
  <c r="J269" i="62"/>
  <c r="K268" i="62"/>
  <c r="J268" i="62"/>
  <c r="K267" i="62"/>
  <c r="J267" i="62"/>
  <c r="K266" i="62"/>
  <c r="J266" i="62"/>
  <c r="K265" i="62"/>
  <c r="J265" i="62"/>
  <c r="K264" i="62"/>
  <c r="J264" i="62"/>
  <c r="K263" i="62"/>
  <c r="J263" i="62"/>
  <c r="K262" i="62"/>
  <c r="J262" i="62"/>
  <c r="K261" i="62"/>
  <c r="J261" i="62"/>
  <c r="K260" i="62"/>
  <c r="J260" i="62"/>
  <c r="K259" i="62"/>
  <c r="J259" i="62"/>
  <c r="K258" i="62"/>
  <c r="J258" i="62"/>
  <c r="K257" i="62"/>
  <c r="J257" i="62"/>
  <c r="K256" i="62"/>
  <c r="J256" i="62"/>
  <c r="K255" i="62"/>
  <c r="J255" i="62"/>
  <c r="K254" i="62"/>
  <c r="J254" i="62"/>
  <c r="K253" i="62"/>
  <c r="J253" i="62"/>
  <c r="K252" i="62"/>
  <c r="J252" i="62"/>
  <c r="K251" i="62"/>
  <c r="J251" i="62"/>
  <c r="K250" i="62"/>
  <c r="J250" i="62"/>
  <c r="K249" i="62"/>
  <c r="J249" i="62"/>
  <c r="K248" i="62"/>
  <c r="J248" i="62"/>
  <c r="K247" i="62"/>
  <c r="J247" i="62"/>
  <c r="K246" i="62"/>
  <c r="J246" i="62"/>
  <c r="K245" i="62"/>
  <c r="J245" i="62"/>
  <c r="K244" i="62"/>
  <c r="J244" i="62"/>
  <c r="K243" i="62"/>
  <c r="J243" i="62"/>
  <c r="K242" i="62"/>
  <c r="J242" i="62"/>
  <c r="K241" i="62"/>
  <c r="J241" i="62"/>
  <c r="K240" i="62"/>
  <c r="J240" i="62"/>
  <c r="K239" i="62"/>
  <c r="J239" i="62"/>
  <c r="K238" i="62"/>
  <c r="J238" i="62"/>
  <c r="K237" i="62"/>
  <c r="J237" i="62"/>
  <c r="K236" i="62"/>
  <c r="J236" i="62"/>
  <c r="K235" i="62"/>
  <c r="J235" i="62"/>
  <c r="K234" i="62"/>
  <c r="J234" i="62"/>
  <c r="K233" i="62"/>
  <c r="J233" i="62"/>
  <c r="K232" i="62"/>
  <c r="J232" i="62"/>
  <c r="K231" i="62"/>
  <c r="J231" i="62"/>
  <c r="K230" i="62"/>
  <c r="J230" i="62"/>
  <c r="K229" i="62"/>
  <c r="J229" i="62"/>
  <c r="K228" i="62"/>
  <c r="J228" i="62"/>
  <c r="K227" i="62"/>
  <c r="J227" i="62"/>
  <c r="K226" i="62"/>
  <c r="J226" i="62"/>
  <c r="K225" i="62"/>
  <c r="J225" i="62"/>
  <c r="K224" i="62"/>
  <c r="J224" i="62"/>
  <c r="K223" i="62"/>
  <c r="J223" i="62"/>
  <c r="K222" i="62"/>
  <c r="J222" i="62"/>
  <c r="K221" i="62"/>
  <c r="J221" i="62"/>
  <c r="K220" i="62"/>
  <c r="J220" i="62"/>
  <c r="K219" i="62"/>
  <c r="J219" i="62"/>
  <c r="K218" i="62"/>
  <c r="J218" i="62"/>
  <c r="K217" i="62"/>
  <c r="J217" i="62"/>
  <c r="K216" i="62"/>
  <c r="J216" i="62"/>
  <c r="K215" i="62"/>
  <c r="J215" i="62"/>
  <c r="K214" i="62"/>
  <c r="J214" i="62"/>
  <c r="K213" i="62"/>
  <c r="J213" i="62"/>
  <c r="K212" i="62"/>
  <c r="J212" i="62"/>
  <c r="K211" i="62"/>
  <c r="J211" i="62"/>
  <c r="K210" i="62"/>
  <c r="J210" i="62"/>
  <c r="K209" i="62"/>
  <c r="J209" i="62"/>
  <c r="K208" i="62"/>
  <c r="J208" i="62"/>
  <c r="K207" i="62"/>
  <c r="J207" i="62"/>
  <c r="K206" i="62"/>
  <c r="J206" i="62"/>
  <c r="K205" i="62"/>
  <c r="J205" i="62"/>
  <c r="K204" i="62"/>
  <c r="J204" i="62"/>
  <c r="K203" i="62"/>
  <c r="J203" i="62"/>
  <c r="K202" i="62"/>
  <c r="J202" i="62"/>
  <c r="K201" i="62"/>
  <c r="J201" i="62"/>
  <c r="K200" i="62"/>
  <c r="J200" i="62"/>
  <c r="K199" i="62"/>
  <c r="J199" i="62"/>
  <c r="K198" i="62"/>
  <c r="J198" i="62"/>
  <c r="K197" i="62"/>
  <c r="J197" i="62"/>
  <c r="K196" i="62"/>
  <c r="J196" i="62"/>
  <c r="K195" i="62"/>
  <c r="J195" i="62"/>
  <c r="K194" i="62"/>
  <c r="J194" i="62"/>
  <c r="K193" i="62"/>
  <c r="J193" i="62"/>
  <c r="K192" i="62"/>
  <c r="J192" i="62"/>
  <c r="K191" i="62"/>
  <c r="J191" i="62"/>
  <c r="K190" i="62"/>
  <c r="J190" i="62"/>
  <c r="K189" i="62"/>
  <c r="J189" i="62"/>
  <c r="K188" i="62"/>
  <c r="J188" i="62"/>
  <c r="K187" i="62"/>
  <c r="J187" i="62"/>
  <c r="K186" i="62"/>
  <c r="J186" i="62"/>
  <c r="K185" i="62"/>
  <c r="J185" i="62"/>
  <c r="K184" i="62"/>
  <c r="J184" i="62"/>
  <c r="K183" i="62"/>
  <c r="J183" i="62"/>
  <c r="K182" i="62"/>
  <c r="J182" i="62"/>
  <c r="K181" i="62"/>
  <c r="J181" i="62"/>
  <c r="K180" i="62"/>
  <c r="J180" i="62"/>
  <c r="K179" i="62"/>
  <c r="J179" i="62"/>
  <c r="K178" i="62"/>
  <c r="J178" i="62"/>
  <c r="K177" i="62"/>
  <c r="J177" i="62"/>
  <c r="K176" i="62"/>
  <c r="J176" i="62"/>
  <c r="K175" i="62"/>
  <c r="J175" i="62"/>
  <c r="K174" i="62"/>
  <c r="J174" i="62"/>
  <c r="K173" i="62"/>
  <c r="J173" i="62"/>
  <c r="K172" i="62"/>
  <c r="J172" i="62"/>
  <c r="K171" i="62"/>
  <c r="J171" i="62"/>
  <c r="K170" i="62"/>
  <c r="J170" i="62"/>
  <c r="K169" i="62"/>
  <c r="J169" i="62"/>
  <c r="K168" i="62"/>
  <c r="J168" i="62"/>
  <c r="K167" i="62"/>
  <c r="J167" i="62"/>
  <c r="K166" i="62"/>
  <c r="J166" i="62"/>
  <c r="K165" i="62"/>
  <c r="J165" i="62"/>
  <c r="K164" i="62"/>
  <c r="J164" i="62"/>
  <c r="K163" i="62"/>
  <c r="J163" i="62"/>
  <c r="K162" i="62"/>
  <c r="J162" i="62"/>
  <c r="K161" i="62"/>
  <c r="J161" i="62"/>
  <c r="K160" i="62"/>
  <c r="J160" i="62"/>
  <c r="K159" i="62"/>
  <c r="J159" i="62"/>
  <c r="K158" i="62"/>
  <c r="J158" i="62"/>
  <c r="K157" i="62"/>
  <c r="J157" i="62"/>
  <c r="K156" i="62"/>
  <c r="J156" i="62"/>
  <c r="K155" i="62"/>
  <c r="J155" i="62"/>
  <c r="K154" i="62"/>
  <c r="J154" i="62"/>
  <c r="K153" i="62"/>
  <c r="J153" i="62"/>
  <c r="K152" i="62"/>
  <c r="J152" i="62"/>
  <c r="K151" i="62"/>
  <c r="J151" i="62"/>
  <c r="K150" i="62"/>
  <c r="J150" i="62"/>
  <c r="K149" i="62"/>
  <c r="J149" i="62"/>
  <c r="K148" i="62"/>
  <c r="J148" i="62"/>
  <c r="K147" i="62"/>
  <c r="J147" i="62"/>
  <c r="K146" i="62"/>
  <c r="J146" i="62"/>
  <c r="K145" i="62"/>
  <c r="J145" i="62"/>
  <c r="K144" i="62"/>
  <c r="J144" i="62"/>
  <c r="K143" i="62"/>
  <c r="J143" i="62"/>
  <c r="K142" i="62"/>
  <c r="J142" i="62"/>
  <c r="K141" i="62"/>
  <c r="J141" i="62"/>
  <c r="K140" i="62"/>
  <c r="J140" i="62"/>
  <c r="K139" i="62"/>
  <c r="J139" i="62"/>
  <c r="K138" i="62"/>
  <c r="J138" i="62"/>
  <c r="K137" i="62"/>
  <c r="J137" i="62"/>
  <c r="K136" i="62"/>
  <c r="J136" i="62"/>
  <c r="K135" i="62"/>
  <c r="J135" i="62"/>
  <c r="K134" i="62"/>
  <c r="J134" i="62"/>
  <c r="K133" i="62"/>
  <c r="J133" i="62"/>
  <c r="K132" i="62"/>
  <c r="J132" i="62"/>
  <c r="K131" i="62"/>
  <c r="J131" i="62"/>
  <c r="K130" i="62"/>
  <c r="J130" i="62"/>
  <c r="K129" i="62"/>
  <c r="J129" i="62"/>
  <c r="K128" i="62"/>
  <c r="J128" i="62"/>
  <c r="K127" i="62"/>
  <c r="J127" i="62"/>
  <c r="K126" i="62"/>
  <c r="J126" i="62"/>
  <c r="K125" i="62"/>
  <c r="J125" i="62"/>
  <c r="K124" i="62"/>
  <c r="J124" i="62"/>
  <c r="K123" i="62"/>
  <c r="J123" i="62"/>
  <c r="K122" i="62"/>
  <c r="J122" i="62"/>
  <c r="K121" i="62"/>
  <c r="J121" i="62"/>
  <c r="K120" i="62"/>
  <c r="J120" i="62"/>
  <c r="K119" i="62"/>
  <c r="J119" i="62"/>
  <c r="K118" i="62"/>
  <c r="J118" i="62"/>
  <c r="K117" i="62"/>
  <c r="J117" i="62"/>
  <c r="K116" i="62"/>
  <c r="J116" i="62"/>
  <c r="K115" i="62"/>
  <c r="J115" i="62"/>
  <c r="K114" i="62"/>
  <c r="J114" i="62"/>
  <c r="K113" i="62"/>
  <c r="J113" i="62"/>
  <c r="K112" i="62"/>
  <c r="J112" i="62"/>
  <c r="K111" i="62"/>
  <c r="J111" i="62"/>
  <c r="K110" i="62"/>
  <c r="J110" i="62"/>
  <c r="K109" i="62"/>
  <c r="J109" i="62"/>
  <c r="K108" i="62"/>
  <c r="J108" i="62"/>
  <c r="K107" i="62"/>
  <c r="J107" i="62"/>
  <c r="K106" i="62"/>
  <c r="J106" i="62"/>
  <c r="K105" i="62"/>
  <c r="J105" i="62"/>
  <c r="K104" i="62"/>
  <c r="J104" i="62"/>
  <c r="K103" i="62"/>
  <c r="J103" i="62"/>
  <c r="K102" i="62"/>
  <c r="J102" i="62"/>
  <c r="K101" i="62"/>
  <c r="J101" i="62"/>
  <c r="K100" i="62"/>
  <c r="J100" i="62"/>
  <c r="K99" i="62"/>
  <c r="J99" i="62"/>
  <c r="K98" i="62"/>
  <c r="J98" i="62"/>
  <c r="K97" i="62"/>
  <c r="J97" i="62"/>
  <c r="K96" i="62"/>
  <c r="J96" i="62"/>
  <c r="K95" i="62"/>
  <c r="J95" i="62"/>
  <c r="K94" i="62"/>
  <c r="J94" i="62"/>
  <c r="K93" i="62"/>
  <c r="J93" i="62"/>
  <c r="K92" i="62"/>
  <c r="J92" i="62"/>
  <c r="K91" i="62"/>
  <c r="J91" i="62"/>
  <c r="K90" i="62"/>
  <c r="J90" i="62"/>
  <c r="K89" i="62"/>
  <c r="J89" i="62"/>
  <c r="K88" i="62"/>
  <c r="J88" i="62"/>
  <c r="K87" i="62"/>
  <c r="J87" i="62"/>
  <c r="K86" i="62"/>
  <c r="J86" i="62"/>
  <c r="K85" i="62"/>
  <c r="J85" i="62"/>
  <c r="K84" i="62"/>
  <c r="J84" i="62"/>
  <c r="K83" i="62"/>
  <c r="J83" i="62"/>
  <c r="K82" i="62"/>
  <c r="J82" i="62"/>
  <c r="K81" i="62"/>
  <c r="J81" i="62"/>
  <c r="K80" i="62"/>
  <c r="J80" i="62"/>
  <c r="K79" i="62"/>
  <c r="J79" i="62"/>
  <c r="K78" i="62"/>
  <c r="J78" i="62"/>
  <c r="K77" i="62"/>
  <c r="J77" i="62"/>
  <c r="K76" i="62"/>
  <c r="J76" i="62"/>
  <c r="K75" i="62"/>
  <c r="J75" i="62"/>
  <c r="K74" i="62"/>
  <c r="J74" i="62"/>
  <c r="K73" i="62"/>
  <c r="J73" i="62"/>
  <c r="K72" i="62"/>
  <c r="J72" i="62"/>
  <c r="K71" i="62"/>
  <c r="J71" i="62"/>
  <c r="K70" i="62"/>
  <c r="J70" i="62"/>
  <c r="K69" i="62"/>
  <c r="J69" i="62"/>
  <c r="K68" i="62"/>
  <c r="J68" i="62"/>
  <c r="K67" i="62"/>
  <c r="J67" i="62"/>
  <c r="K66" i="62"/>
  <c r="J66" i="62"/>
  <c r="K65" i="62"/>
  <c r="J65" i="62"/>
  <c r="K64" i="62"/>
  <c r="J64" i="62"/>
  <c r="K63" i="62"/>
  <c r="J63" i="62"/>
  <c r="K62" i="62"/>
  <c r="J62" i="62"/>
  <c r="K61" i="62"/>
  <c r="J61" i="62"/>
  <c r="K60" i="62"/>
  <c r="J60" i="62"/>
  <c r="K59" i="62"/>
  <c r="J59" i="62"/>
  <c r="K58" i="62"/>
  <c r="J58" i="62"/>
  <c r="K57" i="62"/>
  <c r="J57" i="62"/>
  <c r="K56" i="62"/>
  <c r="J56" i="62"/>
  <c r="K55" i="62"/>
  <c r="J55" i="62"/>
  <c r="K54" i="62"/>
  <c r="J54" i="62"/>
  <c r="K53" i="62"/>
  <c r="J53" i="62"/>
  <c r="K52" i="62"/>
  <c r="J52" i="62"/>
  <c r="K51" i="62"/>
  <c r="J51" i="62"/>
  <c r="K50" i="62"/>
  <c r="J50" i="62"/>
  <c r="K49" i="62"/>
  <c r="J49" i="62"/>
  <c r="K48" i="62"/>
  <c r="J48" i="62"/>
  <c r="K47" i="62"/>
  <c r="J47" i="62"/>
  <c r="K46" i="62"/>
  <c r="J46" i="62"/>
  <c r="K45" i="62"/>
  <c r="J45" i="62"/>
  <c r="K44" i="62"/>
  <c r="J44" i="62"/>
  <c r="K43" i="62"/>
  <c r="J43" i="62"/>
  <c r="K42" i="62"/>
  <c r="J42" i="62"/>
  <c r="K41" i="62"/>
  <c r="J41" i="62"/>
  <c r="K40" i="62"/>
  <c r="J40" i="62"/>
  <c r="K39" i="62"/>
  <c r="J39" i="62"/>
  <c r="K38" i="62"/>
  <c r="J38" i="62"/>
  <c r="K37" i="62"/>
  <c r="J37" i="62"/>
  <c r="K36" i="62"/>
  <c r="J36" i="62"/>
  <c r="K35" i="62"/>
  <c r="J35" i="62"/>
  <c r="K34" i="62"/>
  <c r="J34" i="62"/>
  <c r="K33" i="62"/>
  <c r="J33" i="62"/>
  <c r="K32" i="62"/>
  <c r="J32" i="62"/>
  <c r="K31" i="62"/>
  <c r="J31" i="62"/>
  <c r="K30" i="62"/>
  <c r="J30" i="62"/>
  <c r="K29" i="62"/>
  <c r="J29" i="62"/>
  <c r="K28" i="62"/>
  <c r="J28" i="62"/>
  <c r="K27" i="62"/>
  <c r="J27" i="62"/>
  <c r="K26" i="62"/>
  <c r="J26" i="62"/>
  <c r="K25" i="62"/>
  <c r="J25" i="62"/>
  <c r="K24" i="62"/>
  <c r="J24" i="62"/>
  <c r="K23" i="62"/>
  <c r="J23" i="62"/>
  <c r="K22" i="62"/>
  <c r="J22" i="62"/>
  <c r="K21" i="62"/>
  <c r="J21" i="62"/>
  <c r="K20" i="62"/>
  <c r="J20" i="62"/>
  <c r="K19" i="62"/>
  <c r="J19" i="62"/>
  <c r="K18" i="62"/>
  <c r="J18" i="62"/>
  <c r="K17" i="62"/>
  <c r="J17" i="62"/>
  <c r="K16" i="62"/>
  <c r="J16" i="62"/>
  <c r="K15" i="62"/>
  <c r="J15" i="62"/>
  <c r="K14" i="62"/>
  <c r="J14" i="62"/>
  <c r="K13" i="62"/>
  <c r="J13" i="62"/>
  <c r="K12" i="62"/>
  <c r="J12" i="62"/>
  <c r="K11" i="62"/>
  <c r="J11" i="62"/>
  <c r="K10" i="62"/>
  <c r="J10" i="62"/>
  <c r="K9" i="62"/>
  <c r="J9" i="62"/>
  <c r="K8" i="62"/>
  <c r="J8" i="62"/>
  <c r="K7" i="62"/>
  <c r="J7" i="62"/>
  <c r="K6" i="62"/>
  <c r="J6" i="62"/>
  <c r="K3" i="62"/>
  <c r="I3" i="62"/>
  <c r="H3" i="62"/>
  <c r="K496" i="59"/>
  <c r="J496" i="59"/>
  <c r="K495" i="59"/>
  <c r="J495" i="59"/>
  <c r="K494" i="59"/>
  <c r="J494" i="59"/>
  <c r="K493" i="59"/>
  <c r="J493" i="59"/>
  <c r="K492" i="59"/>
  <c r="J492" i="59"/>
  <c r="K491" i="59"/>
  <c r="J491" i="59"/>
  <c r="K490" i="59"/>
  <c r="J490" i="59"/>
  <c r="K489" i="59"/>
  <c r="J489" i="59"/>
  <c r="K488" i="59"/>
  <c r="J488" i="59"/>
  <c r="K487" i="59"/>
  <c r="J487" i="59"/>
  <c r="K486" i="59"/>
  <c r="J486" i="59"/>
  <c r="K485" i="59"/>
  <c r="J485" i="59"/>
  <c r="K484" i="59"/>
  <c r="J484" i="59"/>
  <c r="K483" i="59"/>
  <c r="J483" i="59"/>
  <c r="K482" i="59"/>
  <c r="J482" i="59"/>
  <c r="K481" i="59"/>
  <c r="J481" i="59"/>
  <c r="K480" i="59"/>
  <c r="J480" i="59"/>
  <c r="K479" i="59"/>
  <c r="J479" i="59"/>
  <c r="K478" i="59"/>
  <c r="J478" i="59"/>
  <c r="K477" i="59"/>
  <c r="J477" i="59"/>
  <c r="K476" i="59"/>
  <c r="J476" i="59"/>
  <c r="K475" i="59"/>
  <c r="J475" i="59"/>
  <c r="K474" i="59"/>
  <c r="J474" i="59"/>
  <c r="K473" i="59"/>
  <c r="J473" i="59"/>
  <c r="K472" i="59"/>
  <c r="J472" i="59"/>
  <c r="K471" i="59"/>
  <c r="J471" i="59"/>
  <c r="K470" i="59"/>
  <c r="J470" i="59"/>
  <c r="K469" i="59"/>
  <c r="J469" i="59"/>
  <c r="K468" i="59"/>
  <c r="J468" i="59"/>
  <c r="K467" i="59"/>
  <c r="J467" i="59"/>
  <c r="K466" i="59"/>
  <c r="J466" i="59"/>
  <c r="K465" i="59"/>
  <c r="J465" i="59"/>
  <c r="K464" i="59"/>
  <c r="J464" i="59"/>
  <c r="K463" i="59"/>
  <c r="J463" i="59"/>
  <c r="K462" i="59"/>
  <c r="J462" i="59"/>
  <c r="K461" i="59"/>
  <c r="J461" i="59"/>
  <c r="K460" i="59"/>
  <c r="J460" i="59"/>
  <c r="K459" i="59"/>
  <c r="J459" i="59"/>
  <c r="K458" i="59"/>
  <c r="J458" i="59"/>
  <c r="K457" i="59"/>
  <c r="J457" i="59"/>
  <c r="K456" i="59"/>
  <c r="J456" i="59"/>
  <c r="K455" i="59"/>
  <c r="J455" i="59"/>
  <c r="K454" i="59"/>
  <c r="J454" i="59"/>
  <c r="K453" i="59"/>
  <c r="J453" i="59"/>
  <c r="K452" i="59"/>
  <c r="J452" i="59"/>
  <c r="K451" i="59"/>
  <c r="J451" i="59"/>
  <c r="K450" i="59"/>
  <c r="J450" i="59"/>
  <c r="K449" i="59"/>
  <c r="J449" i="59"/>
  <c r="K448" i="59"/>
  <c r="J448" i="59"/>
  <c r="K447" i="59"/>
  <c r="J447" i="59"/>
  <c r="K446" i="59"/>
  <c r="J446" i="59"/>
  <c r="K445" i="59"/>
  <c r="J445" i="59"/>
  <c r="K444" i="59"/>
  <c r="J444" i="59"/>
  <c r="K443" i="59"/>
  <c r="J443" i="59"/>
  <c r="K442" i="59"/>
  <c r="J442" i="59"/>
  <c r="K441" i="59"/>
  <c r="J441" i="59"/>
  <c r="K440" i="59"/>
  <c r="J440" i="59"/>
  <c r="K439" i="59"/>
  <c r="J439" i="59"/>
  <c r="K438" i="59"/>
  <c r="J438" i="59"/>
  <c r="K437" i="59"/>
  <c r="J437" i="59"/>
  <c r="K436" i="59"/>
  <c r="J436" i="59"/>
  <c r="K435" i="59"/>
  <c r="J435" i="59"/>
  <c r="K434" i="59"/>
  <c r="J434" i="59"/>
  <c r="K433" i="59"/>
  <c r="J433" i="59"/>
  <c r="K432" i="59"/>
  <c r="J432" i="59"/>
  <c r="K431" i="59"/>
  <c r="J431" i="59"/>
  <c r="K430" i="59"/>
  <c r="J430" i="59"/>
  <c r="K429" i="59"/>
  <c r="J429" i="59"/>
  <c r="K428" i="59"/>
  <c r="J428" i="59"/>
  <c r="K427" i="59"/>
  <c r="J427" i="59"/>
  <c r="K426" i="59"/>
  <c r="J426" i="59"/>
  <c r="K425" i="59"/>
  <c r="J425" i="59"/>
  <c r="K424" i="59"/>
  <c r="J424" i="59"/>
  <c r="K423" i="59"/>
  <c r="J423" i="59"/>
  <c r="K422" i="59"/>
  <c r="J422" i="59"/>
  <c r="K421" i="59"/>
  <c r="J421" i="59"/>
  <c r="K420" i="59"/>
  <c r="J420" i="59"/>
  <c r="K419" i="59"/>
  <c r="J419" i="59"/>
  <c r="K418" i="59"/>
  <c r="J418" i="59"/>
  <c r="K417" i="59"/>
  <c r="J417" i="59"/>
  <c r="K416" i="59"/>
  <c r="J416" i="59"/>
  <c r="K415" i="59"/>
  <c r="J415" i="59"/>
  <c r="K414" i="59"/>
  <c r="J414" i="59"/>
  <c r="K413" i="59"/>
  <c r="J413" i="59"/>
  <c r="K412" i="59"/>
  <c r="J412" i="59"/>
  <c r="K411" i="59"/>
  <c r="J411" i="59"/>
  <c r="K410" i="59"/>
  <c r="J410" i="59"/>
  <c r="K409" i="59"/>
  <c r="J409" i="59"/>
  <c r="K408" i="59"/>
  <c r="J408" i="59"/>
  <c r="K407" i="59"/>
  <c r="J407" i="59"/>
  <c r="K406" i="59"/>
  <c r="J406" i="59"/>
  <c r="K405" i="59"/>
  <c r="J405" i="59"/>
  <c r="K404" i="59"/>
  <c r="J404" i="59"/>
  <c r="K403" i="59"/>
  <c r="J403" i="59"/>
  <c r="K402" i="59"/>
  <c r="J402" i="59"/>
  <c r="K401" i="59"/>
  <c r="J401" i="59"/>
  <c r="K400" i="59"/>
  <c r="J400" i="59"/>
  <c r="K399" i="59"/>
  <c r="J399" i="59"/>
  <c r="K398" i="59"/>
  <c r="J398" i="59"/>
  <c r="K397" i="59"/>
  <c r="J397" i="59"/>
  <c r="K396" i="59"/>
  <c r="J396" i="59"/>
  <c r="K395" i="59"/>
  <c r="J395" i="59"/>
  <c r="K394" i="59"/>
  <c r="J394" i="59"/>
  <c r="K393" i="59"/>
  <c r="J393" i="59"/>
  <c r="K392" i="59"/>
  <c r="J392" i="59"/>
  <c r="K391" i="59"/>
  <c r="J391" i="59"/>
  <c r="K390" i="59"/>
  <c r="J390" i="59"/>
  <c r="K389" i="59"/>
  <c r="J389" i="59"/>
  <c r="K388" i="59"/>
  <c r="J388" i="59"/>
  <c r="K387" i="59"/>
  <c r="J387" i="59"/>
  <c r="K386" i="59"/>
  <c r="J386" i="59"/>
  <c r="K385" i="59"/>
  <c r="J385" i="59"/>
  <c r="K384" i="59"/>
  <c r="J384" i="59"/>
  <c r="K383" i="59"/>
  <c r="J383" i="59"/>
  <c r="K382" i="59"/>
  <c r="J382" i="59"/>
  <c r="K381" i="59"/>
  <c r="J381" i="59"/>
  <c r="K380" i="59"/>
  <c r="J380" i="59"/>
  <c r="K379" i="59"/>
  <c r="J379" i="59"/>
  <c r="K378" i="59"/>
  <c r="J378" i="59"/>
  <c r="K377" i="59"/>
  <c r="J377" i="59"/>
  <c r="K376" i="59"/>
  <c r="J376" i="59"/>
  <c r="K375" i="59"/>
  <c r="J375" i="59"/>
  <c r="K374" i="59"/>
  <c r="J374" i="59"/>
  <c r="K373" i="59"/>
  <c r="J373" i="59"/>
  <c r="K372" i="59"/>
  <c r="J372" i="59"/>
  <c r="K371" i="59"/>
  <c r="J371" i="59"/>
  <c r="K370" i="59"/>
  <c r="J370" i="59"/>
  <c r="K369" i="59"/>
  <c r="J369" i="59"/>
  <c r="K368" i="59"/>
  <c r="J368" i="59"/>
  <c r="K367" i="59"/>
  <c r="J367" i="59"/>
  <c r="K366" i="59"/>
  <c r="J366" i="59"/>
  <c r="K365" i="59"/>
  <c r="J365" i="59"/>
  <c r="K364" i="59"/>
  <c r="J364" i="59"/>
  <c r="K363" i="59"/>
  <c r="J363" i="59"/>
  <c r="K362" i="59"/>
  <c r="J362" i="59"/>
  <c r="K361" i="59"/>
  <c r="J361" i="59"/>
  <c r="K360" i="59"/>
  <c r="J360" i="59"/>
  <c r="K359" i="59"/>
  <c r="J359" i="59"/>
  <c r="K358" i="59"/>
  <c r="J358" i="59"/>
  <c r="K357" i="59"/>
  <c r="J357" i="59"/>
  <c r="K356" i="59"/>
  <c r="J356" i="59"/>
  <c r="K355" i="59"/>
  <c r="J355" i="59"/>
  <c r="K354" i="59"/>
  <c r="J354" i="59"/>
  <c r="K353" i="59"/>
  <c r="J353" i="59"/>
  <c r="K352" i="59"/>
  <c r="J352" i="59"/>
  <c r="K351" i="59"/>
  <c r="J351" i="59"/>
  <c r="K350" i="59"/>
  <c r="J350" i="59"/>
  <c r="K349" i="59"/>
  <c r="J349" i="59"/>
  <c r="K348" i="59"/>
  <c r="J348" i="59"/>
  <c r="K347" i="59"/>
  <c r="J347" i="59"/>
  <c r="K346" i="59"/>
  <c r="J346" i="59"/>
  <c r="K345" i="59"/>
  <c r="J345" i="59"/>
  <c r="K344" i="59"/>
  <c r="J344" i="59"/>
  <c r="K343" i="59"/>
  <c r="J343" i="59"/>
  <c r="K342" i="59"/>
  <c r="J342" i="59"/>
  <c r="K341" i="59"/>
  <c r="J341" i="59"/>
  <c r="K340" i="59"/>
  <c r="J340" i="59"/>
  <c r="K339" i="59"/>
  <c r="J339" i="59"/>
  <c r="K338" i="59"/>
  <c r="J338" i="59"/>
  <c r="K337" i="59"/>
  <c r="J337" i="59"/>
  <c r="K336" i="59"/>
  <c r="J336" i="59"/>
  <c r="K335" i="59"/>
  <c r="J335" i="59"/>
  <c r="K334" i="59"/>
  <c r="J334" i="59"/>
  <c r="K333" i="59"/>
  <c r="J333" i="59"/>
  <c r="K332" i="59"/>
  <c r="J332" i="59"/>
  <c r="K331" i="59"/>
  <c r="J331" i="59"/>
  <c r="K330" i="59"/>
  <c r="J330" i="59"/>
  <c r="K329" i="59"/>
  <c r="J329" i="59"/>
  <c r="K328" i="59"/>
  <c r="J328" i="59"/>
  <c r="K327" i="59"/>
  <c r="J327" i="59"/>
  <c r="K326" i="59"/>
  <c r="J326" i="59"/>
  <c r="K325" i="59"/>
  <c r="J325" i="59"/>
  <c r="K324" i="59"/>
  <c r="J324" i="59"/>
  <c r="K323" i="59"/>
  <c r="J323" i="59"/>
  <c r="K322" i="59"/>
  <c r="J322" i="59"/>
  <c r="K321" i="59"/>
  <c r="J321" i="59"/>
  <c r="K320" i="59"/>
  <c r="J320" i="59"/>
  <c r="K319" i="59"/>
  <c r="J319" i="59"/>
  <c r="K318" i="59"/>
  <c r="J318" i="59"/>
  <c r="K317" i="59"/>
  <c r="J317" i="59"/>
  <c r="K316" i="59"/>
  <c r="J316" i="59"/>
  <c r="K315" i="59"/>
  <c r="J315" i="59"/>
  <c r="K314" i="59"/>
  <c r="J314" i="59"/>
  <c r="K313" i="59"/>
  <c r="J313" i="59"/>
  <c r="K312" i="59"/>
  <c r="J312" i="59"/>
  <c r="K311" i="59"/>
  <c r="J311" i="59"/>
  <c r="K310" i="59"/>
  <c r="J310" i="59"/>
  <c r="K309" i="59"/>
  <c r="J309" i="59"/>
  <c r="K308" i="59"/>
  <c r="J308" i="59"/>
  <c r="K307" i="59"/>
  <c r="J307" i="59"/>
  <c r="K306" i="59"/>
  <c r="J306" i="59"/>
  <c r="K305" i="59"/>
  <c r="J305" i="59"/>
  <c r="K304" i="59"/>
  <c r="J304" i="59"/>
  <c r="K303" i="59"/>
  <c r="J303" i="59"/>
  <c r="K302" i="59"/>
  <c r="J302" i="59"/>
  <c r="K301" i="59"/>
  <c r="J301" i="59"/>
  <c r="K300" i="59"/>
  <c r="J300" i="59"/>
  <c r="K299" i="59"/>
  <c r="J299" i="59"/>
  <c r="K298" i="59"/>
  <c r="J298" i="59"/>
  <c r="K297" i="59"/>
  <c r="J297" i="59"/>
  <c r="K296" i="59"/>
  <c r="J296" i="59"/>
  <c r="K295" i="59"/>
  <c r="J295" i="59"/>
  <c r="K294" i="59"/>
  <c r="J294" i="59"/>
  <c r="K293" i="59"/>
  <c r="J293" i="59"/>
  <c r="K292" i="59"/>
  <c r="J292" i="59"/>
  <c r="K291" i="59"/>
  <c r="J291" i="59"/>
  <c r="K290" i="59"/>
  <c r="J290" i="59"/>
  <c r="K289" i="59"/>
  <c r="J289" i="59"/>
  <c r="K288" i="59"/>
  <c r="J288" i="59"/>
  <c r="K287" i="59"/>
  <c r="J287" i="59"/>
  <c r="K286" i="59"/>
  <c r="J286" i="59"/>
  <c r="K285" i="59"/>
  <c r="J285" i="59"/>
  <c r="K284" i="59"/>
  <c r="J284" i="59"/>
  <c r="K283" i="59"/>
  <c r="J283" i="59"/>
  <c r="K282" i="59"/>
  <c r="J282" i="59"/>
  <c r="K281" i="59"/>
  <c r="J281" i="59"/>
  <c r="K280" i="59"/>
  <c r="J280" i="59"/>
  <c r="K279" i="59"/>
  <c r="J279" i="59"/>
  <c r="K278" i="59"/>
  <c r="J278" i="59"/>
  <c r="K277" i="59"/>
  <c r="J277" i="59"/>
  <c r="K276" i="59"/>
  <c r="J276" i="59"/>
  <c r="K275" i="59"/>
  <c r="J275" i="59"/>
  <c r="K274" i="59"/>
  <c r="J274" i="59"/>
  <c r="K273" i="59"/>
  <c r="J273" i="59"/>
  <c r="K272" i="59"/>
  <c r="J272" i="59"/>
  <c r="K271" i="59"/>
  <c r="J271" i="59"/>
  <c r="K270" i="59"/>
  <c r="J270" i="59"/>
  <c r="K269" i="59"/>
  <c r="J269" i="59"/>
  <c r="K268" i="59"/>
  <c r="J268" i="59"/>
  <c r="K267" i="59"/>
  <c r="J267" i="59"/>
  <c r="K266" i="59"/>
  <c r="J266" i="59"/>
  <c r="K265" i="59"/>
  <c r="J265" i="59"/>
  <c r="K264" i="59"/>
  <c r="J264" i="59"/>
  <c r="K263" i="59"/>
  <c r="J263" i="59"/>
  <c r="K262" i="59"/>
  <c r="J262" i="59"/>
  <c r="K261" i="59"/>
  <c r="J261" i="59"/>
  <c r="K260" i="59"/>
  <c r="J260" i="59"/>
  <c r="K259" i="59"/>
  <c r="J259" i="59"/>
  <c r="K258" i="59"/>
  <c r="J258" i="59"/>
  <c r="K257" i="59"/>
  <c r="J257" i="59"/>
  <c r="K256" i="59"/>
  <c r="J256" i="59"/>
  <c r="K255" i="59"/>
  <c r="J255" i="59"/>
  <c r="K254" i="59"/>
  <c r="J254" i="59"/>
  <c r="K253" i="59"/>
  <c r="J253" i="59"/>
  <c r="K252" i="59"/>
  <c r="J252" i="59"/>
  <c r="K251" i="59"/>
  <c r="J251" i="59"/>
  <c r="K250" i="59"/>
  <c r="J250" i="59"/>
  <c r="K249" i="59"/>
  <c r="J249" i="59"/>
  <c r="K248" i="59"/>
  <c r="J248" i="59"/>
  <c r="K247" i="59"/>
  <c r="J247" i="59"/>
  <c r="K246" i="59"/>
  <c r="J246" i="59"/>
  <c r="K245" i="59"/>
  <c r="J245" i="59"/>
  <c r="K244" i="59"/>
  <c r="J244" i="59"/>
  <c r="K243" i="59"/>
  <c r="J243" i="59"/>
  <c r="K242" i="59"/>
  <c r="J242" i="59"/>
  <c r="K241" i="59"/>
  <c r="J241" i="59"/>
  <c r="K240" i="59"/>
  <c r="J240" i="59"/>
  <c r="K239" i="59"/>
  <c r="J239" i="59"/>
  <c r="K238" i="59"/>
  <c r="J238" i="59"/>
  <c r="K237" i="59"/>
  <c r="J237" i="59"/>
  <c r="K236" i="59"/>
  <c r="J236" i="59"/>
  <c r="K235" i="59"/>
  <c r="J235" i="59"/>
  <c r="K234" i="59"/>
  <c r="J234" i="59"/>
  <c r="K233" i="59"/>
  <c r="J233" i="59"/>
  <c r="K232" i="59"/>
  <c r="J232" i="59"/>
  <c r="K231" i="59"/>
  <c r="J231" i="59"/>
  <c r="K230" i="59"/>
  <c r="J230" i="59"/>
  <c r="K229" i="59"/>
  <c r="J229" i="59"/>
  <c r="K228" i="59"/>
  <c r="J228" i="59"/>
  <c r="K227" i="59"/>
  <c r="J227" i="59"/>
  <c r="K226" i="59"/>
  <c r="J226" i="59"/>
  <c r="K225" i="59"/>
  <c r="J225" i="59"/>
  <c r="K224" i="59"/>
  <c r="J224" i="59"/>
  <c r="K223" i="59"/>
  <c r="J223" i="59"/>
  <c r="K222" i="59"/>
  <c r="J222" i="59"/>
  <c r="K221" i="59"/>
  <c r="J221" i="59"/>
  <c r="K220" i="59"/>
  <c r="J220" i="59"/>
  <c r="K219" i="59"/>
  <c r="J219" i="59"/>
  <c r="K218" i="59"/>
  <c r="J218" i="59"/>
  <c r="K217" i="59"/>
  <c r="J217" i="59"/>
  <c r="K216" i="59"/>
  <c r="J216" i="59"/>
  <c r="K215" i="59"/>
  <c r="J215" i="59"/>
  <c r="K214" i="59"/>
  <c r="J214" i="59"/>
  <c r="K213" i="59"/>
  <c r="J213" i="59"/>
  <c r="K212" i="59"/>
  <c r="J212" i="59"/>
  <c r="K211" i="59"/>
  <c r="J211" i="59"/>
  <c r="K210" i="59"/>
  <c r="J210" i="59"/>
  <c r="K209" i="59"/>
  <c r="J209" i="59"/>
  <c r="K208" i="59"/>
  <c r="J208" i="59"/>
  <c r="K207" i="59"/>
  <c r="J207" i="59"/>
  <c r="K206" i="59"/>
  <c r="J206" i="59"/>
  <c r="K205" i="59"/>
  <c r="J205" i="59"/>
  <c r="K204" i="59"/>
  <c r="J204" i="59"/>
  <c r="K203" i="59"/>
  <c r="J203" i="59"/>
  <c r="K202" i="59"/>
  <c r="J202" i="59"/>
  <c r="K201" i="59"/>
  <c r="J201" i="59"/>
  <c r="K200" i="59"/>
  <c r="J200" i="59"/>
  <c r="K199" i="59"/>
  <c r="J199" i="59"/>
  <c r="K198" i="59"/>
  <c r="J198" i="59"/>
  <c r="K197" i="59"/>
  <c r="J197" i="59"/>
  <c r="K196" i="59"/>
  <c r="J196" i="59"/>
  <c r="K195" i="59"/>
  <c r="J195" i="59"/>
  <c r="K194" i="59"/>
  <c r="J194" i="59"/>
  <c r="K193" i="59"/>
  <c r="J193" i="59"/>
  <c r="K192" i="59"/>
  <c r="J192" i="59"/>
  <c r="K191" i="59"/>
  <c r="J191" i="59"/>
  <c r="K190" i="59"/>
  <c r="J190" i="59"/>
  <c r="K189" i="59"/>
  <c r="J189" i="59"/>
  <c r="K188" i="59"/>
  <c r="J188" i="59"/>
  <c r="K187" i="59"/>
  <c r="J187" i="59"/>
  <c r="K186" i="59"/>
  <c r="J186" i="59"/>
  <c r="K185" i="59"/>
  <c r="J185" i="59"/>
  <c r="K184" i="59"/>
  <c r="J184" i="59"/>
  <c r="K183" i="59"/>
  <c r="J183" i="59"/>
  <c r="K182" i="59"/>
  <c r="J182" i="59"/>
  <c r="K181" i="59"/>
  <c r="J181" i="59"/>
  <c r="K180" i="59"/>
  <c r="J180" i="59"/>
  <c r="K179" i="59"/>
  <c r="J179" i="59"/>
  <c r="K178" i="59"/>
  <c r="J178" i="59"/>
  <c r="K177" i="59"/>
  <c r="J177" i="59"/>
  <c r="K176" i="59"/>
  <c r="J176" i="59"/>
  <c r="K175" i="59"/>
  <c r="J175" i="59"/>
  <c r="K174" i="59"/>
  <c r="J174" i="59"/>
  <c r="K173" i="59"/>
  <c r="J173" i="59"/>
  <c r="K172" i="59"/>
  <c r="J172" i="59"/>
  <c r="K171" i="59"/>
  <c r="J171" i="59"/>
  <c r="K170" i="59"/>
  <c r="J170" i="59"/>
  <c r="K169" i="59"/>
  <c r="J169" i="59"/>
  <c r="K168" i="59"/>
  <c r="J168" i="59"/>
  <c r="K167" i="59"/>
  <c r="J167" i="59"/>
  <c r="K166" i="59"/>
  <c r="J166" i="59"/>
  <c r="K165" i="59"/>
  <c r="J165" i="59"/>
  <c r="K164" i="59"/>
  <c r="J164" i="59"/>
  <c r="K163" i="59"/>
  <c r="J163" i="59"/>
  <c r="K162" i="59"/>
  <c r="J162" i="59"/>
  <c r="K161" i="59"/>
  <c r="J161" i="59"/>
  <c r="K160" i="59"/>
  <c r="J160" i="59"/>
  <c r="K159" i="59"/>
  <c r="J159" i="59"/>
  <c r="K158" i="59"/>
  <c r="J158" i="59"/>
  <c r="K157" i="59"/>
  <c r="J157" i="59"/>
  <c r="K156" i="59"/>
  <c r="J156" i="59"/>
  <c r="K155" i="59"/>
  <c r="J155" i="59"/>
  <c r="K154" i="59"/>
  <c r="J154" i="59"/>
  <c r="K153" i="59"/>
  <c r="J153" i="59"/>
  <c r="K152" i="59"/>
  <c r="J152" i="59"/>
  <c r="K151" i="59"/>
  <c r="J151" i="59"/>
  <c r="K150" i="59"/>
  <c r="J150" i="59"/>
  <c r="K149" i="59"/>
  <c r="J149" i="59"/>
  <c r="K148" i="59"/>
  <c r="J148" i="59"/>
  <c r="K147" i="59"/>
  <c r="J147" i="59"/>
  <c r="K146" i="59"/>
  <c r="J146" i="59"/>
  <c r="K145" i="59"/>
  <c r="J145" i="59"/>
  <c r="K144" i="59"/>
  <c r="J144" i="59"/>
  <c r="K143" i="59"/>
  <c r="J143" i="59"/>
  <c r="K142" i="59"/>
  <c r="J142" i="59"/>
  <c r="K141" i="59"/>
  <c r="J141" i="59"/>
  <c r="K140" i="59"/>
  <c r="J140" i="59"/>
  <c r="K139" i="59"/>
  <c r="J139" i="59"/>
  <c r="K138" i="59"/>
  <c r="J138" i="59"/>
  <c r="K137" i="59"/>
  <c r="J137" i="59"/>
  <c r="K136" i="59"/>
  <c r="J136" i="59"/>
  <c r="K135" i="59"/>
  <c r="J135" i="59"/>
  <c r="K134" i="59"/>
  <c r="J134" i="59"/>
  <c r="K133" i="59"/>
  <c r="J133" i="59"/>
  <c r="K132" i="59"/>
  <c r="J132" i="59"/>
  <c r="K131" i="59"/>
  <c r="J131" i="59"/>
  <c r="K130" i="59"/>
  <c r="J130" i="59"/>
  <c r="K129" i="59"/>
  <c r="J129" i="59"/>
  <c r="K128" i="59"/>
  <c r="J128" i="59"/>
  <c r="K127" i="59"/>
  <c r="J127" i="59"/>
  <c r="K126" i="59"/>
  <c r="J126" i="59"/>
  <c r="K125" i="59"/>
  <c r="J125" i="59"/>
  <c r="K124" i="59"/>
  <c r="J124" i="59"/>
  <c r="K123" i="59"/>
  <c r="J123" i="59"/>
  <c r="K122" i="59"/>
  <c r="J122" i="59"/>
  <c r="K121" i="59"/>
  <c r="J121" i="59"/>
  <c r="K120" i="59"/>
  <c r="J120" i="59"/>
  <c r="K119" i="59"/>
  <c r="J119" i="59"/>
  <c r="K118" i="59"/>
  <c r="J118" i="59"/>
  <c r="K117" i="59"/>
  <c r="J117" i="59"/>
  <c r="K116" i="59"/>
  <c r="J116" i="59"/>
  <c r="K115" i="59"/>
  <c r="J115" i="59"/>
  <c r="K114" i="59"/>
  <c r="J114" i="59"/>
  <c r="K113" i="59"/>
  <c r="J113" i="59"/>
  <c r="K112" i="59"/>
  <c r="J112" i="59"/>
  <c r="K111" i="59"/>
  <c r="J111" i="59"/>
  <c r="K110" i="59"/>
  <c r="J110" i="59"/>
  <c r="K109" i="59"/>
  <c r="J109" i="59"/>
  <c r="K108" i="59"/>
  <c r="J108" i="59"/>
  <c r="K107" i="59"/>
  <c r="J107" i="59"/>
  <c r="K106" i="59"/>
  <c r="J106" i="59"/>
  <c r="K105" i="59"/>
  <c r="J105" i="59"/>
  <c r="K104" i="59"/>
  <c r="J104" i="59"/>
  <c r="K103" i="59"/>
  <c r="J103" i="59"/>
  <c r="K102" i="59"/>
  <c r="J102" i="59"/>
  <c r="K101" i="59"/>
  <c r="J101" i="59"/>
  <c r="K100" i="59"/>
  <c r="J100" i="59"/>
  <c r="K99" i="59"/>
  <c r="J99" i="59"/>
  <c r="K98" i="59"/>
  <c r="J98" i="59"/>
  <c r="K97" i="59"/>
  <c r="J97" i="59"/>
  <c r="K96" i="59"/>
  <c r="J96" i="59"/>
  <c r="K95" i="59"/>
  <c r="J95" i="59"/>
  <c r="K94" i="59"/>
  <c r="J94" i="59"/>
  <c r="K93" i="59"/>
  <c r="J93" i="59"/>
  <c r="K92" i="59"/>
  <c r="J92" i="59"/>
  <c r="K91" i="59"/>
  <c r="J91" i="59"/>
  <c r="K90" i="59"/>
  <c r="J90" i="59"/>
  <c r="K89" i="59"/>
  <c r="J89" i="59"/>
  <c r="K88" i="59"/>
  <c r="J88" i="59"/>
  <c r="K87" i="59"/>
  <c r="J87" i="59"/>
  <c r="K86" i="59"/>
  <c r="J86" i="59"/>
  <c r="K85" i="59"/>
  <c r="J85" i="59"/>
  <c r="K84" i="59"/>
  <c r="J84" i="59"/>
  <c r="K83" i="59"/>
  <c r="J83" i="59"/>
  <c r="K82" i="59"/>
  <c r="J82" i="59"/>
  <c r="K81" i="59"/>
  <c r="J81" i="59"/>
  <c r="K80" i="59"/>
  <c r="J80" i="59"/>
  <c r="K79" i="59"/>
  <c r="J79" i="59"/>
  <c r="K78" i="59"/>
  <c r="J78" i="59"/>
  <c r="K77" i="59"/>
  <c r="J77" i="59"/>
  <c r="K76" i="59"/>
  <c r="J76" i="59"/>
  <c r="K75" i="59"/>
  <c r="J75" i="59"/>
  <c r="K74" i="59"/>
  <c r="J74" i="59"/>
  <c r="K73" i="59"/>
  <c r="J73" i="59"/>
  <c r="K72" i="59"/>
  <c r="J72" i="59"/>
  <c r="K71" i="59"/>
  <c r="J71" i="59"/>
  <c r="K70" i="59"/>
  <c r="J70" i="59"/>
  <c r="K69" i="59"/>
  <c r="J69" i="59"/>
  <c r="K68" i="59"/>
  <c r="J68" i="59"/>
  <c r="K67" i="59"/>
  <c r="J67" i="59"/>
  <c r="K66" i="59"/>
  <c r="J66" i="59"/>
  <c r="K65" i="59"/>
  <c r="J65" i="59"/>
  <c r="K64" i="59"/>
  <c r="J64" i="59"/>
  <c r="K63" i="59"/>
  <c r="J63" i="59"/>
  <c r="K62" i="59"/>
  <c r="J62" i="59"/>
  <c r="K61" i="59"/>
  <c r="J61" i="59"/>
  <c r="K60" i="59"/>
  <c r="J60" i="59"/>
  <c r="K59" i="59"/>
  <c r="J59" i="59"/>
  <c r="K58" i="59"/>
  <c r="J58" i="59"/>
  <c r="K57" i="59"/>
  <c r="J57" i="59"/>
  <c r="K56" i="59"/>
  <c r="J56" i="59"/>
  <c r="K55" i="59"/>
  <c r="J55" i="59"/>
  <c r="K54" i="59"/>
  <c r="J54" i="59"/>
  <c r="K53" i="59"/>
  <c r="J53" i="59"/>
  <c r="K52" i="59"/>
  <c r="J52" i="59"/>
  <c r="K51" i="59"/>
  <c r="J51" i="59"/>
  <c r="K50" i="59"/>
  <c r="J50" i="59"/>
  <c r="K49" i="59"/>
  <c r="J49" i="59"/>
  <c r="K48" i="59"/>
  <c r="J48" i="59"/>
  <c r="K47" i="59"/>
  <c r="J47" i="59"/>
  <c r="K46" i="59"/>
  <c r="J46" i="59"/>
  <c r="K45" i="59"/>
  <c r="J45" i="59"/>
  <c r="K44" i="59"/>
  <c r="J44" i="59"/>
  <c r="K43" i="59"/>
  <c r="J43" i="59"/>
  <c r="K42" i="59"/>
  <c r="J42" i="59"/>
  <c r="K41" i="59"/>
  <c r="J41" i="59"/>
  <c r="K40" i="59"/>
  <c r="J40" i="59"/>
  <c r="K39" i="59"/>
  <c r="J39" i="59"/>
  <c r="K38" i="59"/>
  <c r="J38" i="59"/>
  <c r="K37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J27" i="59"/>
  <c r="K26" i="59"/>
  <c r="J26" i="59"/>
  <c r="K25" i="59"/>
  <c r="J25" i="59"/>
  <c r="K24" i="59"/>
  <c r="J24" i="59"/>
  <c r="K23" i="59"/>
  <c r="J23" i="59"/>
  <c r="K22" i="59"/>
  <c r="J22" i="59"/>
  <c r="K21" i="59"/>
  <c r="J21" i="59"/>
  <c r="K20" i="59"/>
  <c r="J20" i="59"/>
  <c r="K19" i="59"/>
  <c r="J19" i="59"/>
  <c r="K18" i="59"/>
  <c r="J18" i="59"/>
  <c r="K17" i="59"/>
  <c r="J17" i="59"/>
  <c r="K16" i="59"/>
  <c r="J16" i="59"/>
  <c r="K15" i="59"/>
  <c r="J15" i="59"/>
  <c r="K14" i="59"/>
  <c r="J14" i="59"/>
  <c r="K13" i="59"/>
  <c r="J13" i="59"/>
  <c r="K12" i="59"/>
  <c r="J12" i="59"/>
  <c r="K11" i="59"/>
  <c r="J11" i="59"/>
  <c r="K10" i="59"/>
  <c r="J10" i="59"/>
  <c r="K9" i="59"/>
  <c r="J9" i="59"/>
  <c r="K8" i="59"/>
  <c r="J8" i="59"/>
  <c r="K7" i="59"/>
  <c r="J7" i="59"/>
  <c r="K6" i="59"/>
  <c r="J6" i="59"/>
  <c r="K3" i="59"/>
  <c r="I3" i="59"/>
  <c r="H3" i="59"/>
  <c r="K497" i="65"/>
  <c r="J497" i="65"/>
  <c r="K496" i="65"/>
  <c r="J496" i="65"/>
  <c r="K495" i="65"/>
  <c r="J495" i="65"/>
  <c r="K494" i="65"/>
  <c r="J494" i="65"/>
  <c r="K493" i="65"/>
  <c r="J493" i="65"/>
  <c r="K492" i="65"/>
  <c r="J492" i="65"/>
  <c r="K491" i="65"/>
  <c r="J491" i="65"/>
  <c r="K490" i="65"/>
  <c r="J490" i="65"/>
  <c r="K489" i="65"/>
  <c r="J489" i="65"/>
  <c r="K488" i="65"/>
  <c r="J488" i="65"/>
  <c r="K487" i="65"/>
  <c r="J487" i="65"/>
  <c r="K486" i="65"/>
  <c r="J486" i="65"/>
  <c r="K485" i="65"/>
  <c r="J485" i="65"/>
  <c r="K484" i="65"/>
  <c r="J484" i="65"/>
  <c r="K483" i="65"/>
  <c r="J483" i="65"/>
  <c r="K482" i="65"/>
  <c r="J482" i="65"/>
  <c r="K481" i="65"/>
  <c r="J481" i="65"/>
  <c r="K480" i="65"/>
  <c r="J480" i="65"/>
  <c r="K479" i="65"/>
  <c r="J479" i="65"/>
  <c r="K478" i="65"/>
  <c r="J478" i="65"/>
  <c r="K477" i="65"/>
  <c r="J477" i="65"/>
  <c r="K476" i="65"/>
  <c r="J476" i="65"/>
  <c r="K475" i="65"/>
  <c r="J475" i="65"/>
  <c r="K474" i="65"/>
  <c r="J474" i="65"/>
  <c r="K473" i="65"/>
  <c r="J473" i="65"/>
  <c r="K472" i="65"/>
  <c r="J472" i="65"/>
  <c r="K471" i="65"/>
  <c r="J471" i="65"/>
  <c r="K470" i="65"/>
  <c r="J470" i="65"/>
  <c r="K469" i="65"/>
  <c r="J469" i="65"/>
  <c r="K468" i="65"/>
  <c r="J468" i="65"/>
  <c r="K467" i="65"/>
  <c r="J467" i="65"/>
  <c r="K466" i="65"/>
  <c r="J466" i="65"/>
  <c r="K465" i="65"/>
  <c r="J465" i="65"/>
  <c r="K464" i="65"/>
  <c r="J464" i="65"/>
  <c r="K463" i="65"/>
  <c r="J463" i="65"/>
  <c r="K462" i="65"/>
  <c r="J462" i="65"/>
  <c r="K461" i="65"/>
  <c r="J461" i="65"/>
  <c r="K460" i="65"/>
  <c r="J460" i="65"/>
  <c r="K459" i="65"/>
  <c r="J459" i="65"/>
  <c r="K458" i="65"/>
  <c r="J458" i="65"/>
  <c r="K457" i="65"/>
  <c r="J457" i="65"/>
  <c r="K456" i="65"/>
  <c r="J456" i="65"/>
  <c r="K455" i="65"/>
  <c r="J455" i="65"/>
  <c r="K454" i="65"/>
  <c r="J454" i="65"/>
  <c r="K453" i="65"/>
  <c r="J453" i="65"/>
  <c r="K452" i="65"/>
  <c r="J452" i="65"/>
  <c r="K451" i="65"/>
  <c r="J451" i="65"/>
  <c r="K450" i="65"/>
  <c r="J450" i="65"/>
  <c r="K449" i="65"/>
  <c r="J449" i="65"/>
  <c r="K448" i="65"/>
  <c r="J448" i="65"/>
  <c r="K447" i="65"/>
  <c r="J447" i="65"/>
  <c r="K446" i="65"/>
  <c r="J446" i="65"/>
  <c r="K445" i="65"/>
  <c r="J445" i="65"/>
  <c r="K444" i="65"/>
  <c r="J444" i="65"/>
  <c r="K443" i="65"/>
  <c r="J443" i="65"/>
  <c r="K442" i="65"/>
  <c r="J442" i="65"/>
  <c r="K441" i="65"/>
  <c r="J441" i="65"/>
  <c r="K440" i="65"/>
  <c r="J440" i="65"/>
  <c r="K439" i="65"/>
  <c r="J439" i="65"/>
  <c r="K438" i="65"/>
  <c r="J438" i="65"/>
  <c r="K437" i="65"/>
  <c r="J437" i="65"/>
  <c r="K436" i="65"/>
  <c r="J436" i="65"/>
  <c r="K435" i="65"/>
  <c r="J435" i="65"/>
  <c r="K434" i="65"/>
  <c r="J434" i="65"/>
  <c r="K433" i="65"/>
  <c r="J433" i="65"/>
  <c r="K432" i="65"/>
  <c r="J432" i="65"/>
  <c r="K431" i="65"/>
  <c r="J431" i="65"/>
  <c r="K430" i="65"/>
  <c r="J430" i="65"/>
  <c r="K429" i="65"/>
  <c r="J429" i="65"/>
  <c r="K428" i="65"/>
  <c r="J428" i="65"/>
  <c r="K427" i="65"/>
  <c r="J427" i="65"/>
  <c r="K426" i="65"/>
  <c r="J426" i="65"/>
  <c r="K425" i="65"/>
  <c r="J425" i="65"/>
  <c r="K424" i="65"/>
  <c r="J424" i="65"/>
  <c r="K423" i="65"/>
  <c r="J423" i="65"/>
  <c r="K422" i="65"/>
  <c r="J422" i="65"/>
  <c r="K421" i="65"/>
  <c r="J421" i="65"/>
  <c r="K420" i="65"/>
  <c r="J420" i="65"/>
  <c r="K419" i="65"/>
  <c r="J419" i="65"/>
  <c r="K418" i="65"/>
  <c r="J418" i="65"/>
  <c r="K417" i="65"/>
  <c r="J417" i="65"/>
  <c r="K416" i="65"/>
  <c r="J416" i="65"/>
  <c r="K415" i="65"/>
  <c r="J415" i="65"/>
  <c r="K414" i="65"/>
  <c r="J414" i="65"/>
  <c r="K413" i="65"/>
  <c r="J413" i="65"/>
  <c r="K412" i="65"/>
  <c r="J412" i="65"/>
  <c r="K411" i="65"/>
  <c r="J411" i="65"/>
  <c r="K410" i="65"/>
  <c r="J410" i="65"/>
  <c r="K409" i="65"/>
  <c r="J409" i="65"/>
  <c r="K408" i="65"/>
  <c r="J408" i="65"/>
  <c r="K407" i="65"/>
  <c r="J407" i="65"/>
  <c r="K406" i="65"/>
  <c r="J406" i="65"/>
  <c r="K405" i="65"/>
  <c r="J405" i="65"/>
  <c r="K404" i="65"/>
  <c r="J404" i="65"/>
  <c r="K403" i="65"/>
  <c r="J403" i="65"/>
  <c r="K402" i="65"/>
  <c r="J402" i="65"/>
  <c r="K401" i="65"/>
  <c r="J401" i="65"/>
  <c r="K400" i="65"/>
  <c r="J400" i="65"/>
  <c r="K399" i="65"/>
  <c r="J399" i="65"/>
  <c r="K398" i="65"/>
  <c r="J398" i="65"/>
  <c r="K397" i="65"/>
  <c r="J397" i="65"/>
  <c r="K396" i="65"/>
  <c r="J396" i="65"/>
  <c r="K395" i="65"/>
  <c r="J395" i="65"/>
  <c r="K394" i="65"/>
  <c r="J394" i="65"/>
  <c r="K393" i="65"/>
  <c r="J393" i="65"/>
  <c r="K392" i="65"/>
  <c r="J392" i="65"/>
  <c r="K391" i="65"/>
  <c r="J391" i="65"/>
  <c r="K390" i="65"/>
  <c r="J390" i="65"/>
  <c r="K389" i="65"/>
  <c r="J389" i="65"/>
  <c r="K388" i="65"/>
  <c r="J388" i="65"/>
  <c r="K387" i="65"/>
  <c r="J387" i="65"/>
  <c r="K386" i="65"/>
  <c r="J386" i="65"/>
  <c r="K385" i="65"/>
  <c r="J385" i="65"/>
  <c r="K384" i="65"/>
  <c r="J384" i="65"/>
  <c r="K383" i="65"/>
  <c r="J383" i="65"/>
  <c r="K382" i="65"/>
  <c r="J382" i="65"/>
  <c r="K381" i="65"/>
  <c r="J381" i="65"/>
  <c r="K380" i="65"/>
  <c r="J380" i="65"/>
  <c r="K379" i="65"/>
  <c r="J379" i="65"/>
  <c r="K378" i="65"/>
  <c r="J378" i="65"/>
  <c r="K377" i="65"/>
  <c r="J377" i="65"/>
  <c r="K376" i="65"/>
  <c r="J376" i="65"/>
  <c r="K375" i="65"/>
  <c r="J375" i="65"/>
  <c r="K374" i="65"/>
  <c r="J374" i="65"/>
  <c r="K373" i="65"/>
  <c r="J373" i="65"/>
  <c r="K372" i="65"/>
  <c r="J372" i="65"/>
  <c r="K371" i="65"/>
  <c r="J371" i="65"/>
  <c r="K370" i="65"/>
  <c r="J370" i="65"/>
  <c r="K369" i="65"/>
  <c r="J369" i="65"/>
  <c r="K368" i="65"/>
  <c r="J368" i="65"/>
  <c r="K367" i="65"/>
  <c r="J367" i="65"/>
  <c r="K366" i="65"/>
  <c r="J366" i="65"/>
  <c r="K365" i="65"/>
  <c r="J365" i="65"/>
  <c r="K364" i="65"/>
  <c r="J364" i="65"/>
  <c r="K363" i="65"/>
  <c r="J363" i="65"/>
  <c r="K362" i="65"/>
  <c r="J362" i="65"/>
  <c r="K361" i="65"/>
  <c r="J361" i="65"/>
  <c r="K360" i="65"/>
  <c r="J360" i="65"/>
  <c r="K359" i="65"/>
  <c r="J359" i="65"/>
  <c r="K358" i="65"/>
  <c r="J358" i="65"/>
  <c r="K357" i="65"/>
  <c r="J357" i="65"/>
  <c r="K356" i="65"/>
  <c r="J356" i="65"/>
  <c r="K355" i="65"/>
  <c r="J355" i="65"/>
  <c r="K354" i="65"/>
  <c r="J354" i="65"/>
  <c r="K353" i="65"/>
  <c r="J353" i="65"/>
  <c r="K352" i="65"/>
  <c r="J352" i="65"/>
  <c r="K351" i="65"/>
  <c r="J351" i="65"/>
  <c r="K350" i="65"/>
  <c r="J350" i="65"/>
  <c r="K349" i="65"/>
  <c r="J349" i="65"/>
  <c r="K348" i="65"/>
  <c r="J348" i="65"/>
  <c r="K347" i="65"/>
  <c r="J347" i="65"/>
  <c r="K346" i="65"/>
  <c r="J346" i="65"/>
  <c r="K345" i="65"/>
  <c r="J345" i="65"/>
  <c r="K344" i="65"/>
  <c r="J344" i="65"/>
  <c r="K343" i="65"/>
  <c r="J343" i="65"/>
  <c r="K342" i="65"/>
  <c r="J342" i="65"/>
  <c r="K341" i="65"/>
  <c r="J341" i="65"/>
  <c r="K340" i="65"/>
  <c r="J340" i="65"/>
  <c r="K339" i="65"/>
  <c r="J339" i="65"/>
  <c r="K338" i="65"/>
  <c r="J338" i="65"/>
  <c r="K337" i="65"/>
  <c r="J337" i="65"/>
  <c r="K336" i="65"/>
  <c r="J336" i="65"/>
  <c r="K335" i="65"/>
  <c r="J335" i="65"/>
  <c r="K334" i="65"/>
  <c r="J334" i="65"/>
  <c r="K333" i="65"/>
  <c r="J333" i="65"/>
  <c r="K332" i="65"/>
  <c r="J332" i="65"/>
  <c r="K331" i="65"/>
  <c r="J331" i="65"/>
  <c r="K330" i="65"/>
  <c r="J330" i="65"/>
  <c r="K329" i="65"/>
  <c r="J329" i="65"/>
  <c r="K328" i="65"/>
  <c r="J328" i="65"/>
  <c r="K327" i="65"/>
  <c r="J327" i="65"/>
  <c r="K326" i="65"/>
  <c r="J326" i="65"/>
  <c r="K325" i="65"/>
  <c r="J325" i="65"/>
  <c r="K324" i="65"/>
  <c r="J324" i="65"/>
  <c r="K323" i="65"/>
  <c r="J323" i="65"/>
  <c r="K322" i="65"/>
  <c r="J322" i="65"/>
  <c r="K321" i="65"/>
  <c r="J321" i="65"/>
  <c r="K320" i="65"/>
  <c r="J320" i="65"/>
  <c r="K319" i="65"/>
  <c r="J319" i="65"/>
  <c r="K318" i="65"/>
  <c r="J318" i="65"/>
  <c r="K317" i="65"/>
  <c r="J317" i="65"/>
  <c r="K316" i="65"/>
  <c r="J316" i="65"/>
  <c r="K315" i="65"/>
  <c r="J315" i="65"/>
  <c r="K314" i="65"/>
  <c r="J314" i="65"/>
  <c r="K313" i="65"/>
  <c r="J313" i="65"/>
  <c r="K312" i="65"/>
  <c r="J312" i="65"/>
  <c r="K311" i="65"/>
  <c r="J311" i="65"/>
  <c r="K310" i="65"/>
  <c r="J310" i="65"/>
  <c r="K309" i="65"/>
  <c r="J309" i="65"/>
  <c r="K308" i="65"/>
  <c r="J308" i="65"/>
  <c r="K307" i="65"/>
  <c r="J307" i="65"/>
  <c r="K306" i="65"/>
  <c r="J306" i="65"/>
  <c r="K305" i="65"/>
  <c r="J305" i="65"/>
  <c r="K304" i="65"/>
  <c r="J304" i="65"/>
  <c r="K303" i="65"/>
  <c r="J303" i="65"/>
  <c r="K302" i="65"/>
  <c r="J302" i="65"/>
  <c r="K301" i="65"/>
  <c r="J301" i="65"/>
  <c r="K300" i="65"/>
  <c r="J300" i="65"/>
  <c r="K299" i="65"/>
  <c r="J299" i="65"/>
  <c r="K298" i="65"/>
  <c r="J298" i="65"/>
  <c r="K297" i="65"/>
  <c r="J297" i="65"/>
  <c r="K296" i="65"/>
  <c r="J296" i="65"/>
  <c r="K295" i="65"/>
  <c r="J295" i="65"/>
  <c r="K294" i="65"/>
  <c r="J294" i="65"/>
  <c r="K293" i="65"/>
  <c r="J293" i="65"/>
  <c r="K292" i="65"/>
  <c r="J292" i="65"/>
  <c r="K291" i="65"/>
  <c r="J291" i="65"/>
  <c r="K290" i="65"/>
  <c r="J290" i="65"/>
  <c r="K289" i="65"/>
  <c r="J289" i="65"/>
  <c r="K288" i="65"/>
  <c r="J288" i="65"/>
  <c r="K287" i="65"/>
  <c r="J287" i="65"/>
  <c r="K286" i="65"/>
  <c r="J286" i="65"/>
  <c r="K285" i="65"/>
  <c r="J285" i="65"/>
  <c r="K284" i="65"/>
  <c r="J284" i="65"/>
  <c r="K283" i="65"/>
  <c r="J283" i="65"/>
  <c r="K282" i="65"/>
  <c r="J282" i="65"/>
  <c r="K281" i="65"/>
  <c r="J281" i="65"/>
  <c r="K280" i="65"/>
  <c r="J280" i="65"/>
  <c r="K279" i="65"/>
  <c r="J279" i="65"/>
  <c r="K278" i="65"/>
  <c r="J278" i="65"/>
  <c r="K277" i="65"/>
  <c r="J277" i="65"/>
  <c r="K276" i="65"/>
  <c r="J276" i="65"/>
  <c r="K275" i="65"/>
  <c r="J275" i="65"/>
  <c r="K274" i="65"/>
  <c r="J274" i="65"/>
  <c r="K273" i="65"/>
  <c r="J273" i="65"/>
  <c r="K272" i="65"/>
  <c r="J272" i="65"/>
  <c r="K271" i="65"/>
  <c r="J271" i="65"/>
  <c r="K270" i="65"/>
  <c r="J270" i="65"/>
  <c r="K269" i="65"/>
  <c r="J269" i="65"/>
  <c r="K268" i="65"/>
  <c r="J268" i="65"/>
  <c r="K267" i="65"/>
  <c r="J267" i="65"/>
  <c r="K266" i="65"/>
  <c r="J266" i="65"/>
  <c r="K265" i="65"/>
  <c r="J265" i="65"/>
  <c r="K264" i="65"/>
  <c r="J264" i="65"/>
  <c r="K263" i="65"/>
  <c r="J263" i="65"/>
  <c r="K262" i="65"/>
  <c r="J262" i="65"/>
  <c r="K261" i="65"/>
  <c r="J261" i="65"/>
  <c r="K260" i="65"/>
  <c r="J260" i="65"/>
  <c r="K259" i="65"/>
  <c r="J259" i="65"/>
  <c r="K258" i="65"/>
  <c r="J258" i="65"/>
  <c r="K257" i="65"/>
  <c r="J257" i="65"/>
  <c r="K256" i="65"/>
  <c r="J256" i="65"/>
  <c r="K255" i="65"/>
  <c r="J255" i="65"/>
  <c r="K254" i="65"/>
  <c r="J254" i="65"/>
  <c r="K253" i="65"/>
  <c r="J253" i="65"/>
  <c r="K252" i="65"/>
  <c r="J252" i="65"/>
  <c r="K251" i="65"/>
  <c r="J251" i="65"/>
  <c r="K250" i="65"/>
  <c r="J250" i="65"/>
  <c r="K249" i="65"/>
  <c r="J249" i="65"/>
  <c r="K248" i="65"/>
  <c r="J248" i="65"/>
  <c r="K247" i="65"/>
  <c r="J247" i="65"/>
  <c r="K246" i="65"/>
  <c r="J246" i="65"/>
  <c r="K245" i="65"/>
  <c r="J245" i="65"/>
  <c r="K244" i="65"/>
  <c r="J244" i="65"/>
  <c r="K243" i="65"/>
  <c r="J243" i="65"/>
  <c r="K242" i="65"/>
  <c r="J242" i="65"/>
  <c r="K241" i="65"/>
  <c r="J241" i="65"/>
  <c r="K240" i="65"/>
  <c r="J240" i="65"/>
  <c r="K239" i="65"/>
  <c r="J239" i="65"/>
  <c r="K238" i="65"/>
  <c r="J238" i="65"/>
  <c r="K237" i="65"/>
  <c r="J237" i="65"/>
  <c r="K236" i="65"/>
  <c r="J236" i="65"/>
  <c r="K235" i="65"/>
  <c r="J235" i="65"/>
  <c r="K234" i="65"/>
  <c r="J234" i="65"/>
  <c r="K233" i="65"/>
  <c r="J233" i="65"/>
  <c r="K232" i="65"/>
  <c r="J232" i="65"/>
  <c r="K231" i="65"/>
  <c r="J231" i="65"/>
  <c r="K230" i="65"/>
  <c r="J230" i="65"/>
  <c r="K229" i="65"/>
  <c r="J229" i="65"/>
  <c r="K228" i="65"/>
  <c r="J228" i="65"/>
  <c r="K227" i="65"/>
  <c r="J227" i="65"/>
  <c r="K226" i="65"/>
  <c r="J226" i="65"/>
  <c r="K225" i="65"/>
  <c r="J225" i="65"/>
  <c r="K224" i="65"/>
  <c r="J224" i="65"/>
  <c r="K223" i="65"/>
  <c r="J223" i="65"/>
  <c r="K222" i="65"/>
  <c r="J222" i="65"/>
  <c r="K221" i="65"/>
  <c r="J221" i="65"/>
  <c r="K220" i="65"/>
  <c r="J220" i="65"/>
  <c r="K219" i="65"/>
  <c r="J219" i="65"/>
  <c r="K218" i="65"/>
  <c r="J218" i="65"/>
  <c r="K217" i="65"/>
  <c r="J217" i="65"/>
  <c r="K216" i="65"/>
  <c r="J216" i="65"/>
  <c r="K215" i="65"/>
  <c r="J215" i="65"/>
  <c r="K214" i="65"/>
  <c r="J214" i="65"/>
  <c r="K213" i="65"/>
  <c r="J213" i="65"/>
  <c r="K212" i="65"/>
  <c r="J212" i="65"/>
  <c r="K211" i="65"/>
  <c r="J211" i="65"/>
  <c r="K210" i="65"/>
  <c r="J210" i="65"/>
  <c r="K209" i="65"/>
  <c r="J209" i="65"/>
  <c r="K208" i="65"/>
  <c r="J208" i="65"/>
  <c r="K207" i="65"/>
  <c r="J207" i="65"/>
  <c r="K206" i="65"/>
  <c r="J206" i="65"/>
  <c r="K205" i="65"/>
  <c r="J205" i="65"/>
  <c r="K204" i="65"/>
  <c r="J204" i="65"/>
  <c r="K203" i="65"/>
  <c r="J203" i="65"/>
  <c r="K202" i="65"/>
  <c r="J202" i="65"/>
  <c r="K201" i="65"/>
  <c r="J201" i="65"/>
  <c r="K200" i="65"/>
  <c r="J200" i="65"/>
  <c r="K199" i="65"/>
  <c r="J199" i="65"/>
  <c r="K198" i="65"/>
  <c r="J198" i="65"/>
  <c r="K197" i="65"/>
  <c r="J197" i="65"/>
  <c r="K196" i="65"/>
  <c r="J196" i="65"/>
  <c r="K195" i="65"/>
  <c r="J195" i="65"/>
  <c r="K194" i="65"/>
  <c r="J194" i="65"/>
  <c r="K193" i="65"/>
  <c r="J193" i="65"/>
  <c r="K192" i="65"/>
  <c r="J192" i="65"/>
  <c r="K191" i="65"/>
  <c r="J191" i="65"/>
  <c r="K190" i="65"/>
  <c r="J190" i="65"/>
  <c r="K189" i="65"/>
  <c r="J189" i="65"/>
  <c r="K188" i="65"/>
  <c r="J188" i="65"/>
  <c r="K187" i="65"/>
  <c r="J187" i="65"/>
  <c r="K186" i="65"/>
  <c r="J186" i="65"/>
  <c r="K185" i="65"/>
  <c r="J185" i="65"/>
  <c r="K184" i="65"/>
  <c r="J184" i="65"/>
  <c r="K183" i="65"/>
  <c r="J183" i="65"/>
  <c r="K182" i="65"/>
  <c r="J182" i="65"/>
  <c r="K181" i="65"/>
  <c r="J181" i="65"/>
  <c r="K180" i="65"/>
  <c r="J180" i="65"/>
  <c r="K179" i="65"/>
  <c r="J179" i="65"/>
  <c r="K178" i="65"/>
  <c r="J178" i="65"/>
  <c r="K177" i="65"/>
  <c r="J177" i="65"/>
  <c r="K176" i="65"/>
  <c r="J176" i="65"/>
  <c r="K175" i="65"/>
  <c r="J175" i="65"/>
  <c r="K174" i="65"/>
  <c r="J174" i="65"/>
  <c r="K173" i="65"/>
  <c r="J173" i="65"/>
  <c r="K172" i="65"/>
  <c r="J172" i="65"/>
  <c r="K171" i="65"/>
  <c r="J171" i="65"/>
  <c r="K170" i="65"/>
  <c r="J170" i="65"/>
  <c r="K169" i="65"/>
  <c r="J169" i="65"/>
  <c r="K168" i="65"/>
  <c r="J168" i="65"/>
  <c r="K167" i="65"/>
  <c r="J167" i="65"/>
  <c r="K166" i="65"/>
  <c r="J166" i="65"/>
  <c r="K165" i="65"/>
  <c r="J165" i="65"/>
  <c r="K164" i="65"/>
  <c r="J164" i="65"/>
  <c r="K163" i="65"/>
  <c r="J163" i="65"/>
  <c r="K162" i="65"/>
  <c r="J162" i="65"/>
  <c r="K161" i="65"/>
  <c r="J161" i="65"/>
  <c r="K160" i="65"/>
  <c r="J160" i="65"/>
  <c r="K159" i="65"/>
  <c r="J159" i="65"/>
  <c r="K158" i="65"/>
  <c r="J158" i="65"/>
  <c r="K157" i="65"/>
  <c r="J157" i="65"/>
  <c r="K156" i="65"/>
  <c r="J156" i="65"/>
  <c r="K155" i="65"/>
  <c r="J155" i="65"/>
  <c r="K154" i="65"/>
  <c r="J154" i="65"/>
  <c r="K153" i="65"/>
  <c r="J153" i="65"/>
  <c r="K152" i="65"/>
  <c r="J152" i="65"/>
  <c r="K151" i="65"/>
  <c r="J151" i="65"/>
  <c r="K150" i="65"/>
  <c r="J150" i="65"/>
  <c r="K149" i="65"/>
  <c r="J149" i="65"/>
  <c r="K148" i="65"/>
  <c r="J148" i="65"/>
  <c r="K147" i="65"/>
  <c r="J147" i="65"/>
  <c r="K146" i="65"/>
  <c r="J146" i="65"/>
  <c r="K145" i="65"/>
  <c r="J145" i="65"/>
  <c r="K144" i="65"/>
  <c r="J144" i="65"/>
  <c r="K143" i="65"/>
  <c r="J143" i="65"/>
  <c r="K142" i="65"/>
  <c r="J142" i="65"/>
  <c r="K141" i="65"/>
  <c r="J141" i="65"/>
  <c r="K140" i="65"/>
  <c r="J140" i="65"/>
  <c r="K139" i="65"/>
  <c r="J139" i="65"/>
  <c r="K138" i="65"/>
  <c r="J138" i="65"/>
  <c r="K137" i="65"/>
  <c r="J137" i="65"/>
  <c r="K136" i="65"/>
  <c r="J136" i="65"/>
  <c r="K135" i="65"/>
  <c r="J135" i="65"/>
  <c r="K134" i="65"/>
  <c r="J134" i="65"/>
  <c r="K133" i="65"/>
  <c r="J133" i="65"/>
  <c r="K132" i="65"/>
  <c r="J132" i="65"/>
  <c r="K131" i="65"/>
  <c r="J131" i="65"/>
  <c r="K130" i="65"/>
  <c r="J130" i="65"/>
  <c r="K129" i="65"/>
  <c r="J129" i="65"/>
  <c r="K128" i="65"/>
  <c r="J128" i="65"/>
  <c r="K127" i="65"/>
  <c r="J127" i="65"/>
  <c r="K126" i="65"/>
  <c r="J126" i="65"/>
  <c r="K125" i="65"/>
  <c r="J125" i="65"/>
  <c r="K124" i="65"/>
  <c r="J124" i="65"/>
  <c r="K123" i="65"/>
  <c r="J123" i="65"/>
  <c r="K122" i="65"/>
  <c r="J122" i="65"/>
  <c r="K121" i="65"/>
  <c r="J121" i="65"/>
  <c r="K120" i="65"/>
  <c r="J120" i="65"/>
  <c r="K119" i="65"/>
  <c r="J119" i="65"/>
  <c r="K118" i="65"/>
  <c r="J118" i="65"/>
  <c r="K117" i="65"/>
  <c r="J117" i="65"/>
  <c r="K116" i="65"/>
  <c r="J116" i="65"/>
  <c r="K115" i="65"/>
  <c r="J115" i="65"/>
  <c r="K114" i="65"/>
  <c r="J114" i="65"/>
  <c r="K113" i="65"/>
  <c r="J113" i="65"/>
  <c r="K112" i="65"/>
  <c r="J112" i="65"/>
  <c r="K111" i="65"/>
  <c r="J111" i="65"/>
  <c r="K110" i="65"/>
  <c r="J110" i="65"/>
  <c r="K109" i="65"/>
  <c r="J109" i="65"/>
  <c r="K108" i="65"/>
  <c r="J108" i="65"/>
  <c r="K107" i="65"/>
  <c r="J107" i="65"/>
  <c r="K106" i="65"/>
  <c r="J106" i="65"/>
  <c r="K105" i="65"/>
  <c r="J105" i="65"/>
  <c r="K104" i="65"/>
  <c r="J104" i="65"/>
  <c r="K103" i="65"/>
  <c r="J103" i="65"/>
  <c r="K102" i="65"/>
  <c r="J102" i="65"/>
  <c r="K101" i="65"/>
  <c r="J101" i="65"/>
  <c r="K100" i="65"/>
  <c r="J100" i="65"/>
  <c r="K99" i="65"/>
  <c r="J99" i="65"/>
  <c r="K98" i="65"/>
  <c r="J98" i="65"/>
  <c r="K97" i="65"/>
  <c r="J97" i="65"/>
  <c r="K96" i="65"/>
  <c r="J96" i="65"/>
  <c r="K95" i="65"/>
  <c r="J95" i="65"/>
  <c r="K94" i="65"/>
  <c r="J94" i="65"/>
  <c r="K93" i="65"/>
  <c r="J93" i="65"/>
  <c r="K92" i="65"/>
  <c r="J92" i="65"/>
  <c r="K91" i="65"/>
  <c r="J91" i="65"/>
  <c r="K90" i="65"/>
  <c r="J90" i="65"/>
  <c r="K89" i="65"/>
  <c r="J89" i="65"/>
  <c r="K88" i="65"/>
  <c r="J88" i="65"/>
  <c r="K87" i="65"/>
  <c r="J87" i="65"/>
  <c r="K86" i="65"/>
  <c r="J86" i="65"/>
  <c r="K85" i="65"/>
  <c r="J85" i="65"/>
  <c r="K84" i="65"/>
  <c r="J84" i="65"/>
  <c r="K83" i="65"/>
  <c r="J83" i="65"/>
  <c r="K82" i="65"/>
  <c r="J82" i="65"/>
  <c r="K81" i="65"/>
  <c r="J81" i="65"/>
  <c r="K80" i="65"/>
  <c r="J80" i="65"/>
  <c r="K79" i="65"/>
  <c r="J79" i="65"/>
  <c r="K78" i="65"/>
  <c r="J78" i="65"/>
  <c r="K77" i="65"/>
  <c r="J77" i="65"/>
  <c r="K76" i="65"/>
  <c r="J76" i="65"/>
  <c r="K75" i="65"/>
  <c r="J75" i="65"/>
  <c r="K74" i="65"/>
  <c r="J74" i="65"/>
  <c r="K73" i="65"/>
  <c r="J73" i="65"/>
  <c r="K72" i="65"/>
  <c r="J72" i="65"/>
  <c r="K71" i="65"/>
  <c r="J71" i="65"/>
  <c r="K70" i="65"/>
  <c r="J70" i="65"/>
  <c r="K69" i="65"/>
  <c r="J69" i="65"/>
  <c r="K68" i="65"/>
  <c r="J68" i="65"/>
  <c r="K67" i="65"/>
  <c r="J67" i="65"/>
  <c r="K66" i="65"/>
  <c r="J66" i="65"/>
  <c r="K65" i="65"/>
  <c r="J65" i="65"/>
  <c r="K64" i="65"/>
  <c r="J64" i="65"/>
  <c r="K63" i="65"/>
  <c r="J63" i="65"/>
  <c r="K62" i="65"/>
  <c r="J62" i="65"/>
  <c r="K61" i="65"/>
  <c r="J61" i="65"/>
  <c r="K60" i="65"/>
  <c r="J60" i="65"/>
  <c r="K59" i="65"/>
  <c r="J59" i="65"/>
  <c r="K58" i="65"/>
  <c r="J58" i="65"/>
  <c r="K57" i="65"/>
  <c r="J57" i="65"/>
  <c r="K56" i="65"/>
  <c r="J56" i="65"/>
  <c r="K55" i="65"/>
  <c r="J55" i="65"/>
  <c r="K54" i="65"/>
  <c r="J54" i="65"/>
  <c r="K53" i="65"/>
  <c r="J53" i="65"/>
  <c r="K52" i="65"/>
  <c r="J52" i="65"/>
  <c r="K51" i="65"/>
  <c r="J51" i="65"/>
  <c r="K50" i="65"/>
  <c r="J50" i="65"/>
  <c r="K49" i="65"/>
  <c r="J49" i="65"/>
  <c r="K48" i="65"/>
  <c r="J48" i="65"/>
  <c r="K47" i="65"/>
  <c r="J47" i="65"/>
  <c r="K46" i="65"/>
  <c r="J46" i="65"/>
  <c r="K45" i="65"/>
  <c r="J45" i="65"/>
  <c r="K44" i="65"/>
  <c r="J44" i="65"/>
  <c r="K43" i="65"/>
  <c r="J43" i="65"/>
  <c r="K42" i="65"/>
  <c r="J42" i="65"/>
  <c r="K41" i="65"/>
  <c r="J41" i="65"/>
  <c r="K40" i="65"/>
  <c r="J40" i="65"/>
  <c r="K39" i="65"/>
  <c r="J39" i="65"/>
  <c r="K38" i="65"/>
  <c r="J38" i="65"/>
  <c r="K37" i="65"/>
  <c r="J37" i="65"/>
  <c r="K36" i="65"/>
  <c r="J36" i="65"/>
  <c r="K35" i="65"/>
  <c r="J35" i="65"/>
  <c r="K34" i="65"/>
  <c r="J34" i="65"/>
  <c r="K33" i="65"/>
  <c r="J33" i="65"/>
  <c r="K32" i="65"/>
  <c r="J32" i="65"/>
  <c r="K31" i="65"/>
  <c r="J31" i="65"/>
  <c r="K30" i="65"/>
  <c r="J30" i="65"/>
  <c r="K29" i="65"/>
  <c r="J29" i="65"/>
  <c r="K28" i="65"/>
  <c r="J28" i="65"/>
  <c r="K27" i="65"/>
  <c r="J27" i="65"/>
  <c r="K26" i="65"/>
  <c r="J26" i="65"/>
  <c r="K25" i="65"/>
  <c r="J25" i="65"/>
  <c r="K24" i="65"/>
  <c r="J24" i="65"/>
  <c r="K23" i="65"/>
  <c r="J23" i="65"/>
  <c r="K22" i="65"/>
  <c r="J22" i="65"/>
  <c r="K21" i="65"/>
  <c r="J21" i="65"/>
  <c r="K20" i="65"/>
  <c r="J20" i="65"/>
  <c r="K19" i="65"/>
  <c r="J19" i="65"/>
  <c r="K18" i="65"/>
  <c r="J18" i="65"/>
  <c r="K17" i="65"/>
  <c r="J17" i="65"/>
  <c r="K16" i="65"/>
  <c r="J16" i="65"/>
  <c r="K15" i="65"/>
  <c r="J15" i="65"/>
  <c r="K14" i="65"/>
  <c r="J14" i="65"/>
  <c r="K13" i="65"/>
  <c r="J13" i="65"/>
  <c r="K12" i="65"/>
  <c r="J12" i="65"/>
  <c r="K11" i="65"/>
  <c r="J11" i="65"/>
  <c r="K10" i="65"/>
  <c r="J10" i="65"/>
  <c r="K9" i="65"/>
  <c r="J9" i="65"/>
  <c r="K8" i="65"/>
  <c r="J8" i="65"/>
  <c r="K7" i="65"/>
  <c r="J7" i="65"/>
  <c r="K6" i="65"/>
  <c r="J6" i="65"/>
  <c r="K3" i="65"/>
  <c r="I3" i="65"/>
  <c r="H3" i="65"/>
  <c r="K497" i="64"/>
  <c r="J497" i="64"/>
  <c r="K496" i="64"/>
  <c r="J496" i="64"/>
  <c r="K495" i="64"/>
  <c r="J495" i="64"/>
  <c r="K494" i="64"/>
  <c r="J494" i="64"/>
  <c r="K493" i="64"/>
  <c r="J493" i="64"/>
  <c r="K492" i="64"/>
  <c r="J492" i="64"/>
  <c r="K491" i="64"/>
  <c r="J491" i="64"/>
  <c r="K490" i="64"/>
  <c r="J490" i="64"/>
  <c r="K489" i="64"/>
  <c r="J489" i="64"/>
  <c r="K488" i="64"/>
  <c r="J488" i="64"/>
  <c r="K487" i="64"/>
  <c r="J487" i="64"/>
  <c r="K486" i="64"/>
  <c r="J486" i="64"/>
  <c r="K485" i="64"/>
  <c r="J485" i="64"/>
  <c r="K484" i="64"/>
  <c r="J484" i="64"/>
  <c r="K483" i="64"/>
  <c r="J483" i="64"/>
  <c r="K482" i="64"/>
  <c r="J482" i="64"/>
  <c r="K481" i="64"/>
  <c r="J481" i="64"/>
  <c r="K480" i="64"/>
  <c r="J480" i="64"/>
  <c r="K479" i="64"/>
  <c r="J479" i="64"/>
  <c r="K478" i="64"/>
  <c r="J478" i="64"/>
  <c r="K477" i="64"/>
  <c r="J477" i="64"/>
  <c r="K476" i="64"/>
  <c r="J476" i="64"/>
  <c r="K475" i="64"/>
  <c r="J475" i="64"/>
  <c r="K474" i="64"/>
  <c r="J474" i="64"/>
  <c r="K473" i="64"/>
  <c r="J473" i="64"/>
  <c r="K472" i="64"/>
  <c r="J472" i="64"/>
  <c r="K471" i="64"/>
  <c r="J471" i="64"/>
  <c r="K470" i="64"/>
  <c r="J470" i="64"/>
  <c r="K469" i="64"/>
  <c r="J469" i="64"/>
  <c r="K468" i="64"/>
  <c r="J468" i="64"/>
  <c r="K467" i="64"/>
  <c r="J467" i="64"/>
  <c r="K466" i="64"/>
  <c r="J466" i="64"/>
  <c r="K465" i="64"/>
  <c r="J465" i="64"/>
  <c r="K464" i="64"/>
  <c r="J464" i="64"/>
  <c r="K463" i="64"/>
  <c r="J463" i="64"/>
  <c r="K462" i="64"/>
  <c r="J462" i="64"/>
  <c r="K461" i="64"/>
  <c r="J461" i="64"/>
  <c r="K460" i="64"/>
  <c r="J460" i="64"/>
  <c r="K459" i="64"/>
  <c r="J459" i="64"/>
  <c r="K458" i="64"/>
  <c r="J458" i="64"/>
  <c r="K457" i="64"/>
  <c r="J457" i="64"/>
  <c r="K456" i="64"/>
  <c r="J456" i="64"/>
  <c r="K455" i="64"/>
  <c r="J455" i="64"/>
  <c r="K454" i="64"/>
  <c r="J454" i="64"/>
  <c r="K453" i="64"/>
  <c r="J453" i="64"/>
  <c r="K452" i="64"/>
  <c r="J452" i="64"/>
  <c r="K451" i="64"/>
  <c r="J451" i="64"/>
  <c r="K450" i="64"/>
  <c r="J450" i="64"/>
  <c r="K449" i="64"/>
  <c r="J449" i="64"/>
  <c r="K448" i="64"/>
  <c r="J448" i="64"/>
  <c r="K447" i="64"/>
  <c r="J447" i="64"/>
  <c r="K446" i="64"/>
  <c r="J446" i="64"/>
  <c r="K445" i="64"/>
  <c r="J445" i="64"/>
  <c r="K444" i="64"/>
  <c r="J444" i="64"/>
  <c r="K443" i="64"/>
  <c r="J443" i="64"/>
  <c r="K442" i="64"/>
  <c r="J442" i="64"/>
  <c r="K441" i="64"/>
  <c r="J441" i="64"/>
  <c r="K440" i="64"/>
  <c r="J440" i="64"/>
  <c r="K439" i="64"/>
  <c r="J439" i="64"/>
  <c r="K438" i="64"/>
  <c r="J438" i="64"/>
  <c r="K437" i="64"/>
  <c r="J437" i="64"/>
  <c r="K436" i="64"/>
  <c r="J436" i="64"/>
  <c r="K435" i="64"/>
  <c r="J435" i="64"/>
  <c r="K434" i="64"/>
  <c r="J434" i="64"/>
  <c r="K433" i="64"/>
  <c r="J433" i="64"/>
  <c r="K432" i="64"/>
  <c r="J432" i="64"/>
  <c r="K431" i="64"/>
  <c r="J431" i="64"/>
  <c r="K430" i="64"/>
  <c r="J430" i="64"/>
  <c r="K429" i="64"/>
  <c r="J429" i="64"/>
  <c r="K428" i="64"/>
  <c r="J428" i="64"/>
  <c r="K427" i="64"/>
  <c r="J427" i="64"/>
  <c r="K426" i="64"/>
  <c r="J426" i="64"/>
  <c r="K425" i="64"/>
  <c r="J425" i="64"/>
  <c r="K424" i="64"/>
  <c r="J424" i="64"/>
  <c r="K423" i="64"/>
  <c r="J423" i="64"/>
  <c r="K422" i="64"/>
  <c r="J422" i="64"/>
  <c r="K421" i="64"/>
  <c r="J421" i="64"/>
  <c r="K420" i="64"/>
  <c r="J420" i="64"/>
  <c r="K419" i="64"/>
  <c r="J419" i="64"/>
  <c r="K418" i="64"/>
  <c r="J418" i="64"/>
  <c r="K417" i="64"/>
  <c r="J417" i="64"/>
  <c r="K416" i="64"/>
  <c r="J416" i="64"/>
  <c r="K415" i="64"/>
  <c r="J415" i="64"/>
  <c r="K414" i="64"/>
  <c r="J414" i="64"/>
  <c r="K413" i="64"/>
  <c r="J413" i="64"/>
  <c r="K412" i="64"/>
  <c r="J412" i="64"/>
  <c r="K411" i="64"/>
  <c r="J411" i="64"/>
  <c r="K410" i="64"/>
  <c r="J410" i="64"/>
  <c r="K409" i="64"/>
  <c r="J409" i="64"/>
  <c r="K408" i="64"/>
  <c r="J408" i="64"/>
  <c r="K407" i="64"/>
  <c r="J407" i="64"/>
  <c r="K406" i="64"/>
  <c r="J406" i="64"/>
  <c r="K405" i="64"/>
  <c r="J405" i="64"/>
  <c r="K404" i="64"/>
  <c r="J404" i="64"/>
  <c r="K403" i="64"/>
  <c r="J403" i="64"/>
  <c r="K402" i="64"/>
  <c r="J402" i="64"/>
  <c r="K401" i="64"/>
  <c r="J401" i="64"/>
  <c r="K400" i="64"/>
  <c r="J400" i="64"/>
  <c r="K399" i="64"/>
  <c r="J399" i="64"/>
  <c r="K398" i="64"/>
  <c r="J398" i="64"/>
  <c r="K397" i="64"/>
  <c r="J397" i="64"/>
  <c r="K396" i="64"/>
  <c r="J396" i="64"/>
  <c r="K395" i="64"/>
  <c r="J395" i="64"/>
  <c r="K394" i="64"/>
  <c r="J394" i="64"/>
  <c r="K393" i="64"/>
  <c r="J393" i="64"/>
  <c r="K392" i="64"/>
  <c r="J392" i="64"/>
  <c r="K391" i="64"/>
  <c r="J391" i="64"/>
  <c r="K390" i="64"/>
  <c r="J390" i="64"/>
  <c r="K389" i="64"/>
  <c r="J389" i="64"/>
  <c r="K388" i="64"/>
  <c r="J388" i="64"/>
  <c r="K387" i="64"/>
  <c r="J387" i="64"/>
  <c r="K386" i="64"/>
  <c r="J386" i="64"/>
  <c r="K385" i="64"/>
  <c r="J385" i="64"/>
  <c r="K384" i="64"/>
  <c r="J384" i="64"/>
  <c r="K383" i="64"/>
  <c r="J383" i="64"/>
  <c r="K382" i="64"/>
  <c r="J382" i="64"/>
  <c r="K381" i="64"/>
  <c r="J381" i="64"/>
  <c r="K380" i="64"/>
  <c r="J380" i="64"/>
  <c r="K379" i="64"/>
  <c r="J379" i="64"/>
  <c r="K378" i="64"/>
  <c r="J378" i="64"/>
  <c r="K377" i="64"/>
  <c r="J377" i="64"/>
  <c r="K376" i="64"/>
  <c r="J376" i="64"/>
  <c r="K375" i="64"/>
  <c r="J375" i="64"/>
  <c r="K374" i="64"/>
  <c r="J374" i="64"/>
  <c r="K373" i="64"/>
  <c r="J373" i="64"/>
  <c r="K372" i="64"/>
  <c r="J372" i="64"/>
  <c r="K371" i="64"/>
  <c r="J371" i="64"/>
  <c r="K370" i="64"/>
  <c r="J370" i="64"/>
  <c r="K369" i="64"/>
  <c r="J369" i="64"/>
  <c r="K368" i="64"/>
  <c r="J368" i="64"/>
  <c r="K367" i="64"/>
  <c r="J367" i="64"/>
  <c r="K366" i="64"/>
  <c r="J366" i="64"/>
  <c r="K365" i="64"/>
  <c r="J365" i="64"/>
  <c r="K364" i="64"/>
  <c r="J364" i="64"/>
  <c r="K363" i="64"/>
  <c r="J363" i="64"/>
  <c r="K362" i="64"/>
  <c r="J362" i="64"/>
  <c r="K361" i="64"/>
  <c r="J361" i="64"/>
  <c r="K360" i="64"/>
  <c r="J360" i="64"/>
  <c r="K359" i="64"/>
  <c r="J359" i="64"/>
  <c r="K358" i="64"/>
  <c r="J358" i="64"/>
  <c r="K357" i="64"/>
  <c r="J357" i="64"/>
  <c r="K356" i="64"/>
  <c r="J356" i="64"/>
  <c r="K355" i="64"/>
  <c r="J355" i="64"/>
  <c r="K354" i="64"/>
  <c r="J354" i="64"/>
  <c r="K353" i="64"/>
  <c r="J353" i="64"/>
  <c r="K352" i="64"/>
  <c r="J352" i="64"/>
  <c r="K351" i="64"/>
  <c r="J351" i="64"/>
  <c r="K350" i="64"/>
  <c r="J350" i="64"/>
  <c r="K349" i="64"/>
  <c r="J349" i="64"/>
  <c r="K348" i="64"/>
  <c r="J348" i="64"/>
  <c r="K347" i="64"/>
  <c r="J347" i="64"/>
  <c r="K346" i="64"/>
  <c r="J346" i="64"/>
  <c r="K345" i="64"/>
  <c r="J345" i="64"/>
  <c r="K344" i="64"/>
  <c r="J344" i="64"/>
  <c r="K343" i="64"/>
  <c r="J343" i="64"/>
  <c r="K342" i="64"/>
  <c r="J342" i="64"/>
  <c r="K341" i="64"/>
  <c r="J341" i="64"/>
  <c r="K340" i="64"/>
  <c r="J340" i="64"/>
  <c r="K339" i="64"/>
  <c r="J339" i="64"/>
  <c r="K338" i="64"/>
  <c r="J338" i="64"/>
  <c r="K337" i="64"/>
  <c r="J337" i="64"/>
  <c r="K336" i="64"/>
  <c r="J336" i="64"/>
  <c r="K335" i="64"/>
  <c r="J335" i="64"/>
  <c r="K334" i="64"/>
  <c r="J334" i="64"/>
  <c r="K333" i="64"/>
  <c r="J333" i="64"/>
  <c r="K332" i="64"/>
  <c r="J332" i="64"/>
  <c r="K331" i="64"/>
  <c r="J331" i="64"/>
  <c r="K330" i="64"/>
  <c r="J330" i="64"/>
  <c r="K329" i="64"/>
  <c r="J329" i="64"/>
  <c r="K328" i="64"/>
  <c r="J328" i="64"/>
  <c r="K327" i="64"/>
  <c r="J327" i="64"/>
  <c r="K326" i="64"/>
  <c r="J326" i="64"/>
  <c r="K325" i="64"/>
  <c r="J325" i="64"/>
  <c r="K324" i="64"/>
  <c r="J324" i="64"/>
  <c r="K323" i="64"/>
  <c r="J323" i="64"/>
  <c r="K322" i="64"/>
  <c r="J322" i="64"/>
  <c r="K321" i="64"/>
  <c r="J321" i="64"/>
  <c r="K320" i="64"/>
  <c r="J320" i="64"/>
  <c r="K319" i="64"/>
  <c r="J319" i="64"/>
  <c r="K318" i="64"/>
  <c r="J318" i="64"/>
  <c r="K317" i="64"/>
  <c r="J317" i="64"/>
  <c r="K316" i="64"/>
  <c r="J316" i="64"/>
  <c r="K315" i="64"/>
  <c r="J315" i="64"/>
  <c r="K314" i="64"/>
  <c r="J314" i="64"/>
  <c r="K313" i="64"/>
  <c r="J313" i="64"/>
  <c r="K312" i="64"/>
  <c r="J312" i="64"/>
  <c r="K311" i="64"/>
  <c r="J311" i="64"/>
  <c r="K310" i="64"/>
  <c r="J310" i="64"/>
  <c r="K309" i="64"/>
  <c r="J309" i="64"/>
  <c r="K308" i="64"/>
  <c r="J308" i="64"/>
  <c r="K307" i="64"/>
  <c r="J307" i="64"/>
  <c r="K306" i="64"/>
  <c r="J306" i="64"/>
  <c r="K305" i="64"/>
  <c r="J305" i="64"/>
  <c r="K304" i="64"/>
  <c r="J304" i="64"/>
  <c r="K303" i="64"/>
  <c r="J303" i="64"/>
  <c r="K302" i="64"/>
  <c r="J302" i="64"/>
  <c r="K301" i="64"/>
  <c r="J301" i="64"/>
  <c r="K300" i="64"/>
  <c r="J300" i="64"/>
  <c r="K299" i="64"/>
  <c r="J299" i="64"/>
  <c r="K298" i="64"/>
  <c r="J298" i="64"/>
  <c r="K297" i="64"/>
  <c r="J297" i="64"/>
  <c r="K296" i="64"/>
  <c r="J296" i="64"/>
  <c r="K295" i="64"/>
  <c r="J295" i="64"/>
  <c r="K294" i="64"/>
  <c r="J294" i="64"/>
  <c r="K293" i="64"/>
  <c r="J293" i="64"/>
  <c r="K292" i="64"/>
  <c r="J292" i="64"/>
  <c r="K291" i="64"/>
  <c r="J291" i="64"/>
  <c r="K290" i="64"/>
  <c r="J290" i="64"/>
  <c r="K289" i="64"/>
  <c r="J289" i="64"/>
  <c r="K288" i="64"/>
  <c r="J288" i="64"/>
  <c r="K287" i="64"/>
  <c r="J287" i="64"/>
  <c r="K286" i="64"/>
  <c r="J286" i="64"/>
  <c r="K285" i="64"/>
  <c r="J285" i="64"/>
  <c r="K284" i="64"/>
  <c r="J284" i="64"/>
  <c r="K283" i="64"/>
  <c r="J283" i="64"/>
  <c r="K282" i="64"/>
  <c r="J282" i="64"/>
  <c r="K281" i="64"/>
  <c r="J281" i="64"/>
  <c r="K280" i="64"/>
  <c r="J280" i="64"/>
  <c r="K279" i="64"/>
  <c r="J279" i="64"/>
  <c r="K278" i="64"/>
  <c r="J278" i="64"/>
  <c r="K277" i="64"/>
  <c r="J277" i="64"/>
  <c r="K276" i="64"/>
  <c r="J276" i="64"/>
  <c r="K275" i="64"/>
  <c r="J275" i="64"/>
  <c r="K274" i="64"/>
  <c r="J274" i="64"/>
  <c r="K273" i="64"/>
  <c r="J273" i="64"/>
  <c r="K272" i="64"/>
  <c r="J272" i="64"/>
  <c r="K271" i="64"/>
  <c r="J271" i="64"/>
  <c r="K270" i="64"/>
  <c r="J270" i="64"/>
  <c r="K269" i="64"/>
  <c r="J269" i="64"/>
  <c r="K268" i="64"/>
  <c r="J268" i="64"/>
  <c r="K267" i="64"/>
  <c r="J267" i="64"/>
  <c r="K266" i="64"/>
  <c r="J266" i="64"/>
  <c r="K265" i="64"/>
  <c r="J265" i="64"/>
  <c r="K264" i="64"/>
  <c r="J264" i="64"/>
  <c r="K263" i="64"/>
  <c r="J263" i="64"/>
  <c r="K262" i="64"/>
  <c r="J262" i="64"/>
  <c r="K261" i="64"/>
  <c r="J261" i="64"/>
  <c r="K260" i="64"/>
  <c r="J260" i="64"/>
  <c r="K259" i="64"/>
  <c r="J259" i="64"/>
  <c r="K258" i="64"/>
  <c r="J258" i="64"/>
  <c r="K257" i="64"/>
  <c r="J257" i="64"/>
  <c r="K256" i="64"/>
  <c r="J256" i="64"/>
  <c r="K255" i="64"/>
  <c r="J255" i="64"/>
  <c r="K254" i="64"/>
  <c r="J254" i="64"/>
  <c r="K253" i="64"/>
  <c r="J253" i="64"/>
  <c r="K252" i="64"/>
  <c r="J252" i="64"/>
  <c r="K251" i="64"/>
  <c r="J251" i="64"/>
  <c r="K250" i="64"/>
  <c r="J250" i="64"/>
  <c r="K249" i="64"/>
  <c r="J249" i="64"/>
  <c r="K248" i="64"/>
  <c r="J248" i="64"/>
  <c r="K247" i="64"/>
  <c r="J247" i="64"/>
  <c r="K246" i="64"/>
  <c r="J246" i="64"/>
  <c r="K245" i="64"/>
  <c r="J245" i="64"/>
  <c r="K244" i="64"/>
  <c r="J244" i="64"/>
  <c r="K243" i="64"/>
  <c r="J243" i="64"/>
  <c r="K242" i="64"/>
  <c r="J242" i="64"/>
  <c r="K241" i="64"/>
  <c r="J241" i="64"/>
  <c r="K240" i="64"/>
  <c r="J240" i="64"/>
  <c r="K239" i="64"/>
  <c r="J239" i="64"/>
  <c r="K238" i="64"/>
  <c r="J238" i="64"/>
  <c r="K237" i="64"/>
  <c r="J237" i="64"/>
  <c r="K236" i="64"/>
  <c r="J236" i="64"/>
  <c r="K235" i="64"/>
  <c r="J235" i="64"/>
  <c r="K234" i="64"/>
  <c r="J234" i="64"/>
  <c r="K233" i="64"/>
  <c r="J233" i="64"/>
  <c r="K232" i="64"/>
  <c r="J232" i="64"/>
  <c r="K231" i="64"/>
  <c r="J231" i="64"/>
  <c r="K230" i="64"/>
  <c r="J230" i="64"/>
  <c r="K229" i="64"/>
  <c r="J229" i="64"/>
  <c r="K228" i="64"/>
  <c r="J228" i="64"/>
  <c r="K227" i="64"/>
  <c r="J227" i="64"/>
  <c r="K226" i="64"/>
  <c r="J226" i="64"/>
  <c r="K225" i="64"/>
  <c r="J225" i="64"/>
  <c r="K224" i="64"/>
  <c r="J224" i="64"/>
  <c r="K223" i="64"/>
  <c r="J223" i="64"/>
  <c r="K222" i="64"/>
  <c r="J222" i="64"/>
  <c r="K221" i="64"/>
  <c r="J221" i="64"/>
  <c r="K220" i="64"/>
  <c r="J220" i="64"/>
  <c r="K219" i="64"/>
  <c r="J219" i="64"/>
  <c r="K218" i="64"/>
  <c r="J218" i="64"/>
  <c r="K217" i="64"/>
  <c r="J217" i="64"/>
  <c r="K216" i="64"/>
  <c r="J216" i="64"/>
  <c r="K215" i="64"/>
  <c r="J215" i="64"/>
  <c r="K214" i="64"/>
  <c r="J214" i="64"/>
  <c r="K213" i="64"/>
  <c r="J213" i="64"/>
  <c r="K212" i="64"/>
  <c r="J212" i="64"/>
  <c r="K211" i="64"/>
  <c r="J211" i="64"/>
  <c r="K210" i="64"/>
  <c r="J210" i="64"/>
  <c r="K209" i="64"/>
  <c r="J209" i="64"/>
  <c r="K208" i="64"/>
  <c r="J208" i="64"/>
  <c r="K207" i="64"/>
  <c r="J207" i="64"/>
  <c r="K206" i="64"/>
  <c r="J206" i="64"/>
  <c r="K205" i="64"/>
  <c r="J205" i="64"/>
  <c r="K204" i="64"/>
  <c r="J204" i="64"/>
  <c r="K203" i="64"/>
  <c r="J203" i="64"/>
  <c r="K202" i="64"/>
  <c r="J202" i="64"/>
  <c r="K201" i="64"/>
  <c r="J201" i="64"/>
  <c r="K200" i="64"/>
  <c r="J200" i="64"/>
  <c r="K199" i="64"/>
  <c r="J199" i="64"/>
  <c r="K198" i="64"/>
  <c r="J198" i="64"/>
  <c r="K197" i="64"/>
  <c r="J197" i="64"/>
  <c r="K196" i="64"/>
  <c r="J196" i="64"/>
  <c r="K195" i="64"/>
  <c r="J195" i="64"/>
  <c r="K194" i="64"/>
  <c r="J194" i="64"/>
  <c r="K193" i="64"/>
  <c r="J193" i="64"/>
  <c r="K192" i="64"/>
  <c r="J192" i="64"/>
  <c r="K191" i="64"/>
  <c r="J191" i="64"/>
  <c r="K190" i="64"/>
  <c r="J190" i="64"/>
  <c r="K189" i="64"/>
  <c r="J189" i="64"/>
  <c r="K188" i="64"/>
  <c r="J188" i="64"/>
  <c r="K187" i="64"/>
  <c r="J187" i="64"/>
  <c r="K186" i="64"/>
  <c r="J186" i="64"/>
  <c r="K185" i="64"/>
  <c r="J185" i="64"/>
  <c r="K184" i="64"/>
  <c r="J184" i="64"/>
  <c r="K183" i="64"/>
  <c r="J183" i="64"/>
  <c r="K182" i="64"/>
  <c r="J182" i="64"/>
  <c r="K181" i="64"/>
  <c r="J181" i="64"/>
  <c r="K180" i="64"/>
  <c r="J180" i="64"/>
  <c r="K179" i="64"/>
  <c r="J179" i="64"/>
  <c r="K178" i="64"/>
  <c r="J178" i="64"/>
  <c r="K177" i="64"/>
  <c r="J177" i="64"/>
  <c r="K176" i="64"/>
  <c r="J176" i="64"/>
  <c r="K175" i="64"/>
  <c r="J175" i="64"/>
  <c r="K174" i="64"/>
  <c r="J174" i="64"/>
  <c r="K173" i="64"/>
  <c r="J173" i="64"/>
  <c r="K172" i="64"/>
  <c r="J172" i="64"/>
  <c r="K171" i="64"/>
  <c r="J171" i="64"/>
  <c r="K170" i="64"/>
  <c r="J170" i="64"/>
  <c r="K169" i="64"/>
  <c r="J169" i="64"/>
  <c r="K168" i="64"/>
  <c r="J168" i="64"/>
  <c r="K167" i="64"/>
  <c r="J167" i="64"/>
  <c r="K166" i="64"/>
  <c r="J166" i="64"/>
  <c r="K165" i="64"/>
  <c r="J165" i="64"/>
  <c r="K164" i="64"/>
  <c r="J164" i="64"/>
  <c r="K163" i="64"/>
  <c r="J163" i="64"/>
  <c r="K162" i="64"/>
  <c r="J162" i="64"/>
  <c r="K161" i="64"/>
  <c r="J161" i="64"/>
  <c r="K160" i="64"/>
  <c r="J160" i="64"/>
  <c r="K159" i="64"/>
  <c r="J159" i="64"/>
  <c r="K158" i="64"/>
  <c r="J158" i="64"/>
  <c r="K157" i="64"/>
  <c r="J157" i="64"/>
  <c r="K156" i="64"/>
  <c r="J156" i="64"/>
  <c r="K155" i="64"/>
  <c r="J155" i="64"/>
  <c r="K154" i="64"/>
  <c r="J154" i="64"/>
  <c r="K153" i="64"/>
  <c r="J153" i="64"/>
  <c r="K152" i="64"/>
  <c r="J152" i="64"/>
  <c r="K151" i="64"/>
  <c r="J151" i="64"/>
  <c r="K150" i="64"/>
  <c r="J150" i="64"/>
  <c r="K149" i="64"/>
  <c r="J149" i="64"/>
  <c r="K148" i="64"/>
  <c r="J148" i="64"/>
  <c r="K147" i="64"/>
  <c r="J147" i="64"/>
  <c r="K146" i="64"/>
  <c r="J146" i="64"/>
  <c r="K145" i="64"/>
  <c r="J145" i="64"/>
  <c r="K144" i="64"/>
  <c r="J144" i="64"/>
  <c r="K143" i="64"/>
  <c r="J143" i="64"/>
  <c r="K142" i="64"/>
  <c r="J142" i="64"/>
  <c r="K141" i="64"/>
  <c r="J141" i="64"/>
  <c r="K140" i="64"/>
  <c r="J140" i="64"/>
  <c r="K139" i="64"/>
  <c r="J139" i="64"/>
  <c r="K138" i="64"/>
  <c r="J138" i="64"/>
  <c r="K137" i="64"/>
  <c r="J137" i="64"/>
  <c r="K136" i="64"/>
  <c r="J136" i="64"/>
  <c r="K135" i="64"/>
  <c r="J135" i="64"/>
  <c r="K134" i="64"/>
  <c r="J134" i="64"/>
  <c r="K133" i="64"/>
  <c r="J133" i="64"/>
  <c r="K132" i="64"/>
  <c r="J132" i="64"/>
  <c r="K131" i="64"/>
  <c r="J131" i="64"/>
  <c r="K130" i="64"/>
  <c r="J130" i="64"/>
  <c r="K129" i="64"/>
  <c r="J129" i="64"/>
  <c r="K128" i="64"/>
  <c r="J128" i="64"/>
  <c r="K127" i="64"/>
  <c r="J127" i="64"/>
  <c r="K126" i="64"/>
  <c r="J126" i="64"/>
  <c r="K125" i="64"/>
  <c r="J125" i="64"/>
  <c r="K124" i="64"/>
  <c r="J124" i="64"/>
  <c r="K123" i="64"/>
  <c r="J123" i="64"/>
  <c r="K122" i="64"/>
  <c r="J122" i="64"/>
  <c r="K121" i="64"/>
  <c r="J121" i="64"/>
  <c r="K120" i="64"/>
  <c r="J120" i="64"/>
  <c r="K119" i="64"/>
  <c r="J119" i="64"/>
  <c r="K118" i="64"/>
  <c r="J118" i="64"/>
  <c r="K117" i="64"/>
  <c r="J117" i="64"/>
  <c r="K116" i="64"/>
  <c r="J116" i="64"/>
  <c r="K115" i="64"/>
  <c r="J115" i="64"/>
  <c r="K114" i="64"/>
  <c r="J114" i="64"/>
  <c r="K113" i="64"/>
  <c r="J113" i="64"/>
  <c r="K112" i="64"/>
  <c r="J112" i="64"/>
  <c r="K111" i="64"/>
  <c r="J111" i="64"/>
  <c r="K110" i="64"/>
  <c r="J110" i="64"/>
  <c r="K109" i="64"/>
  <c r="J109" i="64"/>
  <c r="K108" i="64"/>
  <c r="J108" i="64"/>
  <c r="K107" i="64"/>
  <c r="J107" i="64"/>
  <c r="K106" i="64"/>
  <c r="J106" i="64"/>
  <c r="K105" i="64"/>
  <c r="J105" i="64"/>
  <c r="K104" i="64"/>
  <c r="J104" i="64"/>
  <c r="K103" i="64"/>
  <c r="J103" i="64"/>
  <c r="K102" i="64"/>
  <c r="J102" i="64"/>
  <c r="K101" i="64"/>
  <c r="J101" i="64"/>
  <c r="K100" i="64"/>
  <c r="J100" i="64"/>
  <c r="K99" i="64"/>
  <c r="J99" i="64"/>
  <c r="K98" i="64"/>
  <c r="J98" i="64"/>
  <c r="K97" i="64"/>
  <c r="J97" i="64"/>
  <c r="K96" i="64"/>
  <c r="J96" i="64"/>
  <c r="K95" i="64"/>
  <c r="J95" i="64"/>
  <c r="K94" i="64"/>
  <c r="J94" i="64"/>
  <c r="K93" i="64"/>
  <c r="J93" i="64"/>
  <c r="K92" i="64"/>
  <c r="J92" i="64"/>
  <c r="K91" i="64"/>
  <c r="J91" i="64"/>
  <c r="K90" i="64"/>
  <c r="J90" i="64"/>
  <c r="K89" i="64"/>
  <c r="J89" i="64"/>
  <c r="K88" i="64"/>
  <c r="J88" i="64"/>
  <c r="K87" i="64"/>
  <c r="J87" i="64"/>
  <c r="K86" i="64"/>
  <c r="J86" i="64"/>
  <c r="K85" i="64"/>
  <c r="J85" i="64"/>
  <c r="K84" i="64"/>
  <c r="J84" i="64"/>
  <c r="K83" i="64"/>
  <c r="J83" i="64"/>
  <c r="K82" i="64"/>
  <c r="J82" i="64"/>
  <c r="K81" i="64"/>
  <c r="J81" i="64"/>
  <c r="K80" i="64"/>
  <c r="J80" i="64"/>
  <c r="K79" i="64"/>
  <c r="J79" i="64"/>
  <c r="K78" i="64"/>
  <c r="J78" i="64"/>
  <c r="K77" i="64"/>
  <c r="J77" i="64"/>
  <c r="K76" i="64"/>
  <c r="J76" i="64"/>
  <c r="K75" i="64"/>
  <c r="J75" i="64"/>
  <c r="K74" i="64"/>
  <c r="J74" i="64"/>
  <c r="K73" i="64"/>
  <c r="J73" i="64"/>
  <c r="K72" i="64"/>
  <c r="J72" i="64"/>
  <c r="K71" i="64"/>
  <c r="J71" i="64"/>
  <c r="K70" i="64"/>
  <c r="J70" i="64"/>
  <c r="K69" i="64"/>
  <c r="J69" i="64"/>
  <c r="K68" i="64"/>
  <c r="J68" i="64"/>
  <c r="K67" i="64"/>
  <c r="J67" i="64"/>
  <c r="K66" i="64"/>
  <c r="J66" i="64"/>
  <c r="K65" i="64"/>
  <c r="J65" i="64"/>
  <c r="K64" i="64"/>
  <c r="J64" i="64"/>
  <c r="K63" i="64"/>
  <c r="J63" i="64"/>
  <c r="K62" i="64"/>
  <c r="J62" i="64"/>
  <c r="K61" i="64"/>
  <c r="J61" i="64"/>
  <c r="K60" i="64"/>
  <c r="J60" i="64"/>
  <c r="K59" i="64"/>
  <c r="J59" i="64"/>
  <c r="K58" i="64"/>
  <c r="J58" i="64"/>
  <c r="K57" i="64"/>
  <c r="J57" i="64"/>
  <c r="K56" i="64"/>
  <c r="J56" i="64"/>
  <c r="K55" i="64"/>
  <c r="J55" i="64"/>
  <c r="K54" i="64"/>
  <c r="J54" i="64"/>
  <c r="K53" i="64"/>
  <c r="J53" i="64"/>
  <c r="K52" i="64"/>
  <c r="J52" i="64"/>
  <c r="K51" i="64"/>
  <c r="J51" i="64"/>
  <c r="K50" i="64"/>
  <c r="J50" i="64"/>
  <c r="K49" i="64"/>
  <c r="J49" i="64"/>
  <c r="K48" i="64"/>
  <c r="J48" i="64"/>
  <c r="K47" i="64"/>
  <c r="J47" i="64"/>
  <c r="K46" i="64"/>
  <c r="J46" i="64"/>
  <c r="K45" i="64"/>
  <c r="J45" i="64"/>
  <c r="K44" i="64"/>
  <c r="J44" i="64"/>
  <c r="K43" i="64"/>
  <c r="J43" i="64"/>
  <c r="K42" i="64"/>
  <c r="J42" i="64"/>
  <c r="K41" i="64"/>
  <c r="J41" i="64"/>
  <c r="K40" i="64"/>
  <c r="J40" i="64"/>
  <c r="K39" i="64"/>
  <c r="J39" i="64"/>
  <c r="K38" i="64"/>
  <c r="J38" i="64"/>
  <c r="K37" i="64"/>
  <c r="J37" i="64"/>
  <c r="K36" i="64"/>
  <c r="J36" i="64"/>
  <c r="K35" i="64"/>
  <c r="J35" i="64"/>
  <c r="K34" i="64"/>
  <c r="J34" i="64"/>
  <c r="K33" i="64"/>
  <c r="J33" i="64"/>
  <c r="K32" i="64"/>
  <c r="J32" i="64"/>
  <c r="K31" i="64"/>
  <c r="J31" i="64"/>
  <c r="K30" i="64"/>
  <c r="J30" i="64"/>
  <c r="K29" i="64"/>
  <c r="J29" i="64"/>
  <c r="K28" i="64"/>
  <c r="J28" i="64"/>
  <c r="K27" i="64"/>
  <c r="J27" i="64"/>
  <c r="K26" i="64"/>
  <c r="J26" i="64"/>
  <c r="K25" i="64"/>
  <c r="J25" i="64"/>
  <c r="K24" i="64"/>
  <c r="J24" i="64"/>
  <c r="K23" i="64"/>
  <c r="J23" i="64"/>
  <c r="K22" i="64"/>
  <c r="J22" i="64"/>
  <c r="K21" i="64"/>
  <c r="J21" i="64"/>
  <c r="K20" i="64"/>
  <c r="J20" i="64"/>
  <c r="K19" i="64"/>
  <c r="J19" i="64"/>
  <c r="K18" i="64"/>
  <c r="J18" i="64"/>
  <c r="K17" i="64"/>
  <c r="J17" i="64"/>
  <c r="K16" i="64"/>
  <c r="J16" i="64"/>
  <c r="K15" i="64"/>
  <c r="J15" i="64"/>
  <c r="K14" i="64"/>
  <c r="J14" i="64"/>
  <c r="K13" i="64"/>
  <c r="J13" i="64"/>
  <c r="K12" i="64"/>
  <c r="J12" i="64"/>
  <c r="K11" i="64"/>
  <c r="J11" i="64"/>
  <c r="K10" i="64"/>
  <c r="J10" i="64"/>
  <c r="K9" i="64"/>
  <c r="J9" i="64"/>
  <c r="K8" i="64"/>
  <c r="J8" i="64"/>
  <c r="K7" i="64"/>
  <c r="J7" i="64"/>
  <c r="K6" i="64"/>
  <c r="J6" i="64"/>
  <c r="K3" i="64"/>
  <c r="I3" i="64"/>
  <c r="H3" i="64"/>
  <c r="K499" i="58"/>
  <c r="J499" i="58"/>
  <c r="K498" i="58"/>
  <c r="J498" i="58"/>
  <c r="K497" i="58"/>
  <c r="J497" i="58"/>
  <c r="K496" i="58"/>
  <c r="J496" i="58"/>
  <c r="K495" i="58"/>
  <c r="J495" i="58"/>
  <c r="K494" i="58"/>
  <c r="J494" i="58"/>
  <c r="K493" i="58"/>
  <c r="J493" i="58"/>
  <c r="K492" i="58"/>
  <c r="J492" i="58"/>
  <c r="K491" i="58"/>
  <c r="J491" i="58"/>
  <c r="K490" i="58"/>
  <c r="J490" i="58"/>
  <c r="K489" i="58"/>
  <c r="J489" i="58"/>
  <c r="K488" i="58"/>
  <c r="J488" i="58"/>
  <c r="K487" i="58"/>
  <c r="J487" i="58"/>
  <c r="K486" i="58"/>
  <c r="J486" i="58"/>
  <c r="K485" i="58"/>
  <c r="J485" i="58"/>
  <c r="K484" i="58"/>
  <c r="J484" i="58"/>
  <c r="K483" i="58"/>
  <c r="J483" i="58"/>
  <c r="K482" i="58"/>
  <c r="J482" i="58"/>
  <c r="K481" i="58"/>
  <c r="J481" i="58"/>
  <c r="K480" i="58"/>
  <c r="J480" i="58"/>
  <c r="K479" i="58"/>
  <c r="J479" i="58"/>
  <c r="K478" i="58"/>
  <c r="J478" i="58"/>
  <c r="K477" i="58"/>
  <c r="J477" i="58"/>
  <c r="K476" i="58"/>
  <c r="J476" i="58"/>
  <c r="K475" i="58"/>
  <c r="J475" i="58"/>
  <c r="K474" i="58"/>
  <c r="J474" i="58"/>
  <c r="K473" i="58"/>
  <c r="J473" i="58"/>
  <c r="K472" i="58"/>
  <c r="J472" i="58"/>
  <c r="K471" i="58"/>
  <c r="J471" i="58"/>
  <c r="K470" i="58"/>
  <c r="J470" i="58"/>
  <c r="K469" i="58"/>
  <c r="J469" i="58"/>
  <c r="K468" i="58"/>
  <c r="J468" i="58"/>
  <c r="K467" i="58"/>
  <c r="J467" i="58"/>
  <c r="K466" i="58"/>
  <c r="J466" i="58"/>
  <c r="K465" i="58"/>
  <c r="J465" i="58"/>
  <c r="K464" i="58"/>
  <c r="J464" i="58"/>
  <c r="K463" i="58"/>
  <c r="J463" i="58"/>
  <c r="K462" i="58"/>
  <c r="J462" i="58"/>
  <c r="K461" i="58"/>
  <c r="J461" i="58"/>
  <c r="K460" i="58"/>
  <c r="J460" i="58"/>
  <c r="K459" i="58"/>
  <c r="J459" i="58"/>
  <c r="K458" i="58"/>
  <c r="J458" i="58"/>
  <c r="K457" i="58"/>
  <c r="J457" i="58"/>
  <c r="K456" i="58"/>
  <c r="J456" i="58"/>
  <c r="K455" i="58"/>
  <c r="J455" i="58"/>
  <c r="K454" i="58"/>
  <c r="J454" i="58"/>
  <c r="K453" i="58"/>
  <c r="J453" i="58"/>
  <c r="K452" i="58"/>
  <c r="J452" i="58"/>
  <c r="K451" i="58"/>
  <c r="J451" i="58"/>
  <c r="K450" i="58"/>
  <c r="J450" i="58"/>
  <c r="K449" i="58"/>
  <c r="J449" i="58"/>
  <c r="K448" i="58"/>
  <c r="J448" i="58"/>
  <c r="K447" i="58"/>
  <c r="J447" i="58"/>
  <c r="K446" i="58"/>
  <c r="J446" i="58"/>
  <c r="K445" i="58"/>
  <c r="J445" i="58"/>
  <c r="K444" i="58"/>
  <c r="J444" i="58"/>
  <c r="K443" i="58"/>
  <c r="J443" i="58"/>
  <c r="K442" i="58"/>
  <c r="J442" i="58"/>
  <c r="K441" i="58"/>
  <c r="J441" i="58"/>
  <c r="K440" i="58"/>
  <c r="J440" i="58"/>
  <c r="K439" i="58"/>
  <c r="J439" i="58"/>
  <c r="K438" i="58"/>
  <c r="J438" i="58"/>
  <c r="K437" i="58"/>
  <c r="J437" i="58"/>
  <c r="K436" i="58"/>
  <c r="J436" i="58"/>
  <c r="K435" i="58"/>
  <c r="J435" i="58"/>
  <c r="K434" i="58"/>
  <c r="J434" i="58"/>
  <c r="K433" i="58"/>
  <c r="J433" i="58"/>
  <c r="K432" i="58"/>
  <c r="J432" i="58"/>
  <c r="K431" i="58"/>
  <c r="J431" i="58"/>
  <c r="K430" i="58"/>
  <c r="J430" i="58"/>
  <c r="K429" i="58"/>
  <c r="J429" i="58"/>
  <c r="K428" i="58"/>
  <c r="J428" i="58"/>
  <c r="K427" i="58"/>
  <c r="J427" i="58"/>
  <c r="K426" i="58"/>
  <c r="J426" i="58"/>
  <c r="K425" i="58"/>
  <c r="J425" i="58"/>
  <c r="K424" i="58"/>
  <c r="J424" i="58"/>
  <c r="K423" i="58"/>
  <c r="J423" i="58"/>
  <c r="K422" i="58"/>
  <c r="J422" i="58"/>
  <c r="K421" i="58"/>
  <c r="J421" i="58"/>
  <c r="K420" i="58"/>
  <c r="J420" i="58"/>
  <c r="K419" i="58"/>
  <c r="J419" i="58"/>
  <c r="K418" i="58"/>
  <c r="J418" i="58"/>
  <c r="K417" i="58"/>
  <c r="J417" i="58"/>
  <c r="K416" i="58"/>
  <c r="J416" i="58"/>
  <c r="K415" i="58"/>
  <c r="J415" i="58"/>
  <c r="K414" i="58"/>
  <c r="J414" i="58"/>
  <c r="K413" i="58"/>
  <c r="J413" i="58"/>
  <c r="K412" i="58"/>
  <c r="J412" i="58"/>
  <c r="K411" i="58"/>
  <c r="J411" i="58"/>
  <c r="K410" i="58"/>
  <c r="J410" i="58"/>
  <c r="K409" i="58"/>
  <c r="J409" i="58"/>
  <c r="K408" i="58"/>
  <c r="J408" i="58"/>
  <c r="K407" i="58"/>
  <c r="J407" i="58"/>
  <c r="K406" i="58"/>
  <c r="J406" i="58"/>
  <c r="K405" i="58"/>
  <c r="J405" i="58"/>
  <c r="K404" i="58"/>
  <c r="J404" i="58"/>
  <c r="K403" i="58"/>
  <c r="J403" i="58"/>
  <c r="K402" i="58"/>
  <c r="J402" i="58"/>
  <c r="K401" i="58"/>
  <c r="J401" i="58"/>
  <c r="K400" i="58"/>
  <c r="J400" i="58"/>
  <c r="K399" i="58"/>
  <c r="J399" i="58"/>
  <c r="K398" i="58"/>
  <c r="J398" i="58"/>
  <c r="K397" i="58"/>
  <c r="J397" i="58"/>
  <c r="K396" i="58"/>
  <c r="J396" i="58"/>
  <c r="K395" i="58"/>
  <c r="J395" i="58"/>
  <c r="K394" i="58"/>
  <c r="J394" i="58"/>
  <c r="K393" i="58"/>
  <c r="J393" i="58"/>
  <c r="K392" i="58"/>
  <c r="J392" i="58"/>
  <c r="K391" i="58"/>
  <c r="J391" i="58"/>
  <c r="K390" i="58"/>
  <c r="J390" i="58"/>
  <c r="K389" i="58"/>
  <c r="J389" i="58"/>
  <c r="K388" i="58"/>
  <c r="J388" i="58"/>
  <c r="K387" i="58"/>
  <c r="J387" i="58"/>
  <c r="K386" i="58"/>
  <c r="J386" i="58"/>
  <c r="K385" i="58"/>
  <c r="J385" i="58"/>
  <c r="K384" i="58"/>
  <c r="J384" i="58"/>
  <c r="K383" i="58"/>
  <c r="J383" i="58"/>
  <c r="K382" i="58"/>
  <c r="J382" i="58"/>
  <c r="K381" i="58"/>
  <c r="J381" i="58"/>
  <c r="K380" i="58"/>
  <c r="J380" i="58"/>
  <c r="K379" i="58"/>
  <c r="J379" i="58"/>
  <c r="K378" i="58"/>
  <c r="J378" i="58"/>
  <c r="K377" i="58"/>
  <c r="J377" i="58"/>
  <c r="K376" i="58"/>
  <c r="J376" i="58"/>
  <c r="K375" i="58"/>
  <c r="J375" i="58"/>
  <c r="K374" i="58"/>
  <c r="J374" i="58"/>
  <c r="K373" i="58"/>
  <c r="J373" i="58"/>
  <c r="K372" i="58"/>
  <c r="J372" i="58"/>
  <c r="K371" i="58"/>
  <c r="J371" i="58"/>
  <c r="K370" i="58"/>
  <c r="J370" i="58"/>
  <c r="K369" i="58"/>
  <c r="J369" i="58"/>
  <c r="K368" i="58"/>
  <c r="J368" i="58"/>
  <c r="K367" i="58"/>
  <c r="J367" i="58"/>
  <c r="K366" i="58"/>
  <c r="J366" i="58"/>
  <c r="K365" i="58"/>
  <c r="J365" i="58"/>
  <c r="K364" i="58"/>
  <c r="J364" i="58"/>
  <c r="K363" i="58"/>
  <c r="J363" i="58"/>
  <c r="K362" i="58"/>
  <c r="J362" i="58"/>
  <c r="K361" i="58"/>
  <c r="J361" i="58"/>
  <c r="K360" i="58"/>
  <c r="J360" i="58"/>
  <c r="K359" i="58"/>
  <c r="J359" i="58"/>
  <c r="K358" i="58"/>
  <c r="J358" i="58"/>
  <c r="K357" i="58"/>
  <c r="J357" i="58"/>
  <c r="K356" i="58"/>
  <c r="J356" i="58"/>
  <c r="K355" i="58"/>
  <c r="J355" i="58"/>
  <c r="K354" i="58"/>
  <c r="J354" i="58"/>
  <c r="K353" i="58"/>
  <c r="J353" i="58"/>
  <c r="K352" i="58"/>
  <c r="J352" i="58"/>
  <c r="K351" i="58"/>
  <c r="J351" i="58"/>
  <c r="K350" i="58"/>
  <c r="J350" i="58"/>
  <c r="K349" i="58"/>
  <c r="J349" i="58"/>
  <c r="K348" i="58"/>
  <c r="J348" i="58"/>
  <c r="K347" i="58"/>
  <c r="J347" i="58"/>
  <c r="K346" i="58"/>
  <c r="J346" i="58"/>
  <c r="K345" i="58"/>
  <c r="J345" i="58"/>
  <c r="K344" i="58"/>
  <c r="J344" i="58"/>
  <c r="K343" i="58"/>
  <c r="J343" i="58"/>
  <c r="K342" i="58"/>
  <c r="J342" i="58"/>
  <c r="K341" i="58"/>
  <c r="J341" i="58"/>
  <c r="K340" i="58"/>
  <c r="J340" i="58"/>
  <c r="K339" i="58"/>
  <c r="J339" i="58"/>
  <c r="K338" i="58"/>
  <c r="J338" i="58"/>
  <c r="K337" i="58"/>
  <c r="J337" i="58"/>
  <c r="K336" i="58"/>
  <c r="J336" i="58"/>
  <c r="K335" i="58"/>
  <c r="J335" i="58"/>
  <c r="K334" i="58"/>
  <c r="J334" i="58"/>
  <c r="K333" i="58"/>
  <c r="J333" i="58"/>
  <c r="K332" i="58"/>
  <c r="J332" i="58"/>
  <c r="K331" i="58"/>
  <c r="J331" i="58"/>
  <c r="K330" i="58"/>
  <c r="J330" i="58"/>
  <c r="K329" i="58"/>
  <c r="J329" i="58"/>
  <c r="K328" i="58"/>
  <c r="J328" i="58"/>
  <c r="K327" i="58"/>
  <c r="J327" i="58"/>
  <c r="K326" i="58"/>
  <c r="J326" i="58"/>
  <c r="K325" i="58"/>
  <c r="J325" i="58"/>
  <c r="K324" i="58"/>
  <c r="J324" i="58"/>
  <c r="K323" i="58"/>
  <c r="J323" i="58"/>
  <c r="K322" i="58"/>
  <c r="J322" i="58"/>
  <c r="K321" i="58"/>
  <c r="J321" i="58"/>
  <c r="K320" i="58"/>
  <c r="J320" i="58"/>
  <c r="K319" i="58"/>
  <c r="J319" i="58"/>
  <c r="K318" i="58"/>
  <c r="J318" i="58"/>
  <c r="K317" i="58"/>
  <c r="J317" i="58"/>
  <c r="K316" i="58"/>
  <c r="J316" i="58"/>
  <c r="K315" i="58"/>
  <c r="J315" i="58"/>
  <c r="K314" i="58"/>
  <c r="J314" i="58"/>
  <c r="K313" i="58"/>
  <c r="J313" i="58"/>
  <c r="K312" i="58"/>
  <c r="J312" i="58"/>
  <c r="K311" i="58"/>
  <c r="J311" i="58"/>
  <c r="K310" i="58"/>
  <c r="J310" i="58"/>
  <c r="K309" i="58"/>
  <c r="J309" i="58"/>
  <c r="K308" i="58"/>
  <c r="J308" i="58"/>
  <c r="K307" i="58"/>
  <c r="J307" i="58"/>
  <c r="K306" i="58"/>
  <c r="J306" i="58"/>
  <c r="K305" i="58"/>
  <c r="J305" i="58"/>
  <c r="K304" i="58"/>
  <c r="J304" i="58"/>
  <c r="K303" i="58"/>
  <c r="J303" i="58"/>
  <c r="K302" i="58"/>
  <c r="J302" i="58"/>
  <c r="K301" i="58"/>
  <c r="J301" i="58"/>
  <c r="K300" i="58"/>
  <c r="J300" i="58"/>
  <c r="K299" i="58"/>
  <c r="J299" i="58"/>
  <c r="K298" i="58"/>
  <c r="J298" i="58"/>
  <c r="K297" i="58"/>
  <c r="J297" i="58"/>
  <c r="K296" i="58"/>
  <c r="J296" i="58"/>
  <c r="K295" i="58"/>
  <c r="J295" i="58"/>
  <c r="K294" i="58"/>
  <c r="J294" i="58"/>
  <c r="K293" i="58"/>
  <c r="J293" i="58"/>
  <c r="K292" i="58"/>
  <c r="J292" i="58"/>
  <c r="K291" i="58"/>
  <c r="J291" i="58"/>
  <c r="K290" i="58"/>
  <c r="J290" i="58"/>
  <c r="K289" i="58"/>
  <c r="J289" i="58"/>
  <c r="K288" i="58"/>
  <c r="J288" i="58"/>
  <c r="K287" i="58"/>
  <c r="J287" i="58"/>
  <c r="K286" i="58"/>
  <c r="J286" i="58"/>
  <c r="K285" i="58"/>
  <c r="J285" i="58"/>
  <c r="K284" i="58"/>
  <c r="J284" i="58"/>
  <c r="K283" i="58"/>
  <c r="J283" i="58"/>
  <c r="K282" i="58"/>
  <c r="J282" i="58"/>
  <c r="K281" i="58"/>
  <c r="J281" i="58"/>
  <c r="K280" i="58"/>
  <c r="J280" i="58"/>
  <c r="K279" i="58"/>
  <c r="J279" i="58"/>
  <c r="K278" i="58"/>
  <c r="J278" i="58"/>
  <c r="K277" i="58"/>
  <c r="J277" i="58"/>
  <c r="K276" i="58"/>
  <c r="J276" i="58"/>
  <c r="K275" i="58"/>
  <c r="J275" i="58"/>
  <c r="K274" i="58"/>
  <c r="J274" i="58"/>
  <c r="K273" i="58"/>
  <c r="J273" i="58"/>
  <c r="K272" i="58"/>
  <c r="J272" i="58"/>
  <c r="K271" i="58"/>
  <c r="J271" i="58"/>
  <c r="K270" i="58"/>
  <c r="J270" i="58"/>
  <c r="K269" i="58"/>
  <c r="J269" i="58"/>
  <c r="K268" i="58"/>
  <c r="J268" i="58"/>
  <c r="K267" i="58"/>
  <c r="J267" i="58"/>
  <c r="K266" i="58"/>
  <c r="J266" i="58"/>
  <c r="K265" i="58"/>
  <c r="J265" i="58"/>
  <c r="K264" i="58"/>
  <c r="J264" i="58"/>
  <c r="K263" i="58"/>
  <c r="J263" i="58"/>
  <c r="K262" i="58"/>
  <c r="J262" i="58"/>
  <c r="K261" i="58"/>
  <c r="J261" i="58"/>
  <c r="K260" i="58"/>
  <c r="J260" i="58"/>
  <c r="K259" i="58"/>
  <c r="J259" i="58"/>
  <c r="K258" i="58"/>
  <c r="J258" i="58"/>
  <c r="K257" i="58"/>
  <c r="J257" i="58"/>
  <c r="K256" i="58"/>
  <c r="J256" i="58"/>
  <c r="K255" i="58"/>
  <c r="J255" i="58"/>
  <c r="K254" i="58"/>
  <c r="J254" i="58"/>
  <c r="K253" i="58"/>
  <c r="J253" i="58"/>
  <c r="K252" i="58"/>
  <c r="J252" i="58"/>
  <c r="K251" i="58"/>
  <c r="J251" i="58"/>
  <c r="K250" i="58"/>
  <c r="J250" i="58"/>
  <c r="K249" i="58"/>
  <c r="J249" i="58"/>
  <c r="K248" i="58"/>
  <c r="J248" i="58"/>
  <c r="K247" i="58"/>
  <c r="J247" i="58"/>
  <c r="K246" i="58"/>
  <c r="J246" i="58"/>
  <c r="K245" i="58"/>
  <c r="J245" i="58"/>
  <c r="K244" i="58"/>
  <c r="J244" i="58"/>
  <c r="K243" i="58"/>
  <c r="J243" i="58"/>
  <c r="K242" i="58"/>
  <c r="J242" i="58"/>
  <c r="K241" i="58"/>
  <c r="J241" i="58"/>
  <c r="K240" i="58"/>
  <c r="J240" i="58"/>
  <c r="K239" i="58"/>
  <c r="J239" i="58"/>
  <c r="K238" i="58"/>
  <c r="J238" i="58"/>
  <c r="K237" i="58"/>
  <c r="J237" i="58"/>
  <c r="K236" i="58"/>
  <c r="J236" i="58"/>
  <c r="K235" i="58"/>
  <c r="J235" i="58"/>
  <c r="K234" i="58"/>
  <c r="J234" i="58"/>
  <c r="K233" i="58"/>
  <c r="J233" i="58"/>
  <c r="K232" i="58"/>
  <c r="J232" i="58"/>
  <c r="K231" i="58"/>
  <c r="J231" i="58"/>
  <c r="K230" i="58"/>
  <c r="J230" i="58"/>
  <c r="K229" i="58"/>
  <c r="J229" i="58"/>
  <c r="K228" i="58"/>
  <c r="J228" i="58"/>
  <c r="K227" i="58"/>
  <c r="J227" i="58"/>
  <c r="K226" i="58"/>
  <c r="J226" i="58"/>
  <c r="K225" i="58"/>
  <c r="J225" i="58"/>
  <c r="K224" i="58"/>
  <c r="J224" i="58"/>
  <c r="K223" i="58"/>
  <c r="J223" i="58"/>
  <c r="K222" i="58"/>
  <c r="J222" i="58"/>
  <c r="K221" i="58"/>
  <c r="J221" i="58"/>
  <c r="K220" i="58"/>
  <c r="J220" i="58"/>
  <c r="K219" i="58"/>
  <c r="J219" i="58"/>
  <c r="K218" i="58"/>
  <c r="J218" i="58"/>
  <c r="K217" i="58"/>
  <c r="J217" i="58"/>
  <c r="K216" i="58"/>
  <c r="J216" i="58"/>
  <c r="K215" i="58"/>
  <c r="J215" i="58"/>
  <c r="K214" i="58"/>
  <c r="J214" i="58"/>
  <c r="K213" i="58"/>
  <c r="J213" i="58"/>
  <c r="K212" i="58"/>
  <c r="J212" i="58"/>
  <c r="K211" i="58"/>
  <c r="J211" i="58"/>
  <c r="K210" i="58"/>
  <c r="J210" i="58"/>
  <c r="K209" i="58"/>
  <c r="J209" i="58"/>
  <c r="K208" i="58"/>
  <c r="J208" i="58"/>
  <c r="K207" i="58"/>
  <c r="J207" i="58"/>
  <c r="K206" i="58"/>
  <c r="J206" i="58"/>
  <c r="K205" i="58"/>
  <c r="J205" i="58"/>
  <c r="K204" i="58"/>
  <c r="J204" i="58"/>
  <c r="K203" i="58"/>
  <c r="J203" i="58"/>
  <c r="K202" i="58"/>
  <c r="J202" i="58"/>
  <c r="K201" i="58"/>
  <c r="J201" i="58"/>
  <c r="K200" i="58"/>
  <c r="J200" i="58"/>
  <c r="K199" i="58"/>
  <c r="J199" i="58"/>
  <c r="K198" i="58"/>
  <c r="J198" i="58"/>
  <c r="K197" i="58"/>
  <c r="J197" i="58"/>
  <c r="K196" i="58"/>
  <c r="J196" i="58"/>
  <c r="K195" i="58"/>
  <c r="J195" i="58"/>
  <c r="K194" i="58"/>
  <c r="J194" i="58"/>
  <c r="K193" i="58"/>
  <c r="J193" i="58"/>
  <c r="K192" i="58"/>
  <c r="J192" i="58"/>
  <c r="K191" i="58"/>
  <c r="J191" i="58"/>
  <c r="K190" i="58"/>
  <c r="J190" i="58"/>
  <c r="K189" i="58"/>
  <c r="J189" i="58"/>
  <c r="K188" i="58"/>
  <c r="J188" i="58"/>
  <c r="K187" i="58"/>
  <c r="J187" i="58"/>
  <c r="K186" i="58"/>
  <c r="J186" i="58"/>
  <c r="K185" i="58"/>
  <c r="J185" i="58"/>
  <c r="K184" i="58"/>
  <c r="J184" i="58"/>
  <c r="K183" i="58"/>
  <c r="J183" i="58"/>
  <c r="K182" i="58"/>
  <c r="J182" i="58"/>
  <c r="K181" i="58"/>
  <c r="J181" i="58"/>
  <c r="K180" i="58"/>
  <c r="J180" i="58"/>
  <c r="K179" i="58"/>
  <c r="J179" i="58"/>
  <c r="K178" i="58"/>
  <c r="J178" i="58"/>
  <c r="K177" i="58"/>
  <c r="J177" i="58"/>
  <c r="K176" i="58"/>
  <c r="J176" i="58"/>
  <c r="K175" i="58"/>
  <c r="J175" i="58"/>
  <c r="K174" i="58"/>
  <c r="J174" i="58"/>
  <c r="K173" i="58"/>
  <c r="J173" i="58"/>
  <c r="K172" i="58"/>
  <c r="J172" i="58"/>
  <c r="K171" i="58"/>
  <c r="J171" i="58"/>
  <c r="K170" i="58"/>
  <c r="J170" i="58"/>
  <c r="K169" i="58"/>
  <c r="J169" i="58"/>
  <c r="K168" i="58"/>
  <c r="J168" i="58"/>
  <c r="K167" i="58"/>
  <c r="J167" i="58"/>
  <c r="K166" i="58"/>
  <c r="J166" i="58"/>
  <c r="K165" i="58"/>
  <c r="J165" i="58"/>
  <c r="K164" i="58"/>
  <c r="J164" i="58"/>
  <c r="K163" i="58"/>
  <c r="J163" i="58"/>
  <c r="K162" i="58"/>
  <c r="J162" i="58"/>
  <c r="K161" i="58"/>
  <c r="J161" i="58"/>
  <c r="K160" i="58"/>
  <c r="J160" i="58"/>
  <c r="K159" i="58"/>
  <c r="J159" i="58"/>
  <c r="K158" i="58"/>
  <c r="J158" i="58"/>
  <c r="K157" i="58"/>
  <c r="J157" i="58"/>
  <c r="K156" i="58"/>
  <c r="J156" i="58"/>
  <c r="K155" i="58"/>
  <c r="J155" i="58"/>
  <c r="K154" i="58"/>
  <c r="J154" i="58"/>
  <c r="K153" i="58"/>
  <c r="J153" i="58"/>
  <c r="K152" i="58"/>
  <c r="J152" i="58"/>
  <c r="K151" i="58"/>
  <c r="J151" i="58"/>
  <c r="K150" i="58"/>
  <c r="J150" i="58"/>
  <c r="K149" i="58"/>
  <c r="J149" i="58"/>
  <c r="K148" i="58"/>
  <c r="J148" i="58"/>
  <c r="K147" i="58"/>
  <c r="J147" i="58"/>
  <c r="K146" i="58"/>
  <c r="J146" i="58"/>
  <c r="K145" i="58"/>
  <c r="J145" i="58"/>
  <c r="K144" i="58"/>
  <c r="J144" i="58"/>
  <c r="K143" i="58"/>
  <c r="J143" i="58"/>
  <c r="K142" i="58"/>
  <c r="J142" i="58"/>
  <c r="K141" i="58"/>
  <c r="J141" i="58"/>
  <c r="K140" i="58"/>
  <c r="J140" i="58"/>
  <c r="K139" i="58"/>
  <c r="J139" i="58"/>
  <c r="K138" i="58"/>
  <c r="J138" i="58"/>
  <c r="K137" i="58"/>
  <c r="J137" i="58"/>
  <c r="K136" i="58"/>
  <c r="J136" i="58"/>
  <c r="K135" i="58"/>
  <c r="J135" i="58"/>
  <c r="K134" i="58"/>
  <c r="J134" i="58"/>
  <c r="K133" i="58"/>
  <c r="J133" i="58"/>
  <c r="K132" i="58"/>
  <c r="J132" i="58"/>
  <c r="K131" i="58"/>
  <c r="J131" i="58"/>
  <c r="K130" i="58"/>
  <c r="J130" i="58"/>
  <c r="K129" i="58"/>
  <c r="J129" i="58"/>
  <c r="K128" i="58"/>
  <c r="J128" i="58"/>
  <c r="K127" i="58"/>
  <c r="J127" i="58"/>
  <c r="K126" i="58"/>
  <c r="J126" i="58"/>
  <c r="K125" i="58"/>
  <c r="J125" i="58"/>
  <c r="K124" i="58"/>
  <c r="J124" i="58"/>
  <c r="K123" i="58"/>
  <c r="J123" i="58"/>
  <c r="K122" i="58"/>
  <c r="J122" i="58"/>
  <c r="K121" i="58"/>
  <c r="J121" i="58"/>
  <c r="K120" i="58"/>
  <c r="J120" i="58"/>
  <c r="K119" i="58"/>
  <c r="J119" i="58"/>
  <c r="K118" i="58"/>
  <c r="J118" i="58"/>
  <c r="K117" i="58"/>
  <c r="J117" i="58"/>
  <c r="K116" i="58"/>
  <c r="J116" i="58"/>
  <c r="K115" i="58"/>
  <c r="J115" i="58"/>
  <c r="K114" i="58"/>
  <c r="J114" i="58"/>
  <c r="K113" i="58"/>
  <c r="J113" i="58"/>
  <c r="K112" i="58"/>
  <c r="J112" i="58"/>
  <c r="K111" i="58"/>
  <c r="J111" i="58"/>
  <c r="K110" i="58"/>
  <c r="J110" i="58"/>
  <c r="K109" i="58"/>
  <c r="J109" i="58"/>
  <c r="K108" i="58"/>
  <c r="J108" i="58"/>
  <c r="K107" i="58"/>
  <c r="J107" i="58"/>
  <c r="K106" i="58"/>
  <c r="J106" i="58"/>
  <c r="K105" i="58"/>
  <c r="J105" i="58"/>
  <c r="K104" i="58"/>
  <c r="J104" i="58"/>
  <c r="K103" i="58"/>
  <c r="J103" i="58"/>
  <c r="K102" i="58"/>
  <c r="J102" i="58"/>
  <c r="K101" i="58"/>
  <c r="J101" i="58"/>
  <c r="K100" i="58"/>
  <c r="J100" i="58"/>
  <c r="K99" i="58"/>
  <c r="J99" i="58"/>
  <c r="K98" i="58"/>
  <c r="J98" i="58"/>
  <c r="K97" i="58"/>
  <c r="J97" i="58"/>
  <c r="K96" i="58"/>
  <c r="J96" i="58"/>
  <c r="K95" i="58"/>
  <c r="J95" i="58"/>
  <c r="K94" i="58"/>
  <c r="J94" i="58"/>
  <c r="K93" i="58"/>
  <c r="J93" i="58"/>
  <c r="K92" i="58"/>
  <c r="J92" i="58"/>
  <c r="K91" i="58"/>
  <c r="J91" i="58"/>
  <c r="K90" i="58"/>
  <c r="J90" i="58"/>
  <c r="K89" i="58"/>
  <c r="J89" i="58"/>
  <c r="K88" i="58"/>
  <c r="J88" i="58"/>
  <c r="K87" i="58"/>
  <c r="J87" i="58"/>
  <c r="K86" i="58"/>
  <c r="J86" i="58"/>
  <c r="K85" i="58"/>
  <c r="J85" i="58"/>
  <c r="K84" i="58"/>
  <c r="J84" i="58"/>
  <c r="K83" i="58"/>
  <c r="J83" i="58"/>
  <c r="K82" i="58"/>
  <c r="J82" i="58"/>
  <c r="K81" i="58"/>
  <c r="J81" i="58"/>
  <c r="K80" i="58"/>
  <c r="J80" i="58"/>
  <c r="K79" i="58"/>
  <c r="J79" i="58"/>
  <c r="K78" i="58"/>
  <c r="J78" i="58"/>
  <c r="K77" i="58"/>
  <c r="J77" i="58"/>
  <c r="K76" i="58"/>
  <c r="J76" i="58"/>
  <c r="K75" i="58"/>
  <c r="J75" i="58"/>
  <c r="K74" i="58"/>
  <c r="J74" i="58"/>
  <c r="K73" i="58"/>
  <c r="J73" i="58"/>
  <c r="K72" i="58"/>
  <c r="J72" i="58"/>
  <c r="K71" i="58"/>
  <c r="J71" i="58"/>
  <c r="K70" i="58"/>
  <c r="J70" i="58"/>
  <c r="K69" i="58"/>
  <c r="J69" i="58"/>
  <c r="K68" i="58"/>
  <c r="J68" i="58"/>
  <c r="K67" i="58"/>
  <c r="J67" i="58"/>
  <c r="K66" i="58"/>
  <c r="J66" i="58"/>
  <c r="K65" i="58"/>
  <c r="J65" i="58"/>
  <c r="K64" i="58"/>
  <c r="J64" i="58"/>
  <c r="K63" i="58"/>
  <c r="J63" i="58"/>
  <c r="K62" i="58"/>
  <c r="J62" i="58"/>
  <c r="K61" i="58"/>
  <c r="J61" i="58"/>
  <c r="K60" i="58"/>
  <c r="J60" i="58"/>
  <c r="K59" i="58"/>
  <c r="J59" i="58"/>
  <c r="K58" i="58"/>
  <c r="J58" i="58"/>
  <c r="K57" i="58"/>
  <c r="J57" i="58"/>
  <c r="K56" i="58"/>
  <c r="J56" i="58"/>
  <c r="K55" i="58"/>
  <c r="J55" i="58"/>
  <c r="K54" i="58"/>
  <c r="J54" i="58"/>
  <c r="K53" i="58"/>
  <c r="J53" i="58"/>
  <c r="K52" i="58"/>
  <c r="J52" i="58"/>
  <c r="K51" i="58"/>
  <c r="J51" i="58"/>
  <c r="K50" i="58"/>
  <c r="J50" i="58"/>
  <c r="K49" i="58"/>
  <c r="J49" i="58"/>
  <c r="K48" i="58"/>
  <c r="J48" i="58"/>
  <c r="K47" i="58"/>
  <c r="J47" i="58"/>
  <c r="K46" i="58"/>
  <c r="J46" i="58"/>
  <c r="K45" i="58"/>
  <c r="J45" i="58"/>
  <c r="K44" i="58"/>
  <c r="J44" i="58"/>
  <c r="K43" i="58"/>
  <c r="J43" i="58"/>
  <c r="K42" i="58"/>
  <c r="J42" i="58"/>
  <c r="K41" i="58"/>
  <c r="J41" i="58"/>
  <c r="K40" i="58"/>
  <c r="J40" i="58"/>
  <c r="K39" i="58"/>
  <c r="J39" i="58"/>
  <c r="K38" i="58"/>
  <c r="J38" i="58"/>
  <c r="K37" i="58"/>
  <c r="J37" i="58"/>
  <c r="K36" i="58"/>
  <c r="J36" i="58"/>
  <c r="K35" i="58"/>
  <c r="J35" i="58"/>
  <c r="K34" i="58"/>
  <c r="J34" i="58"/>
  <c r="K33" i="58"/>
  <c r="J33" i="58"/>
  <c r="K32" i="58"/>
  <c r="J32" i="58"/>
  <c r="K31" i="58"/>
  <c r="J31" i="58"/>
  <c r="K30" i="58"/>
  <c r="J30" i="58"/>
  <c r="K29" i="58"/>
  <c r="J29" i="58"/>
  <c r="K28" i="58"/>
  <c r="J28" i="58"/>
  <c r="K27" i="58"/>
  <c r="J27" i="58"/>
  <c r="K26" i="58"/>
  <c r="J26" i="58"/>
  <c r="K25" i="58"/>
  <c r="J25" i="58"/>
  <c r="K24" i="58"/>
  <c r="J24" i="58"/>
  <c r="K23" i="58"/>
  <c r="J23" i="58"/>
  <c r="K22" i="58"/>
  <c r="J22" i="58"/>
  <c r="K21" i="58"/>
  <c r="J21" i="58"/>
  <c r="K20" i="58"/>
  <c r="J20" i="58"/>
  <c r="K19" i="58"/>
  <c r="J19" i="58"/>
  <c r="K18" i="58"/>
  <c r="J18" i="58"/>
  <c r="K17" i="58"/>
  <c r="J17" i="58"/>
  <c r="K16" i="58"/>
  <c r="J16" i="58"/>
  <c r="K15" i="58"/>
  <c r="J15" i="58"/>
  <c r="K14" i="58"/>
  <c r="J14" i="58"/>
  <c r="K13" i="58"/>
  <c r="J13" i="58"/>
  <c r="K12" i="58"/>
  <c r="J12" i="58"/>
  <c r="K11" i="58"/>
  <c r="J11" i="58"/>
  <c r="K10" i="58"/>
  <c r="J10" i="58"/>
  <c r="K9" i="58"/>
  <c r="J9" i="58"/>
  <c r="K8" i="58"/>
  <c r="J8" i="58"/>
  <c r="K7" i="58"/>
  <c r="J7" i="58"/>
  <c r="K6" i="58"/>
  <c r="J6" i="58"/>
  <c r="K3" i="58"/>
  <c r="I3" i="58"/>
  <c r="H3" i="58"/>
  <c r="K499" i="56"/>
  <c r="J499" i="56"/>
  <c r="K498" i="56"/>
  <c r="J498" i="56"/>
  <c r="K497" i="56"/>
  <c r="J497" i="56"/>
  <c r="K496" i="56"/>
  <c r="J496" i="56"/>
  <c r="K495" i="56"/>
  <c r="J495" i="56"/>
  <c r="K494" i="56"/>
  <c r="J494" i="56"/>
  <c r="K493" i="56"/>
  <c r="J493" i="56"/>
  <c r="K492" i="56"/>
  <c r="J492" i="56"/>
  <c r="K491" i="56"/>
  <c r="J491" i="56"/>
  <c r="K490" i="56"/>
  <c r="J490" i="56"/>
  <c r="K489" i="56"/>
  <c r="J489" i="56"/>
  <c r="K488" i="56"/>
  <c r="J488" i="56"/>
  <c r="K487" i="56"/>
  <c r="J487" i="56"/>
  <c r="K486" i="56"/>
  <c r="J486" i="56"/>
  <c r="K485" i="56"/>
  <c r="J485" i="56"/>
  <c r="K484" i="56"/>
  <c r="J484" i="56"/>
  <c r="K483" i="56"/>
  <c r="J483" i="56"/>
  <c r="K482" i="56"/>
  <c r="J482" i="56"/>
  <c r="K481" i="56"/>
  <c r="J481" i="56"/>
  <c r="K480" i="56"/>
  <c r="J480" i="56"/>
  <c r="K479" i="56"/>
  <c r="J479" i="56"/>
  <c r="K478" i="56"/>
  <c r="J478" i="56"/>
  <c r="K477" i="56"/>
  <c r="J477" i="56"/>
  <c r="K476" i="56"/>
  <c r="J476" i="56"/>
  <c r="K475" i="56"/>
  <c r="J475" i="56"/>
  <c r="K474" i="56"/>
  <c r="J474" i="56"/>
  <c r="K473" i="56"/>
  <c r="J473" i="56"/>
  <c r="K472" i="56"/>
  <c r="J472" i="56"/>
  <c r="K471" i="56"/>
  <c r="J471" i="56"/>
  <c r="K470" i="56"/>
  <c r="J470" i="56"/>
  <c r="K469" i="56"/>
  <c r="J469" i="56"/>
  <c r="K468" i="56"/>
  <c r="J468" i="56"/>
  <c r="K467" i="56"/>
  <c r="J467" i="56"/>
  <c r="K466" i="56"/>
  <c r="J466" i="56"/>
  <c r="K465" i="56"/>
  <c r="J465" i="56"/>
  <c r="K464" i="56"/>
  <c r="J464" i="56"/>
  <c r="K463" i="56"/>
  <c r="J463" i="56"/>
  <c r="K462" i="56"/>
  <c r="J462" i="56"/>
  <c r="K461" i="56"/>
  <c r="J461" i="56"/>
  <c r="K460" i="56"/>
  <c r="J460" i="56"/>
  <c r="K459" i="56"/>
  <c r="J459" i="56"/>
  <c r="K458" i="56"/>
  <c r="J458" i="56"/>
  <c r="K457" i="56"/>
  <c r="J457" i="56"/>
  <c r="K456" i="56"/>
  <c r="J456" i="56"/>
  <c r="K455" i="56"/>
  <c r="J455" i="56"/>
  <c r="K454" i="56"/>
  <c r="J454" i="56"/>
  <c r="K453" i="56"/>
  <c r="J453" i="56"/>
  <c r="K452" i="56"/>
  <c r="J452" i="56"/>
  <c r="K451" i="56"/>
  <c r="J451" i="56"/>
  <c r="K450" i="56"/>
  <c r="J450" i="56"/>
  <c r="K449" i="56"/>
  <c r="J449" i="56"/>
  <c r="K448" i="56"/>
  <c r="J448" i="56"/>
  <c r="K447" i="56"/>
  <c r="J447" i="56"/>
  <c r="K446" i="56"/>
  <c r="J446" i="56"/>
  <c r="K445" i="56"/>
  <c r="J445" i="56"/>
  <c r="K444" i="56"/>
  <c r="J444" i="56"/>
  <c r="K443" i="56"/>
  <c r="J443" i="56"/>
  <c r="K442" i="56"/>
  <c r="J442" i="56"/>
  <c r="K441" i="56"/>
  <c r="J441" i="56"/>
  <c r="K440" i="56"/>
  <c r="J440" i="56"/>
  <c r="K439" i="56"/>
  <c r="J439" i="56"/>
  <c r="K438" i="56"/>
  <c r="J438" i="56"/>
  <c r="K437" i="56"/>
  <c r="J437" i="56"/>
  <c r="K436" i="56"/>
  <c r="J436" i="56"/>
  <c r="K435" i="56"/>
  <c r="J435" i="56"/>
  <c r="K434" i="56"/>
  <c r="J434" i="56"/>
  <c r="K433" i="56"/>
  <c r="J433" i="56"/>
  <c r="K432" i="56"/>
  <c r="J432" i="56"/>
  <c r="K431" i="56"/>
  <c r="J431" i="56"/>
  <c r="K430" i="56"/>
  <c r="J430" i="56"/>
  <c r="K429" i="56"/>
  <c r="J429" i="56"/>
  <c r="K428" i="56"/>
  <c r="J428" i="56"/>
  <c r="K427" i="56"/>
  <c r="J427" i="56"/>
  <c r="K426" i="56"/>
  <c r="J426" i="56"/>
  <c r="K425" i="56"/>
  <c r="J425" i="56"/>
  <c r="K424" i="56"/>
  <c r="J424" i="56"/>
  <c r="K423" i="56"/>
  <c r="J423" i="56"/>
  <c r="K422" i="56"/>
  <c r="J422" i="56"/>
  <c r="K421" i="56"/>
  <c r="J421" i="56"/>
  <c r="K420" i="56"/>
  <c r="J420" i="56"/>
  <c r="K419" i="56"/>
  <c r="J419" i="56"/>
  <c r="K418" i="56"/>
  <c r="J418" i="56"/>
  <c r="K417" i="56"/>
  <c r="J417" i="56"/>
  <c r="K416" i="56"/>
  <c r="J416" i="56"/>
  <c r="K415" i="56"/>
  <c r="J415" i="56"/>
  <c r="K414" i="56"/>
  <c r="J414" i="56"/>
  <c r="K413" i="56"/>
  <c r="J413" i="56"/>
  <c r="K412" i="56"/>
  <c r="J412" i="56"/>
  <c r="K411" i="56"/>
  <c r="J411" i="56"/>
  <c r="K410" i="56"/>
  <c r="J410" i="56"/>
  <c r="K409" i="56"/>
  <c r="J409" i="56"/>
  <c r="K408" i="56"/>
  <c r="J408" i="56"/>
  <c r="K407" i="56"/>
  <c r="J407" i="56"/>
  <c r="K406" i="56"/>
  <c r="J406" i="56"/>
  <c r="K405" i="56"/>
  <c r="J405" i="56"/>
  <c r="K404" i="56"/>
  <c r="J404" i="56"/>
  <c r="K403" i="56"/>
  <c r="J403" i="56"/>
  <c r="K402" i="56"/>
  <c r="J402" i="56"/>
  <c r="K401" i="56"/>
  <c r="J401" i="56"/>
  <c r="K400" i="56"/>
  <c r="J400" i="56"/>
  <c r="K399" i="56"/>
  <c r="J399" i="56"/>
  <c r="K398" i="56"/>
  <c r="J398" i="56"/>
  <c r="K397" i="56"/>
  <c r="J397" i="56"/>
  <c r="K396" i="56"/>
  <c r="J396" i="56"/>
  <c r="K395" i="56"/>
  <c r="J395" i="56"/>
  <c r="K394" i="56"/>
  <c r="J394" i="56"/>
  <c r="K393" i="56"/>
  <c r="J393" i="56"/>
  <c r="K392" i="56"/>
  <c r="J392" i="56"/>
  <c r="K391" i="56"/>
  <c r="J391" i="56"/>
  <c r="K390" i="56"/>
  <c r="J390" i="56"/>
  <c r="K389" i="56"/>
  <c r="J389" i="56"/>
  <c r="K388" i="56"/>
  <c r="J388" i="56"/>
  <c r="K387" i="56"/>
  <c r="J387" i="56"/>
  <c r="K386" i="56"/>
  <c r="J386" i="56"/>
  <c r="K385" i="56"/>
  <c r="J385" i="56"/>
  <c r="K384" i="56"/>
  <c r="J384" i="56"/>
  <c r="K383" i="56"/>
  <c r="J383" i="56"/>
  <c r="K382" i="56"/>
  <c r="J382" i="56"/>
  <c r="K381" i="56"/>
  <c r="J381" i="56"/>
  <c r="K380" i="56"/>
  <c r="J380" i="56"/>
  <c r="K379" i="56"/>
  <c r="J379" i="56"/>
  <c r="K378" i="56"/>
  <c r="J378" i="56"/>
  <c r="K377" i="56"/>
  <c r="J377" i="56"/>
  <c r="K376" i="56"/>
  <c r="J376" i="56"/>
  <c r="K375" i="56"/>
  <c r="J375" i="56"/>
  <c r="K374" i="56"/>
  <c r="J374" i="56"/>
  <c r="K373" i="56"/>
  <c r="J373" i="56"/>
  <c r="K372" i="56"/>
  <c r="J372" i="56"/>
  <c r="K371" i="56"/>
  <c r="J371" i="56"/>
  <c r="K370" i="56"/>
  <c r="J370" i="56"/>
  <c r="K369" i="56"/>
  <c r="J369" i="56"/>
  <c r="K368" i="56"/>
  <c r="J368" i="56"/>
  <c r="K367" i="56"/>
  <c r="J367" i="56"/>
  <c r="K366" i="56"/>
  <c r="J366" i="56"/>
  <c r="K365" i="56"/>
  <c r="J365" i="56"/>
  <c r="K364" i="56"/>
  <c r="J364" i="56"/>
  <c r="K363" i="56"/>
  <c r="J363" i="56"/>
  <c r="K362" i="56"/>
  <c r="J362" i="56"/>
  <c r="K361" i="56"/>
  <c r="J361" i="56"/>
  <c r="K360" i="56"/>
  <c r="J360" i="56"/>
  <c r="K359" i="56"/>
  <c r="J359" i="56"/>
  <c r="K358" i="56"/>
  <c r="J358" i="56"/>
  <c r="K357" i="56"/>
  <c r="J357" i="56"/>
  <c r="K356" i="56"/>
  <c r="J356" i="56"/>
  <c r="K355" i="56"/>
  <c r="J355" i="56"/>
  <c r="K354" i="56"/>
  <c r="J354" i="56"/>
  <c r="K353" i="56"/>
  <c r="J353" i="56"/>
  <c r="K352" i="56"/>
  <c r="J352" i="56"/>
  <c r="K351" i="56"/>
  <c r="J351" i="56"/>
  <c r="K350" i="56"/>
  <c r="J350" i="56"/>
  <c r="K349" i="56"/>
  <c r="J349" i="56"/>
  <c r="K348" i="56"/>
  <c r="J348" i="56"/>
  <c r="K347" i="56"/>
  <c r="J347" i="56"/>
  <c r="K346" i="56"/>
  <c r="J346" i="56"/>
  <c r="K345" i="56"/>
  <c r="J345" i="56"/>
  <c r="K344" i="56"/>
  <c r="J344" i="56"/>
  <c r="K343" i="56"/>
  <c r="J343" i="56"/>
  <c r="K342" i="56"/>
  <c r="J342" i="56"/>
  <c r="K341" i="56"/>
  <c r="J341" i="56"/>
  <c r="K340" i="56"/>
  <c r="J340" i="56"/>
  <c r="K339" i="56"/>
  <c r="J339" i="56"/>
  <c r="K338" i="56"/>
  <c r="J338" i="56"/>
  <c r="K337" i="56"/>
  <c r="J337" i="56"/>
  <c r="K336" i="56"/>
  <c r="J336" i="56"/>
  <c r="K335" i="56"/>
  <c r="J335" i="56"/>
  <c r="K334" i="56"/>
  <c r="J334" i="56"/>
  <c r="K333" i="56"/>
  <c r="J333" i="56"/>
  <c r="K332" i="56"/>
  <c r="J332" i="56"/>
  <c r="K331" i="56"/>
  <c r="J331" i="56"/>
  <c r="K330" i="56"/>
  <c r="J330" i="56"/>
  <c r="K329" i="56"/>
  <c r="J329" i="56"/>
  <c r="K328" i="56"/>
  <c r="J328" i="56"/>
  <c r="K327" i="56"/>
  <c r="J327" i="56"/>
  <c r="K326" i="56"/>
  <c r="J326" i="56"/>
  <c r="K325" i="56"/>
  <c r="J325" i="56"/>
  <c r="K324" i="56"/>
  <c r="J324" i="56"/>
  <c r="K323" i="56"/>
  <c r="J323" i="56"/>
  <c r="K322" i="56"/>
  <c r="J322" i="56"/>
  <c r="K321" i="56"/>
  <c r="J321" i="56"/>
  <c r="K320" i="56"/>
  <c r="J320" i="56"/>
  <c r="K319" i="56"/>
  <c r="J319" i="56"/>
  <c r="K318" i="56"/>
  <c r="J318" i="56"/>
  <c r="K317" i="56"/>
  <c r="J317" i="56"/>
  <c r="K316" i="56"/>
  <c r="J316" i="56"/>
  <c r="K315" i="56"/>
  <c r="J315" i="56"/>
  <c r="K314" i="56"/>
  <c r="J314" i="56"/>
  <c r="K313" i="56"/>
  <c r="J313" i="56"/>
  <c r="K312" i="56"/>
  <c r="J312" i="56"/>
  <c r="K311" i="56"/>
  <c r="J311" i="56"/>
  <c r="K310" i="56"/>
  <c r="J310" i="56"/>
  <c r="K309" i="56"/>
  <c r="J309" i="56"/>
  <c r="K308" i="56"/>
  <c r="J308" i="56"/>
  <c r="K307" i="56"/>
  <c r="J307" i="56"/>
  <c r="K306" i="56"/>
  <c r="J306" i="56"/>
  <c r="K305" i="56"/>
  <c r="J305" i="56"/>
  <c r="K304" i="56"/>
  <c r="J304" i="56"/>
  <c r="K303" i="56"/>
  <c r="J303" i="56"/>
  <c r="K302" i="56"/>
  <c r="J302" i="56"/>
  <c r="K301" i="56"/>
  <c r="J301" i="56"/>
  <c r="K300" i="56"/>
  <c r="J300" i="56"/>
  <c r="K299" i="56"/>
  <c r="J299" i="56"/>
  <c r="K298" i="56"/>
  <c r="J298" i="56"/>
  <c r="K297" i="56"/>
  <c r="J297" i="56"/>
  <c r="K296" i="56"/>
  <c r="J296" i="56"/>
  <c r="K295" i="56"/>
  <c r="J295" i="56"/>
  <c r="K294" i="56"/>
  <c r="J294" i="56"/>
  <c r="K293" i="56"/>
  <c r="J293" i="56"/>
  <c r="K292" i="56"/>
  <c r="J292" i="56"/>
  <c r="K291" i="56"/>
  <c r="J291" i="56"/>
  <c r="K290" i="56"/>
  <c r="J290" i="56"/>
  <c r="K289" i="56"/>
  <c r="J289" i="56"/>
  <c r="K288" i="56"/>
  <c r="J288" i="56"/>
  <c r="K287" i="56"/>
  <c r="J287" i="56"/>
  <c r="K286" i="56"/>
  <c r="J286" i="56"/>
  <c r="K285" i="56"/>
  <c r="J285" i="56"/>
  <c r="K284" i="56"/>
  <c r="J284" i="56"/>
  <c r="K283" i="56"/>
  <c r="J283" i="56"/>
  <c r="K282" i="56"/>
  <c r="J282" i="56"/>
  <c r="K281" i="56"/>
  <c r="J281" i="56"/>
  <c r="K280" i="56"/>
  <c r="J280" i="56"/>
  <c r="K279" i="56"/>
  <c r="J279" i="56"/>
  <c r="K278" i="56"/>
  <c r="J278" i="56"/>
  <c r="K277" i="56"/>
  <c r="J277" i="56"/>
  <c r="K276" i="56"/>
  <c r="J276" i="56"/>
  <c r="K275" i="56"/>
  <c r="J275" i="56"/>
  <c r="K274" i="56"/>
  <c r="J274" i="56"/>
  <c r="K273" i="56"/>
  <c r="J273" i="56"/>
  <c r="K272" i="56"/>
  <c r="J272" i="56"/>
  <c r="K271" i="56"/>
  <c r="J271" i="56"/>
  <c r="K270" i="56"/>
  <c r="J270" i="56"/>
  <c r="K269" i="56"/>
  <c r="J269" i="56"/>
  <c r="K268" i="56"/>
  <c r="J268" i="56"/>
  <c r="K267" i="56"/>
  <c r="J267" i="56"/>
  <c r="K266" i="56"/>
  <c r="J266" i="56"/>
  <c r="K265" i="56"/>
  <c r="J265" i="56"/>
  <c r="K264" i="56"/>
  <c r="J264" i="56"/>
  <c r="K263" i="56"/>
  <c r="J263" i="56"/>
  <c r="K262" i="56"/>
  <c r="J262" i="56"/>
  <c r="K261" i="56"/>
  <c r="J261" i="56"/>
  <c r="K260" i="56"/>
  <c r="J260" i="56"/>
  <c r="K259" i="56"/>
  <c r="J259" i="56"/>
  <c r="K258" i="56"/>
  <c r="J258" i="56"/>
  <c r="K257" i="56"/>
  <c r="J257" i="56"/>
  <c r="K256" i="56"/>
  <c r="J256" i="56"/>
  <c r="K255" i="56"/>
  <c r="J255" i="56"/>
  <c r="K254" i="56"/>
  <c r="J254" i="56"/>
  <c r="K253" i="56"/>
  <c r="J253" i="56"/>
  <c r="K252" i="56"/>
  <c r="J252" i="56"/>
  <c r="K251" i="56"/>
  <c r="J251" i="56"/>
  <c r="K250" i="56"/>
  <c r="J250" i="56"/>
  <c r="K249" i="56"/>
  <c r="J249" i="56"/>
  <c r="K248" i="56"/>
  <c r="J248" i="56"/>
  <c r="K247" i="56"/>
  <c r="J247" i="56"/>
  <c r="K246" i="56"/>
  <c r="J246" i="56"/>
  <c r="K245" i="56"/>
  <c r="J245" i="56"/>
  <c r="K244" i="56"/>
  <c r="J244" i="56"/>
  <c r="K243" i="56"/>
  <c r="J243" i="56"/>
  <c r="K242" i="56"/>
  <c r="J242" i="56"/>
  <c r="K241" i="56"/>
  <c r="J241" i="56"/>
  <c r="K240" i="56"/>
  <c r="J240" i="56"/>
  <c r="K239" i="56"/>
  <c r="J239" i="56"/>
  <c r="K238" i="56"/>
  <c r="J238" i="56"/>
  <c r="K237" i="56"/>
  <c r="J237" i="56"/>
  <c r="K236" i="56"/>
  <c r="J236" i="56"/>
  <c r="K235" i="56"/>
  <c r="J235" i="56"/>
  <c r="K234" i="56"/>
  <c r="J234" i="56"/>
  <c r="K233" i="56"/>
  <c r="J233" i="56"/>
  <c r="K232" i="56"/>
  <c r="J232" i="56"/>
  <c r="K231" i="56"/>
  <c r="J231" i="56"/>
  <c r="K230" i="56"/>
  <c r="J230" i="56"/>
  <c r="K229" i="56"/>
  <c r="J229" i="56"/>
  <c r="K228" i="56"/>
  <c r="J228" i="56"/>
  <c r="K227" i="56"/>
  <c r="J227" i="56"/>
  <c r="K226" i="56"/>
  <c r="J226" i="56"/>
  <c r="K225" i="56"/>
  <c r="J225" i="56"/>
  <c r="K224" i="56"/>
  <c r="J224" i="56"/>
  <c r="K223" i="56"/>
  <c r="J223" i="56"/>
  <c r="K222" i="56"/>
  <c r="J222" i="56"/>
  <c r="K221" i="56"/>
  <c r="J221" i="56"/>
  <c r="K220" i="56"/>
  <c r="J220" i="56"/>
  <c r="K219" i="56"/>
  <c r="J219" i="56"/>
  <c r="K218" i="56"/>
  <c r="J218" i="56"/>
  <c r="K217" i="56"/>
  <c r="J217" i="56"/>
  <c r="K216" i="56"/>
  <c r="J216" i="56"/>
  <c r="K215" i="56"/>
  <c r="J215" i="56"/>
  <c r="K214" i="56"/>
  <c r="J214" i="56"/>
  <c r="K213" i="56"/>
  <c r="J213" i="56"/>
  <c r="K212" i="56"/>
  <c r="J212" i="56"/>
  <c r="K211" i="56"/>
  <c r="J211" i="56"/>
  <c r="K210" i="56"/>
  <c r="J210" i="56"/>
  <c r="K209" i="56"/>
  <c r="J209" i="56"/>
  <c r="K208" i="56"/>
  <c r="J208" i="56"/>
  <c r="K207" i="56"/>
  <c r="J207" i="56"/>
  <c r="K206" i="56"/>
  <c r="J206" i="56"/>
  <c r="K205" i="56"/>
  <c r="J205" i="56"/>
  <c r="K204" i="56"/>
  <c r="J204" i="56"/>
  <c r="K203" i="56"/>
  <c r="J203" i="56"/>
  <c r="K202" i="56"/>
  <c r="J202" i="56"/>
  <c r="K201" i="56"/>
  <c r="J201" i="56"/>
  <c r="K200" i="56"/>
  <c r="J200" i="56"/>
  <c r="K199" i="56"/>
  <c r="J199" i="56"/>
  <c r="K198" i="56"/>
  <c r="J198" i="56"/>
  <c r="K197" i="56"/>
  <c r="J197" i="56"/>
  <c r="K196" i="56"/>
  <c r="J196" i="56"/>
  <c r="K195" i="56"/>
  <c r="J195" i="56"/>
  <c r="K194" i="56"/>
  <c r="J194" i="56"/>
  <c r="K193" i="56"/>
  <c r="J193" i="56"/>
  <c r="K192" i="56"/>
  <c r="J192" i="56"/>
  <c r="K191" i="56"/>
  <c r="J191" i="56"/>
  <c r="K190" i="56"/>
  <c r="J190" i="56"/>
  <c r="K189" i="56"/>
  <c r="J189" i="56"/>
  <c r="K188" i="56"/>
  <c r="J188" i="56"/>
  <c r="K187" i="56"/>
  <c r="J187" i="56"/>
  <c r="K186" i="56"/>
  <c r="J186" i="56"/>
  <c r="K185" i="56"/>
  <c r="J185" i="56"/>
  <c r="K184" i="56"/>
  <c r="J184" i="56"/>
  <c r="K183" i="56"/>
  <c r="J183" i="56"/>
  <c r="K182" i="56"/>
  <c r="J182" i="56"/>
  <c r="K181" i="56"/>
  <c r="J181" i="56"/>
  <c r="K180" i="56"/>
  <c r="J180" i="56"/>
  <c r="K179" i="56"/>
  <c r="J179" i="56"/>
  <c r="K178" i="56"/>
  <c r="J178" i="56"/>
  <c r="K177" i="56"/>
  <c r="J177" i="56"/>
  <c r="K176" i="56"/>
  <c r="J176" i="56"/>
  <c r="K175" i="56"/>
  <c r="J175" i="56"/>
  <c r="K174" i="56"/>
  <c r="J174" i="56"/>
  <c r="K173" i="56"/>
  <c r="J173" i="56"/>
  <c r="K172" i="56"/>
  <c r="J172" i="56"/>
  <c r="K171" i="56"/>
  <c r="J171" i="56"/>
  <c r="K170" i="56"/>
  <c r="J170" i="56"/>
  <c r="K169" i="56"/>
  <c r="J169" i="56"/>
  <c r="K168" i="56"/>
  <c r="J168" i="56"/>
  <c r="K167" i="56"/>
  <c r="J167" i="56"/>
  <c r="K166" i="56"/>
  <c r="J166" i="56"/>
  <c r="K165" i="56"/>
  <c r="J165" i="56"/>
  <c r="K164" i="56"/>
  <c r="J164" i="56"/>
  <c r="K163" i="56"/>
  <c r="J163" i="56"/>
  <c r="K162" i="56"/>
  <c r="J162" i="56"/>
  <c r="K161" i="56"/>
  <c r="J161" i="56"/>
  <c r="K160" i="56"/>
  <c r="J160" i="56"/>
  <c r="K159" i="56"/>
  <c r="J159" i="56"/>
  <c r="K158" i="56"/>
  <c r="J158" i="56"/>
  <c r="K157" i="56"/>
  <c r="J157" i="56"/>
  <c r="K156" i="56"/>
  <c r="J156" i="56"/>
  <c r="K155" i="56"/>
  <c r="J155" i="56"/>
  <c r="K154" i="56"/>
  <c r="J154" i="56"/>
  <c r="K153" i="56"/>
  <c r="J153" i="56"/>
  <c r="K152" i="56"/>
  <c r="J152" i="56"/>
  <c r="K151" i="56"/>
  <c r="J151" i="56"/>
  <c r="K150" i="56"/>
  <c r="J150" i="56"/>
  <c r="K149" i="56"/>
  <c r="J149" i="56"/>
  <c r="K148" i="56"/>
  <c r="J148" i="56"/>
  <c r="K147" i="56"/>
  <c r="J147" i="56"/>
  <c r="K146" i="56"/>
  <c r="J146" i="56"/>
  <c r="K145" i="56"/>
  <c r="J145" i="56"/>
  <c r="K144" i="56"/>
  <c r="J144" i="56"/>
  <c r="K143" i="56"/>
  <c r="J143" i="56"/>
  <c r="K142" i="56"/>
  <c r="J142" i="56"/>
  <c r="K141" i="56"/>
  <c r="J141" i="56"/>
  <c r="K140" i="56"/>
  <c r="J140" i="56"/>
  <c r="K139" i="56"/>
  <c r="J139" i="56"/>
  <c r="K138" i="56"/>
  <c r="J138" i="56"/>
  <c r="K137" i="56"/>
  <c r="J137" i="56"/>
  <c r="K136" i="56"/>
  <c r="J136" i="56"/>
  <c r="K135" i="56"/>
  <c r="J135" i="56"/>
  <c r="K134" i="56"/>
  <c r="J134" i="56"/>
  <c r="K133" i="56"/>
  <c r="J133" i="56"/>
  <c r="K132" i="56"/>
  <c r="J132" i="56"/>
  <c r="K131" i="56"/>
  <c r="J131" i="56"/>
  <c r="K130" i="56"/>
  <c r="J130" i="56"/>
  <c r="K129" i="56"/>
  <c r="J129" i="56"/>
  <c r="K128" i="56"/>
  <c r="J128" i="56"/>
  <c r="K127" i="56"/>
  <c r="J127" i="56"/>
  <c r="K126" i="56"/>
  <c r="J126" i="56"/>
  <c r="K125" i="56"/>
  <c r="J125" i="56"/>
  <c r="K124" i="56"/>
  <c r="J124" i="56"/>
  <c r="K123" i="56"/>
  <c r="J123" i="56"/>
  <c r="K122" i="56"/>
  <c r="J122" i="56"/>
  <c r="K121" i="56"/>
  <c r="J121" i="56"/>
  <c r="K120" i="56"/>
  <c r="J120" i="56"/>
  <c r="K119" i="56"/>
  <c r="J119" i="56"/>
  <c r="K118" i="56"/>
  <c r="J118" i="56"/>
  <c r="K117" i="56"/>
  <c r="J117" i="56"/>
  <c r="K116" i="56"/>
  <c r="J116" i="56"/>
  <c r="K115" i="56"/>
  <c r="J115" i="56"/>
  <c r="K114" i="56"/>
  <c r="J114" i="56"/>
  <c r="K113" i="56"/>
  <c r="J113" i="56"/>
  <c r="K112" i="56"/>
  <c r="J112" i="56"/>
  <c r="K111" i="56"/>
  <c r="J111" i="56"/>
  <c r="K110" i="56"/>
  <c r="J110" i="56"/>
  <c r="K109" i="56"/>
  <c r="J109" i="56"/>
  <c r="K108" i="56"/>
  <c r="J108" i="56"/>
  <c r="K107" i="56"/>
  <c r="J107" i="56"/>
  <c r="K106" i="56"/>
  <c r="J106" i="56"/>
  <c r="K105" i="56"/>
  <c r="J105" i="56"/>
  <c r="K104" i="56"/>
  <c r="J104" i="56"/>
  <c r="K103" i="56"/>
  <c r="J103" i="56"/>
  <c r="K102" i="56"/>
  <c r="J102" i="56"/>
  <c r="K101" i="56"/>
  <c r="J101" i="56"/>
  <c r="K100" i="56"/>
  <c r="J100" i="56"/>
  <c r="K99" i="56"/>
  <c r="J99" i="56"/>
  <c r="K98" i="56"/>
  <c r="J98" i="56"/>
  <c r="K97" i="56"/>
  <c r="J97" i="56"/>
  <c r="K96" i="56"/>
  <c r="J96" i="56"/>
  <c r="K95" i="56"/>
  <c r="J95" i="56"/>
  <c r="K94" i="56"/>
  <c r="J94" i="56"/>
  <c r="K93" i="56"/>
  <c r="J93" i="56"/>
  <c r="K92" i="56"/>
  <c r="J92" i="56"/>
  <c r="K91" i="56"/>
  <c r="J91" i="56"/>
  <c r="K90" i="56"/>
  <c r="J90" i="56"/>
  <c r="K89" i="56"/>
  <c r="J89" i="56"/>
  <c r="K88" i="56"/>
  <c r="J88" i="56"/>
  <c r="K87" i="56"/>
  <c r="J87" i="56"/>
  <c r="K86" i="56"/>
  <c r="J86" i="56"/>
  <c r="K85" i="56"/>
  <c r="J85" i="56"/>
  <c r="K84" i="56"/>
  <c r="J84" i="56"/>
  <c r="K83" i="56"/>
  <c r="J83" i="56"/>
  <c r="K82" i="56"/>
  <c r="J82" i="56"/>
  <c r="K81" i="56"/>
  <c r="J81" i="56"/>
  <c r="K80" i="56"/>
  <c r="J80" i="56"/>
  <c r="K79" i="56"/>
  <c r="J79" i="56"/>
  <c r="K78" i="56"/>
  <c r="J78" i="56"/>
  <c r="K77" i="56"/>
  <c r="J77" i="56"/>
  <c r="K76" i="56"/>
  <c r="J76" i="56"/>
  <c r="K75" i="56"/>
  <c r="J75" i="56"/>
  <c r="K74" i="56"/>
  <c r="J74" i="56"/>
  <c r="K73" i="56"/>
  <c r="J73" i="56"/>
  <c r="K72" i="56"/>
  <c r="J72" i="56"/>
  <c r="K71" i="56"/>
  <c r="J71" i="56"/>
  <c r="K70" i="56"/>
  <c r="J70" i="56"/>
  <c r="K69" i="56"/>
  <c r="J69" i="56"/>
  <c r="K68" i="56"/>
  <c r="J68" i="56"/>
  <c r="K67" i="56"/>
  <c r="J67" i="56"/>
  <c r="K66" i="56"/>
  <c r="J66" i="56"/>
  <c r="K65" i="56"/>
  <c r="J65" i="56"/>
  <c r="K64" i="56"/>
  <c r="J64" i="56"/>
  <c r="K63" i="56"/>
  <c r="J63" i="56"/>
  <c r="K62" i="56"/>
  <c r="J62" i="56"/>
  <c r="K61" i="56"/>
  <c r="J61" i="56"/>
  <c r="K60" i="56"/>
  <c r="J60" i="56"/>
  <c r="K59" i="56"/>
  <c r="J59" i="56"/>
  <c r="K58" i="56"/>
  <c r="J58" i="56"/>
  <c r="K57" i="56"/>
  <c r="J57" i="56"/>
  <c r="K56" i="56"/>
  <c r="J56" i="56"/>
  <c r="K55" i="56"/>
  <c r="J55" i="56"/>
  <c r="K54" i="56"/>
  <c r="J54" i="56"/>
  <c r="K53" i="56"/>
  <c r="J53" i="56"/>
  <c r="K52" i="56"/>
  <c r="J52" i="56"/>
  <c r="K51" i="56"/>
  <c r="J51" i="56"/>
  <c r="K50" i="56"/>
  <c r="J50" i="56"/>
  <c r="K49" i="56"/>
  <c r="J49" i="56"/>
  <c r="K48" i="56"/>
  <c r="J48" i="56"/>
  <c r="K47" i="56"/>
  <c r="J47" i="56"/>
  <c r="K46" i="56"/>
  <c r="J46" i="56"/>
  <c r="K45" i="56"/>
  <c r="J45" i="56"/>
  <c r="K44" i="56"/>
  <c r="J44" i="56"/>
  <c r="K43" i="56"/>
  <c r="J43" i="56"/>
  <c r="K42" i="56"/>
  <c r="J42" i="56"/>
  <c r="K41" i="56"/>
  <c r="J41" i="56"/>
  <c r="K40" i="56"/>
  <c r="J40" i="56"/>
  <c r="K39" i="56"/>
  <c r="J39" i="56"/>
  <c r="K38" i="56"/>
  <c r="J38" i="56"/>
  <c r="K37" i="56"/>
  <c r="J37" i="56"/>
  <c r="K36" i="56"/>
  <c r="J36" i="56"/>
  <c r="K35" i="56"/>
  <c r="J35" i="56"/>
  <c r="K34" i="56"/>
  <c r="J34" i="56"/>
  <c r="K33" i="56"/>
  <c r="J33" i="56"/>
  <c r="K32" i="56"/>
  <c r="J32" i="56"/>
  <c r="K31" i="56"/>
  <c r="J31" i="56"/>
  <c r="K30" i="56"/>
  <c r="J30" i="56"/>
  <c r="K29" i="56"/>
  <c r="J29" i="56"/>
  <c r="K28" i="56"/>
  <c r="J28" i="56"/>
  <c r="K27" i="56"/>
  <c r="J27" i="56"/>
  <c r="K26" i="56"/>
  <c r="J26" i="56"/>
  <c r="K25" i="56"/>
  <c r="J25" i="56"/>
  <c r="K24" i="56"/>
  <c r="J24" i="56"/>
  <c r="K23" i="56"/>
  <c r="J23" i="56"/>
  <c r="K22" i="56"/>
  <c r="J22" i="56"/>
  <c r="K21" i="56"/>
  <c r="J21" i="56"/>
  <c r="K20" i="56"/>
  <c r="J20" i="56"/>
  <c r="K19" i="56"/>
  <c r="J19" i="56"/>
  <c r="K18" i="56"/>
  <c r="J18" i="56"/>
  <c r="K17" i="56"/>
  <c r="J17" i="56"/>
  <c r="K16" i="56"/>
  <c r="J16" i="56"/>
  <c r="K15" i="56"/>
  <c r="J15" i="56"/>
  <c r="K14" i="56"/>
  <c r="J14" i="56"/>
  <c r="K13" i="56"/>
  <c r="J13" i="56"/>
  <c r="K12" i="56"/>
  <c r="J12" i="56"/>
  <c r="K11" i="56"/>
  <c r="J11" i="56"/>
  <c r="K10" i="56"/>
  <c r="J10" i="56"/>
  <c r="K9" i="56"/>
  <c r="J9" i="56"/>
  <c r="K8" i="56"/>
  <c r="J8" i="56"/>
  <c r="K7" i="56"/>
  <c r="J7" i="56"/>
  <c r="K6" i="56"/>
  <c r="J6" i="56"/>
  <c r="K3" i="56"/>
  <c r="I3" i="56"/>
  <c r="H3" i="56"/>
  <c r="K499" i="55"/>
  <c r="J499" i="55"/>
  <c r="K498" i="55"/>
  <c r="J498" i="55"/>
  <c r="K497" i="55"/>
  <c r="J497" i="55"/>
  <c r="K496" i="55"/>
  <c r="J496" i="55"/>
  <c r="K495" i="55"/>
  <c r="J495" i="55"/>
  <c r="K494" i="55"/>
  <c r="J494" i="55"/>
  <c r="K493" i="55"/>
  <c r="J493" i="55"/>
  <c r="K492" i="55"/>
  <c r="J492" i="55"/>
  <c r="K491" i="55"/>
  <c r="J491" i="55"/>
  <c r="K490" i="55"/>
  <c r="J490" i="55"/>
  <c r="K489" i="55"/>
  <c r="J489" i="55"/>
  <c r="K488" i="55"/>
  <c r="J488" i="55"/>
  <c r="K487" i="55"/>
  <c r="J487" i="55"/>
  <c r="K486" i="55"/>
  <c r="J486" i="55"/>
  <c r="K485" i="55"/>
  <c r="J485" i="55"/>
  <c r="K484" i="55"/>
  <c r="J484" i="55"/>
  <c r="K483" i="55"/>
  <c r="J483" i="55"/>
  <c r="K482" i="55"/>
  <c r="J482" i="55"/>
  <c r="K481" i="55"/>
  <c r="J481" i="55"/>
  <c r="K480" i="55"/>
  <c r="J480" i="55"/>
  <c r="K479" i="55"/>
  <c r="J479" i="55"/>
  <c r="K478" i="55"/>
  <c r="J478" i="55"/>
  <c r="K477" i="55"/>
  <c r="J477" i="55"/>
  <c r="K476" i="55"/>
  <c r="J476" i="55"/>
  <c r="K475" i="55"/>
  <c r="J475" i="55"/>
  <c r="K474" i="55"/>
  <c r="J474" i="55"/>
  <c r="K473" i="55"/>
  <c r="J473" i="55"/>
  <c r="K472" i="55"/>
  <c r="J472" i="55"/>
  <c r="K471" i="55"/>
  <c r="J471" i="55"/>
  <c r="K470" i="55"/>
  <c r="J470" i="55"/>
  <c r="K469" i="55"/>
  <c r="J469" i="55"/>
  <c r="K468" i="55"/>
  <c r="J468" i="55"/>
  <c r="K467" i="55"/>
  <c r="J467" i="55"/>
  <c r="K466" i="55"/>
  <c r="J466" i="55"/>
  <c r="K465" i="55"/>
  <c r="J465" i="55"/>
  <c r="K464" i="55"/>
  <c r="J464" i="55"/>
  <c r="K463" i="55"/>
  <c r="J463" i="55"/>
  <c r="K462" i="55"/>
  <c r="J462" i="55"/>
  <c r="K461" i="55"/>
  <c r="J461" i="55"/>
  <c r="K460" i="55"/>
  <c r="J460" i="55"/>
  <c r="K459" i="55"/>
  <c r="J459" i="55"/>
  <c r="K458" i="55"/>
  <c r="J458" i="55"/>
  <c r="K457" i="55"/>
  <c r="J457" i="55"/>
  <c r="K456" i="55"/>
  <c r="J456" i="55"/>
  <c r="K455" i="55"/>
  <c r="J455" i="55"/>
  <c r="K454" i="55"/>
  <c r="J454" i="55"/>
  <c r="K453" i="55"/>
  <c r="J453" i="55"/>
  <c r="K452" i="55"/>
  <c r="J452" i="55"/>
  <c r="K451" i="55"/>
  <c r="J451" i="55"/>
  <c r="K450" i="55"/>
  <c r="J450" i="55"/>
  <c r="K449" i="55"/>
  <c r="J449" i="55"/>
  <c r="K448" i="55"/>
  <c r="J448" i="55"/>
  <c r="K447" i="55"/>
  <c r="J447" i="55"/>
  <c r="K446" i="55"/>
  <c r="J446" i="55"/>
  <c r="K445" i="55"/>
  <c r="J445" i="55"/>
  <c r="K444" i="55"/>
  <c r="J444" i="55"/>
  <c r="K443" i="55"/>
  <c r="J443" i="55"/>
  <c r="K442" i="55"/>
  <c r="J442" i="55"/>
  <c r="K441" i="55"/>
  <c r="J441" i="55"/>
  <c r="K440" i="55"/>
  <c r="J440" i="55"/>
  <c r="K439" i="55"/>
  <c r="J439" i="55"/>
  <c r="K438" i="55"/>
  <c r="J438" i="55"/>
  <c r="K437" i="55"/>
  <c r="J437" i="55"/>
  <c r="K436" i="55"/>
  <c r="J436" i="55"/>
  <c r="K435" i="55"/>
  <c r="J435" i="55"/>
  <c r="K434" i="55"/>
  <c r="J434" i="55"/>
  <c r="K433" i="55"/>
  <c r="J433" i="55"/>
  <c r="K432" i="55"/>
  <c r="J432" i="55"/>
  <c r="K431" i="55"/>
  <c r="J431" i="55"/>
  <c r="K430" i="55"/>
  <c r="J430" i="55"/>
  <c r="K429" i="55"/>
  <c r="J429" i="55"/>
  <c r="K428" i="55"/>
  <c r="J428" i="55"/>
  <c r="K427" i="55"/>
  <c r="J427" i="55"/>
  <c r="K426" i="55"/>
  <c r="J426" i="55"/>
  <c r="K425" i="55"/>
  <c r="J425" i="55"/>
  <c r="K424" i="55"/>
  <c r="J424" i="55"/>
  <c r="K423" i="55"/>
  <c r="J423" i="55"/>
  <c r="K422" i="55"/>
  <c r="J422" i="55"/>
  <c r="K421" i="55"/>
  <c r="J421" i="55"/>
  <c r="K420" i="55"/>
  <c r="J420" i="55"/>
  <c r="K419" i="55"/>
  <c r="J419" i="55"/>
  <c r="K418" i="55"/>
  <c r="J418" i="55"/>
  <c r="K417" i="55"/>
  <c r="J417" i="55"/>
  <c r="K416" i="55"/>
  <c r="J416" i="55"/>
  <c r="K415" i="55"/>
  <c r="J415" i="55"/>
  <c r="K414" i="55"/>
  <c r="J414" i="55"/>
  <c r="K413" i="55"/>
  <c r="J413" i="55"/>
  <c r="K412" i="55"/>
  <c r="J412" i="55"/>
  <c r="K411" i="55"/>
  <c r="J411" i="55"/>
  <c r="K410" i="55"/>
  <c r="J410" i="55"/>
  <c r="K409" i="55"/>
  <c r="J409" i="55"/>
  <c r="K408" i="55"/>
  <c r="J408" i="55"/>
  <c r="K407" i="55"/>
  <c r="J407" i="55"/>
  <c r="K406" i="55"/>
  <c r="J406" i="55"/>
  <c r="K405" i="55"/>
  <c r="J405" i="55"/>
  <c r="K404" i="55"/>
  <c r="J404" i="55"/>
  <c r="K403" i="55"/>
  <c r="J403" i="55"/>
  <c r="K402" i="55"/>
  <c r="J402" i="55"/>
  <c r="K401" i="55"/>
  <c r="J401" i="55"/>
  <c r="K400" i="55"/>
  <c r="J400" i="55"/>
  <c r="K399" i="55"/>
  <c r="J399" i="55"/>
  <c r="K398" i="55"/>
  <c r="J398" i="55"/>
  <c r="K397" i="55"/>
  <c r="J397" i="55"/>
  <c r="K396" i="55"/>
  <c r="J396" i="55"/>
  <c r="K395" i="55"/>
  <c r="J395" i="55"/>
  <c r="K394" i="55"/>
  <c r="J394" i="55"/>
  <c r="K393" i="55"/>
  <c r="J393" i="55"/>
  <c r="K392" i="55"/>
  <c r="J392" i="55"/>
  <c r="K391" i="55"/>
  <c r="J391" i="55"/>
  <c r="K390" i="55"/>
  <c r="J390" i="55"/>
  <c r="K389" i="55"/>
  <c r="J389" i="55"/>
  <c r="K388" i="55"/>
  <c r="J388" i="55"/>
  <c r="K387" i="55"/>
  <c r="J387" i="55"/>
  <c r="K386" i="55"/>
  <c r="J386" i="55"/>
  <c r="K385" i="55"/>
  <c r="J385" i="55"/>
  <c r="K384" i="55"/>
  <c r="J384" i="55"/>
  <c r="K383" i="55"/>
  <c r="J383" i="55"/>
  <c r="K382" i="55"/>
  <c r="J382" i="55"/>
  <c r="K381" i="55"/>
  <c r="J381" i="55"/>
  <c r="K380" i="55"/>
  <c r="J380" i="55"/>
  <c r="K379" i="55"/>
  <c r="J379" i="55"/>
  <c r="K378" i="55"/>
  <c r="J378" i="55"/>
  <c r="K377" i="55"/>
  <c r="J377" i="55"/>
  <c r="K376" i="55"/>
  <c r="J376" i="55"/>
  <c r="K375" i="55"/>
  <c r="J375" i="55"/>
  <c r="K374" i="55"/>
  <c r="J374" i="55"/>
  <c r="K373" i="55"/>
  <c r="J373" i="55"/>
  <c r="K372" i="55"/>
  <c r="J372" i="55"/>
  <c r="K371" i="55"/>
  <c r="J371" i="55"/>
  <c r="K370" i="55"/>
  <c r="J370" i="55"/>
  <c r="K369" i="55"/>
  <c r="J369" i="55"/>
  <c r="K368" i="55"/>
  <c r="J368" i="55"/>
  <c r="K367" i="55"/>
  <c r="J367" i="55"/>
  <c r="K366" i="55"/>
  <c r="J366" i="55"/>
  <c r="K365" i="55"/>
  <c r="J365" i="55"/>
  <c r="K364" i="55"/>
  <c r="J364" i="55"/>
  <c r="K363" i="55"/>
  <c r="J363" i="55"/>
  <c r="K362" i="55"/>
  <c r="J362" i="55"/>
  <c r="K361" i="55"/>
  <c r="J361" i="55"/>
  <c r="K360" i="55"/>
  <c r="J360" i="55"/>
  <c r="K359" i="55"/>
  <c r="J359" i="55"/>
  <c r="K358" i="55"/>
  <c r="J358" i="55"/>
  <c r="K357" i="55"/>
  <c r="J357" i="55"/>
  <c r="K356" i="55"/>
  <c r="J356" i="55"/>
  <c r="K355" i="55"/>
  <c r="J355" i="55"/>
  <c r="K354" i="55"/>
  <c r="J354" i="55"/>
  <c r="K353" i="55"/>
  <c r="J353" i="55"/>
  <c r="K352" i="55"/>
  <c r="J352" i="55"/>
  <c r="K351" i="55"/>
  <c r="J351" i="55"/>
  <c r="K350" i="55"/>
  <c r="J350" i="55"/>
  <c r="K349" i="55"/>
  <c r="J349" i="55"/>
  <c r="K348" i="55"/>
  <c r="J348" i="55"/>
  <c r="K347" i="55"/>
  <c r="J347" i="55"/>
  <c r="K346" i="55"/>
  <c r="J346" i="55"/>
  <c r="K345" i="55"/>
  <c r="J345" i="55"/>
  <c r="K344" i="55"/>
  <c r="J344" i="55"/>
  <c r="K343" i="55"/>
  <c r="J343" i="55"/>
  <c r="K342" i="55"/>
  <c r="J342" i="55"/>
  <c r="K341" i="55"/>
  <c r="J341" i="55"/>
  <c r="K340" i="55"/>
  <c r="J340" i="55"/>
  <c r="K339" i="55"/>
  <c r="J339" i="55"/>
  <c r="K338" i="55"/>
  <c r="J338" i="55"/>
  <c r="K337" i="55"/>
  <c r="J337" i="55"/>
  <c r="K336" i="55"/>
  <c r="J336" i="55"/>
  <c r="K335" i="55"/>
  <c r="J335" i="55"/>
  <c r="K334" i="55"/>
  <c r="J334" i="55"/>
  <c r="K333" i="55"/>
  <c r="J333" i="55"/>
  <c r="K332" i="55"/>
  <c r="J332" i="55"/>
  <c r="K331" i="55"/>
  <c r="J331" i="55"/>
  <c r="K330" i="55"/>
  <c r="J330" i="55"/>
  <c r="K329" i="55"/>
  <c r="J329" i="55"/>
  <c r="K328" i="55"/>
  <c r="J328" i="55"/>
  <c r="K327" i="55"/>
  <c r="J327" i="55"/>
  <c r="K326" i="55"/>
  <c r="J326" i="55"/>
  <c r="K325" i="55"/>
  <c r="J325" i="55"/>
  <c r="K324" i="55"/>
  <c r="J324" i="55"/>
  <c r="K323" i="55"/>
  <c r="J323" i="55"/>
  <c r="K322" i="55"/>
  <c r="J322" i="55"/>
  <c r="K321" i="55"/>
  <c r="J321" i="55"/>
  <c r="K320" i="55"/>
  <c r="J320" i="55"/>
  <c r="K319" i="55"/>
  <c r="J319" i="55"/>
  <c r="K318" i="55"/>
  <c r="J318" i="55"/>
  <c r="K317" i="55"/>
  <c r="J317" i="55"/>
  <c r="K316" i="55"/>
  <c r="J316" i="55"/>
  <c r="K315" i="55"/>
  <c r="J315" i="55"/>
  <c r="K314" i="55"/>
  <c r="J314" i="55"/>
  <c r="K313" i="55"/>
  <c r="J313" i="55"/>
  <c r="K312" i="55"/>
  <c r="J312" i="55"/>
  <c r="K311" i="55"/>
  <c r="J311" i="55"/>
  <c r="K310" i="55"/>
  <c r="J310" i="55"/>
  <c r="K309" i="55"/>
  <c r="J309" i="55"/>
  <c r="K308" i="55"/>
  <c r="J308" i="55"/>
  <c r="K307" i="55"/>
  <c r="J307" i="55"/>
  <c r="K306" i="55"/>
  <c r="J306" i="55"/>
  <c r="K305" i="55"/>
  <c r="J305" i="55"/>
  <c r="K304" i="55"/>
  <c r="J304" i="55"/>
  <c r="K303" i="55"/>
  <c r="J303" i="55"/>
  <c r="K302" i="55"/>
  <c r="J302" i="55"/>
  <c r="K301" i="55"/>
  <c r="J301" i="55"/>
  <c r="K300" i="55"/>
  <c r="J300" i="55"/>
  <c r="K299" i="55"/>
  <c r="J299" i="55"/>
  <c r="K298" i="55"/>
  <c r="J298" i="55"/>
  <c r="K297" i="55"/>
  <c r="J297" i="55"/>
  <c r="K296" i="55"/>
  <c r="J296" i="55"/>
  <c r="K295" i="55"/>
  <c r="J295" i="55"/>
  <c r="K294" i="55"/>
  <c r="J294" i="55"/>
  <c r="K293" i="55"/>
  <c r="J293" i="55"/>
  <c r="K292" i="55"/>
  <c r="J292" i="55"/>
  <c r="K291" i="55"/>
  <c r="J291" i="55"/>
  <c r="K290" i="55"/>
  <c r="J290" i="55"/>
  <c r="K289" i="55"/>
  <c r="J289" i="55"/>
  <c r="K288" i="55"/>
  <c r="J288" i="55"/>
  <c r="K287" i="55"/>
  <c r="J287" i="55"/>
  <c r="K286" i="55"/>
  <c r="J286" i="55"/>
  <c r="K285" i="55"/>
  <c r="J285" i="55"/>
  <c r="K284" i="55"/>
  <c r="J284" i="55"/>
  <c r="K283" i="55"/>
  <c r="J283" i="55"/>
  <c r="K282" i="55"/>
  <c r="J282" i="55"/>
  <c r="K281" i="55"/>
  <c r="J281" i="55"/>
  <c r="K280" i="55"/>
  <c r="J280" i="55"/>
  <c r="K279" i="55"/>
  <c r="J279" i="55"/>
  <c r="K278" i="55"/>
  <c r="J278" i="55"/>
  <c r="K277" i="55"/>
  <c r="J277" i="55"/>
  <c r="K276" i="55"/>
  <c r="J276" i="55"/>
  <c r="K275" i="55"/>
  <c r="J275" i="55"/>
  <c r="K274" i="55"/>
  <c r="J274" i="55"/>
  <c r="K273" i="55"/>
  <c r="J273" i="55"/>
  <c r="K272" i="55"/>
  <c r="J272" i="55"/>
  <c r="K271" i="55"/>
  <c r="J271" i="55"/>
  <c r="K270" i="55"/>
  <c r="J270" i="55"/>
  <c r="K269" i="55"/>
  <c r="J269" i="55"/>
  <c r="K268" i="55"/>
  <c r="J268" i="55"/>
  <c r="K267" i="55"/>
  <c r="J267" i="55"/>
  <c r="K266" i="55"/>
  <c r="J266" i="55"/>
  <c r="K265" i="55"/>
  <c r="J265" i="55"/>
  <c r="K264" i="55"/>
  <c r="J264" i="55"/>
  <c r="K263" i="55"/>
  <c r="J263" i="55"/>
  <c r="K262" i="55"/>
  <c r="J262" i="55"/>
  <c r="K261" i="55"/>
  <c r="J261" i="55"/>
  <c r="K260" i="55"/>
  <c r="J260" i="55"/>
  <c r="K259" i="55"/>
  <c r="J259" i="55"/>
  <c r="K258" i="55"/>
  <c r="J258" i="55"/>
  <c r="K257" i="55"/>
  <c r="J257" i="55"/>
  <c r="K256" i="55"/>
  <c r="J256" i="55"/>
  <c r="K255" i="55"/>
  <c r="J255" i="55"/>
  <c r="K254" i="55"/>
  <c r="J254" i="55"/>
  <c r="K253" i="55"/>
  <c r="J253" i="55"/>
  <c r="K252" i="55"/>
  <c r="J252" i="55"/>
  <c r="K251" i="55"/>
  <c r="J251" i="55"/>
  <c r="K250" i="55"/>
  <c r="J250" i="55"/>
  <c r="K249" i="55"/>
  <c r="J249" i="55"/>
  <c r="K248" i="55"/>
  <c r="J248" i="55"/>
  <c r="K247" i="55"/>
  <c r="J247" i="55"/>
  <c r="K246" i="55"/>
  <c r="J246" i="55"/>
  <c r="K245" i="55"/>
  <c r="J245" i="55"/>
  <c r="K244" i="55"/>
  <c r="J244" i="55"/>
  <c r="K243" i="55"/>
  <c r="J243" i="55"/>
  <c r="K242" i="55"/>
  <c r="J242" i="55"/>
  <c r="K241" i="55"/>
  <c r="J241" i="55"/>
  <c r="K240" i="55"/>
  <c r="J240" i="55"/>
  <c r="K239" i="55"/>
  <c r="J239" i="55"/>
  <c r="K238" i="55"/>
  <c r="J238" i="55"/>
  <c r="K237" i="55"/>
  <c r="J237" i="55"/>
  <c r="K236" i="55"/>
  <c r="J236" i="55"/>
  <c r="K235" i="55"/>
  <c r="J235" i="55"/>
  <c r="K234" i="55"/>
  <c r="J234" i="55"/>
  <c r="K233" i="55"/>
  <c r="J233" i="55"/>
  <c r="K232" i="55"/>
  <c r="J232" i="55"/>
  <c r="K231" i="55"/>
  <c r="J231" i="55"/>
  <c r="K230" i="55"/>
  <c r="J230" i="55"/>
  <c r="K229" i="55"/>
  <c r="J229" i="55"/>
  <c r="K228" i="55"/>
  <c r="J228" i="55"/>
  <c r="K227" i="55"/>
  <c r="J227" i="55"/>
  <c r="K226" i="55"/>
  <c r="J226" i="55"/>
  <c r="K225" i="55"/>
  <c r="J225" i="55"/>
  <c r="K224" i="55"/>
  <c r="J224" i="55"/>
  <c r="K223" i="55"/>
  <c r="J223" i="55"/>
  <c r="K222" i="55"/>
  <c r="J222" i="55"/>
  <c r="K221" i="55"/>
  <c r="J221" i="55"/>
  <c r="K220" i="55"/>
  <c r="J220" i="55"/>
  <c r="K219" i="55"/>
  <c r="J219" i="55"/>
  <c r="K218" i="55"/>
  <c r="J218" i="55"/>
  <c r="K217" i="55"/>
  <c r="J217" i="55"/>
  <c r="K216" i="55"/>
  <c r="J216" i="55"/>
  <c r="K215" i="55"/>
  <c r="J215" i="55"/>
  <c r="K214" i="55"/>
  <c r="J214" i="55"/>
  <c r="K213" i="55"/>
  <c r="J213" i="55"/>
  <c r="K212" i="55"/>
  <c r="J212" i="55"/>
  <c r="K211" i="55"/>
  <c r="J211" i="55"/>
  <c r="K210" i="55"/>
  <c r="J210" i="55"/>
  <c r="K209" i="55"/>
  <c r="J209" i="55"/>
  <c r="K208" i="55"/>
  <c r="J208" i="55"/>
  <c r="K207" i="55"/>
  <c r="J207" i="55"/>
  <c r="K206" i="55"/>
  <c r="J206" i="55"/>
  <c r="K205" i="55"/>
  <c r="J205" i="55"/>
  <c r="K204" i="55"/>
  <c r="J204" i="55"/>
  <c r="K203" i="55"/>
  <c r="J203" i="55"/>
  <c r="K202" i="55"/>
  <c r="J202" i="55"/>
  <c r="K201" i="55"/>
  <c r="J201" i="55"/>
  <c r="K200" i="55"/>
  <c r="J200" i="55"/>
  <c r="K199" i="55"/>
  <c r="J199" i="55"/>
  <c r="K198" i="55"/>
  <c r="J198" i="55"/>
  <c r="K197" i="55"/>
  <c r="J197" i="55"/>
  <c r="K196" i="55"/>
  <c r="J196" i="55"/>
  <c r="K195" i="55"/>
  <c r="J195" i="55"/>
  <c r="K194" i="55"/>
  <c r="J194" i="55"/>
  <c r="K193" i="55"/>
  <c r="J193" i="55"/>
  <c r="K192" i="55"/>
  <c r="J192" i="55"/>
  <c r="K191" i="55"/>
  <c r="J191" i="55"/>
  <c r="K190" i="55"/>
  <c r="J190" i="55"/>
  <c r="K189" i="55"/>
  <c r="J189" i="55"/>
  <c r="K188" i="55"/>
  <c r="J188" i="55"/>
  <c r="K187" i="55"/>
  <c r="J187" i="55"/>
  <c r="K186" i="55"/>
  <c r="J186" i="55"/>
  <c r="K185" i="55"/>
  <c r="J185" i="55"/>
  <c r="K184" i="55"/>
  <c r="J184" i="55"/>
  <c r="K183" i="55"/>
  <c r="J183" i="55"/>
  <c r="K182" i="55"/>
  <c r="J182" i="55"/>
  <c r="K181" i="55"/>
  <c r="J181" i="55"/>
  <c r="K180" i="55"/>
  <c r="J180" i="55"/>
  <c r="K179" i="55"/>
  <c r="J179" i="55"/>
  <c r="K178" i="55"/>
  <c r="J178" i="55"/>
  <c r="K177" i="55"/>
  <c r="J177" i="55"/>
  <c r="K176" i="55"/>
  <c r="J176" i="55"/>
  <c r="K175" i="55"/>
  <c r="J175" i="55"/>
  <c r="K174" i="55"/>
  <c r="J174" i="55"/>
  <c r="K173" i="55"/>
  <c r="J173" i="55"/>
  <c r="K172" i="55"/>
  <c r="J172" i="55"/>
  <c r="K171" i="55"/>
  <c r="J171" i="55"/>
  <c r="K170" i="55"/>
  <c r="J170" i="55"/>
  <c r="K169" i="55"/>
  <c r="J169" i="55"/>
  <c r="K168" i="55"/>
  <c r="J168" i="55"/>
  <c r="K167" i="55"/>
  <c r="J167" i="55"/>
  <c r="K166" i="55"/>
  <c r="J166" i="55"/>
  <c r="K165" i="55"/>
  <c r="J165" i="55"/>
  <c r="K164" i="55"/>
  <c r="J164" i="55"/>
  <c r="K163" i="55"/>
  <c r="J163" i="55"/>
  <c r="K162" i="55"/>
  <c r="J162" i="55"/>
  <c r="K161" i="55"/>
  <c r="J161" i="55"/>
  <c r="K160" i="55"/>
  <c r="J160" i="55"/>
  <c r="K159" i="55"/>
  <c r="J159" i="55"/>
  <c r="K158" i="55"/>
  <c r="J158" i="55"/>
  <c r="K157" i="55"/>
  <c r="J157" i="55"/>
  <c r="K156" i="55"/>
  <c r="J156" i="55"/>
  <c r="K155" i="55"/>
  <c r="J155" i="55"/>
  <c r="K154" i="55"/>
  <c r="J154" i="55"/>
  <c r="K153" i="55"/>
  <c r="J153" i="55"/>
  <c r="K152" i="55"/>
  <c r="J152" i="55"/>
  <c r="K151" i="55"/>
  <c r="J151" i="55"/>
  <c r="K150" i="55"/>
  <c r="J150" i="55"/>
  <c r="K149" i="55"/>
  <c r="J149" i="55"/>
  <c r="K148" i="55"/>
  <c r="J148" i="55"/>
  <c r="K147" i="55"/>
  <c r="J147" i="55"/>
  <c r="K146" i="55"/>
  <c r="J146" i="55"/>
  <c r="K145" i="55"/>
  <c r="J145" i="55"/>
  <c r="K144" i="55"/>
  <c r="J144" i="55"/>
  <c r="K143" i="55"/>
  <c r="J143" i="55"/>
  <c r="K142" i="55"/>
  <c r="J142" i="55"/>
  <c r="K141" i="55"/>
  <c r="J141" i="55"/>
  <c r="K140" i="55"/>
  <c r="J140" i="55"/>
  <c r="K139" i="55"/>
  <c r="J139" i="55"/>
  <c r="K138" i="55"/>
  <c r="J138" i="55"/>
  <c r="K137" i="55"/>
  <c r="J137" i="55"/>
  <c r="K136" i="55"/>
  <c r="J136" i="55"/>
  <c r="K135" i="55"/>
  <c r="J135" i="55"/>
  <c r="K134" i="55"/>
  <c r="J134" i="55"/>
  <c r="K133" i="55"/>
  <c r="J133" i="55"/>
  <c r="K132" i="55"/>
  <c r="J132" i="55"/>
  <c r="K131" i="55"/>
  <c r="J131" i="55"/>
  <c r="K130" i="55"/>
  <c r="J130" i="55"/>
  <c r="K129" i="55"/>
  <c r="J129" i="55"/>
  <c r="K128" i="55"/>
  <c r="J128" i="55"/>
  <c r="K127" i="55"/>
  <c r="J127" i="55"/>
  <c r="K126" i="55"/>
  <c r="J126" i="55"/>
  <c r="K125" i="55"/>
  <c r="J125" i="55"/>
  <c r="K124" i="55"/>
  <c r="J124" i="55"/>
  <c r="K123" i="55"/>
  <c r="J123" i="55"/>
  <c r="K122" i="55"/>
  <c r="J122" i="55"/>
  <c r="K121" i="55"/>
  <c r="J121" i="55"/>
  <c r="K120" i="55"/>
  <c r="J120" i="55"/>
  <c r="K119" i="55"/>
  <c r="J119" i="55"/>
  <c r="K118" i="55"/>
  <c r="J118" i="55"/>
  <c r="K117" i="55"/>
  <c r="J117" i="55"/>
  <c r="K116" i="55"/>
  <c r="J116" i="55"/>
  <c r="K115" i="55"/>
  <c r="J115" i="55"/>
  <c r="K114" i="55"/>
  <c r="J114" i="55"/>
  <c r="K113" i="55"/>
  <c r="J113" i="55"/>
  <c r="K112" i="55"/>
  <c r="J112" i="55"/>
  <c r="K111" i="55"/>
  <c r="J111" i="55"/>
  <c r="K110" i="55"/>
  <c r="J110" i="55"/>
  <c r="K109" i="55"/>
  <c r="J109" i="55"/>
  <c r="K108" i="55"/>
  <c r="J108" i="55"/>
  <c r="K107" i="55"/>
  <c r="J107" i="55"/>
  <c r="K106" i="55"/>
  <c r="J106" i="55"/>
  <c r="K105" i="55"/>
  <c r="J105" i="55"/>
  <c r="K104" i="55"/>
  <c r="J104" i="55"/>
  <c r="K103" i="55"/>
  <c r="J103" i="55"/>
  <c r="K102" i="55"/>
  <c r="J102" i="55"/>
  <c r="K101" i="55"/>
  <c r="J101" i="55"/>
  <c r="K100" i="55"/>
  <c r="J100" i="55"/>
  <c r="K99" i="55"/>
  <c r="J99" i="55"/>
  <c r="K98" i="55"/>
  <c r="J98" i="55"/>
  <c r="K97" i="55"/>
  <c r="J97" i="55"/>
  <c r="K96" i="55"/>
  <c r="J96" i="55"/>
  <c r="K95" i="55"/>
  <c r="J95" i="55"/>
  <c r="K94" i="55"/>
  <c r="J94" i="55"/>
  <c r="K93" i="55"/>
  <c r="J93" i="55"/>
  <c r="K92" i="55"/>
  <c r="J92" i="55"/>
  <c r="K91" i="55"/>
  <c r="J91" i="55"/>
  <c r="K90" i="55"/>
  <c r="J90" i="55"/>
  <c r="K89" i="55"/>
  <c r="J89" i="55"/>
  <c r="K88" i="55"/>
  <c r="J88" i="55"/>
  <c r="K87" i="55"/>
  <c r="J87" i="55"/>
  <c r="K86" i="55"/>
  <c r="J86" i="55"/>
  <c r="K85" i="55"/>
  <c r="J85" i="55"/>
  <c r="K84" i="55"/>
  <c r="J84" i="55"/>
  <c r="K83" i="55"/>
  <c r="J83" i="55"/>
  <c r="K82" i="55"/>
  <c r="J82" i="55"/>
  <c r="K81" i="55"/>
  <c r="J81" i="55"/>
  <c r="K80" i="55"/>
  <c r="J80" i="55"/>
  <c r="K79" i="55"/>
  <c r="J79" i="55"/>
  <c r="K78" i="55"/>
  <c r="J78" i="55"/>
  <c r="K77" i="55"/>
  <c r="J77" i="55"/>
  <c r="K76" i="55"/>
  <c r="J76" i="55"/>
  <c r="K75" i="55"/>
  <c r="J75" i="55"/>
  <c r="K74" i="55"/>
  <c r="J74" i="55"/>
  <c r="K73" i="55"/>
  <c r="J73" i="55"/>
  <c r="K72" i="55"/>
  <c r="J72" i="55"/>
  <c r="K71" i="55"/>
  <c r="J71" i="55"/>
  <c r="K70" i="55"/>
  <c r="J70" i="55"/>
  <c r="K69" i="55"/>
  <c r="J69" i="55"/>
  <c r="K68" i="55"/>
  <c r="J68" i="55"/>
  <c r="K67" i="55"/>
  <c r="J67" i="55"/>
  <c r="K66" i="55"/>
  <c r="J66" i="55"/>
  <c r="K65" i="55"/>
  <c r="J65" i="55"/>
  <c r="K64" i="55"/>
  <c r="J64" i="55"/>
  <c r="K63" i="55"/>
  <c r="J63" i="55"/>
  <c r="K62" i="55"/>
  <c r="J62" i="55"/>
  <c r="K61" i="55"/>
  <c r="J61" i="55"/>
  <c r="K60" i="55"/>
  <c r="J60" i="55"/>
  <c r="K59" i="55"/>
  <c r="J59" i="55"/>
  <c r="K58" i="55"/>
  <c r="J58" i="55"/>
  <c r="K57" i="55"/>
  <c r="J57" i="55"/>
  <c r="K56" i="55"/>
  <c r="J56" i="55"/>
  <c r="K55" i="55"/>
  <c r="J55" i="55"/>
  <c r="K54" i="55"/>
  <c r="J54" i="55"/>
  <c r="K53" i="55"/>
  <c r="J53" i="55"/>
  <c r="K52" i="55"/>
  <c r="J52" i="55"/>
  <c r="K51" i="55"/>
  <c r="J51" i="55"/>
  <c r="K50" i="55"/>
  <c r="J50" i="55"/>
  <c r="K49" i="55"/>
  <c r="J49" i="55"/>
  <c r="K48" i="55"/>
  <c r="J48" i="55"/>
  <c r="K47" i="55"/>
  <c r="J47" i="55"/>
  <c r="K46" i="55"/>
  <c r="J46" i="55"/>
  <c r="K45" i="55"/>
  <c r="J45" i="55"/>
  <c r="K44" i="55"/>
  <c r="J44" i="55"/>
  <c r="K43" i="55"/>
  <c r="J43" i="55"/>
  <c r="K42" i="55"/>
  <c r="J42" i="55"/>
  <c r="K41" i="55"/>
  <c r="J41" i="55"/>
  <c r="K40" i="55"/>
  <c r="J40" i="55"/>
  <c r="K39" i="55"/>
  <c r="J39" i="55"/>
  <c r="K38" i="55"/>
  <c r="J38" i="55"/>
  <c r="K37" i="55"/>
  <c r="J37" i="55"/>
  <c r="K36" i="55"/>
  <c r="J36" i="55"/>
  <c r="K35" i="55"/>
  <c r="J35" i="55"/>
  <c r="K34" i="55"/>
  <c r="J34" i="55"/>
  <c r="K33" i="55"/>
  <c r="J33" i="55"/>
  <c r="K32" i="55"/>
  <c r="J32" i="55"/>
  <c r="K31" i="55"/>
  <c r="J31" i="55"/>
  <c r="K30" i="55"/>
  <c r="J30" i="55"/>
  <c r="K29" i="55"/>
  <c r="J29" i="55"/>
  <c r="K28" i="55"/>
  <c r="J28" i="55"/>
  <c r="K27" i="55"/>
  <c r="J27" i="55"/>
  <c r="K26" i="55"/>
  <c r="J26" i="55"/>
  <c r="K25" i="55"/>
  <c r="J25" i="55"/>
  <c r="K24" i="55"/>
  <c r="J24" i="55"/>
  <c r="K23" i="55"/>
  <c r="J23" i="55"/>
  <c r="K22" i="55"/>
  <c r="J22" i="55"/>
  <c r="K21" i="55"/>
  <c r="J21" i="55"/>
  <c r="K20" i="55"/>
  <c r="J20" i="55"/>
  <c r="K19" i="55"/>
  <c r="J19" i="55"/>
  <c r="K18" i="55"/>
  <c r="J18" i="55"/>
  <c r="K17" i="55"/>
  <c r="J17" i="55"/>
  <c r="K16" i="55"/>
  <c r="J16" i="55"/>
  <c r="K15" i="55"/>
  <c r="J15" i="55"/>
  <c r="K14" i="55"/>
  <c r="J14" i="55"/>
  <c r="K13" i="55"/>
  <c r="J13" i="55"/>
  <c r="K12" i="55"/>
  <c r="J12" i="55"/>
  <c r="K11" i="55"/>
  <c r="J11" i="55"/>
  <c r="K10" i="55"/>
  <c r="J10" i="55"/>
  <c r="K9" i="55"/>
  <c r="J9" i="55"/>
  <c r="K8" i="55"/>
  <c r="J8" i="55"/>
  <c r="K7" i="55"/>
  <c r="J7" i="55"/>
  <c r="K6" i="55"/>
  <c r="J6" i="55"/>
  <c r="K3" i="55"/>
  <c r="I3" i="55"/>
  <c r="H3" i="55"/>
  <c r="K499" i="54"/>
  <c r="J499" i="54"/>
  <c r="K498" i="54"/>
  <c r="J498" i="54"/>
  <c r="K497" i="54"/>
  <c r="J497" i="54"/>
  <c r="K496" i="54"/>
  <c r="J496" i="54"/>
  <c r="K495" i="54"/>
  <c r="J495" i="54"/>
  <c r="K494" i="54"/>
  <c r="J494" i="54"/>
  <c r="K493" i="54"/>
  <c r="J493" i="54"/>
  <c r="K492" i="54"/>
  <c r="J492" i="54"/>
  <c r="K491" i="54"/>
  <c r="J491" i="54"/>
  <c r="K490" i="54"/>
  <c r="J490" i="54"/>
  <c r="K489" i="54"/>
  <c r="J489" i="54"/>
  <c r="K488" i="54"/>
  <c r="J488" i="54"/>
  <c r="K487" i="54"/>
  <c r="J487" i="54"/>
  <c r="K486" i="54"/>
  <c r="J486" i="54"/>
  <c r="K485" i="54"/>
  <c r="J485" i="54"/>
  <c r="K484" i="54"/>
  <c r="J484" i="54"/>
  <c r="K483" i="54"/>
  <c r="J483" i="54"/>
  <c r="K482" i="54"/>
  <c r="J482" i="54"/>
  <c r="K481" i="54"/>
  <c r="J481" i="54"/>
  <c r="K480" i="54"/>
  <c r="J480" i="54"/>
  <c r="K479" i="54"/>
  <c r="J479" i="54"/>
  <c r="K478" i="54"/>
  <c r="J478" i="54"/>
  <c r="K477" i="54"/>
  <c r="J477" i="54"/>
  <c r="K476" i="54"/>
  <c r="J476" i="54"/>
  <c r="K475" i="54"/>
  <c r="J475" i="54"/>
  <c r="K474" i="54"/>
  <c r="J474" i="54"/>
  <c r="K473" i="54"/>
  <c r="J473" i="54"/>
  <c r="K472" i="54"/>
  <c r="J472" i="54"/>
  <c r="K471" i="54"/>
  <c r="J471" i="54"/>
  <c r="K470" i="54"/>
  <c r="J470" i="54"/>
  <c r="K469" i="54"/>
  <c r="J469" i="54"/>
  <c r="K468" i="54"/>
  <c r="J468" i="54"/>
  <c r="K467" i="54"/>
  <c r="J467" i="54"/>
  <c r="K466" i="54"/>
  <c r="J466" i="54"/>
  <c r="K465" i="54"/>
  <c r="J465" i="54"/>
  <c r="K464" i="54"/>
  <c r="J464" i="54"/>
  <c r="K463" i="54"/>
  <c r="J463" i="54"/>
  <c r="K462" i="54"/>
  <c r="J462" i="54"/>
  <c r="K461" i="54"/>
  <c r="J461" i="54"/>
  <c r="K460" i="54"/>
  <c r="J460" i="54"/>
  <c r="K459" i="54"/>
  <c r="J459" i="54"/>
  <c r="K458" i="54"/>
  <c r="J458" i="54"/>
  <c r="K457" i="54"/>
  <c r="J457" i="54"/>
  <c r="K456" i="54"/>
  <c r="J456" i="54"/>
  <c r="K455" i="54"/>
  <c r="J455" i="54"/>
  <c r="K454" i="54"/>
  <c r="J454" i="54"/>
  <c r="K453" i="54"/>
  <c r="J453" i="54"/>
  <c r="K452" i="54"/>
  <c r="J452" i="54"/>
  <c r="K451" i="54"/>
  <c r="J451" i="54"/>
  <c r="K450" i="54"/>
  <c r="J450" i="54"/>
  <c r="K449" i="54"/>
  <c r="J449" i="54"/>
  <c r="K448" i="54"/>
  <c r="J448" i="54"/>
  <c r="K447" i="54"/>
  <c r="J447" i="54"/>
  <c r="K446" i="54"/>
  <c r="J446" i="54"/>
  <c r="K445" i="54"/>
  <c r="J445" i="54"/>
  <c r="K444" i="54"/>
  <c r="J444" i="54"/>
  <c r="K443" i="54"/>
  <c r="J443" i="54"/>
  <c r="K442" i="54"/>
  <c r="J442" i="54"/>
  <c r="K441" i="54"/>
  <c r="J441" i="54"/>
  <c r="K440" i="54"/>
  <c r="J440" i="54"/>
  <c r="K439" i="54"/>
  <c r="J439" i="54"/>
  <c r="K438" i="54"/>
  <c r="J438" i="54"/>
  <c r="K437" i="54"/>
  <c r="J437" i="54"/>
  <c r="K436" i="54"/>
  <c r="J436" i="54"/>
  <c r="K435" i="54"/>
  <c r="J435" i="54"/>
  <c r="K434" i="54"/>
  <c r="J434" i="54"/>
  <c r="K433" i="54"/>
  <c r="J433" i="54"/>
  <c r="K432" i="54"/>
  <c r="J432" i="54"/>
  <c r="K431" i="54"/>
  <c r="J431" i="54"/>
  <c r="K430" i="54"/>
  <c r="J430" i="54"/>
  <c r="K429" i="54"/>
  <c r="J429" i="54"/>
  <c r="K428" i="54"/>
  <c r="J428" i="54"/>
  <c r="K427" i="54"/>
  <c r="J427" i="54"/>
  <c r="K426" i="54"/>
  <c r="J426" i="54"/>
  <c r="K425" i="54"/>
  <c r="J425" i="54"/>
  <c r="K424" i="54"/>
  <c r="J424" i="54"/>
  <c r="K423" i="54"/>
  <c r="J423" i="54"/>
  <c r="K422" i="54"/>
  <c r="J422" i="54"/>
  <c r="K421" i="54"/>
  <c r="J421" i="54"/>
  <c r="K420" i="54"/>
  <c r="J420" i="54"/>
  <c r="K419" i="54"/>
  <c r="J419" i="54"/>
  <c r="K418" i="54"/>
  <c r="J418" i="54"/>
  <c r="K417" i="54"/>
  <c r="J417" i="54"/>
  <c r="K416" i="54"/>
  <c r="J416" i="54"/>
  <c r="K415" i="54"/>
  <c r="J415" i="54"/>
  <c r="K414" i="54"/>
  <c r="J414" i="54"/>
  <c r="K413" i="54"/>
  <c r="J413" i="54"/>
  <c r="K412" i="54"/>
  <c r="J412" i="54"/>
  <c r="K411" i="54"/>
  <c r="J411" i="54"/>
  <c r="K410" i="54"/>
  <c r="J410" i="54"/>
  <c r="K409" i="54"/>
  <c r="J409" i="54"/>
  <c r="K408" i="54"/>
  <c r="J408" i="54"/>
  <c r="K407" i="54"/>
  <c r="J407" i="54"/>
  <c r="K406" i="54"/>
  <c r="J406" i="54"/>
  <c r="K405" i="54"/>
  <c r="J405" i="54"/>
  <c r="K404" i="54"/>
  <c r="J404" i="54"/>
  <c r="K403" i="54"/>
  <c r="J403" i="54"/>
  <c r="K402" i="54"/>
  <c r="J402" i="54"/>
  <c r="K401" i="54"/>
  <c r="J401" i="54"/>
  <c r="K400" i="54"/>
  <c r="J400" i="54"/>
  <c r="K399" i="54"/>
  <c r="J399" i="54"/>
  <c r="K398" i="54"/>
  <c r="J398" i="54"/>
  <c r="K397" i="54"/>
  <c r="J397" i="54"/>
  <c r="K396" i="54"/>
  <c r="J396" i="54"/>
  <c r="K395" i="54"/>
  <c r="J395" i="54"/>
  <c r="K394" i="54"/>
  <c r="J394" i="54"/>
  <c r="K393" i="54"/>
  <c r="J393" i="54"/>
  <c r="K392" i="54"/>
  <c r="J392" i="54"/>
  <c r="K391" i="54"/>
  <c r="J391" i="54"/>
  <c r="K390" i="54"/>
  <c r="J390" i="54"/>
  <c r="K389" i="54"/>
  <c r="J389" i="54"/>
  <c r="K388" i="54"/>
  <c r="J388" i="54"/>
  <c r="K387" i="54"/>
  <c r="J387" i="54"/>
  <c r="K386" i="54"/>
  <c r="J386" i="54"/>
  <c r="K385" i="54"/>
  <c r="J385" i="54"/>
  <c r="K384" i="54"/>
  <c r="J384" i="54"/>
  <c r="K383" i="54"/>
  <c r="J383" i="54"/>
  <c r="K382" i="54"/>
  <c r="J382" i="54"/>
  <c r="K381" i="54"/>
  <c r="J381" i="54"/>
  <c r="K380" i="54"/>
  <c r="J380" i="54"/>
  <c r="K379" i="54"/>
  <c r="J379" i="54"/>
  <c r="K378" i="54"/>
  <c r="J378" i="54"/>
  <c r="K377" i="54"/>
  <c r="J377" i="54"/>
  <c r="K376" i="54"/>
  <c r="J376" i="54"/>
  <c r="K375" i="54"/>
  <c r="J375" i="54"/>
  <c r="K374" i="54"/>
  <c r="J374" i="54"/>
  <c r="K373" i="54"/>
  <c r="J373" i="54"/>
  <c r="K372" i="54"/>
  <c r="J372" i="54"/>
  <c r="K371" i="54"/>
  <c r="J371" i="54"/>
  <c r="K370" i="54"/>
  <c r="J370" i="54"/>
  <c r="K369" i="54"/>
  <c r="J369" i="54"/>
  <c r="K368" i="54"/>
  <c r="J368" i="54"/>
  <c r="K367" i="54"/>
  <c r="J367" i="54"/>
  <c r="K366" i="54"/>
  <c r="J366" i="54"/>
  <c r="K365" i="54"/>
  <c r="J365" i="54"/>
  <c r="K364" i="54"/>
  <c r="J364" i="54"/>
  <c r="K363" i="54"/>
  <c r="J363" i="54"/>
  <c r="K362" i="54"/>
  <c r="J362" i="54"/>
  <c r="K361" i="54"/>
  <c r="J361" i="54"/>
  <c r="K360" i="54"/>
  <c r="J360" i="54"/>
  <c r="K359" i="54"/>
  <c r="J359" i="54"/>
  <c r="K358" i="54"/>
  <c r="J358" i="54"/>
  <c r="K357" i="54"/>
  <c r="J357" i="54"/>
  <c r="K356" i="54"/>
  <c r="J356" i="54"/>
  <c r="K355" i="54"/>
  <c r="J355" i="54"/>
  <c r="K354" i="54"/>
  <c r="J354" i="54"/>
  <c r="K353" i="54"/>
  <c r="J353" i="54"/>
  <c r="K352" i="54"/>
  <c r="J352" i="54"/>
  <c r="K351" i="54"/>
  <c r="J351" i="54"/>
  <c r="K350" i="54"/>
  <c r="J350" i="54"/>
  <c r="K349" i="54"/>
  <c r="J349" i="54"/>
  <c r="K348" i="54"/>
  <c r="J348" i="54"/>
  <c r="K347" i="54"/>
  <c r="J347" i="54"/>
  <c r="K346" i="54"/>
  <c r="J346" i="54"/>
  <c r="K345" i="54"/>
  <c r="J345" i="54"/>
  <c r="K344" i="54"/>
  <c r="J344" i="54"/>
  <c r="K343" i="54"/>
  <c r="J343" i="54"/>
  <c r="K342" i="54"/>
  <c r="J342" i="54"/>
  <c r="K341" i="54"/>
  <c r="J341" i="54"/>
  <c r="K340" i="54"/>
  <c r="J340" i="54"/>
  <c r="K339" i="54"/>
  <c r="J339" i="54"/>
  <c r="K338" i="54"/>
  <c r="J338" i="54"/>
  <c r="K337" i="54"/>
  <c r="J337" i="54"/>
  <c r="K336" i="54"/>
  <c r="J336" i="54"/>
  <c r="K335" i="54"/>
  <c r="J335" i="54"/>
  <c r="K334" i="54"/>
  <c r="J334" i="54"/>
  <c r="K333" i="54"/>
  <c r="J333" i="54"/>
  <c r="K332" i="54"/>
  <c r="J332" i="54"/>
  <c r="K331" i="54"/>
  <c r="J331" i="54"/>
  <c r="K330" i="54"/>
  <c r="J330" i="54"/>
  <c r="K329" i="54"/>
  <c r="J329" i="54"/>
  <c r="K328" i="54"/>
  <c r="J328" i="54"/>
  <c r="K327" i="54"/>
  <c r="J327" i="54"/>
  <c r="K326" i="54"/>
  <c r="J326" i="54"/>
  <c r="K325" i="54"/>
  <c r="J325" i="54"/>
  <c r="K324" i="54"/>
  <c r="J324" i="54"/>
  <c r="K323" i="54"/>
  <c r="J323" i="54"/>
  <c r="K322" i="54"/>
  <c r="J322" i="54"/>
  <c r="K321" i="54"/>
  <c r="J321" i="54"/>
  <c r="K320" i="54"/>
  <c r="J320" i="54"/>
  <c r="K319" i="54"/>
  <c r="J319" i="54"/>
  <c r="K318" i="54"/>
  <c r="J318" i="54"/>
  <c r="K317" i="54"/>
  <c r="J317" i="54"/>
  <c r="K316" i="54"/>
  <c r="J316" i="54"/>
  <c r="K315" i="54"/>
  <c r="J315" i="54"/>
  <c r="K314" i="54"/>
  <c r="J314" i="54"/>
  <c r="K313" i="54"/>
  <c r="J313" i="54"/>
  <c r="K312" i="54"/>
  <c r="J312" i="54"/>
  <c r="K311" i="54"/>
  <c r="J311" i="54"/>
  <c r="K310" i="54"/>
  <c r="J310" i="54"/>
  <c r="K309" i="54"/>
  <c r="J309" i="54"/>
  <c r="K308" i="54"/>
  <c r="J308" i="54"/>
  <c r="K307" i="54"/>
  <c r="J307" i="54"/>
  <c r="K306" i="54"/>
  <c r="J306" i="54"/>
  <c r="K305" i="54"/>
  <c r="J305" i="54"/>
  <c r="K304" i="54"/>
  <c r="J304" i="54"/>
  <c r="K303" i="54"/>
  <c r="J303" i="54"/>
  <c r="K302" i="54"/>
  <c r="J302" i="54"/>
  <c r="K301" i="54"/>
  <c r="J301" i="54"/>
  <c r="K300" i="54"/>
  <c r="J300" i="54"/>
  <c r="K299" i="54"/>
  <c r="J299" i="54"/>
  <c r="K298" i="54"/>
  <c r="J298" i="54"/>
  <c r="K297" i="54"/>
  <c r="J297" i="54"/>
  <c r="K296" i="54"/>
  <c r="J296" i="54"/>
  <c r="K295" i="54"/>
  <c r="J295" i="54"/>
  <c r="K294" i="54"/>
  <c r="J294" i="54"/>
  <c r="K293" i="54"/>
  <c r="J293" i="54"/>
  <c r="K292" i="54"/>
  <c r="J292" i="54"/>
  <c r="K291" i="54"/>
  <c r="J291" i="54"/>
  <c r="K290" i="54"/>
  <c r="J290" i="54"/>
  <c r="K289" i="54"/>
  <c r="J289" i="54"/>
  <c r="K288" i="54"/>
  <c r="J288" i="54"/>
  <c r="K287" i="54"/>
  <c r="J287" i="54"/>
  <c r="K286" i="54"/>
  <c r="J286" i="54"/>
  <c r="K285" i="54"/>
  <c r="J285" i="54"/>
  <c r="K284" i="54"/>
  <c r="J284" i="54"/>
  <c r="K283" i="54"/>
  <c r="J283" i="54"/>
  <c r="K282" i="54"/>
  <c r="J282" i="54"/>
  <c r="K281" i="54"/>
  <c r="J281" i="54"/>
  <c r="K280" i="54"/>
  <c r="J280" i="54"/>
  <c r="K279" i="54"/>
  <c r="J279" i="54"/>
  <c r="K278" i="54"/>
  <c r="J278" i="54"/>
  <c r="K277" i="54"/>
  <c r="J277" i="54"/>
  <c r="K276" i="54"/>
  <c r="J276" i="54"/>
  <c r="K275" i="54"/>
  <c r="J275" i="54"/>
  <c r="K274" i="54"/>
  <c r="J274" i="54"/>
  <c r="K273" i="54"/>
  <c r="J273" i="54"/>
  <c r="K272" i="54"/>
  <c r="J272" i="54"/>
  <c r="K271" i="54"/>
  <c r="J271" i="54"/>
  <c r="K270" i="54"/>
  <c r="J270" i="54"/>
  <c r="K269" i="54"/>
  <c r="J269" i="54"/>
  <c r="K268" i="54"/>
  <c r="J268" i="54"/>
  <c r="K267" i="54"/>
  <c r="J267" i="54"/>
  <c r="K266" i="54"/>
  <c r="J266" i="54"/>
  <c r="K265" i="54"/>
  <c r="J265" i="54"/>
  <c r="K264" i="54"/>
  <c r="J264" i="54"/>
  <c r="K263" i="54"/>
  <c r="J263" i="54"/>
  <c r="K262" i="54"/>
  <c r="J262" i="54"/>
  <c r="K261" i="54"/>
  <c r="J261" i="54"/>
  <c r="K260" i="54"/>
  <c r="J260" i="54"/>
  <c r="K259" i="54"/>
  <c r="J259" i="54"/>
  <c r="K258" i="54"/>
  <c r="J258" i="54"/>
  <c r="K257" i="54"/>
  <c r="J257" i="54"/>
  <c r="K256" i="54"/>
  <c r="J256" i="54"/>
  <c r="K255" i="54"/>
  <c r="J255" i="54"/>
  <c r="K254" i="54"/>
  <c r="J254" i="54"/>
  <c r="K253" i="54"/>
  <c r="J253" i="54"/>
  <c r="K252" i="54"/>
  <c r="J252" i="54"/>
  <c r="K251" i="54"/>
  <c r="J251" i="54"/>
  <c r="K250" i="54"/>
  <c r="J250" i="54"/>
  <c r="K249" i="54"/>
  <c r="J249" i="54"/>
  <c r="K248" i="54"/>
  <c r="J248" i="54"/>
  <c r="K247" i="54"/>
  <c r="J247" i="54"/>
  <c r="K246" i="54"/>
  <c r="J246" i="54"/>
  <c r="K245" i="54"/>
  <c r="J245" i="54"/>
  <c r="K244" i="54"/>
  <c r="J244" i="54"/>
  <c r="K243" i="54"/>
  <c r="J243" i="54"/>
  <c r="K242" i="54"/>
  <c r="J242" i="54"/>
  <c r="K241" i="54"/>
  <c r="J241" i="54"/>
  <c r="K240" i="54"/>
  <c r="J240" i="54"/>
  <c r="K239" i="54"/>
  <c r="J239" i="54"/>
  <c r="K238" i="54"/>
  <c r="J238" i="54"/>
  <c r="K237" i="54"/>
  <c r="J237" i="54"/>
  <c r="K236" i="54"/>
  <c r="J236" i="54"/>
  <c r="K235" i="54"/>
  <c r="J235" i="54"/>
  <c r="K234" i="54"/>
  <c r="J234" i="54"/>
  <c r="K233" i="54"/>
  <c r="J233" i="54"/>
  <c r="K232" i="54"/>
  <c r="J232" i="54"/>
  <c r="K231" i="54"/>
  <c r="J231" i="54"/>
  <c r="K230" i="54"/>
  <c r="J230" i="54"/>
  <c r="K229" i="54"/>
  <c r="J229" i="54"/>
  <c r="K228" i="54"/>
  <c r="J228" i="54"/>
  <c r="K227" i="54"/>
  <c r="J227" i="54"/>
  <c r="K226" i="54"/>
  <c r="J226" i="54"/>
  <c r="K225" i="54"/>
  <c r="J225" i="54"/>
  <c r="K224" i="54"/>
  <c r="J224" i="54"/>
  <c r="K223" i="54"/>
  <c r="J223" i="54"/>
  <c r="K222" i="54"/>
  <c r="J222" i="54"/>
  <c r="K221" i="54"/>
  <c r="J221" i="54"/>
  <c r="K220" i="54"/>
  <c r="J220" i="54"/>
  <c r="K219" i="54"/>
  <c r="J219" i="54"/>
  <c r="K218" i="54"/>
  <c r="J218" i="54"/>
  <c r="K217" i="54"/>
  <c r="J217" i="54"/>
  <c r="K216" i="54"/>
  <c r="J216" i="54"/>
  <c r="K215" i="54"/>
  <c r="J215" i="54"/>
  <c r="K214" i="54"/>
  <c r="J214" i="54"/>
  <c r="K213" i="54"/>
  <c r="J213" i="54"/>
  <c r="K212" i="54"/>
  <c r="J212" i="54"/>
  <c r="K211" i="54"/>
  <c r="J211" i="54"/>
  <c r="K210" i="54"/>
  <c r="J210" i="54"/>
  <c r="K209" i="54"/>
  <c r="J209" i="54"/>
  <c r="K208" i="54"/>
  <c r="J208" i="54"/>
  <c r="K207" i="54"/>
  <c r="J207" i="54"/>
  <c r="K206" i="54"/>
  <c r="J206" i="54"/>
  <c r="K205" i="54"/>
  <c r="J205" i="54"/>
  <c r="K204" i="54"/>
  <c r="J204" i="54"/>
  <c r="K203" i="54"/>
  <c r="J203" i="54"/>
  <c r="K202" i="54"/>
  <c r="J202" i="54"/>
  <c r="K201" i="54"/>
  <c r="J201" i="54"/>
  <c r="K200" i="54"/>
  <c r="J200" i="54"/>
  <c r="K199" i="54"/>
  <c r="J199" i="54"/>
  <c r="K198" i="54"/>
  <c r="J198" i="54"/>
  <c r="K197" i="54"/>
  <c r="J197" i="54"/>
  <c r="K196" i="54"/>
  <c r="J196" i="54"/>
  <c r="K195" i="54"/>
  <c r="J195" i="54"/>
  <c r="K194" i="54"/>
  <c r="J194" i="54"/>
  <c r="K193" i="54"/>
  <c r="J193" i="54"/>
  <c r="K192" i="54"/>
  <c r="J192" i="54"/>
  <c r="K191" i="54"/>
  <c r="J191" i="54"/>
  <c r="K190" i="54"/>
  <c r="J190" i="54"/>
  <c r="K189" i="54"/>
  <c r="J189" i="54"/>
  <c r="K188" i="54"/>
  <c r="J188" i="54"/>
  <c r="K187" i="54"/>
  <c r="J187" i="54"/>
  <c r="K186" i="54"/>
  <c r="J186" i="54"/>
  <c r="K185" i="54"/>
  <c r="J185" i="54"/>
  <c r="K184" i="54"/>
  <c r="J184" i="54"/>
  <c r="K183" i="54"/>
  <c r="J183" i="54"/>
  <c r="K182" i="54"/>
  <c r="J182" i="54"/>
  <c r="K181" i="54"/>
  <c r="J181" i="54"/>
  <c r="K180" i="54"/>
  <c r="J180" i="54"/>
  <c r="K179" i="54"/>
  <c r="J179" i="54"/>
  <c r="K178" i="54"/>
  <c r="J178" i="54"/>
  <c r="K177" i="54"/>
  <c r="J177" i="54"/>
  <c r="K176" i="54"/>
  <c r="J176" i="54"/>
  <c r="K175" i="54"/>
  <c r="J175" i="54"/>
  <c r="K174" i="54"/>
  <c r="J174" i="54"/>
  <c r="K173" i="54"/>
  <c r="J173" i="54"/>
  <c r="K172" i="54"/>
  <c r="J172" i="54"/>
  <c r="K171" i="54"/>
  <c r="J171" i="54"/>
  <c r="K170" i="54"/>
  <c r="J170" i="54"/>
  <c r="K169" i="54"/>
  <c r="J169" i="54"/>
  <c r="K168" i="54"/>
  <c r="J168" i="54"/>
  <c r="K167" i="54"/>
  <c r="J167" i="54"/>
  <c r="K166" i="54"/>
  <c r="J166" i="54"/>
  <c r="K165" i="54"/>
  <c r="J165" i="54"/>
  <c r="K164" i="54"/>
  <c r="J164" i="54"/>
  <c r="K163" i="54"/>
  <c r="J163" i="54"/>
  <c r="K162" i="54"/>
  <c r="J162" i="54"/>
  <c r="K161" i="54"/>
  <c r="J161" i="54"/>
  <c r="K160" i="54"/>
  <c r="J160" i="54"/>
  <c r="K159" i="54"/>
  <c r="J159" i="54"/>
  <c r="K158" i="54"/>
  <c r="J158" i="54"/>
  <c r="K157" i="54"/>
  <c r="J157" i="54"/>
  <c r="K156" i="54"/>
  <c r="J156" i="54"/>
  <c r="K155" i="54"/>
  <c r="J155" i="54"/>
  <c r="K154" i="54"/>
  <c r="J154" i="54"/>
  <c r="K153" i="54"/>
  <c r="J153" i="54"/>
  <c r="K152" i="54"/>
  <c r="J152" i="54"/>
  <c r="K151" i="54"/>
  <c r="J151" i="54"/>
  <c r="K150" i="54"/>
  <c r="J150" i="54"/>
  <c r="K149" i="54"/>
  <c r="J149" i="54"/>
  <c r="K148" i="54"/>
  <c r="J148" i="54"/>
  <c r="K147" i="54"/>
  <c r="J147" i="54"/>
  <c r="K146" i="54"/>
  <c r="J146" i="54"/>
  <c r="K145" i="54"/>
  <c r="J145" i="54"/>
  <c r="K144" i="54"/>
  <c r="J144" i="54"/>
  <c r="K143" i="54"/>
  <c r="J143" i="54"/>
  <c r="K142" i="54"/>
  <c r="J142" i="54"/>
  <c r="K141" i="54"/>
  <c r="J141" i="54"/>
  <c r="K140" i="54"/>
  <c r="J140" i="54"/>
  <c r="K139" i="54"/>
  <c r="J139" i="54"/>
  <c r="K138" i="54"/>
  <c r="J138" i="54"/>
  <c r="K137" i="54"/>
  <c r="J137" i="54"/>
  <c r="K136" i="54"/>
  <c r="J136" i="54"/>
  <c r="K135" i="54"/>
  <c r="J135" i="54"/>
  <c r="K134" i="54"/>
  <c r="J134" i="54"/>
  <c r="K133" i="54"/>
  <c r="J133" i="54"/>
  <c r="K132" i="54"/>
  <c r="J132" i="54"/>
  <c r="K131" i="54"/>
  <c r="J131" i="54"/>
  <c r="K130" i="54"/>
  <c r="J130" i="54"/>
  <c r="K129" i="54"/>
  <c r="J129" i="54"/>
  <c r="K128" i="54"/>
  <c r="J128" i="54"/>
  <c r="K127" i="54"/>
  <c r="J127" i="54"/>
  <c r="K126" i="54"/>
  <c r="J126" i="54"/>
  <c r="K125" i="54"/>
  <c r="J125" i="54"/>
  <c r="K124" i="54"/>
  <c r="J124" i="54"/>
  <c r="K123" i="54"/>
  <c r="J123" i="54"/>
  <c r="K122" i="54"/>
  <c r="J122" i="54"/>
  <c r="K121" i="54"/>
  <c r="J121" i="54"/>
  <c r="K120" i="54"/>
  <c r="J120" i="54"/>
  <c r="K119" i="54"/>
  <c r="J119" i="54"/>
  <c r="K118" i="54"/>
  <c r="J118" i="54"/>
  <c r="K117" i="54"/>
  <c r="J117" i="54"/>
  <c r="K116" i="54"/>
  <c r="J116" i="54"/>
  <c r="K115" i="54"/>
  <c r="J115" i="54"/>
  <c r="K114" i="54"/>
  <c r="J114" i="54"/>
  <c r="K113" i="54"/>
  <c r="J113" i="54"/>
  <c r="K112" i="54"/>
  <c r="J112" i="54"/>
  <c r="K111" i="54"/>
  <c r="J111" i="54"/>
  <c r="K110" i="54"/>
  <c r="J110" i="54"/>
  <c r="K109" i="54"/>
  <c r="J109" i="54"/>
  <c r="K108" i="54"/>
  <c r="J108" i="54"/>
  <c r="K107" i="54"/>
  <c r="J107" i="54"/>
  <c r="K106" i="54"/>
  <c r="J106" i="54"/>
  <c r="K105" i="54"/>
  <c r="J105" i="54"/>
  <c r="K104" i="54"/>
  <c r="J104" i="54"/>
  <c r="K103" i="54"/>
  <c r="J103" i="54"/>
  <c r="K102" i="54"/>
  <c r="J102" i="54"/>
  <c r="K101" i="54"/>
  <c r="J101" i="54"/>
  <c r="K100" i="54"/>
  <c r="J100" i="54"/>
  <c r="K99" i="54"/>
  <c r="J99" i="54"/>
  <c r="K98" i="54"/>
  <c r="J98" i="54"/>
  <c r="K97" i="54"/>
  <c r="J97" i="54"/>
  <c r="K96" i="54"/>
  <c r="J96" i="54"/>
  <c r="K95" i="54"/>
  <c r="J95" i="54"/>
  <c r="K94" i="54"/>
  <c r="J94" i="54"/>
  <c r="K93" i="54"/>
  <c r="J93" i="54"/>
  <c r="K92" i="54"/>
  <c r="J92" i="54"/>
  <c r="K91" i="54"/>
  <c r="J91" i="54"/>
  <c r="K90" i="54"/>
  <c r="J90" i="54"/>
  <c r="K89" i="54"/>
  <c r="J89" i="54"/>
  <c r="K88" i="54"/>
  <c r="J88" i="54"/>
  <c r="K87" i="54"/>
  <c r="J87" i="54"/>
  <c r="K86" i="54"/>
  <c r="J86" i="54"/>
  <c r="K85" i="54"/>
  <c r="J85" i="54"/>
  <c r="K84" i="54"/>
  <c r="J84" i="54"/>
  <c r="K83" i="54"/>
  <c r="J83" i="54"/>
  <c r="K82" i="54"/>
  <c r="J82" i="54"/>
  <c r="K81" i="54"/>
  <c r="J81" i="54"/>
  <c r="K80" i="54"/>
  <c r="J80" i="54"/>
  <c r="K79" i="54"/>
  <c r="J79" i="54"/>
  <c r="K78" i="54"/>
  <c r="J78" i="54"/>
  <c r="K77" i="54"/>
  <c r="J77" i="54"/>
  <c r="K76" i="54"/>
  <c r="J76" i="54"/>
  <c r="K75" i="54"/>
  <c r="J75" i="54"/>
  <c r="K74" i="54"/>
  <c r="J74" i="54"/>
  <c r="K73" i="54"/>
  <c r="J73" i="54"/>
  <c r="K72" i="54"/>
  <c r="J72" i="54"/>
  <c r="K71" i="54"/>
  <c r="J71" i="54"/>
  <c r="K70" i="54"/>
  <c r="J70" i="54"/>
  <c r="K69" i="54"/>
  <c r="J69" i="54"/>
  <c r="K68" i="54"/>
  <c r="J68" i="54"/>
  <c r="K67" i="54"/>
  <c r="J67" i="54"/>
  <c r="K66" i="54"/>
  <c r="J66" i="54"/>
  <c r="K65" i="54"/>
  <c r="J65" i="54"/>
  <c r="K64" i="54"/>
  <c r="J64" i="54"/>
  <c r="K63" i="54"/>
  <c r="J63" i="54"/>
  <c r="K62" i="54"/>
  <c r="J62" i="54"/>
  <c r="K61" i="54"/>
  <c r="J61" i="54"/>
  <c r="K60" i="54"/>
  <c r="J60" i="54"/>
  <c r="K59" i="54"/>
  <c r="J59" i="54"/>
  <c r="K58" i="54"/>
  <c r="J58" i="54"/>
  <c r="K57" i="54"/>
  <c r="J57" i="54"/>
  <c r="K56" i="54"/>
  <c r="J56" i="54"/>
  <c r="K55" i="54"/>
  <c r="J55" i="54"/>
  <c r="K54" i="54"/>
  <c r="J54" i="54"/>
  <c r="K53" i="54"/>
  <c r="J53" i="54"/>
  <c r="K52" i="54"/>
  <c r="J52" i="54"/>
  <c r="K51" i="54"/>
  <c r="J51" i="54"/>
  <c r="K50" i="54"/>
  <c r="J50" i="54"/>
  <c r="K49" i="54"/>
  <c r="J49" i="54"/>
  <c r="K48" i="54"/>
  <c r="J48" i="54"/>
  <c r="K47" i="54"/>
  <c r="J47" i="54"/>
  <c r="K46" i="54"/>
  <c r="J46" i="54"/>
  <c r="K45" i="54"/>
  <c r="J45" i="54"/>
  <c r="K44" i="54"/>
  <c r="J44" i="54"/>
  <c r="K43" i="54"/>
  <c r="J43" i="54"/>
  <c r="K42" i="54"/>
  <c r="J42" i="54"/>
  <c r="K41" i="54"/>
  <c r="J41" i="54"/>
  <c r="K40" i="54"/>
  <c r="J40" i="54"/>
  <c r="K39" i="54"/>
  <c r="J39" i="54"/>
  <c r="K38" i="54"/>
  <c r="J38" i="54"/>
  <c r="K37" i="54"/>
  <c r="J37" i="54"/>
  <c r="K36" i="54"/>
  <c r="J36" i="54"/>
  <c r="K35" i="54"/>
  <c r="J35" i="54"/>
  <c r="K34" i="54"/>
  <c r="J34" i="54"/>
  <c r="K33" i="54"/>
  <c r="J33" i="54"/>
  <c r="K32" i="54"/>
  <c r="J32" i="54"/>
  <c r="K31" i="54"/>
  <c r="J31" i="54"/>
  <c r="K30" i="54"/>
  <c r="J30" i="54"/>
  <c r="K29" i="54"/>
  <c r="J29" i="54"/>
  <c r="K28" i="54"/>
  <c r="J28" i="54"/>
  <c r="K27" i="54"/>
  <c r="J27" i="54"/>
  <c r="K26" i="54"/>
  <c r="J26" i="54"/>
  <c r="K25" i="54"/>
  <c r="J25" i="54"/>
  <c r="K24" i="54"/>
  <c r="J24" i="54"/>
  <c r="K23" i="54"/>
  <c r="J23" i="54"/>
  <c r="K22" i="54"/>
  <c r="J22" i="54"/>
  <c r="K21" i="54"/>
  <c r="J21" i="54"/>
  <c r="K20" i="54"/>
  <c r="J20" i="54"/>
  <c r="K19" i="54"/>
  <c r="J19" i="54"/>
  <c r="K18" i="54"/>
  <c r="J18" i="54"/>
  <c r="K17" i="54"/>
  <c r="J17" i="54"/>
  <c r="K16" i="54"/>
  <c r="J16" i="54"/>
  <c r="K15" i="54"/>
  <c r="J15" i="54"/>
  <c r="K14" i="54"/>
  <c r="J14" i="54"/>
  <c r="K13" i="54"/>
  <c r="J13" i="54"/>
  <c r="K12" i="54"/>
  <c r="J12" i="54"/>
  <c r="K11" i="54"/>
  <c r="J11" i="54"/>
  <c r="K10" i="54"/>
  <c r="J10" i="54"/>
  <c r="K9" i="54"/>
  <c r="J9" i="54"/>
  <c r="K8" i="54"/>
  <c r="J8" i="54"/>
  <c r="K7" i="54"/>
  <c r="J7" i="54"/>
  <c r="K6" i="54"/>
  <c r="J6" i="54"/>
  <c r="K3" i="54"/>
  <c r="I3" i="54"/>
  <c r="H3" i="54"/>
  <c r="K499" i="53"/>
  <c r="J499" i="53"/>
  <c r="K498" i="53"/>
  <c r="J498" i="53"/>
  <c r="K497" i="53"/>
  <c r="J497" i="53"/>
  <c r="K496" i="53"/>
  <c r="J496" i="53"/>
  <c r="K495" i="53"/>
  <c r="J495" i="53"/>
  <c r="K494" i="53"/>
  <c r="J494" i="53"/>
  <c r="K493" i="53"/>
  <c r="J493" i="53"/>
  <c r="K492" i="53"/>
  <c r="J492" i="53"/>
  <c r="K491" i="53"/>
  <c r="J491" i="53"/>
  <c r="K490" i="53"/>
  <c r="J490" i="53"/>
  <c r="K489" i="53"/>
  <c r="J489" i="53"/>
  <c r="K488" i="53"/>
  <c r="J488" i="53"/>
  <c r="K487" i="53"/>
  <c r="J487" i="53"/>
  <c r="K486" i="53"/>
  <c r="J486" i="53"/>
  <c r="K485" i="53"/>
  <c r="J485" i="53"/>
  <c r="K484" i="53"/>
  <c r="J484" i="53"/>
  <c r="K483" i="53"/>
  <c r="J483" i="53"/>
  <c r="K482" i="53"/>
  <c r="J482" i="53"/>
  <c r="K481" i="53"/>
  <c r="J481" i="53"/>
  <c r="K480" i="53"/>
  <c r="J480" i="53"/>
  <c r="K479" i="53"/>
  <c r="J479" i="53"/>
  <c r="K478" i="53"/>
  <c r="J478" i="53"/>
  <c r="K477" i="53"/>
  <c r="J477" i="53"/>
  <c r="K476" i="53"/>
  <c r="J476" i="53"/>
  <c r="K475" i="53"/>
  <c r="J475" i="53"/>
  <c r="K474" i="53"/>
  <c r="J474" i="53"/>
  <c r="K473" i="53"/>
  <c r="J473" i="53"/>
  <c r="K472" i="53"/>
  <c r="J472" i="53"/>
  <c r="K471" i="53"/>
  <c r="J471" i="53"/>
  <c r="K470" i="53"/>
  <c r="J470" i="53"/>
  <c r="K469" i="53"/>
  <c r="J469" i="53"/>
  <c r="K468" i="53"/>
  <c r="J468" i="53"/>
  <c r="K467" i="53"/>
  <c r="J467" i="53"/>
  <c r="K466" i="53"/>
  <c r="J466" i="53"/>
  <c r="K465" i="53"/>
  <c r="J465" i="53"/>
  <c r="K464" i="53"/>
  <c r="J464" i="53"/>
  <c r="K463" i="53"/>
  <c r="J463" i="53"/>
  <c r="K462" i="53"/>
  <c r="J462" i="53"/>
  <c r="K461" i="53"/>
  <c r="J461" i="53"/>
  <c r="K460" i="53"/>
  <c r="J460" i="53"/>
  <c r="K459" i="53"/>
  <c r="J459" i="53"/>
  <c r="K458" i="53"/>
  <c r="J458" i="53"/>
  <c r="K457" i="53"/>
  <c r="J457" i="53"/>
  <c r="K456" i="53"/>
  <c r="J456" i="53"/>
  <c r="K455" i="53"/>
  <c r="J455" i="53"/>
  <c r="K454" i="53"/>
  <c r="J454" i="53"/>
  <c r="K453" i="53"/>
  <c r="J453" i="53"/>
  <c r="K452" i="53"/>
  <c r="J452" i="53"/>
  <c r="K451" i="53"/>
  <c r="J451" i="53"/>
  <c r="K450" i="53"/>
  <c r="J450" i="53"/>
  <c r="K449" i="53"/>
  <c r="J449" i="53"/>
  <c r="K448" i="53"/>
  <c r="J448" i="53"/>
  <c r="K447" i="53"/>
  <c r="J447" i="53"/>
  <c r="K446" i="53"/>
  <c r="J446" i="53"/>
  <c r="K445" i="53"/>
  <c r="J445" i="53"/>
  <c r="K444" i="53"/>
  <c r="J444" i="53"/>
  <c r="K443" i="53"/>
  <c r="J443" i="53"/>
  <c r="K442" i="53"/>
  <c r="J442" i="53"/>
  <c r="K441" i="53"/>
  <c r="J441" i="53"/>
  <c r="K440" i="53"/>
  <c r="J440" i="53"/>
  <c r="K439" i="53"/>
  <c r="J439" i="53"/>
  <c r="K438" i="53"/>
  <c r="J438" i="53"/>
  <c r="K437" i="53"/>
  <c r="J437" i="53"/>
  <c r="K436" i="53"/>
  <c r="J436" i="53"/>
  <c r="K435" i="53"/>
  <c r="J435" i="53"/>
  <c r="K434" i="53"/>
  <c r="J434" i="53"/>
  <c r="K433" i="53"/>
  <c r="J433" i="53"/>
  <c r="K432" i="53"/>
  <c r="J432" i="53"/>
  <c r="K431" i="53"/>
  <c r="J431" i="53"/>
  <c r="K430" i="53"/>
  <c r="J430" i="53"/>
  <c r="K429" i="53"/>
  <c r="J429" i="53"/>
  <c r="K428" i="53"/>
  <c r="J428" i="53"/>
  <c r="K427" i="53"/>
  <c r="J427" i="53"/>
  <c r="K426" i="53"/>
  <c r="J426" i="53"/>
  <c r="K425" i="53"/>
  <c r="J425" i="53"/>
  <c r="K424" i="53"/>
  <c r="J424" i="53"/>
  <c r="K423" i="53"/>
  <c r="J423" i="53"/>
  <c r="K422" i="53"/>
  <c r="J422" i="53"/>
  <c r="K421" i="53"/>
  <c r="J421" i="53"/>
  <c r="K420" i="53"/>
  <c r="J420" i="53"/>
  <c r="K419" i="53"/>
  <c r="J419" i="53"/>
  <c r="K418" i="53"/>
  <c r="J418" i="53"/>
  <c r="K417" i="53"/>
  <c r="J417" i="53"/>
  <c r="K416" i="53"/>
  <c r="J416" i="53"/>
  <c r="K415" i="53"/>
  <c r="J415" i="53"/>
  <c r="K414" i="53"/>
  <c r="J414" i="53"/>
  <c r="K413" i="53"/>
  <c r="J413" i="53"/>
  <c r="K412" i="53"/>
  <c r="J412" i="53"/>
  <c r="K411" i="53"/>
  <c r="J411" i="53"/>
  <c r="K410" i="53"/>
  <c r="J410" i="53"/>
  <c r="K409" i="53"/>
  <c r="J409" i="53"/>
  <c r="K408" i="53"/>
  <c r="J408" i="53"/>
  <c r="K407" i="53"/>
  <c r="J407" i="53"/>
  <c r="K406" i="53"/>
  <c r="J406" i="53"/>
  <c r="K405" i="53"/>
  <c r="J405" i="53"/>
  <c r="K404" i="53"/>
  <c r="J404" i="53"/>
  <c r="K403" i="53"/>
  <c r="J403" i="53"/>
  <c r="K402" i="53"/>
  <c r="J402" i="53"/>
  <c r="K401" i="53"/>
  <c r="J401" i="53"/>
  <c r="K400" i="53"/>
  <c r="J400" i="53"/>
  <c r="K399" i="53"/>
  <c r="J399" i="53"/>
  <c r="K398" i="53"/>
  <c r="J398" i="53"/>
  <c r="K397" i="53"/>
  <c r="J397" i="53"/>
  <c r="K396" i="53"/>
  <c r="J396" i="53"/>
  <c r="K395" i="53"/>
  <c r="J395" i="53"/>
  <c r="K394" i="53"/>
  <c r="J394" i="53"/>
  <c r="K393" i="53"/>
  <c r="J393" i="53"/>
  <c r="K392" i="53"/>
  <c r="J392" i="53"/>
  <c r="K391" i="53"/>
  <c r="J391" i="53"/>
  <c r="K390" i="53"/>
  <c r="J390" i="53"/>
  <c r="K389" i="53"/>
  <c r="J389" i="53"/>
  <c r="K388" i="53"/>
  <c r="J388" i="53"/>
  <c r="K387" i="53"/>
  <c r="J387" i="53"/>
  <c r="K386" i="53"/>
  <c r="J386" i="53"/>
  <c r="K385" i="53"/>
  <c r="J385" i="53"/>
  <c r="K384" i="53"/>
  <c r="J384" i="53"/>
  <c r="K383" i="53"/>
  <c r="J383" i="53"/>
  <c r="K382" i="53"/>
  <c r="J382" i="53"/>
  <c r="K381" i="53"/>
  <c r="J381" i="53"/>
  <c r="K380" i="53"/>
  <c r="J380" i="53"/>
  <c r="K379" i="53"/>
  <c r="J379" i="53"/>
  <c r="K378" i="53"/>
  <c r="J378" i="53"/>
  <c r="K377" i="53"/>
  <c r="J377" i="53"/>
  <c r="K376" i="53"/>
  <c r="J376" i="53"/>
  <c r="K375" i="53"/>
  <c r="J375" i="53"/>
  <c r="K374" i="53"/>
  <c r="J374" i="53"/>
  <c r="K373" i="53"/>
  <c r="J373" i="53"/>
  <c r="K372" i="53"/>
  <c r="J372" i="53"/>
  <c r="K371" i="53"/>
  <c r="J371" i="53"/>
  <c r="K370" i="53"/>
  <c r="J370" i="53"/>
  <c r="K369" i="53"/>
  <c r="J369" i="53"/>
  <c r="K368" i="53"/>
  <c r="J368" i="53"/>
  <c r="K367" i="53"/>
  <c r="J367" i="53"/>
  <c r="K366" i="53"/>
  <c r="J366" i="53"/>
  <c r="K365" i="53"/>
  <c r="J365" i="53"/>
  <c r="K364" i="53"/>
  <c r="J364" i="53"/>
  <c r="K363" i="53"/>
  <c r="J363" i="53"/>
  <c r="K362" i="53"/>
  <c r="J362" i="53"/>
  <c r="K361" i="53"/>
  <c r="J361" i="53"/>
  <c r="K360" i="53"/>
  <c r="J360" i="53"/>
  <c r="K359" i="53"/>
  <c r="J359" i="53"/>
  <c r="K358" i="53"/>
  <c r="J358" i="53"/>
  <c r="K357" i="53"/>
  <c r="J357" i="53"/>
  <c r="K356" i="53"/>
  <c r="J356" i="53"/>
  <c r="K355" i="53"/>
  <c r="J355" i="53"/>
  <c r="K354" i="53"/>
  <c r="J354" i="53"/>
  <c r="K353" i="53"/>
  <c r="J353" i="53"/>
  <c r="K352" i="53"/>
  <c r="J352" i="53"/>
  <c r="K351" i="53"/>
  <c r="J351" i="53"/>
  <c r="K350" i="53"/>
  <c r="J350" i="53"/>
  <c r="K349" i="53"/>
  <c r="J349" i="53"/>
  <c r="K348" i="53"/>
  <c r="J348" i="53"/>
  <c r="K347" i="53"/>
  <c r="J347" i="53"/>
  <c r="K346" i="53"/>
  <c r="J346" i="53"/>
  <c r="K345" i="53"/>
  <c r="J345" i="53"/>
  <c r="K344" i="53"/>
  <c r="J344" i="53"/>
  <c r="K343" i="53"/>
  <c r="J343" i="53"/>
  <c r="K342" i="53"/>
  <c r="J342" i="53"/>
  <c r="K341" i="53"/>
  <c r="J341" i="53"/>
  <c r="K340" i="53"/>
  <c r="J340" i="53"/>
  <c r="K339" i="53"/>
  <c r="J339" i="53"/>
  <c r="K338" i="53"/>
  <c r="J338" i="53"/>
  <c r="K337" i="53"/>
  <c r="J337" i="53"/>
  <c r="K336" i="53"/>
  <c r="J336" i="53"/>
  <c r="K335" i="53"/>
  <c r="J335" i="53"/>
  <c r="K334" i="53"/>
  <c r="J334" i="53"/>
  <c r="K333" i="53"/>
  <c r="J333" i="53"/>
  <c r="K332" i="53"/>
  <c r="J332" i="53"/>
  <c r="K331" i="53"/>
  <c r="J331" i="53"/>
  <c r="K330" i="53"/>
  <c r="J330" i="53"/>
  <c r="K329" i="53"/>
  <c r="J329" i="53"/>
  <c r="K328" i="53"/>
  <c r="J328" i="53"/>
  <c r="K327" i="53"/>
  <c r="J327" i="53"/>
  <c r="K326" i="53"/>
  <c r="J326" i="53"/>
  <c r="K325" i="53"/>
  <c r="J325" i="53"/>
  <c r="K324" i="53"/>
  <c r="J324" i="53"/>
  <c r="K323" i="53"/>
  <c r="J323" i="53"/>
  <c r="K322" i="53"/>
  <c r="J322" i="53"/>
  <c r="K321" i="53"/>
  <c r="J321" i="53"/>
  <c r="K320" i="53"/>
  <c r="J320" i="53"/>
  <c r="K319" i="53"/>
  <c r="J319" i="53"/>
  <c r="K318" i="53"/>
  <c r="J318" i="53"/>
  <c r="K317" i="53"/>
  <c r="J317" i="53"/>
  <c r="K316" i="53"/>
  <c r="J316" i="53"/>
  <c r="K315" i="53"/>
  <c r="J315" i="53"/>
  <c r="K314" i="53"/>
  <c r="J314" i="53"/>
  <c r="K313" i="53"/>
  <c r="J313" i="53"/>
  <c r="K312" i="53"/>
  <c r="J312" i="53"/>
  <c r="K311" i="53"/>
  <c r="J311" i="53"/>
  <c r="K310" i="53"/>
  <c r="J310" i="53"/>
  <c r="K309" i="53"/>
  <c r="J309" i="53"/>
  <c r="K308" i="53"/>
  <c r="J308" i="53"/>
  <c r="K307" i="53"/>
  <c r="J307" i="53"/>
  <c r="K306" i="53"/>
  <c r="J306" i="53"/>
  <c r="K305" i="53"/>
  <c r="J305" i="53"/>
  <c r="K304" i="53"/>
  <c r="J304" i="53"/>
  <c r="K303" i="53"/>
  <c r="J303" i="53"/>
  <c r="K302" i="53"/>
  <c r="J302" i="53"/>
  <c r="K301" i="53"/>
  <c r="J301" i="53"/>
  <c r="K300" i="53"/>
  <c r="J300" i="53"/>
  <c r="K299" i="53"/>
  <c r="J299" i="53"/>
  <c r="K298" i="53"/>
  <c r="J298" i="53"/>
  <c r="K297" i="53"/>
  <c r="J297" i="53"/>
  <c r="K296" i="53"/>
  <c r="J296" i="53"/>
  <c r="K295" i="53"/>
  <c r="J295" i="53"/>
  <c r="K294" i="53"/>
  <c r="J294" i="53"/>
  <c r="K293" i="53"/>
  <c r="J293" i="53"/>
  <c r="K292" i="53"/>
  <c r="J292" i="53"/>
  <c r="K291" i="53"/>
  <c r="J291" i="53"/>
  <c r="K290" i="53"/>
  <c r="J290" i="53"/>
  <c r="K289" i="53"/>
  <c r="J289" i="53"/>
  <c r="K288" i="53"/>
  <c r="J288" i="53"/>
  <c r="K287" i="53"/>
  <c r="J287" i="53"/>
  <c r="K286" i="53"/>
  <c r="J286" i="53"/>
  <c r="K285" i="53"/>
  <c r="J285" i="53"/>
  <c r="K284" i="53"/>
  <c r="J284" i="53"/>
  <c r="K283" i="53"/>
  <c r="J283" i="53"/>
  <c r="K282" i="53"/>
  <c r="J282" i="53"/>
  <c r="K281" i="53"/>
  <c r="J281" i="53"/>
  <c r="K280" i="53"/>
  <c r="J280" i="53"/>
  <c r="K279" i="53"/>
  <c r="J279" i="53"/>
  <c r="K278" i="53"/>
  <c r="J278" i="53"/>
  <c r="K277" i="53"/>
  <c r="J277" i="53"/>
  <c r="K276" i="53"/>
  <c r="J276" i="53"/>
  <c r="K275" i="53"/>
  <c r="J275" i="53"/>
  <c r="K274" i="53"/>
  <c r="J274" i="53"/>
  <c r="K273" i="53"/>
  <c r="J273" i="53"/>
  <c r="K272" i="53"/>
  <c r="J272" i="53"/>
  <c r="K271" i="53"/>
  <c r="J271" i="53"/>
  <c r="K270" i="53"/>
  <c r="J270" i="53"/>
  <c r="K269" i="53"/>
  <c r="J269" i="53"/>
  <c r="K268" i="53"/>
  <c r="J268" i="53"/>
  <c r="K267" i="53"/>
  <c r="J267" i="53"/>
  <c r="K266" i="53"/>
  <c r="J266" i="53"/>
  <c r="K265" i="53"/>
  <c r="J265" i="53"/>
  <c r="K264" i="53"/>
  <c r="J264" i="53"/>
  <c r="K263" i="53"/>
  <c r="J263" i="53"/>
  <c r="K262" i="53"/>
  <c r="J262" i="53"/>
  <c r="K261" i="53"/>
  <c r="J261" i="53"/>
  <c r="K260" i="53"/>
  <c r="J260" i="53"/>
  <c r="K259" i="53"/>
  <c r="J259" i="53"/>
  <c r="K258" i="53"/>
  <c r="J258" i="53"/>
  <c r="K257" i="53"/>
  <c r="J257" i="53"/>
  <c r="K256" i="53"/>
  <c r="J256" i="53"/>
  <c r="K255" i="53"/>
  <c r="J255" i="53"/>
  <c r="K254" i="53"/>
  <c r="J254" i="53"/>
  <c r="K253" i="53"/>
  <c r="J253" i="53"/>
  <c r="K252" i="53"/>
  <c r="J252" i="53"/>
  <c r="K251" i="53"/>
  <c r="J251" i="53"/>
  <c r="K250" i="53"/>
  <c r="J250" i="53"/>
  <c r="K249" i="53"/>
  <c r="J249" i="53"/>
  <c r="K248" i="53"/>
  <c r="J248" i="53"/>
  <c r="K247" i="53"/>
  <c r="J247" i="53"/>
  <c r="K246" i="53"/>
  <c r="J246" i="53"/>
  <c r="K245" i="53"/>
  <c r="J245" i="53"/>
  <c r="K244" i="53"/>
  <c r="J244" i="53"/>
  <c r="K243" i="53"/>
  <c r="J243" i="53"/>
  <c r="K242" i="53"/>
  <c r="J242" i="53"/>
  <c r="K241" i="53"/>
  <c r="J241" i="53"/>
  <c r="K240" i="53"/>
  <c r="J240" i="53"/>
  <c r="K239" i="53"/>
  <c r="J239" i="53"/>
  <c r="K238" i="53"/>
  <c r="J238" i="53"/>
  <c r="K237" i="53"/>
  <c r="J237" i="53"/>
  <c r="K236" i="53"/>
  <c r="J236" i="53"/>
  <c r="K235" i="53"/>
  <c r="J235" i="53"/>
  <c r="K234" i="53"/>
  <c r="J234" i="53"/>
  <c r="K233" i="53"/>
  <c r="J233" i="53"/>
  <c r="K232" i="53"/>
  <c r="J232" i="53"/>
  <c r="K231" i="53"/>
  <c r="J231" i="53"/>
  <c r="K230" i="53"/>
  <c r="J230" i="53"/>
  <c r="K229" i="53"/>
  <c r="J229" i="53"/>
  <c r="K228" i="53"/>
  <c r="J228" i="53"/>
  <c r="K227" i="53"/>
  <c r="J227" i="53"/>
  <c r="K226" i="53"/>
  <c r="J226" i="53"/>
  <c r="K225" i="53"/>
  <c r="J225" i="53"/>
  <c r="K224" i="53"/>
  <c r="J224" i="53"/>
  <c r="K223" i="53"/>
  <c r="J223" i="53"/>
  <c r="K222" i="53"/>
  <c r="J222" i="53"/>
  <c r="K221" i="53"/>
  <c r="J221" i="53"/>
  <c r="K220" i="53"/>
  <c r="J220" i="53"/>
  <c r="K219" i="53"/>
  <c r="J219" i="53"/>
  <c r="K218" i="53"/>
  <c r="J218" i="53"/>
  <c r="K217" i="53"/>
  <c r="J217" i="53"/>
  <c r="K216" i="53"/>
  <c r="J216" i="53"/>
  <c r="K215" i="53"/>
  <c r="J215" i="53"/>
  <c r="K214" i="53"/>
  <c r="J214" i="53"/>
  <c r="K213" i="53"/>
  <c r="J213" i="53"/>
  <c r="K212" i="53"/>
  <c r="J212" i="53"/>
  <c r="K211" i="53"/>
  <c r="J211" i="53"/>
  <c r="K210" i="53"/>
  <c r="J210" i="53"/>
  <c r="K209" i="53"/>
  <c r="J209" i="53"/>
  <c r="K208" i="53"/>
  <c r="J208" i="53"/>
  <c r="K207" i="53"/>
  <c r="J207" i="53"/>
  <c r="K206" i="53"/>
  <c r="J206" i="53"/>
  <c r="K205" i="53"/>
  <c r="J205" i="53"/>
  <c r="K204" i="53"/>
  <c r="J204" i="53"/>
  <c r="K203" i="53"/>
  <c r="J203" i="53"/>
  <c r="K202" i="53"/>
  <c r="J202" i="53"/>
  <c r="K201" i="53"/>
  <c r="J201" i="53"/>
  <c r="K200" i="53"/>
  <c r="J200" i="53"/>
  <c r="K199" i="53"/>
  <c r="J199" i="53"/>
  <c r="K198" i="53"/>
  <c r="J198" i="53"/>
  <c r="K197" i="53"/>
  <c r="J197" i="53"/>
  <c r="K196" i="53"/>
  <c r="J196" i="53"/>
  <c r="K195" i="53"/>
  <c r="J195" i="53"/>
  <c r="K194" i="53"/>
  <c r="J194" i="53"/>
  <c r="K193" i="53"/>
  <c r="J193" i="53"/>
  <c r="K192" i="53"/>
  <c r="J192" i="53"/>
  <c r="K191" i="53"/>
  <c r="J191" i="53"/>
  <c r="K190" i="53"/>
  <c r="J190" i="53"/>
  <c r="K189" i="53"/>
  <c r="J189" i="53"/>
  <c r="K188" i="53"/>
  <c r="J188" i="53"/>
  <c r="K187" i="53"/>
  <c r="J187" i="53"/>
  <c r="K186" i="53"/>
  <c r="J186" i="53"/>
  <c r="K185" i="53"/>
  <c r="J185" i="53"/>
  <c r="K184" i="53"/>
  <c r="J184" i="53"/>
  <c r="K183" i="53"/>
  <c r="J183" i="53"/>
  <c r="K182" i="53"/>
  <c r="J182" i="53"/>
  <c r="K181" i="53"/>
  <c r="J181" i="53"/>
  <c r="K180" i="53"/>
  <c r="J180" i="53"/>
  <c r="K179" i="53"/>
  <c r="J179" i="53"/>
  <c r="K178" i="53"/>
  <c r="J178" i="53"/>
  <c r="K177" i="53"/>
  <c r="J177" i="53"/>
  <c r="K176" i="53"/>
  <c r="J176" i="53"/>
  <c r="K175" i="53"/>
  <c r="J175" i="53"/>
  <c r="K174" i="53"/>
  <c r="J174" i="53"/>
  <c r="K173" i="53"/>
  <c r="J173" i="53"/>
  <c r="K172" i="53"/>
  <c r="J172" i="53"/>
  <c r="K171" i="53"/>
  <c r="J171" i="53"/>
  <c r="K170" i="53"/>
  <c r="J170" i="53"/>
  <c r="K169" i="53"/>
  <c r="J169" i="53"/>
  <c r="K168" i="53"/>
  <c r="J168" i="53"/>
  <c r="K167" i="53"/>
  <c r="J167" i="53"/>
  <c r="K166" i="53"/>
  <c r="J166" i="53"/>
  <c r="K165" i="53"/>
  <c r="J165" i="53"/>
  <c r="K164" i="53"/>
  <c r="J164" i="53"/>
  <c r="K163" i="53"/>
  <c r="J163" i="53"/>
  <c r="K162" i="53"/>
  <c r="J162" i="53"/>
  <c r="K161" i="53"/>
  <c r="J161" i="53"/>
  <c r="K160" i="53"/>
  <c r="J160" i="53"/>
  <c r="K159" i="53"/>
  <c r="J159" i="53"/>
  <c r="K158" i="53"/>
  <c r="J158" i="53"/>
  <c r="K157" i="53"/>
  <c r="J157" i="53"/>
  <c r="K156" i="53"/>
  <c r="J156" i="53"/>
  <c r="K155" i="53"/>
  <c r="J155" i="53"/>
  <c r="K154" i="53"/>
  <c r="J154" i="53"/>
  <c r="K153" i="53"/>
  <c r="J153" i="53"/>
  <c r="K152" i="53"/>
  <c r="J152" i="53"/>
  <c r="K151" i="53"/>
  <c r="J151" i="53"/>
  <c r="K150" i="53"/>
  <c r="J150" i="53"/>
  <c r="K149" i="53"/>
  <c r="J149" i="53"/>
  <c r="K148" i="53"/>
  <c r="J148" i="53"/>
  <c r="K147" i="53"/>
  <c r="J147" i="53"/>
  <c r="K146" i="53"/>
  <c r="J146" i="53"/>
  <c r="K145" i="53"/>
  <c r="J145" i="53"/>
  <c r="K144" i="53"/>
  <c r="J144" i="53"/>
  <c r="K143" i="53"/>
  <c r="J143" i="53"/>
  <c r="K142" i="53"/>
  <c r="J142" i="53"/>
  <c r="K141" i="53"/>
  <c r="J141" i="53"/>
  <c r="K140" i="53"/>
  <c r="J140" i="53"/>
  <c r="K139" i="53"/>
  <c r="J139" i="53"/>
  <c r="K138" i="53"/>
  <c r="J138" i="53"/>
  <c r="K137" i="53"/>
  <c r="J137" i="53"/>
  <c r="K136" i="53"/>
  <c r="J136" i="53"/>
  <c r="K135" i="53"/>
  <c r="J135" i="53"/>
  <c r="K134" i="53"/>
  <c r="J134" i="53"/>
  <c r="K133" i="53"/>
  <c r="J133" i="53"/>
  <c r="K132" i="53"/>
  <c r="J132" i="53"/>
  <c r="K131" i="53"/>
  <c r="J131" i="53"/>
  <c r="K130" i="53"/>
  <c r="J130" i="53"/>
  <c r="K129" i="53"/>
  <c r="J129" i="53"/>
  <c r="K128" i="53"/>
  <c r="J128" i="53"/>
  <c r="K127" i="53"/>
  <c r="J127" i="53"/>
  <c r="K126" i="53"/>
  <c r="J126" i="53"/>
  <c r="K125" i="53"/>
  <c r="J125" i="53"/>
  <c r="K124" i="53"/>
  <c r="J124" i="53"/>
  <c r="K123" i="53"/>
  <c r="J123" i="53"/>
  <c r="K122" i="53"/>
  <c r="J122" i="53"/>
  <c r="K121" i="53"/>
  <c r="J121" i="53"/>
  <c r="K120" i="53"/>
  <c r="J120" i="53"/>
  <c r="K119" i="53"/>
  <c r="J119" i="53"/>
  <c r="K118" i="53"/>
  <c r="J118" i="53"/>
  <c r="K117" i="53"/>
  <c r="J117" i="53"/>
  <c r="K116" i="53"/>
  <c r="J116" i="53"/>
  <c r="K115" i="53"/>
  <c r="J115" i="53"/>
  <c r="K114" i="53"/>
  <c r="J114" i="53"/>
  <c r="K113" i="53"/>
  <c r="J113" i="53"/>
  <c r="K112" i="53"/>
  <c r="J112" i="53"/>
  <c r="K111" i="53"/>
  <c r="J111" i="53"/>
  <c r="K110" i="53"/>
  <c r="J110" i="53"/>
  <c r="K109" i="53"/>
  <c r="J109" i="53"/>
  <c r="K108" i="53"/>
  <c r="J108" i="53"/>
  <c r="K107" i="53"/>
  <c r="J107" i="53"/>
  <c r="K106" i="53"/>
  <c r="J106" i="53"/>
  <c r="K105" i="53"/>
  <c r="J105" i="53"/>
  <c r="K104" i="53"/>
  <c r="J104" i="53"/>
  <c r="K103" i="53"/>
  <c r="J103" i="53"/>
  <c r="K102" i="53"/>
  <c r="J102" i="53"/>
  <c r="K101" i="53"/>
  <c r="J101" i="53"/>
  <c r="K100" i="53"/>
  <c r="J100" i="53"/>
  <c r="K99" i="53"/>
  <c r="J99" i="53"/>
  <c r="K98" i="53"/>
  <c r="J98" i="53"/>
  <c r="K97" i="53"/>
  <c r="J97" i="53"/>
  <c r="K96" i="53"/>
  <c r="J96" i="53"/>
  <c r="K95" i="53"/>
  <c r="J95" i="53"/>
  <c r="K94" i="53"/>
  <c r="J94" i="53"/>
  <c r="K93" i="53"/>
  <c r="J93" i="53"/>
  <c r="K92" i="53"/>
  <c r="J92" i="53"/>
  <c r="K91" i="53"/>
  <c r="J91" i="53"/>
  <c r="K90" i="53"/>
  <c r="J90" i="53"/>
  <c r="K89" i="53"/>
  <c r="J89" i="53"/>
  <c r="K88" i="53"/>
  <c r="J88" i="53"/>
  <c r="K87" i="53"/>
  <c r="J87" i="53"/>
  <c r="K86" i="53"/>
  <c r="J86" i="53"/>
  <c r="K85" i="53"/>
  <c r="J85" i="53"/>
  <c r="K84" i="53"/>
  <c r="J84" i="53"/>
  <c r="K83" i="53"/>
  <c r="J83" i="53"/>
  <c r="K82" i="53"/>
  <c r="J82" i="53"/>
  <c r="K81" i="53"/>
  <c r="J81" i="53"/>
  <c r="K80" i="53"/>
  <c r="J80" i="53"/>
  <c r="K79" i="53"/>
  <c r="J79" i="53"/>
  <c r="K78" i="53"/>
  <c r="J78" i="53"/>
  <c r="K77" i="53"/>
  <c r="J77" i="53"/>
  <c r="K76" i="53"/>
  <c r="J76" i="53"/>
  <c r="K75" i="53"/>
  <c r="J75" i="53"/>
  <c r="K74" i="53"/>
  <c r="J74" i="53"/>
  <c r="K73" i="53"/>
  <c r="J73" i="53"/>
  <c r="K72" i="53"/>
  <c r="J72" i="53"/>
  <c r="K71" i="53"/>
  <c r="J71" i="53"/>
  <c r="K70" i="53"/>
  <c r="J70" i="53"/>
  <c r="K69" i="53"/>
  <c r="J69" i="53"/>
  <c r="K68" i="53"/>
  <c r="J68" i="53"/>
  <c r="K67" i="53"/>
  <c r="J67" i="53"/>
  <c r="K66" i="53"/>
  <c r="J66" i="53"/>
  <c r="K65" i="53"/>
  <c r="J65" i="53"/>
  <c r="K64" i="53"/>
  <c r="J64" i="53"/>
  <c r="K63" i="53"/>
  <c r="J63" i="53"/>
  <c r="K62" i="53"/>
  <c r="J62" i="53"/>
  <c r="K61" i="53"/>
  <c r="J61" i="53"/>
  <c r="K60" i="53"/>
  <c r="J60" i="53"/>
  <c r="K59" i="53"/>
  <c r="J59" i="53"/>
  <c r="K58" i="53"/>
  <c r="J58" i="53"/>
  <c r="K57" i="53"/>
  <c r="J57" i="53"/>
  <c r="K56" i="53"/>
  <c r="J56" i="53"/>
  <c r="K55" i="53"/>
  <c r="J55" i="53"/>
  <c r="K54" i="53"/>
  <c r="J54" i="53"/>
  <c r="K53" i="53"/>
  <c r="J53" i="53"/>
  <c r="K52" i="53"/>
  <c r="J52" i="53"/>
  <c r="K51" i="53"/>
  <c r="J51" i="53"/>
  <c r="K50" i="53"/>
  <c r="J50" i="53"/>
  <c r="K49" i="53"/>
  <c r="J49" i="53"/>
  <c r="K48" i="53"/>
  <c r="J48" i="53"/>
  <c r="K47" i="53"/>
  <c r="J47" i="53"/>
  <c r="K46" i="53"/>
  <c r="J46" i="53"/>
  <c r="K45" i="53"/>
  <c r="J45" i="53"/>
  <c r="K44" i="53"/>
  <c r="J44" i="53"/>
  <c r="K43" i="53"/>
  <c r="J43" i="53"/>
  <c r="K42" i="53"/>
  <c r="J42" i="53"/>
  <c r="K41" i="53"/>
  <c r="J41" i="53"/>
  <c r="K40" i="53"/>
  <c r="J40" i="53"/>
  <c r="K39" i="53"/>
  <c r="J39" i="53"/>
  <c r="K38" i="53"/>
  <c r="J38" i="53"/>
  <c r="K37" i="53"/>
  <c r="J37" i="53"/>
  <c r="K36" i="53"/>
  <c r="J36" i="53"/>
  <c r="K35" i="53"/>
  <c r="J35" i="53"/>
  <c r="K34" i="53"/>
  <c r="J34" i="53"/>
  <c r="K33" i="53"/>
  <c r="J33" i="53"/>
  <c r="K32" i="53"/>
  <c r="J32" i="53"/>
  <c r="K31" i="53"/>
  <c r="J31" i="53"/>
  <c r="K30" i="53"/>
  <c r="J30" i="53"/>
  <c r="K29" i="53"/>
  <c r="J29" i="53"/>
  <c r="K28" i="53"/>
  <c r="J28" i="53"/>
  <c r="K27" i="53"/>
  <c r="J27" i="53"/>
  <c r="K26" i="53"/>
  <c r="J26" i="53"/>
  <c r="K25" i="53"/>
  <c r="J25" i="53"/>
  <c r="K24" i="53"/>
  <c r="J24" i="53"/>
  <c r="K23" i="53"/>
  <c r="J23" i="53"/>
  <c r="K22" i="53"/>
  <c r="J22" i="53"/>
  <c r="K21" i="53"/>
  <c r="J21" i="53"/>
  <c r="K20" i="53"/>
  <c r="J20" i="53"/>
  <c r="K19" i="53"/>
  <c r="J19" i="53"/>
  <c r="K18" i="53"/>
  <c r="J18" i="53"/>
  <c r="K17" i="53"/>
  <c r="J17" i="53"/>
  <c r="K16" i="53"/>
  <c r="J16" i="53"/>
  <c r="K15" i="53"/>
  <c r="J15" i="53"/>
  <c r="K14" i="53"/>
  <c r="J14" i="53"/>
  <c r="K13" i="53"/>
  <c r="J13" i="53"/>
  <c r="K12" i="53"/>
  <c r="J12" i="53"/>
  <c r="K11" i="53"/>
  <c r="J11" i="53"/>
  <c r="K10" i="53"/>
  <c r="J10" i="53"/>
  <c r="K9" i="53"/>
  <c r="J9" i="53"/>
  <c r="K8" i="53"/>
  <c r="J8" i="53"/>
  <c r="K7" i="53"/>
  <c r="J7" i="53"/>
  <c r="K6" i="53"/>
  <c r="J6" i="53"/>
  <c r="K3" i="53"/>
  <c r="I3" i="53"/>
  <c r="H3" i="53"/>
  <c r="K487" i="52"/>
  <c r="J487" i="52"/>
  <c r="K486" i="52"/>
  <c r="J486" i="52"/>
  <c r="K485" i="52"/>
  <c r="J485" i="52"/>
  <c r="K484" i="52"/>
  <c r="J484" i="52"/>
  <c r="K483" i="52"/>
  <c r="J483" i="52"/>
  <c r="K482" i="52"/>
  <c r="J482" i="52"/>
  <c r="K481" i="52"/>
  <c r="J481" i="52"/>
  <c r="K480" i="52"/>
  <c r="J480" i="52"/>
  <c r="K479" i="52"/>
  <c r="J479" i="52"/>
  <c r="K478" i="52"/>
  <c r="J478" i="52"/>
  <c r="K477" i="52"/>
  <c r="J477" i="52"/>
  <c r="K476" i="52"/>
  <c r="J476" i="52"/>
  <c r="K475" i="52"/>
  <c r="J475" i="52"/>
  <c r="K474" i="52"/>
  <c r="J474" i="52"/>
  <c r="K473" i="52"/>
  <c r="J473" i="52"/>
  <c r="K472" i="52"/>
  <c r="J472" i="52"/>
  <c r="K471" i="52"/>
  <c r="J471" i="52"/>
  <c r="K470" i="52"/>
  <c r="J470" i="52"/>
  <c r="K469" i="52"/>
  <c r="J469" i="52"/>
  <c r="K468" i="52"/>
  <c r="J468" i="52"/>
  <c r="K467" i="52"/>
  <c r="J467" i="52"/>
  <c r="K466" i="52"/>
  <c r="J466" i="52"/>
  <c r="K465" i="52"/>
  <c r="J465" i="52"/>
  <c r="K464" i="52"/>
  <c r="J464" i="52"/>
  <c r="K463" i="52"/>
  <c r="J463" i="52"/>
  <c r="K462" i="52"/>
  <c r="J462" i="52"/>
  <c r="K461" i="52"/>
  <c r="J461" i="52"/>
  <c r="K460" i="52"/>
  <c r="J460" i="52"/>
  <c r="K459" i="52"/>
  <c r="J459" i="52"/>
  <c r="K458" i="52"/>
  <c r="J458" i="52"/>
  <c r="K457" i="52"/>
  <c r="J457" i="52"/>
  <c r="K456" i="52"/>
  <c r="J456" i="52"/>
  <c r="K455" i="52"/>
  <c r="J455" i="52"/>
  <c r="K454" i="52"/>
  <c r="J454" i="52"/>
  <c r="K453" i="52"/>
  <c r="J453" i="52"/>
  <c r="K452" i="52"/>
  <c r="J452" i="52"/>
  <c r="K451" i="52"/>
  <c r="J451" i="52"/>
  <c r="K450" i="52"/>
  <c r="J450" i="52"/>
  <c r="K449" i="52"/>
  <c r="J449" i="52"/>
  <c r="K448" i="52"/>
  <c r="J448" i="52"/>
  <c r="K447" i="52"/>
  <c r="J447" i="52"/>
  <c r="K446" i="52"/>
  <c r="J446" i="52"/>
  <c r="K445" i="52"/>
  <c r="J445" i="52"/>
  <c r="K444" i="52"/>
  <c r="J444" i="52"/>
  <c r="K443" i="52"/>
  <c r="J443" i="52"/>
  <c r="K442" i="52"/>
  <c r="J442" i="52"/>
  <c r="K441" i="52"/>
  <c r="J441" i="52"/>
  <c r="K440" i="52"/>
  <c r="J440" i="52"/>
  <c r="K439" i="52"/>
  <c r="J439" i="52"/>
  <c r="K438" i="52"/>
  <c r="J438" i="52"/>
  <c r="K437" i="52"/>
  <c r="J437" i="52"/>
  <c r="K436" i="52"/>
  <c r="J436" i="52"/>
  <c r="K435" i="52"/>
  <c r="J435" i="52"/>
  <c r="K434" i="52"/>
  <c r="J434" i="52"/>
  <c r="K433" i="52"/>
  <c r="J433" i="52"/>
  <c r="K432" i="52"/>
  <c r="J432" i="52"/>
  <c r="K431" i="52"/>
  <c r="J431" i="52"/>
  <c r="K430" i="52"/>
  <c r="J430" i="52"/>
  <c r="K429" i="52"/>
  <c r="J429" i="52"/>
  <c r="K428" i="52"/>
  <c r="J428" i="52"/>
  <c r="K427" i="52"/>
  <c r="J427" i="52"/>
  <c r="K426" i="52"/>
  <c r="J426" i="52"/>
  <c r="K425" i="52"/>
  <c r="J425" i="52"/>
  <c r="K424" i="52"/>
  <c r="J424" i="52"/>
  <c r="K423" i="52"/>
  <c r="J423" i="52"/>
  <c r="K422" i="52"/>
  <c r="J422" i="52"/>
  <c r="K421" i="52"/>
  <c r="J421" i="52"/>
  <c r="K420" i="52"/>
  <c r="J420" i="52"/>
  <c r="K419" i="52"/>
  <c r="J419" i="52"/>
  <c r="K418" i="52"/>
  <c r="J418" i="52"/>
  <c r="K417" i="52"/>
  <c r="J417" i="52"/>
  <c r="K416" i="52"/>
  <c r="J416" i="52"/>
  <c r="K415" i="52"/>
  <c r="J415" i="52"/>
  <c r="K414" i="52"/>
  <c r="J414" i="52"/>
  <c r="K413" i="52"/>
  <c r="J413" i="52"/>
  <c r="K412" i="52"/>
  <c r="J412" i="52"/>
  <c r="K411" i="52"/>
  <c r="J411" i="52"/>
  <c r="K410" i="52"/>
  <c r="J410" i="52"/>
  <c r="K409" i="52"/>
  <c r="J409" i="52"/>
  <c r="K408" i="52"/>
  <c r="J408" i="52"/>
  <c r="K407" i="52"/>
  <c r="J407" i="52"/>
  <c r="K406" i="52"/>
  <c r="J406" i="52"/>
  <c r="K405" i="52"/>
  <c r="J405" i="52"/>
  <c r="K404" i="52"/>
  <c r="J404" i="52"/>
  <c r="K403" i="52"/>
  <c r="J403" i="52"/>
  <c r="K402" i="52"/>
  <c r="J402" i="52"/>
  <c r="K401" i="52"/>
  <c r="J401" i="52"/>
  <c r="K400" i="52"/>
  <c r="J400" i="52"/>
  <c r="K399" i="52"/>
  <c r="J399" i="52"/>
  <c r="K398" i="52"/>
  <c r="J398" i="52"/>
  <c r="K397" i="52"/>
  <c r="J397" i="52"/>
  <c r="K396" i="52"/>
  <c r="J396" i="52"/>
  <c r="K395" i="52"/>
  <c r="J395" i="52"/>
  <c r="K394" i="52"/>
  <c r="J394" i="52"/>
  <c r="K393" i="52"/>
  <c r="J393" i="52"/>
  <c r="K392" i="52"/>
  <c r="J392" i="52"/>
  <c r="K391" i="52"/>
  <c r="J391" i="52"/>
  <c r="K390" i="52"/>
  <c r="J390" i="52"/>
  <c r="K389" i="52"/>
  <c r="J389" i="52"/>
  <c r="K388" i="52"/>
  <c r="J388" i="52"/>
  <c r="K387" i="52"/>
  <c r="J387" i="52"/>
  <c r="K386" i="52"/>
  <c r="J386" i="52"/>
  <c r="K385" i="52"/>
  <c r="J385" i="52"/>
  <c r="K384" i="52"/>
  <c r="J384" i="52"/>
  <c r="K383" i="52"/>
  <c r="J383" i="52"/>
  <c r="K382" i="52"/>
  <c r="J382" i="52"/>
  <c r="K381" i="52"/>
  <c r="J381" i="52"/>
  <c r="K380" i="52"/>
  <c r="J380" i="52"/>
  <c r="K379" i="52"/>
  <c r="J379" i="52"/>
  <c r="K378" i="52"/>
  <c r="J378" i="52"/>
  <c r="K377" i="52"/>
  <c r="J377" i="52"/>
  <c r="K376" i="52"/>
  <c r="J376" i="52"/>
  <c r="K375" i="52"/>
  <c r="J375" i="52"/>
  <c r="K374" i="52"/>
  <c r="J374" i="52"/>
  <c r="K373" i="52"/>
  <c r="J373" i="52"/>
  <c r="K372" i="52"/>
  <c r="J372" i="52"/>
  <c r="K371" i="52"/>
  <c r="J371" i="52"/>
  <c r="K370" i="52"/>
  <c r="J370" i="52"/>
  <c r="K369" i="52"/>
  <c r="J369" i="52"/>
  <c r="K368" i="52"/>
  <c r="J368" i="52"/>
  <c r="K367" i="52"/>
  <c r="J367" i="52"/>
  <c r="K366" i="52"/>
  <c r="J366" i="52"/>
  <c r="K365" i="52"/>
  <c r="J365" i="52"/>
  <c r="K364" i="52"/>
  <c r="J364" i="52"/>
  <c r="K363" i="52"/>
  <c r="J363" i="52"/>
  <c r="K362" i="52"/>
  <c r="J362" i="52"/>
  <c r="K361" i="52"/>
  <c r="J361" i="52"/>
  <c r="K360" i="52"/>
  <c r="J360" i="52"/>
  <c r="K359" i="52"/>
  <c r="J359" i="52"/>
  <c r="K358" i="52"/>
  <c r="J358" i="52"/>
  <c r="K357" i="52"/>
  <c r="J357" i="52"/>
  <c r="K356" i="52"/>
  <c r="J356" i="52"/>
  <c r="K355" i="52"/>
  <c r="J355" i="52"/>
  <c r="K354" i="52"/>
  <c r="J354" i="52"/>
  <c r="K353" i="52"/>
  <c r="J353" i="52"/>
  <c r="K352" i="52"/>
  <c r="J352" i="52"/>
  <c r="K351" i="52"/>
  <c r="J351" i="52"/>
  <c r="K350" i="52"/>
  <c r="J350" i="52"/>
  <c r="K349" i="52"/>
  <c r="J349" i="52"/>
  <c r="K348" i="52"/>
  <c r="J348" i="52"/>
  <c r="K347" i="52"/>
  <c r="J347" i="52"/>
  <c r="K346" i="52"/>
  <c r="J346" i="52"/>
  <c r="K345" i="52"/>
  <c r="J345" i="52"/>
  <c r="K344" i="52"/>
  <c r="J344" i="52"/>
  <c r="K343" i="52"/>
  <c r="J343" i="52"/>
  <c r="K342" i="52"/>
  <c r="J342" i="52"/>
  <c r="K341" i="52"/>
  <c r="J341" i="52"/>
  <c r="K340" i="52"/>
  <c r="J340" i="52"/>
  <c r="K339" i="52"/>
  <c r="J339" i="52"/>
  <c r="K338" i="52"/>
  <c r="J338" i="52"/>
  <c r="K337" i="52"/>
  <c r="J337" i="52"/>
  <c r="K336" i="52"/>
  <c r="J336" i="52"/>
  <c r="K335" i="52"/>
  <c r="J335" i="52"/>
  <c r="K334" i="52"/>
  <c r="J334" i="52"/>
  <c r="K333" i="52"/>
  <c r="J333" i="52"/>
  <c r="K332" i="52"/>
  <c r="J332" i="52"/>
  <c r="K331" i="52"/>
  <c r="J331" i="52"/>
  <c r="K330" i="52"/>
  <c r="J330" i="52"/>
  <c r="K329" i="52"/>
  <c r="J329" i="52"/>
  <c r="K328" i="52"/>
  <c r="J328" i="52"/>
  <c r="K327" i="52"/>
  <c r="J327" i="52"/>
  <c r="K326" i="52"/>
  <c r="J326" i="52"/>
  <c r="K325" i="52"/>
  <c r="J325" i="52"/>
  <c r="K324" i="52"/>
  <c r="J324" i="52"/>
  <c r="K323" i="52"/>
  <c r="J323" i="52"/>
  <c r="K322" i="52"/>
  <c r="J322" i="52"/>
  <c r="K321" i="52"/>
  <c r="J321" i="52"/>
  <c r="K320" i="52"/>
  <c r="J320" i="52"/>
  <c r="K319" i="52"/>
  <c r="J319" i="52"/>
  <c r="K318" i="52"/>
  <c r="J318" i="52"/>
  <c r="K317" i="52"/>
  <c r="J317" i="52"/>
  <c r="K316" i="52"/>
  <c r="J316" i="52"/>
  <c r="K315" i="52"/>
  <c r="J315" i="52"/>
  <c r="K314" i="52"/>
  <c r="J314" i="52"/>
  <c r="K313" i="52"/>
  <c r="J313" i="52"/>
  <c r="K312" i="52"/>
  <c r="J312" i="52"/>
  <c r="K311" i="52"/>
  <c r="J311" i="52"/>
  <c r="K310" i="52"/>
  <c r="J310" i="52"/>
  <c r="K309" i="52"/>
  <c r="J309" i="52"/>
  <c r="K308" i="52"/>
  <c r="J308" i="52"/>
  <c r="K307" i="52"/>
  <c r="J307" i="52"/>
  <c r="K306" i="52"/>
  <c r="J306" i="52"/>
  <c r="K305" i="52"/>
  <c r="J305" i="52"/>
  <c r="K304" i="52"/>
  <c r="J304" i="52"/>
  <c r="K303" i="52"/>
  <c r="J303" i="52"/>
  <c r="K302" i="52"/>
  <c r="J302" i="52"/>
  <c r="K301" i="52"/>
  <c r="J301" i="52"/>
  <c r="K300" i="52"/>
  <c r="J300" i="52"/>
  <c r="K299" i="52"/>
  <c r="J299" i="52"/>
  <c r="K298" i="52"/>
  <c r="J298" i="52"/>
  <c r="K297" i="52"/>
  <c r="J297" i="52"/>
  <c r="K296" i="52"/>
  <c r="J296" i="52"/>
  <c r="K295" i="52"/>
  <c r="J295" i="52"/>
  <c r="K294" i="52"/>
  <c r="J294" i="52"/>
  <c r="K293" i="52"/>
  <c r="J293" i="52"/>
  <c r="K292" i="52"/>
  <c r="J292" i="52"/>
  <c r="K291" i="52"/>
  <c r="J291" i="52"/>
  <c r="K290" i="52"/>
  <c r="J290" i="52"/>
  <c r="K289" i="52"/>
  <c r="J289" i="52"/>
  <c r="K288" i="52"/>
  <c r="J288" i="52"/>
  <c r="K287" i="52"/>
  <c r="J287" i="52"/>
  <c r="K286" i="52"/>
  <c r="J286" i="52"/>
  <c r="K285" i="52"/>
  <c r="J285" i="52"/>
  <c r="K284" i="52"/>
  <c r="J284" i="52"/>
  <c r="K283" i="52"/>
  <c r="J283" i="52"/>
  <c r="K282" i="52"/>
  <c r="J282" i="52"/>
  <c r="K281" i="52"/>
  <c r="J281" i="52"/>
  <c r="K280" i="52"/>
  <c r="J280" i="52"/>
  <c r="K279" i="52"/>
  <c r="J279" i="52"/>
  <c r="K278" i="52"/>
  <c r="J278" i="52"/>
  <c r="K277" i="52"/>
  <c r="J277" i="52"/>
  <c r="K276" i="52"/>
  <c r="J276" i="52"/>
  <c r="K275" i="52"/>
  <c r="J275" i="52"/>
  <c r="K274" i="52"/>
  <c r="J274" i="52"/>
  <c r="K273" i="52"/>
  <c r="J273" i="52"/>
  <c r="K272" i="52"/>
  <c r="J272" i="52"/>
  <c r="K271" i="52"/>
  <c r="J271" i="52"/>
  <c r="K270" i="52"/>
  <c r="J270" i="52"/>
  <c r="K269" i="52"/>
  <c r="J269" i="52"/>
  <c r="K268" i="52"/>
  <c r="J268" i="52"/>
  <c r="K267" i="52"/>
  <c r="J267" i="52"/>
  <c r="K266" i="52"/>
  <c r="J266" i="52"/>
  <c r="K265" i="52"/>
  <c r="J265" i="52"/>
  <c r="K264" i="52"/>
  <c r="J264" i="52"/>
  <c r="K263" i="52"/>
  <c r="J263" i="52"/>
  <c r="K262" i="52"/>
  <c r="J262" i="52"/>
  <c r="K261" i="52"/>
  <c r="J261" i="52"/>
  <c r="K260" i="52"/>
  <c r="J260" i="52"/>
  <c r="K259" i="52"/>
  <c r="J259" i="52"/>
  <c r="K258" i="52"/>
  <c r="J258" i="52"/>
  <c r="K257" i="52"/>
  <c r="J257" i="52"/>
  <c r="K256" i="52"/>
  <c r="J256" i="52"/>
  <c r="K255" i="52"/>
  <c r="J255" i="52"/>
  <c r="K254" i="52"/>
  <c r="J254" i="52"/>
  <c r="K253" i="52"/>
  <c r="J253" i="52"/>
  <c r="K252" i="52"/>
  <c r="J252" i="52"/>
  <c r="K251" i="52"/>
  <c r="J251" i="52"/>
  <c r="K250" i="52"/>
  <c r="J250" i="52"/>
  <c r="K249" i="52"/>
  <c r="J249" i="52"/>
  <c r="K248" i="52"/>
  <c r="J248" i="52"/>
  <c r="K247" i="52"/>
  <c r="J247" i="52"/>
  <c r="K246" i="52"/>
  <c r="J246" i="52"/>
  <c r="K245" i="52"/>
  <c r="J245" i="52"/>
  <c r="K244" i="52"/>
  <c r="J244" i="52"/>
  <c r="K243" i="52"/>
  <c r="J243" i="52"/>
  <c r="K242" i="52"/>
  <c r="J242" i="52"/>
  <c r="K241" i="52"/>
  <c r="J241" i="52"/>
  <c r="K240" i="52"/>
  <c r="J240" i="52"/>
  <c r="K239" i="52"/>
  <c r="J239" i="52"/>
  <c r="K238" i="52"/>
  <c r="J238" i="52"/>
  <c r="K237" i="52"/>
  <c r="J237" i="52"/>
  <c r="K236" i="52"/>
  <c r="J236" i="52"/>
  <c r="K235" i="52"/>
  <c r="J235" i="52"/>
  <c r="K234" i="52"/>
  <c r="J234" i="52"/>
  <c r="K233" i="52"/>
  <c r="J233" i="52"/>
  <c r="K232" i="52"/>
  <c r="J232" i="52"/>
  <c r="K231" i="52"/>
  <c r="J231" i="52"/>
  <c r="K230" i="52"/>
  <c r="J230" i="52"/>
  <c r="K229" i="52"/>
  <c r="J229" i="52"/>
  <c r="K228" i="52"/>
  <c r="J228" i="52"/>
  <c r="K227" i="52"/>
  <c r="J227" i="52"/>
  <c r="K226" i="52"/>
  <c r="J226" i="52"/>
  <c r="K225" i="52"/>
  <c r="J225" i="52"/>
  <c r="K224" i="52"/>
  <c r="J224" i="52"/>
  <c r="K223" i="52"/>
  <c r="J223" i="52"/>
  <c r="K222" i="52"/>
  <c r="J222" i="52"/>
  <c r="K221" i="52"/>
  <c r="J221" i="52"/>
  <c r="K220" i="52"/>
  <c r="J220" i="52"/>
  <c r="K219" i="52"/>
  <c r="J219" i="52"/>
  <c r="K218" i="52"/>
  <c r="J218" i="52"/>
  <c r="K217" i="52"/>
  <c r="J217" i="52"/>
  <c r="K216" i="52"/>
  <c r="J216" i="52"/>
  <c r="K215" i="52"/>
  <c r="J215" i="52"/>
  <c r="K214" i="52"/>
  <c r="J214" i="52"/>
  <c r="K213" i="52"/>
  <c r="J213" i="52"/>
  <c r="K212" i="52"/>
  <c r="J212" i="52"/>
  <c r="K211" i="52"/>
  <c r="J211" i="52"/>
  <c r="K210" i="52"/>
  <c r="J210" i="52"/>
  <c r="K209" i="52"/>
  <c r="J209" i="52"/>
  <c r="K208" i="52"/>
  <c r="J208" i="52"/>
  <c r="K207" i="52"/>
  <c r="J207" i="52"/>
  <c r="K206" i="52"/>
  <c r="J206" i="52"/>
  <c r="K205" i="52"/>
  <c r="J205" i="52"/>
  <c r="K204" i="52"/>
  <c r="J204" i="52"/>
  <c r="K203" i="52"/>
  <c r="J203" i="52"/>
  <c r="K202" i="52"/>
  <c r="J202" i="52"/>
  <c r="K201" i="52"/>
  <c r="J201" i="52"/>
  <c r="K200" i="52"/>
  <c r="J200" i="52"/>
  <c r="K199" i="52"/>
  <c r="J199" i="52"/>
  <c r="K198" i="52"/>
  <c r="J198" i="52"/>
  <c r="K197" i="52"/>
  <c r="J197" i="52"/>
  <c r="K196" i="52"/>
  <c r="J196" i="52"/>
  <c r="K195" i="52"/>
  <c r="J195" i="52"/>
  <c r="K194" i="52"/>
  <c r="J194" i="52"/>
  <c r="K193" i="52"/>
  <c r="J193" i="52"/>
  <c r="K192" i="52"/>
  <c r="J192" i="52"/>
  <c r="K191" i="52"/>
  <c r="J191" i="52"/>
  <c r="K190" i="52"/>
  <c r="J190" i="52"/>
  <c r="K189" i="52"/>
  <c r="J189" i="52"/>
  <c r="K188" i="52"/>
  <c r="J188" i="52"/>
  <c r="K187" i="52"/>
  <c r="J187" i="52"/>
  <c r="K186" i="52"/>
  <c r="J186" i="52"/>
  <c r="K185" i="52"/>
  <c r="J185" i="52"/>
  <c r="K184" i="52"/>
  <c r="J184" i="52"/>
  <c r="K183" i="52"/>
  <c r="J183" i="52"/>
  <c r="K182" i="52"/>
  <c r="J182" i="52"/>
  <c r="K181" i="52"/>
  <c r="J181" i="52"/>
  <c r="K180" i="52"/>
  <c r="J180" i="52"/>
  <c r="K179" i="52"/>
  <c r="J179" i="52"/>
  <c r="K178" i="52"/>
  <c r="J178" i="52"/>
  <c r="K177" i="52"/>
  <c r="J177" i="52"/>
  <c r="K176" i="52"/>
  <c r="J176" i="52"/>
  <c r="K175" i="52"/>
  <c r="J175" i="52"/>
  <c r="K174" i="52"/>
  <c r="J174" i="52"/>
  <c r="K173" i="52"/>
  <c r="J173" i="52"/>
  <c r="K172" i="52"/>
  <c r="J172" i="52"/>
  <c r="K171" i="52"/>
  <c r="J171" i="52"/>
  <c r="K170" i="52"/>
  <c r="J170" i="52"/>
  <c r="K169" i="52"/>
  <c r="J169" i="52"/>
  <c r="K168" i="52"/>
  <c r="J168" i="52"/>
  <c r="K167" i="52"/>
  <c r="J167" i="52"/>
  <c r="K166" i="52"/>
  <c r="J166" i="52"/>
  <c r="K165" i="52"/>
  <c r="J165" i="52"/>
  <c r="K164" i="52"/>
  <c r="J164" i="52"/>
  <c r="K163" i="52"/>
  <c r="J163" i="52"/>
  <c r="K162" i="52"/>
  <c r="J162" i="52"/>
  <c r="K161" i="52"/>
  <c r="J161" i="52"/>
  <c r="K160" i="52"/>
  <c r="J160" i="52"/>
  <c r="K159" i="52"/>
  <c r="J159" i="52"/>
  <c r="K158" i="52"/>
  <c r="J158" i="52"/>
  <c r="K157" i="52"/>
  <c r="J157" i="52"/>
  <c r="K156" i="52"/>
  <c r="J156" i="52"/>
  <c r="K155" i="52"/>
  <c r="J155" i="52"/>
  <c r="K154" i="52"/>
  <c r="J154" i="52"/>
  <c r="K153" i="52"/>
  <c r="J153" i="52"/>
  <c r="K152" i="52"/>
  <c r="J152" i="52"/>
  <c r="K151" i="52"/>
  <c r="J151" i="52"/>
  <c r="K150" i="52"/>
  <c r="J150" i="52"/>
  <c r="K149" i="52"/>
  <c r="J149" i="52"/>
  <c r="K148" i="52"/>
  <c r="J148" i="52"/>
  <c r="K147" i="52"/>
  <c r="J147" i="52"/>
  <c r="K146" i="52"/>
  <c r="J146" i="52"/>
  <c r="K145" i="52"/>
  <c r="J145" i="52"/>
  <c r="K144" i="52"/>
  <c r="J144" i="52"/>
  <c r="K143" i="52"/>
  <c r="J143" i="52"/>
  <c r="K142" i="52"/>
  <c r="J142" i="52"/>
  <c r="K141" i="52"/>
  <c r="J141" i="52"/>
  <c r="K140" i="52"/>
  <c r="J140" i="52"/>
  <c r="K139" i="52"/>
  <c r="J139" i="52"/>
  <c r="K138" i="52"/>
  <c r="J138" i="52"/>
  <c r="K137" i="52"/>
  <c r="J137" i="52"/>
  <c r="K136" i="52"/>
  <c r="J136" i="52"/>
  <c r="K135" i="52"/>
  <c r="J135" i="52"/>
  <c r="K134" i="52"/>
  <c r="J134" i="52"/>
  <c r="K133" i="52"/>
  <c r="J133" i="52"/>
  <c r="K132" i="52"/>
  <c r="J132" i="52"/>
  <c r="K131" i="52"/>
  <c r="J131" i="52"/>
  <c r="K130" i="52"/>
  <c r="J130" i="52"/>
  <c r="K129" i="52"/>
  <c r="J129" i="52"/>
  <c r="K128" i="52"/>
  <c r="J128" i="52"/>
  <c r="K127" i="52"/>
  <c r="J127" i="52"/>
  <c r="K126" i="52"/>
  <c r="J126" i="52"/>
  <c r="K125" i="52"/>
  <c r="J125" i="52"/>
  <c r="K124" i="52"/>
  <c r="J124" i="52"/>
  <c r="K123" i="52"/>
  <c r="J123" i="52"/>
  <c r="K122" i="52"/>
  <c r="J122" i="52"/>
  <c r="K121" i="52"/>
  <c r="J121" i="52"/>
  <c r="K120" i="52"/>
  <c r="J120" i="52"/>
  <c r="K119" i="52"/>
  <c r="J119" i="52"/>
  <c r="K118" i="52"/>
  <c r="J118" i="52"/>
  <c r="K117" i="52"/>
  <c r="J117" i="52"/>
  <c r="K116" i="52"/>
  <c r="J116" i="52"/>
  <c r="K115" i="52"/>
  <c r="J115" i="52"/>
  <c r="K114" i="52"/>
  <c r="J114" i="52"/>
  <c r="K113" i="52"/>
  <c r="J113" i="52"/>
  <c r="K112" i="52"/>
  <c r="J112" i="52"/>
  <c r="K111" i="52"/>
  <c r="J111" i="52"/>
  <c r="K110" i="52"/>
  <c r="J110" i="52"/>
  <c r="K109" i="52"/>
  <c r="J109" i="52"/>
  <c r="K108" i="52"/>
  <c r="J108" i="52"/>
  <c r="K107" i="52"/>
  <c r="J107" i="52"/>
  <c r="K106" i="52"/>
  <c r="J106" i="52"/>
  <c r="K105" i="52"/>
  <c r="J105" i="52"/>
  <c r="K104" i="52"/>
  <c r="J104" i="52"/>
  <c r="K103" i="52"/>
  <c r="J103" i="52"/>
  <c r="K102" i="52"/>
  <c r="J102" i="52"/>
  <c r="K101" i="52"/>
  <c r="J101" i="52"/>
  <c r="K100" i="52"/>
  <c r="J100" i="52"/>
  <c r="K99" i="52"/>
  <c r="J99" i="52"/>
  <c r="K98" i="52"/>
  <c r="J98" i="52"/>
  <c r="K97" i="52"/>
  <c r="J97" i="52"/>
  <c r="K96" i="52"/>
  <c r="J96" i="52"/>
  <c r="K95" i="52"/>
  <c r="J95" i="52"/>
  <c r="K94" i="52"/>
  <c r="J94" i="52"/>
  <c r="K93" i="52"/>
  <c r="J93" i="52"/>
  <c r="K92" i="52"/>
  <c r="J92" i="52"/>
  <c r="K91" i="52"/>
  <c r="J91" i="52"/>
  <c r="K90" i="52"/>
  <c r="J90" i="52"/>
  <c r="K89" i="52"/>
  <c r="J89" i="52"/>
  <c r="K88" i="52"/>
  <c r="J88" i="52"/>
  <c r="K87" i="52"/>
  <c r="J87" i="52"/>
  <c r="K86" i="52"/>
  <c r="J86" i="52"/>
  <c r="K85" i="52"/>
  <c r="J85" i="52"/>
  <c r="K84" i="52"/>
  <c r="J84" i="52"/>
  <c r="K83" i="52"/>
  <c r="J83" i="52"/>
  <c r="K82" i="52"/>
  <c r="J82" i="52"/>
  <c r="K81" i="52"/>
  <c r="J81" i="52"/>
  <c r="K80" i="52"/>
  <c r="J80" i="52"/>
  <c r="K79" i="52"/>
  <c r="J79" i="52"/>
  <c r="K78" i="52"/>
  <c r="J78" i="52"/>
  <c r="K77" i="52"/>
  <c r="J77" i="52"/>
  <c r="K76" i="52"/>
  <c r="J76" i="52"/>
  <c r="K75" i="52"/>
  <c r="J75" i="52"/>
  <c r="K74" i="52"/>
  <c r="J74" i="52"/>
  <c r="K73" i="52"/>
  <c r="J73" i="52"/>
  <c r="K72" i="52"/>
  <c r="J72" i="52"/>
  <c r="K71" i="52"/>
  <c r="J71" i="52"/>
  <c r="K70" i="52"/>
  <c r="J70" i="52"/>
  <c r="K69" i="52"/>
  <c r="J69" i="52"/>
  <c r="K68" i="52"/>
  <c r="J68" i="52"/>
  <c r="K67" i="52"/>
  <c r="J67" i="52"/>
  <c r="K66" i="52"/>
  <c r="J66" i="52"/>
  <c r="K65" i="52"/>
  <c r="J65" i="52"/>
  <c r="K64" i="52"/>
  <c r="J64" i="52"/>
  <c r="K63" i="52"/>
  <c r="J63" i="52"/>
  <c r="K62" i="52"/>
  <c r="J62" i="52"/>
  <c r="K61" i="52"/>
  <c r="J61" i="52"/>
  <c r="K60" i="52"/>
  <c r="J60" i="52"/>
  <c r="K59" i="52"/>
  <c r="J59" i="52"/>
  <c r="K58" i="52"/>
  <c r="J58" i="52"/>
  <c r="K57" i="52"/>
  <c r="J57" i="52"/>
  <c r="K56" i="52"/>
  <c r="J56" i="52"/>
  <c r="K55" i="52"/>
  <c r="J55" i="52"/>
  <c r="K54" i="52"/>
  <c r="J54" i="52"/>
  <c r="K53" i="52"/>
  <c r="J53" i="52"/>
  <c r="K52" i="52"/>
  <c r="J52" i="52"/>
  <c r="K51" i="52"/>
  <c r="J51" i="52"/>
  <c r="K50" i="52"/>
  <c r="J50" i="52"/>
  <c r="K49" i="52"/>
  <c r="J49" i="52"/>
  <c r="K48" i="52"/>
  <c r="J48" i="52"/>
  <c r="K47" i="52"/>
  <c r="J47" i="52"/>
  <c r="K46" i="52"/>
  <c r="J46" i="52"/>
  <c r="K45" i="52"/>
  <c r="J45" i="52"/>
  <c r="K44" i="52"/>
  <c r="J44" i="52"/>
  <c r="K43" i="52"/>
  <c r="J43" i="52"/>
  <c r="K42" i="52"/>
  <c r="J42" i="52"/>
  <c r="K41" i="52"/>
  <c r="J41" i="52"/>
  <c r="K40" i="52"/>
  <c r="J40" i="52"/>
  <c r="K39" i="52"/>
  <c r="J39" i="52"/>
  <c r="K38" i="52"/>
  <c r="J38" i="52"/>
  <c r="K37" i="52"/>
  <c r="J37" i="52"/>
  <c r="K36" i="52"/>
  <c r="J36" i="52"/>
  <c r="K35" i="52"/>
  <c r="J35" i="52"/>
  <c r="K34" i="52"/>
  <c r="J34" i="52"/>
  <c r="K33" i="52"/>
  <c r="J33" i="52"/>
  <c r="K32" i="52"/>
  <c r="J32" i="52"/>
  <c r="K31" i="52"/>
  <c r="J31" i="52"/>
  <c r="K30" i="52"/>
  <c r="J30" i="52"/>
  <c r="K29" i="52"/>
  <c r="J29" i="52"/>
  <c r="K28" i="52"/>
  <c r="J28" i="52"/>
  <c r="K27" i="52"/>
  <c r="J27" i="52"/>
  <c r="K26" i="52"/>
  <c r="J26" i="52"/>
  <c r="K25" i="52"/>
  <c r="J25" i="52"/>
  <c r="K24" i="52"/>
  <c r="J24" i="52"/>
  <c r="K23" i="52"/>
  <c r="J23" i="52"/>
  <c r="K22" i="52"/>
  <c r="J22" i="52"/>
  <c r="K21" i="52"/>
  <c r="J21" i="52"/>
  <c r="K20" i="52"/>
  <c r="J20" i="52"/>
  <c r="K19" i="52"/>
  <c r="J19" i="52"/>
  <c r="K18" i="52"/>
  <c r="J18" i="52"/>
  <c r="K17" i="52"/>
  <c r="J17" i="52"/>
  <c r="K16" i="52"/>
  <c r="K15" i="52"/>
  <c r="K14" i="52"/>
  <c r="K13" i="52"/>
  <c r="K12" i="52"/>
  <c r="K11" i="52"/>
  <c r="K10" i="52"/>
  <c r="K9" i="52"/>
  <c r="K8" i="52"/>
  <c r="K7" i="52"/>
  <c r="K6" i="52"/>
  <c r="K3" i="52"/>
  <c r="I3" i="52"/>
  <c r="H3" i="52"/>
  <c r="K496" i="47"/>
  <c r="J496" i="47"/>
  <c r="K495" i="47"/>
  <c r="J495" i="47"/>
  <c r="K494" i="47"/>
  <c r="J494" i="47"/>
  <c r="K493" i="47"/>
  <c r="J493" i="47"/>
  <c r="K492" i="47"/>
  <c r="J492" i="47"/>
  <c r="K491" i="47"/>
  <c r="J491" i="47"/>
  <c r="K490" i="47"/>
  <c r="J490" i="47"/>
  <c r="K489" i="47"/>
  <c r="J489" i="47"/>
  <c r="K488" i="47"/>
  <c r="J488" i="47"/>
  <c r="K487" i="47"/>
  <c r="J487" i="47"/>
  <c r="K486" i="47"/>
  <c r="J486" i="47"/>
  <c r="K485" i="47"/>
  <c r="J485" i="47"/>
  <c r="K484" i="47"/>
  <c r="J484" i="47"/>
  <c r="K483" i="47"/>
  <c r="J483" i="47"/>
  <c r="K482" i="47"/>
  <c r="J482" i="47"/>
  <c r="K481" i="47"/>
  <c r="J481" i="47"/>
  <c r="K480" i="47"/>
  <c r="J480" i="47"/>
  <c r="K479" i="47"/>
  <c r="J479" i="47"/>
  <c r="K478" i="47"/>
  <c r="J478" i="47"/>
  <c r="K477" i="47"/>
  <c r="J477" i="47"/>
  <c r="K476" i="47"/>
  <c r="J476" i="47"/>
  <c r="K475" i="47"/>
  <c r="J475" i="47"/>
  <c r="K474" i="47"/>
  <c r="J474" i="47"/>
  <c r="K473" i="47"/>
  <c r="J473" i="47"/>
  <c r="K472" i="47"/>
  <c r="J472" i="47"/>
  <c r="K471" i="47"/>
  <c r="J471" i="47"/>
  <c r="K470" i="47"/>
  <c r="J470" i="47"/>
  <c r="K469" i="47"/>
  <c r="J469" i="47"/>
  <c r="K468" i="47"/>
  <c r="J468" i="47"/>
  <c r="K467" i="47"/>
  <c r="J467" i="47"/>
  <c r="K466" i="47"/>
  <c r="J466" i="47"/>
  <c r="K465" i="47"/>
  <c r="J465" i="47"/>
  <c r="K464" i="47"/>
  <c r="J464" i="47"/>
  <c r="K463" i="47"/>
  <c r="J463" i="47"/>
  <c r="K462" i="47"/>
  <c r="J462" i="47"/>
  <c r="K461" i="47"/>
  <c r="J461" i="47"/>
  <c r="K460" i="47"/>
  <c r="J460" i="47"/>
  <c r="K459" i="47"/>
  <c r="J459" i="47"/>
  <c r="K458" i="47"/>
  <c r="J458" i="47"/>
  <c r="K457" i="47"/>
  <c r="J457" i="47"/>
  <c r="K456" i="47"/>
  <c r="J456" i="47"/>
  <c r="K455" i="47"/>
  <c r="J455" i="47"/>
  <c r="K454" i="47"/>
  <c r="J454" i="47"/>
  <c r="K453" i="47"/>
  <c r="J453" i="47"/>
  <c r="K452" i="47"/>
  <c r="J452" i="47"/>
  <c r="K451" i="47"/>
  <c r="J451" i="47"/>
  <c r="K450" i="47"/>
  <c r="J450" i="47"/>
  <c r="K449" i="47"/>
  <c r="J449" i="47"/>
  <c r="K448" i="47"/>
  <c r="J448" i="47"/>
  <c r="K447" i="47"/>
  <c r="J447" i="47"/>
  <c r="K446" i="47"/>
  <c r="J446" i="47"/>
  <c r="K445" i="47"/>
  <c r="J445" i="47"/>
  <c r="K444" i="47"/>
  <c r="J444" i="47"/>
  <c r="K443" i="47"/>
  <c r="J443" i="47"/>
  <c r="K442" i="47"/>
  <c r="J442" i="47"/>
  <c r="K441" i="47"/>
  <c r="J441" i="47"/>
  <c r="K440" i="47"/>
  <c r="J440" i="47"/>
  <c r="K439" i="47"/>
  <c r="J439" i="47"/>
  <c r="K438" i="47"/>
  <c r="J438" i="47"/>
  <c r="K437" i="47"/>
  <c r="J437" i="47"/>
  <c r="K436" i="47"/>
  <c r="J436" i="47"/>
  <c r="K435" i="47"/>
  <c r="J435" i="47"/>
  <c r="K434" i="47"/>
  <c r="J434" i="47"/>
  <c r="K433" i="47"/>
  <c r="J433" i="47"/>
  <c r="K432" i="47"/>
  <c r="J432" i="47"/>
  <c r="K431" i="47"/>
  <c r="J431" i="47"/>
  <c r="K430" i="47"/>
  <c r="J430" i="47"/>
  <c r="K429" i="47"/>
  <c r="J429" i="47"/>
  <c r="K428" i="47"/>
  <c r="J428" i="47"/>
  <c r="K427" i="47"/>
  <c r="J427" i="47"/>
  <c r="K426" i="47"/>
  <c r="J426" i="47"/>
  <c r="K425" i="47"/>
  <c r="J425" i="47"/>
  <c r="K424" i="47"/>
  <c r="J424" i="47"/>
  <c r="K423" i="47"/>
  <c r="J423" i="47"/>
  <c r="K422" i="47"/>
  <c r="J422" i="47"/>
  <c r="K421" i="47"/>
  <c r="J421" i="47"/>
  <c r="K420" i="47"/>
  <c r="J420" i="47"/>
  <c r="K419" i="47"/>
  <c r="J419" i="47"/>
  <c r="K418" i="47"/>
  <c r="J418" i="47"/>
  <c r="K417" i="47"/>
  <c r="J417" i="47"/>
  <c r="K416" i="47"/>
  <c r="J416" i="47"/>
  <c r="K415" i="47"/>
  <c r="J415" i="47"/>
  <c r="K414" i="47"/>
  <c r="J414" i="47"/>
  <c r="K413" i="47"/>
  <c r="J413" i="47"/>
  <c r="K412" i="47"/>
  <c r="J412" i="47"/>
  <c r="K411" i="47"/>
  <c r="J411" i="47"/>
  <c r="K410" i="47"/>
  <c r="J410" i="47"/>
  <c r="K409" i="47"/>
  <c r="J409" i="47"/>
  <c r="K408" i="47"/>
  <c r="J408" i="47"/>
  <c r="K407" i="47"/>
  <c r="J407" i="47"/>
  <c r="K406" i="47"/>
  <c r="J406" i="47"/>
  <c r="K405" i="47"/>
  <c r="J405" i="47"/>
  <c r="K404" i="47"/>
  <c r="J404" i="47"/>
  <c r="K403" i="47"/>
  <c r="J403" i="47"/>
  <c r="K402" i="47"/>
  <c r="J402" i="47"/>
  <c r="K401" i="47"/>
  <c r="J401" i="47"/>
  <c r="K400" i="47"/>
  <c r="J400" i="47"/>
  <c r="K399" i="47"/>
  <c r="J399" i="47"/>
  <c r="K398" i="47"/>
  <c r="J398" i="47"/>
  <c r="K397" i="47"/>
  <c r="J397" i="47"/>
  <c r="K396" i="47"/>
  <c r="J396" i="47"/>
  <c r="K395" i="47"/>
  <c r="J395" i="47"/>
  <c r="K394" i="47"/>
  <c r="J394" i="47"/>
  <c r="K393" i="47"/>
  <c r="J393" i="47"/>
  <c r="K392" i="47"/>
  <c r="J392" i="47"/>
  <c r="K391" i="47"/>
  <c r="J391" i="47"/>
  <c r="K390" i="47"/>
  <c r="J390" i="47"/>
  <c r="K389" i="47"/>
  <c r="J389" i="47"/>
  <c r="K388" i="47"/>
  <c r="J388" i="47"/>
  <c r="K387" i="47"/>
  <c r="J387" i="47"/>
  <c r="K386" i="47"/>
  <c r="J386" i="47"/>
  <c r="K385" i="47"/>
  <c r="J385" i="47"/>
  <c r="K384" i="47"/>
  <c r="J384" i="47"/>
  <c r="K383" i="47"/>
  <c r="J383" i="47"/>
  <c r="K382" i="47"/>
  <c r="J382" i="47"/>
  <c r="K381" i="47"/>
  <c r="J381" i="47"/>
  <c r="K380" i="47"/>
  <c r="J380" i="47"/>
  <c r="K379" i="47"/>
  <c r="J379" i="47"/>
  <c r="K378" i="47"/>
  <c r="J378" i="47"/>
  <c r="K377" i="47"/>
  <c r="J377" i="47"/>
  <c r="K376" i="47"/>
  <c r="J376" i="47"/>
  <c r="K375" i="47"/>
  <c r="J375" i="47"/>
  <c r="K374" i="47"/>
  <c r="J374" i="47"/>
  <c r="K373" i="47"/>
  <c r="J373" i="47"/>
  <c r="K372" i="47"/>
  <c r="J372" i="47"/>
  <c r="K371" i="47"/>
  <c r="J371" i="47"/>
  <c r="K370" i="47"/>
  <c r="J370" i="47"/>
  <c r="K369" i="47"/>
  <c r="J369" i="47"/>
  <c r="K368" i="47"/>
  <c r="J368" i="47"/>
  <c r="K367" i="47"/>
  <c r="J367" i="47"/>
  <c r="K366" i="47"/>
  <c r="J366" i="47"/>
  <c r="K365" i="47"/>
  <c r="J365" i="47"/>
  <c r="K364" i="47"/>
  <c r="J364" i="47"/>
  <c r="K363" i="47"/>
  <c r="J363" i="47"/>
  <c r="K362" i="47"/>
  <c r="J362" i="47"/>
  <c r="K361" i="47"/>
  <c r="J361" i="47"/>
  <c r="K360" i="47"/>
  <c r="J360" i="47"/>
  <c r="K359" i="47"/>
  <c r="J359" i="47"/>
  <c r="K358" i="47"/>
  <c r="J358" i="47"/>
  <c r="K357" i="47"/>
  <c r="J357" i="47"/>
  <c r="K356" i="47"/>
  <c r="J356" i="47"/>
  <c r="K355" i="47"/>
  <c r="J355" i="47"/>
  <c r="K354" i="47"/>
  <c r="J354" i="47"/>
  <c r="K353" i="47"/>
  <c r="J353" i="47"/>
  <c r="K352" i="47"/>
  <c r="J352" i="47"/>
  <c r="K351" i="47"/>
  <c r="J351" i="47"/>
  <c r="K350" i="47"/>
  <c r="J350" i="47"/>
  <c r="K349" i="47"/>
  <c r="J349" i="47"/>
  <c r="K348" i="47"/>
  <c r="J348" i="47"/>
  <c r="K347" i="47"/>
  <c r="J347" i="47"/>
  <c r="K346" i="47"/>
  <c r="J346" i="47"/>
  <c r="K345" i="47"/>
  <c r="J345" i="47"/>
  <c r="K344" i="47"/>
  <c r="J344" i="47"/>
  <c r="K343" i="47"/>
  <c r="J343" i="47"/>
  <c r="K342" i="47"/>
  <c r="J342" i="47"/>
  <c r="K341" i="47"/>
  <c r="J341" i="47"/>
  <c r="K340" i="47"/>
  <c r="J340" i="47"/>
  <c r="K339" i="47"/>
  <c r="J339" i="47"/>
  <c r="K338" i="47"/>
  <c r="J338" i="47"/>
  <c r="K337" i="47"/>
  <c r="J337" i="47"/>
  <c r="K336" i="47"/>
  <c r="J336" i="47"/>
  <c r="K335" i="47"/>
  <c r="J335" i="47"/>
  <c r="K334" i="47"/>
  <c r="J334" i="47"/>
  <c r="K333" i="47"/>
  <c r="J333" i="47"/>
  <c r="K332" i="47"/>
  <c r="J332" i="47"/>
  <c r="K331" i="47"/>
  <c r="J331" i="47"/>
  <c r="K330" i="47"/>
  <c r="J330" i="47"/>
  <c r="K329" i="47"/>
  <c r="J329" i="47"/>
  <c r="K328" i="47"/>
  <c r="J328" i="47"/>
  <c r="K327" i="47"/>
  <c r="J327" i="47"/>
  <c r="K326" i="47"/>
  <c r="J326" i="47"/>
  <c r="K325" i="47"/>
  <c r="J325" i="47"/>
  <c r="K324" i="47"/>
  <c r="J324" i="47"/>
  <c r="K323" i="47"/>
  <c r="J323" i="47"/>
  <c r="K322" i="47"/>
  <c r="J322" i="47"/>
  <c r="K321" i="47"/>
  <c r="J321" i="47"/>
  <c r="K320" i="47"/>
  <c r="J320" i="47"/>
  <c r="K319" i="47"/>
  <c r="J319" i="47"/>
  <c r="K318" i="47"/>
  <c r="J318" i="47"/>
  <c r="K317" i="47"/>
  <c r="J317" i="47"/>
  <c r="K316" i="47"/>
  <c r="J316" i="47"/>
  <c r="K315" i="47"/>
  <c r="J315" i="47"/>
  <c r="K314" i="47"/>
  <c r="J314" i="47"/>
  <c r="K313" i="47"/>
  <c r="J313" i="47"/>
  <c r="K312" i="47"/>
  <c r="J312" i="47"/>
  <c r="K311" i="47"/>
  <c r="J311" i="47"/>
  <c r="K310" i="47"/>
  <c r="J310" i="47"/>
  <c r="K309" i="47"/>
  <c r="J309" i="47"/>
  <c r="K308" i="47"/>
  <c r="J308" i="47"/>
  <c r="K307" i="47"/>
  <c r="J307" i="47"/>
  <c r="K306" i="47"/>
  <c r="J306" i="47"/>
  <c r="K305" i="47"/>
  <c r="J305" i="47"/>
  <c r="K304" i="47"/>
  <c r="J304" i="47"/>
  <c r="K303" i="47"/>
  <c r="J303" i="47"/>
  <c r="K302" i="47"/>
  <c r="J302" i="47"/>
  <c r="K301" i="47"/>
  <c r="J301" i="47"/>
  <c r="K300" i="47"/>
  <c r="J300" i="47"/>
  <c r="K299" i="47"/>
  <c r="J299" i="47"/>
  <c r="K298" i="47"/>
  <c r="J298" i="47"/>
  <c r="K297" i="47"/>
  <c r="J297" i="47"/>
  <c r="K296" i="47"/>
  <c r="J296" i="47"/>
  <c r="K295" i="47"/>
  <c r="J295" i="47"/>
  <c r="K294" i="47"/>
  <c r="J294" i="47"/>
  <c r="K293" i="47"/>
  <c r="J293" i="47"/>
  <c r="K292" i="47"/>
  <c r="J292" i="47"/>
  <c r="K291" i="47"/>
  <c r="J291" i="47"/>
  <c r="K290" i="47"/>
  <c r="J290" i="47"/>
  <c r="K289" i="47"/>
  <c r="J289" i="47"/>
  <c r="K288" i="47"/>
  <c r="J288" i="47"/>
  <c r="K287" i="47"/>
  <c r="J287" i="47"/>
  <c r="K286" i="47"/>
  <c r="J286" i="47"/>
  <c r="K285" i="47"/>
  <c r="J285" i="47"/>
  <c r="K284" i="47"/>
  <c r="J284" i="47"/>
  <c r="K283" i="47"/>
  <c r="J283" i="47"/>
  <c r="K282" i="47"/>
  <c r="J282" i="47"/>
  <c r="K281" i="47"/>
  <c r="J281" i="47"/>
  <c r="K280" i="47"/>
  <c r="J280" i="47"/>
  <c r="K279" i="47"/>
  <c r="J279" i="47"/>
  <c r="K278" i="47"/>
  <c r="J278" i="47"/>
  <c r="K277" i="47"/>
  <c r="J277" i="47"/>
  <c r="K276" i="47"/>
  <c r="J276" i="47"/>
  <c r="K275" i="47"/>
  <c r="J275" i="47"/>
  <c r="K274" i="47"/>
  <c r="J274" i="47"/>
  <c r="K273" i="47"/>
  <c r="J273" i="47"/>
  <c r="K272" i="47"/>
  <c r="J272" i="47"/>
  <c r="K271" i="47"/>
  <c r="J271" i="47"/>
  <c r="K270" i="47"/>
  <c r="J270" i="47"/>
  <c r="K269" i="47"/>
  <c r="J269" i="47"/>
  <c r="K268" i="47"/>
  <c r="J268" i="47"/>
  <c r="K267" i="47"/>
  <c r="J267" i="47"/>
  <c r="K266" i="47"/>
  <c r="J266" i="47"/>
  <c r="K265" i="47"/>
  <c r="J265" i="47"/>
  <c r="K264" i="47"/>
  <c r="J264" i="47"/>
  <c r="K263" i="47"/>
  <c r="J263" i="47"/>
  <c r="K262" i="47"/>
  <c r="J262" i="47"/>
  <c r="K261" i="47"/>
  <c r="J261" i="47"/>
  <c r="K260" i="47"/>
  <c r="J260" i="47"/>
  <c r="K259" i="47"/>
  <c r="J259" i="47"/>
  <c r="K258" i="47"/>
  <c r="J258" i="47"/>
  <c r="K257" i="47"/>
  <c r="J257" i="47"/>
  <c r="K256" i="47"/>
  <c r="J256" i="47"/>
  <c r="K255" i="47"/>
  <c r="J255" i="47"/>
  <c r="K254" i="47"/>
  <c r="J254" i="47"/>
  <c r="K253" i="47"/>
  <c r="J253" i="47"/>
  <c r="K252" i="47"/>
  <c r="J252" i="47"/>
  <c r="K251" i="47"/>
  <c r="J251" i="47"/>
  <c r="K250" i="47"/>
  <c r="J250" i="47"/>
  <c r="K249" i="47"/>
  <c r="J249" i="47"/>
  <c r="K248" i="47"/>
  <c r="J248" i="47"/>
  <c r="K247" i="47"/>
  <c r="J247" i="47"/>
  <c r="K246" i="47"/>
  <c r="J246" i="47"/>
  <c r="K245" i="47"/>
  <c r="J245" i="47"/>
  <c r="K244" i="47"/>
  <c r="J244" i="47"/>
  <c r="K243" i="47"/>
  <c r="J243" i="47"/>
  <c r="K242" i="47"/>
  <c r="J242" i="47"/>
  <c r="K241" i="47"/>
  <c r="J241" i="47"/>
  <c r="K240" i="47"/>
  <c r="J240" i="47"/>
  <c r="K239" i="47"/>
  <c r="J239" i="47"/>
  <c r="K238" i="47"/>
  <c r="J238" i="47"/>
  <c r="K237" i="47"/>
  <c r="J237" i="47"/>
  <c r="K236" i="47"/>
  <c r="J236" i="47"/>
  <c r="K235" i="47"/>
  <c r="J235" i="47"/>
  <c r="K234" i="47"/>
  <c r="J234" i="47"/>
  <c r="K233" i="47"/>
  <c r="J233" i="47"/>
  <c r="K232" i="47"/>
  <c r="J232" i="47"/>
  <c r="K231" i="47"/>
  <c r="J231" i="47"/>
  <c r="K230" i="47"/>
  <c r="J230" i="47"/>
  <c r="K229" i="47"/>
  <c r="J229" i="47"/>
  <c r="K228" i="47"/>
  <c r="J228" i="47"/>
  <c r="K227" i="47"/>
  <c r="J227" i="47"/>
  <c r="K226" i="47"/>
  <c r="J226" i="47"/>
  <c r="K225" i="47"/>
  <c r="J225" i="47"/>
  <c r="K224" i="47"/>
  <c r="J224" i="47"/>
  <c r="K223" i="47"/>
  <c r="J223" i="47"/>
  <c r="K222" i="47"/>
  <c r="J222" i="47"/>
  <c r="K221" i="47"/>
  <c r="J221" i="47"/>
  <c r="K220" i="47"/>
  <c r="J220" i="47"/>
  <c r="K219" i="47"/>
  <c r="J219" i="47"/>
  <c r="K218" i="47"/>
  <c r="J218" i="47"/>
  <c r="K217" i="47"/>
  <c r="J217" i="47"/>
  <c r="K216" i="47"/>
  <c r="J216" i="47"/>
  <c r="K215" i="47"/>
  <c r="J215" i="47"/>
  <c r="K214" i="47"/>
  <c r="J214" i="47"/>
  <c r="K213" i="47"/>
  <c r="J213" i="47"/>
  <c r="K212" i="47"/>
  <c r="J212" i="47"/>
  <c r="K211" i="47"/>
  <c r="J211" i="47"/>
  <c r="K210" i="47"/>
  <c r="J210" i="47"/>
  <c r="K209" i="47"/>
  <c r="J209" i="47"/>
  <c r="K208" i="47"/>
  <c r="J208" i="47"/>
  <c r="K207" i="47"/>
  <c r="J207" i="47"/>
  <c r="K206" i="47"/>
  <c r="J206" i="47"/>
  <c r="K205" i="47"/>
  <c r="J205" i="47"/>
  <c r="K204" i="47"/>
  <c r="J204" i="47"/>
  <c r="K203" i="47"/>
  <c r="J203" i="47"/>
  <c r="K202" i="47"/>
  <c r="J202" i="47"/>
  <c r="K201" i="47"/>
  <c r="J201" i="47"/>
  <c r="K200" i="47"/>
  <c r="J200" i="47"/>
  <c r="K199" i="47"/>
  <c r="J199" i="47"/>
  <c r="K198" i="47"/>
  <c r="J198" i="47"/>
  <c r="K197" i="47"/>
  <c r="J197" i="47"/>
  <c r="K196" i="47"/>
  <c r="J196" i="47"/>
  <c r="K195" i="47"/>
  <c r="J195" i="47"/>
  <c r="K194" i="47"/>
  <c r="J194" i="47"/>
  <c r="K193" i="47"/>
  <c r="J193" i="47"/>
  <c r="K192" i="47"/>
  <c r="J192" i="47"/>
  <c r="K191" i="47"/>
  <c r="J191" i="47"/>
  <c r="K190" i="47"/>
  <c r="J190" i="47"/>
  <c r="K189" i="47"/>
  <c r="J189" i="47"/>
  <c r="K188" i="47"/>
  <c r="J188" i="47"/>
  <c r="K187" i="47"/>
  <c r="J187" i="47"/>
  <c r="K186" i="47"/>
  <c r="J186" i="47"/>
  <c r="K185" i="47"/>
  <c r="J185" i="47"/>
  <c r="K184" i="47"/>
  <c r="J184" i="47"/>
  <c r="K183" i="47"/>
  <c r="J183" i="47"/>
  <c r="K182" i="47"/>
  <c r="J182" i="47"/>
  <c r="K181" i="47"/>
  <c r="J181" i="47"/>
  <c r="K180" i="47"/>
  <c r="J180" i="47"/>
  <c r="K179" i="47"/>
  <c r="J179" i="47"/>
  <c r="K178" i="47"/>
  <c r="J178" i="47"/>
  <c r="K177" i="47"/>
  <c r="J177" i="47"/>
  <c r="K176" i="47"/>
  <c r="J176" i="47"/>
  <c r="K175" i="47"/>
  <c r="J175" i="47"/>
  <c r="K174" i="47"/>
  <c r="J174" i="47"/>
  <c r="K173" i="47"/>
  <c r="J173" i="47"/>
  <c r="K172" i="47"/>
  <c r="J172" i="47"/>
  <c r="K171" i="47"/>
  <c r="J171" i="47"/>
  <c r="K170" i="47"/>
  <c r="J170" i="47"/>
  <c r="K169" i="47"/>
  <c r="J169" i="47"/>
  <c r="K168" i="47"/>
  <c r="J168" i="47"/>
  <c r="K167" i="47"/>
  <c r="J167" i="47"/>
  <c r="K166" i="47"/>
  <c r="J166" i="47"/>
  <c r="K165" i="47"/>
  <c r="J165" i="47"/>
  <c r="K164" i="47"/>
  <c r="J164" i="47"/>
  <c r="K163" i="47"/>
  <c r="J163" i="47"/>
  <c r="K162" i="47"/>
  <c r="J162" i="47"/>
  <c r="K161" i="47"/>
  <c r="J161" i="47"/>
  <c r="K160" i="47"/>
  <c r="J160" i="47"/>
  <c r="K159" i="47"/>
  <c r="J159" i="47"/>
  <c r="K158" i="47"/>
  <c r="J158" i="47"/>
  <c r="K157" i="47"/>
  <c r="J157" i="47"/>
  <c r="K156" i="47"/>
  <c r="J156" i="47"/>
  <c r="K155" i="47"/>
  <c r="J155" i="47"/>
  <c r="K154" i="47"/>
  <c r="J154" i="47"/>
  <c r="K153" i="47"/>
  <c r="J153" i="47"/>
  <c r="K152" i="47"/>
  <c r="J152" i="47"/>
  <c r="K151" i="47"/>
  <c r="J151" i="47"/>
  <c r="K150" i="47"/>
  <c r="J150" i="47"/>
  <c r="K149" i="47"/>
  <c r="J149" i="47"/>
  <c r="K148" i="47"/>
  <c r="J148" i="47"/>
  <c r="K147" i="47"/>
  <c r="J147" i="47"/>
  <c r="K146" i="47"/>
  <c r="J146" i="47"/>
  <c r="K145" i="47"/>
  <c r="J145" i="47"/>
  <c r="K144" i="47"/>
  <c r="J144" i="47"/>
  <c r="K143" i="47"/>
  <c r="J143" i="47"/>
  <c r="K142" i="47"/>
  <c r="J142" i="47"/>
  <c r="K141" i="47"/>
  <c r="J141" i="47"/>
  <c r="K140" i="47"/>
  <c r="J140" i="47"/>
  <c r="K139" i="47"/>
  <c r="J139" i="47"/>
  <c r="K138" i="47"/>
  <c r="J138" i="47"/>
  <c r="K137" i="47"/>
  <c r="J137" i="47"/>
  <c r="K136" i="47"/>
  <c r="J136" i="47"/>
  <c r="K135" i="47"/>
  <c r="J135" i="47"/>
  <c r="K134" i="47"/>
  <c r="J134" i="47"/>
  <c r="K133" i="47"/>
  <c r="J133" i="47"/>
  <c r="K132" i="47"/>
  <c r="J132" i="47"/>
  <c r="K131" i="47"/>
  <c r="J131" i="47"/>
  <c r="K130" i="47"/>
  <c r="J130" i="47"/>
  <c r="K129" i="47"/>
  <c r="J129" i="47"/>
  <c r="K128" i="47"/>
  <c r="J128" i="47"/>
  <c r="K127" i="47"/>
  <c r="J127" i="47"/>
  <c r="K126" i="47"/>
  <c r="J126" i="47"/>
  <c r="K125" i="47"/>
  <c r="J125" i="47"/>
  <c r="K124" i="47"/>
  <c r="J124" i="47"/>
  <c r="K123" i="47"/>
  <c r="J123" i="47"/>
  <c r="K122" i="47"/>
  <c r="J122" i="47"/>
  <c r="K121" i="47"/>
  <c r="J121" i="47"/>
  <c r="K120" i="47"/>
  <c r="J120" i="47"/>
  <c r="K119" i="47"/>
  <c r="J119" i="47"/>
  <c r="K118" i="47"/>
  <c r="J118" i="47"/>
  <c r="K117" i="47"/>
  <c r="J117" i="47"/>
  <c r="K116" i="47"/>
  <c r="J116" i="47"/>
  <c r="K115" i="47"/>
  <c r="J115" i="47"/>
  <c r="K114" i="47"/>
  <c r="J114" i="47"/>
  <c r="K113" i="47"/>
  <c r="J113" i="47"/>
  <c r="K112" i="47"/>
  <c r="J112" i="47"/>
  <c r="K111" i="47"/>
  <c r="J111" i="47"/>
  <c r="K110" i="47"/>
  <c r="J110" i="47"/>
  <c r="K109" i="47"/>
  <c r="J109" i="47"/>
  <c r="K108" i="47"/>
  <c r="J108" i="47"/>
  <c r="K107" i="47"/>
  <c r="J107" i="47"/>
  <c r="K106" i="47"/>
  <c r="J106" i="47"/>
  <c r="K105" i="47"/>
  <c r="J105" i="47"/>
  <c r="K104" i="47"/>
  <c r="J104" i="47"/>
  <c r="K103" i="47"/>
  <c r="J103" i="47"/>
  <c r="K102" i="47"/>
  <c r="J102" i="47"/>
  <c r="K101" i="47"/>
  <c r="J101" i="47"/>
  <c r="K100" i="47"/>
  <c r="J100" i="47"/>
  <c r="K99" i="47"/>
  <c r="J99" i="47"/>
  <c r="K98" i="47"/>
  <c r="J98" i="47"/>
  <c r="K97" i="47"/>
  <c r="J97" i="47"/>
  <c r="K96" i="47"/>
  <c r="J96" i="47"/>
  <c r="K95" i="47"/>
  <c r="J95" i="47"/>
  <c r="K94" i="47"/>
  <c r="J94" i="47"/>
  <c r="K93" i="47"/>
  <c r="J93" i="47"/>
  <c r="K92" i="47"/>
  <c r="J92" i="47"/>
  <c r="K91" i="47"/>
  <c r="J91" i="47"/>
  <c r="K90" i="47"/>
  <c r="J90" i="47"/>
  <c r="K89" i="47"/>
  <c r="J89" i="47"/>
  <c r="K88" i="47"/>
  <c r="J88" i="47"/>
  <c r="K87" i="47"/>
  <c r="J87" i="47"/>
  <c r="K86" i="47"/>
  <c r="J86" i="47"/>
  <c r="K85" i="47"/>
  <c r="J85" i="47"/>
  <c r="K84" i="47"/>
  <c r="J84" i="47"/>
  <c r="K83" i="47"/>
  <c r="J83" i="47"/>
  <c r="K82" i="47"/>
  <c r="J82" i="47"/>
  <c r="K81" i="47"/>
  <c r="J81" i="47"/>
  <c r="K80" i="47"/>
  <c r="J80" i="47"/>
  <c r="K79" i="47"/>
  <c r="J79" i="47"/>
  <c r="K78" i="47"/>
  <c r="J78" i="47"/>
  <c r="K77" i="47"/>
  <c r="J77" i="47"/>
  <c r="K76" i="47"/>
  <c r="J76" i="47"/>
  <c r="K75" i="47"/>
  <c r="J75" i="47"/>
  <c r="K74" i="47"/>
  <c r="J74" i="47"/>
  <c r="K73" i="47"/>
  <c r="J73" i="47"/>
  <c r="K72" i="47"/>
  <c r="J72" i="47"/>
  <c r="K71" i="47"/>
  <c r="J71" i="47"/>
  <c r="K70" i="47"/>
  <c r="J70" i="47"/>
  <c r="K69" i="47"/>
  <c r="J69" i="47"/>
  <c r="K68" i="47"/>
  <c r="J68" i="47"/>
  <c r="K67" i="47"/>
  <c r="J67" i="47"/>
  <c r="K66" i="47"/>
  <c r="J66" i="47"/>
  <c r="K65" i="47"/>
  <c r="J65" i="47"/>
  <c r="K64" i="47"/>
  <c r="J64" i="47"/>
  <c r="K63" i="47"/>
  <c r="J63" i="47"/>
  <c r="K62" i="47"/>
  <c r="J62" i="47"/>
  <c r="K61" i="47"/>
  <c r="J61" i="47"/>
  <c r="K60" i="47"/>
  <c r="J60" i="47"/>
  <c r="K59" i="47"/>
  <c r="J59" i="47"/>
  <c r="K58" i="47"/>
  <c r="J58" i="47"/>
  <c r="K57" i="47"/>
  <c r="J57" i="47"/>
  <c r="K56" i="47"/>
  <c r="J56" i="47"/>
  <c r="K55" i="47"/>
  <c r="J55" i="47"/>
  <c r="K54" i="47"/>
  <c r="J54" i="47"/>
  <c r="K53" i="47"/>
  <c r="J53" i="47"/>
  <c r="K52" i="47"/>
  <c r="J52" i="47"/>
  <c r="K51" i="47"/>
  <c r="J51" i="47"/>
  <c r="K50" i="47"/>
  <c r="J50" i="47"/>
  <c r="K49" i="47"/>
  <c r="J49" i="47"/>
  <c r="K48" i="47"/>
  <c r="J48" i="47"/>
  <c r="K47" i="47"/>
  <c r="J47" i="47"/>
  <c r="K46" i="47"/>
  <c r="J46" i="47"/>
  <c r="K45" i="47"/>
  <c r="J45" i="47"/>
  <c r="K44" i="47"/>
  <c r="J44" i="47"/>
  <c r="K43" i="47"/>
  <c r="J43" i="47"/>
  <c r="K42" i="47"/>
  <c r="J42" i="47"/>
  <c r="K41" i="47"/>
  <c r="J41" i="47"/>
  <c r="K40" i="47"/>
  <c r="J40" i="47"/>
  <c r="K39" i="47"/>
  <c r="J39" i="47"/>
  <c r="K38" i="47"/>
  <c r="J38" i="47"/>
  <c r="K37" i="47"/>
  <c r="J37" i="47"/>
  <c r="K36" i="47"/>
  <c r="J36" i="47"/>
  <c r="K35" i="47"/>
  <c r="J35" i="47"/>
  <c r="K34" i="47"/>
  <c r="J34" i="47"/>
  <c r="K33" i="47"/>
  <c r="J33" i="47"/>
  <c r="K32" i="47"/>
  <c r="J32" i="47"/>
  <c r="K31" i="47"/>
  <c r="J31" i="47"/>
  <c r="K30" i="47"/>
  <c r="J30" i="47"/>
  <c r="K29" i="47"/>
  <c r="J29" i="47"/>
  <c r="K28" i="47"/>
  <c r="J28" i="47"/>
  <c r="K27" i="47"/>
  <c r="J27" i="47"/>
  <c r="K26" i="47"/>
  <c r="J26" i="47"/>
  <c r="K25" i="47"/>
  <c r="J25" i="47"/>
  <c r="K24" i="47"/>
  <c r="J24" i="47"/>
  <c r="K23" i="47"/>
  <c r="J23" i="47"/>
  <c r="K22" i="47"/>
  <c r="J22" i="47"/>
  <c r="K21" i="47"/>
  <c r="J21" i="47"/>
  <c r="K20" i="47"/>
  <c r="J20" i="47"/>
  <c r="K19" i="47"/>
  <c r="J19" i="47"/>
  <c r="K18" i="47"/>
  <c r="J18" i="47"/>
  <c r="K17" i="47"/>
  <c r="J17" i="47"/>
  <c r="K16" i="47"/>
  <c r="J16" i="47"/>
  <c r="K15" i="47"/>
  <c r="J15" i="47"/>
  <c r="K14" i="47"/>
  <c r="J14" i="47"/>
  <c r="K13" i="47"/>
  <c r="J13" i="47"/>
  <c r="K12" i="47"/>
  <c r="J12" i="47"/>
  <c r="K11" i="47"/>
  <c r="J11" i="47"/>
  <c r="K10" i="47"/>
  <c r="J10" i="47"/>
  <c r="K9" i="47"/>
  <c r="J9" i="47"/>
  <c r="K8" i="47"/>
  <c r="J8" i="47"/>
  <c r="K7" i="47"/>
  <c r="J7" i="47"/>
  <c r="K6" i="47"/>
  <c r="J6" i="47"/>
  <c r="K3" i="47"/>
  <c r="I3" i="47"/>
  <c r="H3" i="47"/>
  <c r="K490" i="33"/>
  <c r="J490" i="33"/>
  <c r="K489" i="33"/>
  <c r="J489" i="33"/>
  <c r="K488" i="33"/>
  <c r="J488" i="33"/>
  <c r="K487" i="33"/>
  <c r="J487" i="33"/>
  <c r="K486" i="33"/>
  <c r="J486" i="33"/>
  <c r="K485" i="33"/>
  <c r="J485" i="33"/>
  <c r="K484" i="33"/>
  <c r="J484" i="33"/>
  <c r="K483" i="33"/>
  <c r="J483" i="33"/>
  <c r="K482" i="33"/>
  <c r="J482" i="33"/>
  <c r="K481" i="33"/>
  <c r="J481" i="33"/>
  <c r="K480" i="33"/>
  <c r="J480" i="33"/>
  <c r="K479" i="33"/>
  <c r="J479" i="33"/>
  <c r="K478" i="33"/>
  <c r="J478" i="33"/>
  <c r="K477" i="33"/>
  <c r="J477" i="33"/>
  <c r="K476" i="33"/>
  <c r="J476" i="33"/>
  <c r="K475" i="33"/>
  <c r="J475" i="33"/>
  <c r="K474" i="33"/>
  <c r="J474" i="33"/>
  <c r="K473" i="33"/>
  <c r="J473" i="33"/>
  <c r="K472" i="33"/>
  <c r="J472" i="33"/>
  <c r="K471" i="33"/>
  <c r="J471" i="33"/>
  <c r="K470" i="33"/>
  <c r="J470" i="33"/>
  <c r="K469" i="33"/>
  <c r="J469" i="33"/>
  <c r="K468" i="33"/>
  <c r="J468" i="33"/>
  <c r="K467" i="33"/>
  <c r="J467" i="33"/>
  <c r="K466" i="33"/>
  <c r="J466" i="33"/>
  <c r="K465" i="33"/>
  <c r="J465" i="33"/>
  <c r="K464" i="33"/>
  <c r="J464" i="33"/>
  <c r="K463" i="33"/>
  <c r="J463" i="33"/>
  <c r="K462" i="33"/>
  <c r="J462" i="33"/>
  <c r="K461" i="33"/>
  <c r="J461" i="33"/>
  <c r="K460" i="33"/>
  <c r="J460" i="33"/>
  <c r="K459" i="33"/>
  <c r="J459" i="33"/>
  <c r="K458" i="33"/>
  <c r="J458" i="33"/>
  <c r="K457" i="33"/>
  <c r="J457" i="33"/>
  <c r="K456" i="33"/>
  <c r="J456" i="33"/>
  <c r="K455" i="33"/>
  <c r="J455" i="33"/>
  <c r="K454" i="33"/>
  <c r="J454" i="33"/>
  <c r="K453" i="33"/>
  <c r="J453" i="33"/>
  <c r="K452" i="33"/>
  <c r="J452" i="33"/>
  <c r="K451" i="33"/>
  <c r="J451" i="33"/>
  <c r="K450" i="33"/>
  <c r="J450" i="33"/>
  <c r="K449" i="33"/>
  <c r="J449" i="33"/>
  <c r="K448" i="33"/>
  <c r="J448" i="33"/>
  <c r="K447" i="33"/>
  <c r="J447" i="33"/>
  <c r="K446" i="33"/>
  <c r="J446" i="33"/>
  <c r="K445" i="33"/>
  <c r="J445" i="33"/>
  <c r="K444" i="33"/>
  <c r="J444" i="33"/>
  <c r="K443" i="33"/>
  <c r="J443" i="33"/>
  <c r="K442" i="33"/>
  <c r="J442" i="33"/>
  <c r="K441" i="33"/>
  <c r="J441" i="33"/>
  <c r="K440" i="33"/>
  <c r="J440" i="33"/>
  <c r="K439" i="33"/>
  <c r="J439" i="33"/>
  <c r="K438" i="33"/>
  <c r="J438" i="33"/>
  <c r="K437" i="33"/>
  <c r="J437" i="33"/>
  <c r="K436" i="33"/>
  <c r="J436" i="33"/>
  <c r="K435" i="33"/>
  <c r="J435" i="33"/>
  <c r="K434" i="33"/>
  <c r="J434" i="33"/>
  <c r="K433" i="33"/>
  <c r="J433" i="33"/>
  <c r="K432" i="33"/>
  <c r="J432" i="33"/>
  <c r="K431" i="33"/>
  <c r="J431" i="33"/>
  <c r="K430" i="33"/>
  <c r="J430" i="33"/>
  <c r="K429" i="33"/>
  <c r="J429" i="33"/>
  <c r="K428" i="33"/>
  <c r="J428" i="33"/>
  <c r="K427" i="33"/>
  <c r="J427" i="33"/>
  <c r="K426" i="33"/>
  <c r="J426" i="33"/>
  <c r="K425" i="33"/>
  <c r="J425" i="33"/>
  <c r="K424" i="33"/>
  <c r="J424" i="33"/>
  <c r="K423" i="33"/>
  <c r="J423" i="33"/>
  <c r="K422" i="33"/>
  <c r="J422" i="33"/>
  <c r="K421" i="33"/>
  <c r="J421" i="33"/>
  <c r="K420" i="33"/>
  <c r="J420" i="33"/>
  <c r="K419" i="33"/>
  <c r="J419" i="33"/>
  <c r="K418" i="33"/>
  <c r="J418" i="33"/>
  <c r="K417" i="33"/>
  <c r="J417" i="33"/>
  <c r="K416" i="33"/>
  <c r="J416" i="33"/>
  <c r="K415" i="33"/>
  <c r="J415" i="33"/>
  <c r="K414" i="33"/>
  <c r="J414" i="33"/>
  <c r="K413" i="33"/>
  <c r="J413" i="33"/>
  <c r="K412" i="33"/>
  <c r="J412" i="33"/>
  <c r="K411" i="33"/>
  <c r="J411" i="33"/>
  <c r="K410" i="33"/>
  <c r="J410" i="33"/>
  <c r="K409" i="33"/>
  <c r="J409" i="33"/>
  <c r="K408" i="33"/>
  <c r="J408" i="33"/>
  <c r="K407" i="33"/>
  <c r="J407" i="33"/>
  <c r="K406" i="33"/>
  <c r="J406" i="33"/>
  <c r="K405" i="33"/>
  <c r="J405" i="33"/>
  <c r="K404" i="33"/>
  <c r="J404" i="33"/>
  <c r="K403" i="33"/>
  <c r="J403" i="33"/>
  <c r="K402" i="33"/>
  <c r="J402" i="33"/>
  <c r="K401" i="33"/>
  <c r="J401" i="33"/>
  <c r="K400" i="33"/>
  <c r="J400" i="33"/>
  <c r="K399" i="33"/>
  <c r="J399" i="33"/>
  <c r="K398" i="33"/>
  <c r="J398" i="33"/>
  <c r="K397" i="33"/>
  <c r="J397" i="33"/>
  <c r="K396" i="33"/>
  <c r="J396" i="33"/>
  <c r="K395" i="33"/>
  <c r="J395" i="33"/>
  <c r="K394" i="33"/>
  <c r="J394" i="33"/>
  <c r="K393" i="33"/>
  <c r="J393" i="33"/>
  <c r="K392" i="33"/>
  <c r="J392" i="33"/>
  <c r="K391" i="33"/>
  <c r="J391" i="33"/>
  <c r="K390" i="33"/>
  <c r="J390" i="33"/>
  <c r="K389" i="33"/>
  <c r="J389" i="33"/>
  <c r="K388" i="33"/>
  <c r="J388" i="33"/>
  <c r="K387" i="33"/>
  <c r="J387" i="33"/>
  <c r="K386" i="33"/>
  <c r="J386" i="33"/>
  <c r="K385" i="33"/>
  <c r="J385" i="33"/>
  <c r="K384" i="33"/>
  <c r="J384" i="33"/>
  <c r="K383" i="33"/>
  <c r="J383" i="33"/>
  <c r="K382" i="33"/>
  <c r="J382" i="33"/>
  <c r="K381" i="33"/>
  <c r="J381" i="33"/>
  <c r="K380" i="33"/>
  <c r="J380" i="33"/>
  <c r="K379" i="33"/>
  <c r="J379" i="33"/>
  <c r="K378" i="33"/>
  <c r="J378" i="33"/>
  <c r="K377" i="33"/>
  <c r="J377" i="33"/>
  <c r="K376" i="33"/>
  <c r="J376" i="33"/>
  <c r="K375" i="33"/>
  <c r="J375" i="33"/>
  <c r="K374" i="33"/>
  <c r="J374" i="33"/>
  <c r="K373" i="33"/>
  <c r="J373" i="33"/>
  <c r="K372" i="33"/>
  <c r="J372" i="33"/>
  <c r="K371" i="33"/>
  <c r="J371" i="33"/>
  <c r="K370" i="33"/>
  <c r="J370" i="33"/>
  <c r="K369" i="33"/>
  <c r="J369" i="33"/>
  <c r="K368" i="33"/>
  <c r="J368" i="33"/>
  <c r="K367" i="33"/>
  <c r="J367" i="33"/>
  <c r="K366" i="33"/>
  <c r="J366" i="33"/>
  <c r="K365" i="33"/>
  <c r="J365" i="33"/>
  <c r="K364" i="33"/>
  <c r="J364" i="33"/>
  <c r="K363" i="33"/>
  <c r="J363" i="33"/>
  <c r="K362" i="33"/>
  <c r="J362" i="33"/>
  <c r="K361" i="33"/>
  <c r="J361" i="33"/>
  <c r="K360" i="33"/>
  <c r="J360" i="33"/>
  <c r="K359" i="33"/>
  <c r="J359" i="33"/>
  <c r="K358" i="33"/>
  <c r="J358" i="33"/>
  <c r="K357" i="33"/>
  <c r="J357" i="33"/>
  <c r="K356" i="33"/>
  <c r="J356" i="33"/>
  <c r="K355" i="33"/>
  <c r="J355" i="33"/>
  <c r="K354" i="33"/>
  <c r="J354" i="33"/>
  <c r="K353" i="33"/>
  <c r="J353" i="33"/>
  <c r="K352" i="33"/>
  <c r="J352" i="33"/>
  <c r="K351" i="33"/>
  <c r="J351" i="33"/>
  <c r="K350" i="33"/>
  <c r="J350" i="33"/>
  <c r="K349" i="33"/>
  <c r="J349" i="33"/>
  <c r="K348" i="33"/>
  <c r="J348" i="33"/>
  <c r="K347" i="33"/>
  <c r="J347" i="33"/>
  <c r="K346" i="33"/>
  <c r="J346" i="33"/>
  <c r="K345" i="33"/>
  <c r="J345" i="33"/>
  <c r="K344" i="33"/>
  <c r="J344" i="33"/>
  <c r="K343" i="33"/>
  <c r="J343" i="33"/>
  <c r="K342" i="33"/>
  <c r="J342" i="33"/>
  <c r="K341" i="33"/>
  <c r="J341" i="33"/>
  <c r="K340" i="33"/>
  <c r="J340" i="33"/>
  <c r="K339" i="33"/>
  <c r="J339" i="33"/>
  <c r="K338" i="33"/>
  <c r="J338" i="33"/>
  <c r="K337" i="33"/>
  <c r="J337" i="33"/>
  <c r="K336" i="33"/>
  <c r="J336" i="33"/>
  <c r="K335" i="33"/>
  <c r="J335" i="33"/>
  <c r="K334" i="33"/>
  <c r="J334" i="33"/>
  <c r="K333" i="33"/>
  <c r="J333" i="33"/>
  <c r="K332" i="33"/>
  <c r="J332" i="33"/>
  <c r="K331" i="33"/>
  <c r="J331" i="33"/>
  <c r="K330" i="33"/>
  <c r="J330" i="33"/>
  <c r="K329" i="33"/>
  <c r="J329" i="33"/>
  <c r="K328" i="33"/>
  <c r="J328" i="33"/>
  <c r="K327" i="33"/>
  <c r="J327" i="33"/>
  <c r="K326" i="33"/>
  <c r="J326" i="33"/>
  <c r="K325" i="33"/>
  <c r="J325" i="33"/>
  <c r="K324" i="33"/>
  <c r="J324" i="33"/>
  <c r="K323" i="33"/>
  <c r="J323" i="33"/>
  <c r="K322" i="33"/>
  <c r="J322" i="33"/>
  <c r="K321" i="33"/>
  <c r="J321" i="33"/>
  <c r="K320" i="33"/>
  <c r="J320" i="33"/>
  <c r="K319" i="33"/>
  <c r="J319" i="33"/>
  <c r="K318" i="33"/>
  <c r="J318" i="33"/>
  <c r="K317" i="33"/>
  <c r="J317" i="33"/>
  <c r="K316" i="33"/>
  <c r="J316" i="33"/>
  <c r="K315" i="33"/>
  <c r="J315" i="33"/>
  <c r="K314" i="33"/>
  <c r="J314" i="33"/>
  <c r="K313" i="33"/>
  <c r="J313" i="33"/>
  <c r="K312" i="33"/>
  <c r="J312" i="33"/>
  <c r="K311" i="33"/>
  <c r="J311" i="33"/>
  <c r="K310" i="33"/>
  <c r="J310" i="33"/>
  <c r="K309" i="33"/>
  <c r="J309" i="33"/>
  <c r="K308" i="33"/>
  <c r="J308" i="33"/>
  <c r="K307" i="33"/>
  <c r="J307" i="33"/>
  <c r="K306" i="33"/>
  <c r="J306" i="33"/>
  <c r="K305" i="33"/>
  <c r="J305" i="33"/>
  <c r="K304" i="33"/>
  <c r="J304" i="33"/>
  <c r="K303" i="33"/>
  <c r="J303" i="33"/>
  <c r="K302" i="33"/>
  <c r="J302" i="33"/>
  <c r="K301" i="33"/>
  <c r="J301" i="33"/>
  <c r="K300" i="33"/>
  <c r="J300" i="33"/>
  <c r="K299" i="33"/>
  <c r="J299" i="33"/>
  <c r="K298" i="33"/>
  <c r="J298" i="33"/>
  <c r="K297" i="33"/>
  <c r="J297" i="33"/>
  <c r="K296" i="33"/>
  <c r="J296" i="33"/>
  <c r="K295" i="33"/>
  <c r="J295" i="33"/>
  <c r="K294" i="33"/>
  <c r="J294" i="33"/>
  <c r="K293" i="33"/>
  <c r="J293" i="33"/>
  <c r="K292" i="33"/>
  <c r="J292" i="33"/>
  <c r="K291" i="33"/>
  <c r="J291" i="33"/>
  <c r="K290" i="33"/>
  <c r="J290" i="33"/>
  <c r="K289" i="33"/>
  <c r="J289" i="33"/>
  <c r="K288" i="33"/>
  <c r="J288" i="33"/>
  <c r="K287" i="33"/>
  <c r="J287" i="33"/>
  <c r="K286" i="33"/>
  <c r="J286" i="33"/>
  <c r="K285" i="33"/>
  <c r="J285" i="33"/>
  <c r="K284" i="33"/>
  <c r="J284" i="33"/>
  <c r="K283" i="33"/>
  <c r="J283" i="33"/>
  <c r="K282" i="33"/>
  <c r="J282" i="33"/>
  <c r="K281" i="33"/>
  <c r="J281" i="33"/>
  <c r="K280" i="33"/>
  <c r="J280" i="33"/>
  <c r="K279" i="33"/>
  <c r="J279" i="33"/>
  <c r="K278" i="33"/>
  <c r="J278" i="33"/>
  <c r="K277" i="33"/>
  <c r="J277" i="33"/>
  <c r="K276" i="33"/>
  <c r="J276" i="33"/>
  <c r="K275" i="33"/>
  <c r="J275" i="33"/>
  <c r="K274" i="33"/>
  <c r="J274" i="33"/>
  <c r="K273" i="33"/>
  <c r="J273" i="33"/>
  <c r="K272" i="33"/>
  <c r="J272" i="33"/>
  <c r="K271" i="33"/>
  <c r="J271" i="33"/>
  <c r="K270" i="33"/>
  <c r="J270" i="33"/>
  <c r="K269" i="33"/>
  <c r="J269" i="33"/>
  <c r="K268" i="33"/>
  <c r="J268" i="33"/>
  <c r="K267" i="33"/>
  <c r="J267" i="33"/>
  <c r="K266" i="33"/>
  <c r="J266" i="33"/>
  <c r="K265" i="33"/>
  <c r="J265" i="33"/>
  <c r="K264" i="33"/>
  <c r="J264" i="33"/>
  <c r="K263" i="33"/>
  <c r="J263" i="33"/>
  <c r="K262" i="33"/>
  <c r="J262" i="33"/>
  <c r="K261" i="33"/>
  <c r="J261" i="33"/>
  <c r="K260" i="33"/>
  <c r="J260" i="33"/>
  <c r="K259" i="33"/>
  <c r="J259" i="33"/>
  <c r="K258" i="33"/>
  <c r="J258" i="33"/>
  <c r="K257" i="33"/>
  <c r="J257" i="33"/>
  <c r="K256" i="33"/>
  <c r="J256" i="33"/>
  <c r="K255" i="33"/>
  <c r="J255" i="33"/>
  <c r="K254" i="33"/>
  <c r="J254" i="33"/>
  <c r="K253" i="33"/>
  <c r="J253" i="33"/>
  <c r="K252" i="33"/>
  <c r="J252" i="33"/>
  <c r="K251" i="33"/>
  <c r="J251" i="33"/>
  <c r="K250" i="33"/>
  <c r="J250" i="33"/>
  <c r="K249" i="33"/>
  <c r="J249" i="33"/>
  <c r="K248" i="33"/>
  <c r="J248" i="33"/>
  <c r="K247" i="33"/>
  <c r="J247" i="33"/>
  <c r="K246" i="33"/>
  <c r="J246" i="33"/>
  <c r="K245" i="33"/>
  <c r="J245" i="33"/>
  <c r="K244" i="33"/>
  <c r="J244" i="33"/>
  <c r="K243" i="33"/>
  <c r="J243" i="33"/>
  <c r="K242" i="33"/>
  <c r="J242" i="33"/>
  <c r="K241" i="33"/>
  <c r="J241" i="33"/>
  <c r="K240" i="33"/>
  <c r="J240" i="33"/>
  <c r="K239" i="33"/>
  <c r="J239" i="33"/>
  <c r="K238" i="33"/>
  <c r="J238" i="33"/>
  <c r="K237" i="33"/>
  <c r="J237" i="33"/>
  <c r="K236" i="33"/>
  <c r="J236" i="33"/>
  <c r="K235" i="33"/>
  <c r="J235" i="33"/>
  <c r="K234" i="33"/>
  <c r="J234" i="33"/>
  <c r="K233" i="33"/>
  <c r="J233" i="33"/>
  <c r="K232" i="33"/>
  <c r="J232" i="33"/>
  <c r="K231" i="33"/>
  <c r="J231" i="33"/>
  <c r="K230" i="33"/>
  <c r="J230" i="33"/>
  <c r="K229" i="33"/>
  <c r="J229" i="33"/>
  <c r="K228" i="33"/>
  <c r="J228" i="33"/>
  <c r="K227" i="33"/>
  <c r="J227" i="33"/>
  <c r="K226" i="33"/>
  <c r="J226" i="33"/>
  <c r="K225" i="33"/>
  <c r="J225" i="33"/>
  <c r="K224" i="33"/>
  <c r="J224" i="33"/>
  <c r="K223" i="33"/>
  <c r="J223" i="33"/>
  <c r="K222" i="33"/>
  <c r="J222" i="33"/>
  <c r="K221" i="33"/>
  <c r="J221" i="33"/>
  <c r="K220" i="33"/>
  <c r="J220" i="33"/>
  <c r="K219" i="33"/>
  <c r="J219" i="33"/>
  <c r="K218" i="33"/>
  <c r="J218" i="33"/>
  <c r="K217" i="33"/>
  <c r="J217" i="33"/>
  <c r="K216" i="33"/>
  <c r="J216" i="33"/>
  <c r="K215" i="33"/>
  <c r="J215" i="33"/>
  <c r="K214" i="33"/>
  <c r="J214" i="33"/>
  <c r="K213" i="33"/>
  <c r="J213" i="33"/>
  <c r="K212" i="33"/>
  <c r="J212" i="33"/>
  <c r="K211" i="33"/>
  <c r="J211" i="33"/>
  <c r="K210" i="33"/>
  <c r="J210" i="33"/>
  <c r="K209" i="33"/>
  <c r="J209" i="33"/>
  <c r="K208" i="33"/>
  <c r="J208" i="33"/>
  <c r="K207" i="33"/>
  <c r="J207" i="33"/>
  <c r="K206" i="33"/>
  <c r="J206" i="33"/>
  <c r="K205" i="33"/>
  <c r="J205" i="33"/>
  <c r="K204" i="33"/>
  <c r="J204" i="33"/>
  <c r="K203" i="33"/>
  <c r="J203" i="33"/>
  <c r="K202" i="33"/>
  <c r="J202" i="33"/>
  <c r="K201" i="33"/>
  <c r="J201" i="33"/>
  <c r="K200" i="33"/>
  <c r="J200" i="33"/>
  <c r="K199" i="33"/>
  <c r="J199" i="33"/>
  <c r="K198" i="33"/>
  <c r="J198" i="33"/>
  <c r="K197" i="33"/>
  <c r="J197" i="33"/>
  <c r="K196" i="33"/>
  <c r="J196" i="33"/>
  <c r="K195" i="33"/>
  <c r="J195" i="33"/>
  <c r="K194" i="33"/>
  <c r="J194" i="33"/>
  <c r="K193" i="33"/>
  <c r="J193" i="33"/>
  <c r="K192" i="33"/>
  <c r="J192" i="33"/>
  <c r="K191" i="33"/>
  <c r="J191" i="33"/>
  <c r="K190" i="33"/>
  <c r="J190" i="33"/>
  <c r="K189" i="33"/>
  <c r="J189" i="33"/>
  <c r="K188" i="33"/>
  <c r="J188" i="33"/>
  <c r="K187" i="33"/>
  <c r="J187" i="33"/>
  <c r="K186" i="33"/>
  <c r="J186" i="33"/>
  <c r="K185" i="33"/>
  <c r="J185" i="33"/>
  <c r="K184" i="33"/>
  <c r="J184" i="33"/>
  <c r="K183" i="33"/>
  <c r="J183" i="33"/>
  <c r="K182" i="33"/>
  <c r="J182" i="33"/>
  <c r="K181" i="33"/>
  <c r="J181" i="33"/>
  <c r="K180" i="33"/>
  <c r="J180" i="33"/>
  <c r="K179" i="33"/>
  <c r="J179" i="33"/>
  <c r="K178" i="33"/>
  <c r="J178" i="33"/>
  <c r="K177" i="33"/>
  <c r="J177" i="33"/>
  <c r="K176" i="33"/>
  <c r="J176" i="33"/>
  <c r="K175" i="33"/>
  <c r="J175" i="33"/>
  <c r="K174" i="33"/>
  <c r="J174" i="33"/>
  <c r="K173" i="33"/>
  <c r="J173" i="33"/>
  <c r="K172" i="33"/>
  <c r="J172" i="33"/>
  <c r="K171" i="33"/>
  <c r="J171" i="33"/>
  <c r="K170" i="33"/>
  <c r="J170" i="33"/>
  <c r="K169" i="33"/>
  <c r="J169" i="33"/>
  <c r="K168" i="33"/>
  <c r="J168" i="33"/>
  <c r="K167" i="33"/>
  <c r="J167" i="33"/>
  <c r="K166" i="33"/>
  <c r="J166" i="33"/>
  <c r="K165" i="33"/>
  <c r="J165" i="33"/>
  <c r="K164" i="33"/>
  <c r="J164" i="33"/>
  <c r="K163" i="33"/>
  <c r="J163" i="33"/>
  <c r="K162" i="33"/>
  <c r="J162" i="33"/>
  <c r="K161" i="33"/>
  <c r="J161" i="33"/>
  <c r="K160" i="33"/>
  <c r="J160" i="33"/>
  <c r="K159" i="33"/>
  <c r="J159" i="33"/>
  <c r="K158" i="33"/>
  <c r="J158" i="33"/>
  <c r="K157" i="33"/>
  <c r="J157" i="33"/>
  <c r="K156" i="33"/>
  <c r="J156" i="33"/>
  <c r="K155" i="33"/>
  <c r="J155" i="33"/>
  <c r="K154" i="33"/>
  <c r="J154" i="33"/>
  <c r="K153" i="33"/>
  <c r="J153" i="33"/>
  <c r="K152" i="33"/>
  <c r="J152" i="33"/>
  <c r="K151" i="33"/>
  <c r="J151" i="33"/>
  <c r="K150" i="33"/>
  <c r="J150" i="33"/>
  <c r="K149" i="33"/>
  <c r="J149" i="33"/>
  <c r="K148" i="33"/>
  <c r="J148" i="33"/>
  <c r="K147" i="33"/>
  <c r="J147" i="33"/>
  <c r="K146" i="33"/>
  <c r="J146" i="33"/>
  <c r="K145" i="33"/>
  <c r="J145" i="33"/>
  <c r="K144" i="33"/>
  <c r="J144" i="33"/>
  <c r="K143" i="33"/>
  <c r="J143" i="33"/>
  <c r="K142" i="33"/>
  <c r="J142" i="33"/>
  <c r="K141" i="33"/>
  <c r="J141" i="33"/>
  <c r="K140" i="33"/>
  <c r="J140" i="33"/>
  <c r="K139" i="33"/>
  <c r="J139" i="33"/>
  <c r="K138" i="33"/>
  <c r="J138" i="33"/>
  <c r="K137" i="33"/>
  <c r="J137" i="33"/>
  <c r="K136" i="33"/>
  <c r="J136" i="33"/>
  <c r="K135" i="33"/>
  <c r="J135" i="33"/>
  <c r="K134" i="33"/>
  <c r="J134" i="33"/>
  <c r="K133" i="33"/>
  <c r="J133" i="33"/>
  <c r="K132" i="33"/>
  <c r="J132" i="33"/>
  <c r="K131" i="33"/>
  <c r="J131" i="33"/>
  <c r="K130" i="33"/>
  <c r="J130" i="33"/>
  <c r="K129" i="33"/>
  <c r="J129" i="33"/>
  <c r="K128" i="33"/>
  <c r="J128" i="33"/>
  <c r="K127" i="33"/>
  <c r="J127" i="33"/>
  <c r="K126" i="33"/>
  <c r="J126" i="33"/>
  <c r="K125" i="33"/>
  <c r="J125" i="33"/>
  <c r="K124" i="33"/>
  <c r="J124" i="33"/>
  <c r="K123" i="33"/>
  <c r="J123" i="33"/>
  <c r="K122" i="33"/>
  <c r="J122" i="33"/>
  <c r="K121" i="33"/>
  <c r="J121" i="33"/>
  <c r="K120" i="33"/>
  <c r="J120" i="33"/>
  <c r="K119" i="33"/>
  <c r="J119" i="33"/>
  <c r="K118" i="33"/>
  <c r="J118" i="33"/>
  <c r="K117" i="33"/>
  <c r="J117" i="33"/>
  <c r="K116" i="33"/>
  <c r="J116" i="33"/>
  <c r="K115" i="33"/>
  <c r="J115" i="33"/>
  <c r="K114" i="33"/>
  <c r="J114" i="33"/>
  <c r="K113" i="33"/>
  <c r="J113" i="33"/>
  <c r="K112" i="33"/>
  <c r="J112" i="33"/>
  <c r="K111" i="33"/>
  <c r="J111" i="33"/>
  <c r="K110" i="33"/>
  <c r="J110" i="33"/>
  <c r="K109" i="33"/>
  <c r="J109" i="33"/>
  <c r="K108" i="33"/>
  <c r="J108" i="33"/>
  <c r="K107" i="33"/>
  <c r="J107" i="33"/>
  <c r="K106" i="33"/>
  <c r="J106" i="33"/>
  <c r="K105" i="33"/>
  <c r="J105" i="33"/>
  <c r="K104" i="33"/>
  <c r="J104" i="33"/>
  <c r="K103" i="33"/>
  <c r="J103" i="33"/>
  <c r="K102" i="33"/>
  <c r="J102" i="33"/>
  <c r="K101" i="33"/>
  <c r="J101" i="33"/>
  <c r="K100" i="33"/>
  <c r="J100" i="33"/>
  <c r="K99" i="33"/>
  <c r="J99" i="33"/>
  <c r="K98" i="33"/>
  <c r="J98" i="33"/>
  <c r="K97" i="33"/>
  <c r="J97" i="33"/>
  <c r="K96" i="33"/>
  <c r="J96" i="33"/>
  <c r="K95" i="33"/>
  <c r="J95" i="33"/>
  <c r="K94" i="33"/>
  <c r="J94" i="33"/>
  <c r="K93" i="33"/>
  <c r="J93" i="33"/>
  <c r="K92" i="33"/>
  <c r="J92" i="33"/>
  <c r="K91" i="33"/>
  <c r="J91" i="33"/>
  <c r="K90" i="33"/>
  <c r="J90" i="33"/>
  <c r="K89" i="33"/>
  <c r="J89" i="33"/>
  <c r="K88" i="33"/>
  <c r="J88" i="33"/>
  <c r="K87" i="33"/>
  <c r="J87" i="33"/>
  <c r="K86" i="33"/>
  <c r="J86" i="33"/>
  <c r="K85" i="33"/>
  <c r="J85" i="33"/>
  <c r="K84" i="33"/>
  <c r="J84" i="33"/>
  <c r="K83" i="33"/>
  <c r="J83" i="33"/>
  <c r="K82" i="33"/>
  <c r="J82" i="33"/>
  <c r="K81" i="33"/>
  <c r="J81" i="33"/>
  <c r="K80" i="33"/>
  <c r="J80" i="33"/>
  <c r="K79" i="33"/>
  <c r="J79" i="33"/>
  <c r="K78" i="33"/>
  <c r="J78" i="33"/>
  <c r="K77" i="33"/>
  <c r="J77" i="33"/>
  <c r="K76" i="33"/>
  <c r="J76" i="33"/>
  <c r="K75" i="33"/>
  <c r="J75" i="33"/>
  <c r="K74" i="33"/>
  <c r="J74" i="33"/>
  <c r="K73" i="33"/>
  <c r="J73" i="33"/>
  <c r="K72" i="33"/>
  <c r="J72" i="33"/>
  <c r="K71" i="33"/>
  <c r="J71" i="33"/>
  <c r="K70" i="33"/>
  <c r="J70" i="33"/>
  <c r="K69" i="33"/>
  <c r="J69" i="33"/>
  <c r="K68" i="33"/>
  <c r="J68" i="33"/>
  <c r="K67" i="33"/>
  <c r="J67" i="33"/>
  <c r="K66" i="33"/>
  <c r="J66" i="33"/>
  <c r="K65" i="33"/>
  <c r="J65" i="33"/>
  <c r="K64" i="33"/>
  <c r="J64" i="33"/>
  <c r="K63" i="33"/>
  <c r="J63" i="33"/>
  <c r="K62" i="33"/>
  <c r="J62" i="33"/>
  <c r="K61" i="33"/>
  <c r="J61" i="33"/>
  <c r="K60" i="33"/>
  <c r="J60" i="33"/>
  <c r="K59" i="33"/>
  <c r="J59" i="33"/>
  <c r="K58" i="33"/>
  <c r="J58" i="33"/>
  <c r="K57" i="33"/>
  <c r="J57" i="33"/>
  <c r="K56" i="33"/>
  <c r="J56" i="33"/>
  <c r="K55" i="33"/>
  <c r="J55" i="33"/>
  <c r="K54" i="33"/>
  <c r="J54" i="33"/>
  <c r="K53" i="33"/>
  <c r="J53" i="33"/>
  <c r="K52" i="33"/>
  <c r="J52" i="33"/>
  <c r="K51" i="33"/>
  <c r="J51" i="33"/>
  <c r="K50" i="33"/>
  <c r="J50" i="33"/>
  <c r="K49" i="33"/>
  <c r="J49" i="33"/>
  <c r="K48" i="33"/>
  <c r="J48" i="33"/>
  <c r="K47" i="33"/>
  <c r="J47" i="33"/>
  <c r="K46" i="33"/>
  <c r="J46" i="33"/>
  <c r="K45" i="33"/>
  <c r="J45" i="33"/>
  <c r="K44" i="33"/>
  <c r="J44" i="33"/>
  <c r="K43" i="33"/>
  <c r="J43" i="33"/>
  <c r="K42" i="33"/>
  <c r="J42" i="33"/>
  <c r="K41" i="33"/>
  <c r="J41" i="33"/>
  <c r="K40" i="33"/>
  <c r="J40" i="33"/>
  <c r="K39" i="33"/>
  <c r="J39" i="33"/>
  <c r="K38" i="33"/>
  <c r="J38" i="33"/>
  <c r="K37" i="33"/>
  <c r="J37" i="33"/>
  <c r="K36" i="33"/>
  <c r="J36" i="33"/>
  <c r="K35" i="33"/>
  <c r="J35" i="33"/>
  <c r="K34" i="33"/>
  <c r="J34" i="33"/>
  <c r="K33" i="33"/>
  <c r="J33" i="33"/>
  <c r="K32" i="33"/>
  <c r="J32" i="33"/>
  <c r="K31" i="33"/>
  <c r="J31" i="33"/>
  <c r="K30" i="33"/>
  <c r="J30" i="33"/>
  <c r="K29" i="33"/>
  <c r="J29" i="33"/>
  <c r="K28" i="33"/>
  <c r="J28" i="33"/>
  <c r="K27" i="33"/>
  <c r="J27" i="33"/>
  <c r="K26" i="33"/>
  <c r="J26" i="33"/>
  <c r="K25" i="33"/>
  <c r="J25" i="33"/>
  <c r="K24" i="33"/>
  <c r="J24" i="33"/>
  <c r="K23" i="33"/>
  <c r="J23" i="33"/>
  <c r="K22" i="33"/>
  <c r="J22" i="33"/>
  <c r="K21" i="33"/>
  <c r="J21" i="33"/>
  <c r="K20" i="33"/>
  <c r="J20" i="33"/>
  <c r="K19" i="33"/>
  <c r="J19" i="33"/>
  <c r="K18" i="33"/>
  <c r="J18" i="33"/>
  <c r="K17" i="33"/>
  <c r="J17" i="33"/>
  <c r="K16" i="33"/>
  <c r="J16" i="33"/>
  <c r="K15" i="33"/>
  <c r="J15" i="33"/>
  <c r="K14" i="33"/>
  <c r="J14" i="33"/>
  <c r="K13" i="33"/>
  <c r="J13" i="33"/>
  <c r="K12" i="33"/>
  <c r="J12" i="33"/>
  <c r="K11" i="33"/>
  <c r="J11" i="33"/>
  <c r="K10" i="33"/>
  <c r="J10" i="33"/>
  <c r="K9" i="33"/>
  <c r="J9" i="33"/>
  <c r="K8" i="33"/>
  <c r="J8" i="33"/>
  <c r="K7" i="33"/>
  <c r="J7" i="33"/>
  <c r="K6" i="33"/>
  <c r="J6" i="33"/>
  <c r="K3" i="33"/>
  <c r="I3" i="33"/>
  <c r="H3" i="33"/>
  <c r="J497" i="19"/>
  <c r="I497" i="19"/>
  <c r="J496" i="19"/>
  <c r="I496" i="19"/>
  <c r="J495" i="19"/>
  <c r="I495" i="19"/>
  <c r="J494" i="19"/>
  <c r="I494" i="19"/>
  <c r="J493" i="19"/>
  <c r="I493" i="19"/>
  <c r="J492" i="19"/>
  <c r="I492" i="19"/>
  <c r="J491" i="19"/>
  <c r="I491" i="19"/>
  <c r="J490" i="19"/>
  <c r="I490" i="19"/>
  <c r="J489" i="19"/>
  <c r="I489" i="19"/>
  <c r="J488" i="19"/>
  <c r="I488" i="19"/>
  <c r="J487" i="19"/>
  <c r="I487" i="19"/>
  <c r="J486" i="19"/>
  <c r="I486" i="19"/>
  <c r="J485" i="19"/>
  <c r="I485" i="19"/>
  <c r="J484" i="19"/>
  <c r="I484" i="19"/>
  <c r="J483" i="19"/>
  <c r="I483" i="19"/>
  <c r="J482" i="19"/>
  <c r="I482" i="19"/>
  <c r="J481" i="19"/>
  <c r="I481" i="19"/>
  <c r="J480" i="19"/>
  <c r="I480" i="19"/>
  <c r="J479" i="19"/>
  <c r="I479" i="19"/>
  <c r="J478" i="19"/>
  <c r="I478" i="19"/>
  <c r="J477" i="19"/>
  <c r="I477" i="19"/>
  <c r="J476" i="19"/>
  <c r="I476" i="19"/>
  <c r="J475" i="19"/>
  <c r="I475" i="19"/>
  <c r="J474" i="19"/>
  <c r="I474" i="19"/>
  <c r="J473" i="19"/>
  <c r="I473" i="19"/>
  <c r="J472" i="19"/>
  <c r="I472" i="19"/>
  <c r="J471" i="19"/>
  <c r="I471" i="19"/>
  <c r="J470" i="19"/>
  <c r="I470" i="19"/>
  <c r="J469" i="19"/>
  <c r="I469" i="19"/>
  <c r="J468" i="19"/>
  <c r="I468" i="19"/>
  <c r="J467" i="19"/>
  <c r="I467" i="19"/>
  <c r="J466" i="19"/>
  <c r="I466" i="19"/>
  <c r="J465" i="19"/>
  <c r="I465" i="19"/>
  <c r="J464" i="19"/>
  <c r="I464" i="19"/>
  <c r="J463" i="19"/>
  <c r="I463" i="19"/>
  <c r="J462" i="19"/>
  <c r="I462" i="19"/>
  <c r="J461" i="19"/>
  <c r="I461" i="19"/>
  <c r="J460" i="19"/>
  <c r="I460" i="19"/>
  <c r="J459" i="19"/>
  <c r="I459" i="19"/>
  <c r="J458" i="19"/>
  <c r="I458" i="19"/>
  <c r="J457" i="19"/>
  <c r="I457" i="19"/>
  <c r="J456" i="19"/>
  <c r="I456" i="19"/>
  <c r="J455" i="19"/>
  <c r="I455" i="19"/>
  <c r="J454" i="19"/>
  <c r="I454" i="19"/>
  <c r="J453" i="19"/>
  <c r="I453" i="19"/>
  <c r="J452" i="19"/>
  <c r="I452" i="19"/>
  <c r="J451" i="19"/>
  <c r="I451" i="19"/>
  <c r="J450" i="19"/>
  <c r="I450" i="19"/>
  <c r="J449" i="19"/>
  <c r="I449" i="19"/>
  <c r="J448" i="19"/>
  <c r="I448" i="19"/>
  <c r="J447" i="19"/>
  <c r="I447" i="19"/>
  <c r="J446" i="19"/>
  <c r="I446" i="19"/>
  <c r="J445" i="19"/>
  <c r="I445" i="19"/>
  <c r="J444" i="19"/>
  <c r="I444" i="19"/>
  <c r="J443" i="19"/>
  <c r="I443" i="19"/>
  <c r="J442" i="19"/>
  <c r="I442" i="19"/>
  <c r="J441" i="19"/>
  <c r="I441" i="19"/>
  <c r="J440" i="19"/>
  <c r="I440" i="19"/>
  <c r="J439" i="19"/>
  <c r="I439" i="19"/>
  <c r="J438" i="19"/>
  <c r="I438" i="19"/>
  <c r="J437" i="19"/>
  <c r="I437" i="19"/>
  <c r="J436" i="19"/>
  <c r="I436" i="19"/>
  <c r="J435" i="19"/>
  <c r="I435" i="19"/>
  <c r="J434" i="19"/>
  <c r="I434" i="19"/>
  <c r="J433" i="19"/>
  <c r="I433" i="19"/>
  <c r="J432" i="19"/>
  <c r="I432" i="19"/>
  <c r="J431" i="19"/>
  <c r="I431" i="19"/>
  <c r="J430" i="19"/>
  <c r="I430" i="19"/>
  <c r="J429" i="19"/>
  <c r="I429" i="19"/>
  <c r="J428" i="19"/>
  <c r="I428" i="19"/>
  <c r="J427" i="19"/>
  <c r="I427" i="19"/>
  <c r="J426" i="19"/>
  <c r="I426" i="19"/>
  <c r="J425" i="19"/>
  <c r="I425" i="19"/>
  <c r="J424" i="19"/>
  <c r="I424" i="19"/>
  <c r="J423" i="19"/>
  <c r="I423" i="19"/>
  <c r="J422" i="19"/>
  <c r="I422" i="19"/>
  <c r="J421" i="19"/>
  <c r="I421" i="19"/>
  <c r="J420" i="19"/>
  <c r="I420" i="19"/>
  <c r="J419" i="19"/>
  <c r="I419" i="19"/>
  <c r="J418" i="19"/>
  <c r="I418" i="19"/>
  <c r="J417" i="19"/>
  <c r="I417" i="19"/>
  <c r="J416" i="19"/>
  <c r="I416" i="19"/>
  <c r="J415" i="19"/>
  <c r="I415" i="19"/>
  <c r="J414" i="19"/>
  <c r="I414" i="19"/>
  <c r="J413" i="19"/>
  <c r="I413" i="19"/>
  <c r="J412" i="19"/>
  <c r="I412" i="19"/>
  <c r="J411" i="19"/>
  <c r="I411" i="19"/>
  <c r="J410" i="19"/>
  <c r="I410" i="19"/>
  <c r="J409" i="19"/>
  <c r="I409" i="19"/>
  <c r="J408" i="19"/>
  <c r="I408" i="19"/>
  <c r="J407" i="19"/>
  <c r="I407" i="19"/>
  <c r="J406" i="19"/>
  <c r="I406" i="19"/>
  <c r="J405" i="19"/>
  <c r="I405" i="19"/>
  <c r="J404" i="19"/>
  <c r="I404" i="19"/>
  <c r="J403" i="19"/>
  <c r="I403" i="19"/>
  <c r="J402" i="19"/>
  <c r="I402" i="19"/>
  <c r="J401" i="19"/>
  <c r="I401" i="19"/>
  <c r="J400" i="19"/>
  <c r="I400" i="19"/>
  <c r="J399" i="19"/>
  <c r="I399" i="19"/>
  <c r="J398" i="19"/>
  <c r="I398" i="19"/>
  <c r="J397" i="19"/>
  <c r="I397" i="19"/>
  <c r="J396" i="19"/>
  <c r="I396" i="19"/>
  <c r="J395" i="19"/>
  <c r="I395" i="19"/>
  <c r="J394" i="19"/>
  <c r="I394" i="19"/>
  <c r="J393" i="19"/>
  <c r="I393" i="19"/>
  <c r="J392" i="19"/>
  <c r="I392" i="19"/>
  <c r="J391" i="19"/>
  <c r="I391" i="19"/>
  <c r="J390" i="19"/>
  <c r="I390" i="19"/>
  <c r="J389" i="19"/>
  <c r="I389" i="19"/>
  <c r="J388" i="19"/>
  <c r="I388" i="19"/>
  <c r="J387" i="19"/>
  <c r="I387" i="19"/>
  <c r="J386" i="19"/>
  <c r="I386" i="19"/>
  <c r="J385" i="19"/>
  <c r="I385" i="19"/>
  <c r="J384" i="19"/>
  <c r="I384" i="19"/>
  <c r="J383" i="19"/>
  <c r="I383" i="19"/>
  <c r="J382" i="19"/>
  <c r="I382" i="19"/>
  <c r="J381" i="19"/>
  <c r="I381" i="19"/>
  <c r="J380" i="19"/>
  <c r="I380" i="19"/>
  <c r="J379" i="19"/>
  <c r="I379" i="19"/>
  <c r="J378" i="19"/>
  <c r="I378" i="19"/>
  <c r="J377" i="19"/>
  <c r="I377" i="19"/>
  <c r="J376" i="19"/>
  <c r="I376" i="19"/>
  <c r="J375" i="19"/>
  <c r="I375" i="19"/>
  <c r="J374" i="19"/>
  <c r="I374" i="19"/>
  <c r="J373" i="19"/>
  <c r="I373" i="19"/>
  <c r="J372" i="19"/>
  <c r="I372" i="19"/>
  <c r="J371" i="19"/>
  <c r="I371" i="19"/>
  <c r="J370" i="19"/>
  <c r="I370" i="19"/>
  <c r="J369" i="19"/>
  <c r="I369" i="19"/>
  <c r="J368" i="19"/>
  <c r="I368" i="19"/>
  <c r="J367" i="19"/>
  <c r="I367" i="19"/>
  <c r="J366" i="19"/>
  <c r="I366" i="19"/>
  <c r="J365" i="19"/>
  <c r="I365" i="19"/>
  <c r="J364" i="19"/>
  <c r="I364" i="19"/>
  <c r="J363" i="19"/>
  <c r="I363" i="19"/>
  <c r="J362" i="19"/>
  <c r="I362" i="19"/>
  <c r="J361" i="19"/>
  <c r="I361" i="19"/>
  <c r="J360" i="19"/>
  <c r="I360" i="19"/>
  <c r="J359" i="19"/>
  <c r="I359" i="19"/>
  <c r="J358" i="19"/>
  <c r="I358" i="19"/>
  <c r="J357" i="19"/>
  <c r="I357" i="19"/>
  <c r="J356" i="19"/>
  <c r="I356" i="19"/>
  <c r="J355" i="19"/>
  <c r="I355" i="19"/>
  <c r="J354" i="19"/>
  <c r="I354" i="19"/>
  <c r="J353" i="19"/>
  <c r="I353" i="19"/>
  <c r="J352" i="19"/>
  <c r="I352" i="19"/>
  <c r="J351" i="19"/>
  <c r="I351" i="19"/>
  <c r="J350" i="19"/>
  <c r="I350" i="19"/>
  <c r="J349" i="19"/>
  <c r="I349" i="19"/>
  <c r="J348" i="19"/>
  <c r="I348" i="19"/>
  <c r="J347" i="19"/>
  <c r="I347" i="19"/>
  <c r="J346" i="19"/>
  <c r="I346" i="19"/>
  <c r="J345" i="19"/>
  <c r="I345" i="19"/>
  <c r="J344" i="19"/>
  <c r="I344" i="19"/>
  <c r="J343" i="19"/>
  <c r="I343" i="19"/>
  <c r="J342" i="19"/>
  <c r="I342" i="19"/>
  <c r="J341" i="19"/>
  <c r="I341" i="19"/>
  <c r="J340" i="19"/>
  <c r="I340" i="19"/>
  <c r="J339" i="19"/>
  <c r="I339" i="19"/>
  <c r="J338" i="19"/>
  <c r="I338" i="19"/>
  <c r="J337" i="19"/>
  <c r="I337" i="19"/>
  <c r="J336" i="19"/>
  <c r="I336" i="19"/>
  <c r="J335" i="19"/>
  <c r="I335" i="19"/>
  <c r="J334" i="19"/>
  <c r="I334" i="19"/>
  <c r="J333" i="19"/>
  <c r="I333" i="19"/>
  <c r="J332" i="19"/>
  <c r="I332" i="19"/>
  <c r="J331" i="19"/>
  <c r="I331" i="19"/>
  <c r="J330" i="19"/>
  <c r="I330" i="19"/>
  <c r="J329" i="19"/>
  <c r="I329" i="19"/>
  <c r="J328" i="19"/>
  <c r="I328" i="19"/>
  <c r="J327" i="19"/>
  <c r="I327" i="19"/>
  <c r="J326" i="19"/>
  <c r="I326" i="19"/>
  <c r="J325" i="19"/>
  <c r="I325" i="19"/>
  <c r="J324" i="19"/>
  <c r="I324" i="19"/>
  <c r="J323" i="19"/>
  <c r="I323" i="19"/>
  <c r="J322" i="19"/>
  <c r="I322" i="19"/>
  <c r="J321" i="19"/>
  <c r="I321" i="19"/>
  <c r="J320" i="19"/>
  <c r="I320" i="19"/>
  <c r="J319" i="19"/>
  <c r="I319" i="19"/>
  <c r="J318" i="19"/>
  <c r="I318" i="19"/>
  <c r="J317" i="19"/>
  <c r="I317" i="19"/>
  <c r="J316" i="19"/>
  <c r="I316" i="19"/>
  <c r="J315" i="19"/>
  <c r="I315" i="19"/>
  <c r="J314" i="19"/>
  <c r="I314" i="19"/>
  <c r="J313" i="19"/>
  <c r="I313" i="19"/>
  <c r="J312" i="19"/>
  <c r="I312" i="19"/>
  <c r="J311" i="19"/>
  <c r="I311" i="19"/>
  <c r="J310" i="19"/>
  <c r="I310" i="19"/>
  <c r="J309" i="19"/>
  <c r="I309" i="19"/>
  <c r="J308" i="19"/>
  <c r="I308" i="19"/>
  <c r="J307" i="19"/>
  <c r="I307" i="19"/>
  <c r="J306" i="19"/>
  <c r="I306" i="19"/>
  <c r="J305" i="19"/>
  <c r="I305" i="19"/>
  <c r="J304" i="19"/>
  <c r="I304" i="19"/>
  <c r="J303" i="19"/>
  <c r="I303" i="19"/>
  <c r="J302" i="19"/>
  <c r="I302" i="19"/>
  <c r="J301" i="19"/>
  <c r="I301" i="19"/>
  <c r="J300" i="19"/>
  <c r="I300" i="19"/>
  <c r="J299" i="19"/>
  <c r="I299" i="19"/>
  <c r="J298" i="19"/>
  <c r="I298" i="19"/>
  <c r="J297" i="19"/>
  <c r="I297" i="19"/>
  <c r="J296" i="19"/>
  <c r="I296" i="19"/>
  <c r="J295" i="19"/>
  <c r="I295" i="19"/>
  <c r="J294" i="19"/>
  <c r="I294" i="19"/>
  <c r="J293" i="19"/>
  <c r="I293" i="19"/>
  <c r="J292" i="19"/>
  <c r="I292" i="19"/>
  <c r="J291" i="19"/>
  <c r="I291" i="19"/>
  <c r="J290" i="19"/>
  <c r="I290" i="19"/>
  <c r="J289" i="19"/>
  <c r="I289" i="19"/>
  <c r="J288" i="19"/>
  <c r="I288" i="19"/>
  <c r="J287" i="19"/>
  <c r="I287" i="19"/>
  <c r="J286" i="19"/>
  <c r="I286" i="19"/>
  <c r="J285" i="19"/>
  <c r="I285" i="19"/>
  <c r="J284" i="19"/>
  <c r="I284" i="19"/>
  <c r="J283" i="19"/>
  <c r="I283" i="19"/>
  <c r="J282" i="19"/>
  <c r="I282" i="19"/>
  <c r="J281" i="19"/>
  <c r="I281" i="19"/>
  <c r="J280" i="19"/>
  <c r="I280" i="19"/>
  <c r="J279" i="19"/>
  <c r="I279" i="19"/>
  <c r="J278" i="19"/>
  <c r="I278" i="19"/>
  <c r="J277" i="19"/>
  <c r="I277" i="19"/>
  <c r="J276" i="19"/>
  <c r="I276" i="19"/>
  <c r="J275" i="19"/>
  <c r="I275" i="19"/>
  <c r="J274" i="19"/>
  <c r="I274" i="19"/>
  <c r="J273" i="19"/>
  <c r="I273" i="19"/>
  <c r="J272" i="19"/>
  <c r="I272" i="19"/>
  <c r="J271" i="19"/>
  <c r="I271" i="19"/>
  <c r="J270" i="19"/>
  <c r="I270" i="19"/>
  <c r="J269" i="19"/>
  <c r="I269" i="19"/>
  <c r="J268" i="19"/>
  <c r="I268" i="19"/>
  <c r="J267" i="19"/>
  <c r="I267" i="19"/>
  <c r="J266" i="19"/>
  <c r="I266" i="19"/>
  <c r="J265" i="19"/>
  <c r="I265" i="19"/>
  <c r="J264" i="19"/>
  <c r="I264" i="19"/>
  <c r="J263" i="19"/>
  <c r="I263" i="19"/>
  <c r="J262" i="19"/>
  <c r="I262" i="19"/>
  <c r="J261" i="19"/>
  <c r="I261" i="19"/>
  <c r="J260" i="19"/>
  <c r="I260" i="19"/>
  <c r="J259" i="19"/>
  <c r="I259" i="19"/>
  <c r="J258" i="19"/>
  <c r="I258" i="19"/>
  <c r="J257" i="19"/>
  <c r="I257" i="19"/>
  <c r="J256" i="19"/>
  <c r="I256" i="19"/>
  <c r="J255" i="19"/>
  <c r="I255" i="19"/>
  <c r="J254" i="19"/>
  <c r="I254" i="19"/>
  <c r="J253" i="19"/>
  <c r="I253" i="19"/>
  <c r="J252" i="19"/>
  <c r="I252" i="19"/>
  <c r="J251" i="19"/>
  <c r="I251" i="19"/>
  <c r="J250" i="19"/>
  <c r="I250" i="19"/>
  <c r="J249" i="19"/>
  <c r="I249" i="19"/>
  <c r="J248" i="19"/>
  <c r="I248" i="19"/>
  <c r="J247" i="19"/>
  <c r="I247" i="19"/>
  <c r="J246" i="19"/>
  <c r="I246" i="19"/>
  <c r="J245" i="19"/>
  <c r="I245" i="19"/>
  <c r="J244" i="19"/>
  <c r="I244" i="19"/>
  <c r="J243" i="19"/>
  <c r="I243" i="19"/>
  <c r="J242" i="19"/>
  <c r="I242" i="19"/>
  <c r="J241" i="19"/>
  <c r="I241" i="19"/>
  <c r="J240" i="19"/>
  <c r="I240" i="19"/>
  <c r="J239" i="19"/>
  <c r="I239" i="19"/>
  <c r="J238" i="19"/>
  <c r="I238" i="19"/>
  <c r="J237" i="19"/>
  <c r="I237" i="19"/>
  <c r="J236" i="19"/>
  <c r="I236" i="19"/>
  <c r="J235" i="19"/>
  <c r="I235" i="19"/>
  <c r="J234" i="19"/>
  <c r="I234" i="19"/>
  <c r="J233" i="19"/>
  <c r="I233" i="19"/>
  <c r="J232" i="19"/>
  <c r="I232" i="19"/>
  <c r="J231" i="19"/>
  <c r="I231" i="19"/>
  <c r="J230" i="19"/>
  <c r="I230" i="19"/>
  <c r="J229" i="19"/>
  <c r="I229" i="19"/>
  <c r="J228" i="19"/>
  <c r="I228" i="19"/>
  <c r="J227" i="19"/>
  <c r="I227" i="19"/>
  <c r="J226" i="19"/>
  <c r="I226" i="19"/>
  <c r="J225" i="19"/>
  <c r="I225" i="19"/>
  <c r="J224" i="19"/>
  <c r="I224" i="19"/>
  <c r="J223" i="19"/>
  <c r="I223" i="19"/>
  <c r="J222" i="19"/>
  <c r="I222" i="19"/>
  <c r="J221" i="19"/>
  <c r="I221" i="19"/>
  <c r="J220" i="19"/>
  <c r="I220" i="19"/>
  <c r="J219" i="19"/>
  <c r="I219" i="19"/>
  <c r="J218" i="19"/>
  <c r="I218" i="19"/>
  <c r="J217" i="19"/>
  <c r="I217" i="19"/>
  <c r="J216" i="19"/>
  <c r="I216" i="19"/>
  <c r="J215" i="19"/>
  <c r="I215" i="19"/>
  <c r="J214" i="19"/>
  <c r="I214" i="19"/>
  <c r="J213" i="19"/>
  <c r="I213" i="19"/>
  <c r="J212" i="19"/>
  <c r="I212" i="19"/>
  <c r="J211" i="19"/>
  <c r="I211" i="19"/>
  <c r="J210" i="19"/>
  <c r="I210" i="19"/>
  <c r="J209" i="19"/>
  <c r="I209" i="19"/>
  <c r="J208" i="19"/>
  <c r="I208" i="19"/>
  <c r="J207" i="19"/>
  <c r="I207" i="19"/>
  <c r="J206" i="19"/>
  <c r="I206" i="19"/>
  <c r="J205" i="19"/>
  <c r="I205" i="19"/>
  <c r="J204" i="19"/>
  <c r="I204" i="19"/>
  <c r="J203" i="19"/>
  <c r="I203" i="19"/>
  <c r="J202" i="19"/>
  <c r="I202" i="19"/>
  <c r="J201" i="19"/>
  <c r="I201" i="19"/>
  <c r="J200" i="19"/>
  <c r="I200" i="19"/>
  <c r="J199" i="19"/>
  <c r="I199" i="19"/>
  <c r="J198" i="19"/>
  <c r="I198" i="19"/>
  <c r="J197" i="19"/>
  <c r="I197" i="19"/>
  <c r="J196" i="19"/>
  <c r="I196" i="19"/>
  <c r="J195" i="19"/>
  <c r="I195" i="19"/>
  <c r="J194" i="19"/>
  <c r="I194" i="19"/>
  <c r="J193" i="19"/>
  <c r="I193" i="19"/>
  <c r="J192" i="19"/>
  <c r="I192" i="19"/>
  <c r="J191" i="19"/>
  <c r="I191" i="19"/>
  <c r="J190" i="19"/>
  <c r="I190" i="19"/>
  <c r="J189" i="19"/>
  <c r="I189" i="19"/>
  <c r="J188" i="19"/>
  <c r="I188" i="19"/>
  <c r="J187" i="19"/>
  <c r="I187" i="19"/>
  <c r="J186" i="19"/>
  <c r="I186" i="19"/>
  <c r="J185" i="19"/>
  <c r="I185" i="19"/>
  <c r="J184" i="19"/>
  <c r="I184" i="19"/>
  <c r="J183" i="19"/>
  <c r="I183" i="19"/>
  <c r="J182" i="19"/>
  <c r="I182" i="19"/>
  <c r="J181" i="19"/>
  <c r="I181" i="19"/>
  <c r="J180" i="19"/>
  <c r="I180" i="19"/>
  <c r="J179" i="19"/>
  <c r="I179" i="19"/>
  <c r="J178" i="19"/>
  <c r="I178" i="19"/>
  <c r="J177" i="19"/>
  <c r="I177" i="19"/>
  <c r="J176" i="19"/>
  <c r="I176" i="19"/>
  <c r="J175" i="19"/>
  <c r="I175" i="19"/>
  <c r="J174" i="19"/>
  <c r="I174" i="19"/>
  <c r="J173" i="19"/>
  <c r="I173" i="19"/>
  <c r="J172" i="19"/>
  <c r="I172" i="19"/>
  <c r="J171" i="19"/>
  <c r="I171" i="19"/>
  <c r="J170" i="19"/>
  <c r="I170" i="19"/>
  <c r="J169" i="19"/>
  <c r="I169" i="19"/>
  <c r="J168" i="19"/>
  <c r="I168" i="19"/>
  <c r="J167" i="19"/>
  <c r="I167" i="19"/>
  <c r="J166" i="19"/>
  <c r="I166" i="19"/>
  <c r="J165" i="19"/>
  <c r="I165" i="19"/>
  <c r="J164" i="19"/>
  <c r="I164" i="19"/>
  <c r="J163" i="19"/>
  <c r="I163" i="19"/>
  <c r="J162" i="19"/>
  <c r="I162" i="19"/>
  <c r="J161" i="19"/>
  <c r="I161" i="19"/>
  <c r="J160" i="19"/>
  <c r="I160" i="19"/>
  <c r="J159" i="19"/>
  <c r="I159" i="19"/>
  <c r="J158" i="19"/>
  <c r="I158" i="19"/>
  <c r="J157" i="19"/>
  <c r="I157" i="19"/>
  <c r="J156" i="19"/>
  <c r="I156" i="19"/>
  <c r="J155" i="19"/>
  <c r="I155" i="19"/>
  <c r="J154" i="19"/>
  <c r="I154" i="19"/>
  <c r="J153" i="19"/>
  <c r="I153" i="19"/>
  <c r="J152" i="19"/>
  <c r="I152" i="19"/>
  <c r="J151" i="19"/>
  <c r="I151" i="19"/>
  <c r="J150" i="19"/>
  <c r="I150" i="19"/>
  <c r="J149" i="19"/>
  <c r="I149" i="19"/>
  <c r="J148" i="19"/>
  <c r="I148" i="19"/>
  <c r="J147" i="19"/>
  <c r="I147" i="19"/>
  <c r="J146" i="19"/>
  <c r="I146" i="19"/>
  <c r="J145" i="19"/>
  <c r="I145" i="19"/>
  <c r="J144" i="19"/>
  <c r="I144" i="19"/>
  <c r="J143" i="19"/>
  <c r="I143" i="19"/>
  <c r="J142" i="19"/>
  <c r="I142" i="19"/>
  <c r="J141" i="19"/>
  <c r="I141" i="19"/>
  <c r="J140" i="19"/>
  <c r="I140" i="19"/>
  <c r="J139" i="19"/>
  <c r="I139" i="19"/>
  <c r="J138" i="19"/>
  <c r="I138" i="19"/>
  <c r="J137" i="19"/>
  <c r="I137" i="19"/>
  <c r="J136" i="19"/>
  <c r="I136" i="19"/>
  <c r="J135" i="19"/>
  <c r="I135" i="19"/>
  <c r="J134" i="19"/>
  <c r="I134" i="19"/>
  <c r="J133" i="19"/>
  <c r="I133" i="19"/>
  <c r="J132" i="19"/>
  <c r="I132" i="19"/>
  <c r="J131" i="19"/>
  <c r="I131" i="19"/>
  <c r="J130" i="19"/>
  <c r="I130" i="19"/>
  <c r="J129" i="19"/>
  <c r="I129" i="19"/>
  <c r="J128" i="19"/>
  <c r="I128" i="19"/>
  <c r="J127" i="19"/>
  <c r="I127" i="19"/>
  <c r="J126" i="19"/>
  <c r="I126" i="19"/>
  <c r="J125" i="19"/>
  <c r="I125" i="19"/>
  <c r="J124" i="19"/>
  <c r="I124" i="19"/>
  <c r="J123" i="19"/>
  <c r="I123" i="19"/>
  <c r="J122" i="19"/>
  <c r="I122" i="19"/>
  <c r="J121" i="19"/>
  <c r="I121" i="19"/>
  <c r="J120" i="19"/>
  <c r="I120" i="19"/>
  <c r="J119" i="19"/>
  <c r="I119" i="19"/>
  <c r="J118" i="19"/>
  <c r="I118" i="19"/>
  <c r="J117" i="19"/>
  <c r="I117" i="19"/>
  <c r="J116" i="19"/>
  <c r="I116" i="19"/>
  <c r="J115" i="19"/>
  <c r="I115" i="19"/>
  <c r="J114" i="19"/>
  <c r="I114" i="19"/>
  <c r="J113" i="19"/>
  <c r="I113" i="19"/>
  <c r="J112" i="19"/>
  <c r="I112" i="19"/>
  <c r="J111" i="19"/>
  <c r="I111" i="19"/>
  <c r="J110" i="19"/>
  <c r="I110" i="19"/>
  <c r="J109" i="19"/>
  <c r="I109" i="19"/>
  <c r="J108" i="19"/>
  <c r="I108" i="19"/>
  <c r="J107" i="19"/>
  <c r="I107" i="19"/>
  <c r="J106" i="19"/>
  <c r="I106" i="19"/>
  <c r="J105" i="19"/>
  <c r="I105" i="19"/>
  <c r="J104" i="19"/>
  <c r="I104" i="19"/>
  <c r="J103" i="19"/>
  <c r="I103" i="19"/>
  <c r="J102" i="19"/>
  <c r="I102" i="19"/>
  <c r="J101" i="19"/>
  <c r="I101" i="19"/>
  <c r="J100" i="19"/>
  <c r="I100" i="19"/>
  <c r="J99" i="19"/>
  <c r="I99" i="19"/>
  <c r="J98" i="19"/>
  <c r="I98" i="19"/>
  <c r="J97" i="19"/>
  <c r="I97" i="19"/>
  <c r="J96" i="19"/>
  <c r="I96" i="19"/>
  <c r="J95" i="19"/>
  <c r="I95" i="19"/>
  <c r="J94" i="19"/>
  <c r="I94" i="19"/>
  <c r="J93" i="19"/>
  <c r="I93" i="19"/>
  <c r="J92" i="19"/>
  <c r="I92" i="19"/>
  <c r="J91" i="19"/>
  <c r="I91" i="19"/>
  <c r="J90" i="19"/>
  <c r="I90" i="19"/>
  <c r="J89" i="19"/>
  <c r="I89" i="19"/>
  <c r="J88" i="19"/>
  <c r="I88" i="19"/>
  <c r="J87" i="19"/>
  <c r="I87" i="19"/>
  <c r="J86" i="19"/>
  <c r="I86" i="19"/>
  <c r="J85" i="19"/>
  <c r="I85" i="19"/>
  <c r="J84" i="19"/>
  <c r="I84" i="19"/>
  <c r="J83" i="19"/>
  <c r="I83" i="19"/>
  <c r="J82" i="19"/>
  <c r="I82" i="19"/>
  <c r="J81" i="19"/>
  <c r="I81" i="19"/>
  <c r="J80" i="19"/>
  <c r="I80" i="19"/>
  <c r="J79" i="19"/>
  <c r="I79" i="19"/>
  <c r="J78" i="19"/>
  <c r="I78" i="19"/>
  <c r="J77" i="19"/>
  <c r="I77" i="19"/>
  <c r="J76" i="19"/>
  <c r="I76" i="19"/>
  <c r="J75" i="19"/>
  <c r="I75" i="19"/>
  <c r="J74" i="19"/>
  <c r="I74" i="19"/>
  <c r="J73" i="19"/>
  <c r="I73" i="19"/>
  <c r="J72" i="19"/>
  <c r="I72" i="19"/>
  <c r="J71" i="19"/>
  <c r="I71" i="19"/>
  <c r="J70" i="19"/>
  <c r="I70" i="19"/>
  <c r="J69" i="19"/>
  <c r="I69" i="19"/>
  <c r="J68" i="19"/>
  <c r="I68" i="19"/>
  <c r="J67" i="19"/>
  <c r="I67" i="19"/>
  <c r="J66" i="19"/>
  <c r="I66" i="19"/>
  <c r="J65" i="19"/>
  <c r="I65" i="19"/>
  <c r="J64" i="19"/>
  <c r="I64" i="19"/>
  <c r="J63" i="19"/>
  <c r="I63" i="19"/>
  <c r="J62" i="19"/>
  <c r="I62" i="19"/>
  <c r="J61" i="19"/>
  <c r="I61" i="19"/>
  <c r="J60" i="19"/>
  <c r="I60" i="19"/>
  <c r="J59" i="19"/>
  <c r="I59" i="19"/>
  <c r="J58" i="19"/>
  <c r="I58" i="19"/>
  <c r="J57" i="19"/>
  <c r="I57" i="19"/>
  <c r="J56" i="19"/>
  <c r="I56" i="19"/>
  <c r="J55" i="19"/>
  <c r="I55" i="19"/>
  <c r="J54" i="19"/>
  <c r="I54" i="19"/>
  <c r="J53" i="19"/>
  <c r="I53" i="19"/>
  <c r="J52" i="19"/>
  <c r="I52" i="19"/>
  <c r="J51" i="19"/>
  <c r="I51" i="19"/>
  <c r="J50" i="19"/>
  <c r="I50" i="19"/>
  <c r="J49" i="19"/>
  <c r="I49" i="19"/>
  <c r="J48" i="19"/>
  <c r="I48" i="19"/>
  <c r="J47" i="19"/>
  <c r="I47" i="19"/>
  <c r="J46" i="19"/>
  <c r="I46" i="19"/>
  <c r="J45" i="19"/>
  <c r="I45" i="19"/>
  <c r="J44" i="19"/>
  <c r="I44" i="19"/>
  <c r="J43" i="19"/>
  <c r="I43" i="19"/>
  <c r="J42" i="19"/>
  <c r="I42" i="19"/>
  <c r="J41" i="19"/>
  <c r="I41" i="19"/>
  <c r="J40" i="19"/>
  <c r="I40" i="19"/>
  <c r="J39" i="19"/>
  <c r="I39" i="19"/>
  <c r="J38" i="19"/>
  <c r="I38" i="19"/>
  <c r="J37" i="19"/>
  <c r="I37" i="19"/>
  <c r="J36" i="19"/>
  <c r="I36" i="19"/>
  <c r="J35" i="19"/>
  <c r="I35" i="19"/>
  <c r="J34" i="19"/>
  <c r="I34" i="19"/>
  <c r="J33" i="19"/>
  <c r="I33" i="19"/>
  <c r="J32" i="19"/>
  <c r="I32" i="19"/>
  <c r="J31" i="19"/>
  <c r="I31" i="19"/>
  <c r="J30" i="19"/>
  <c r="I30" i="19"/>
  <c r="J29" i="19"/>
  <c r="I29" i="19"/>
  <c r="J28" i="19"/>
  <c r="I28" i="19"/>
  <c r="J27" i="19"/>
  <c r="I27" i="19"/>
  <c r="J26" i="19"/>
  <c r="I26" i="19"/>
  <c r="J25" i="19"/>
  <c r="I25" i="19"/>
  <c r="J24" i="19"/>
  <c r="I24" i="19"/>
  <c r="J23" i="19"/>
  <c r="I23" i="19"/>
  <c r="J22" i="19"/>
  <c r="I22" i="19"/>
  <c r="J21" i="19"/>
  <c r="I21" i="19"/>
  <c r="J20" i="19"/>
  <c r="I20" i="19"/>
  <c r="J19" i="19"/>
  <c r="I19" i="19"/>
  <c r="J18" i="19"/>
  <c r="I18" i="19"/>
  <c r="J17" i="19"/>
  <c r="I17" i="19"/>
  <c r="J16" i="19"/>
  <c r="I16" i="19"/>
  <c r="J15" i="19"/>
  <c r="I15" i="19"/>
  <c r="J14" i="19"/>
  <c r="I14" i="19"/>
  <c r="J13" i="19"/>
  <c r="I13" i="19"/>
  <c r="J12" i="19"/>
  <c r="I12" i="19"/>
  <c r="J11" i="19"/>
  <c r="I11" i="19"/>
  <c r="J10" i="19"/>
  <c r="I10" i="19"/>
  <c r="J9" i="19"/>
  <c r="I9" i="19"/>
  <c r="J8" i="19"/>
  <c r="I8" i="19"/>
  <c r="J7" i="19"/>
  <c r="I7" i="19"/>
  <c r="J6" i="19"/>
  <c r="I6" i="19"/>
  <c r="J3" i="19"/>
  <c r="H3" i="19"/>
  <c r="G3" i="19"/>
  <c r="K497" i="20"/>
  <c r="J497" i="20"/>
  <c r="K496" i="20"/>
  <c r="J496" i="20"/>
  <c r="K495" i="20"/>
  <c r="J495" i="20"/>
  <c r="K494" i="20"/>
  <c r="J494" i="20"/>
  <c r="K493" i="20"/>
  <c r="J493" i="20"/>
  <c r="K492" i="20"/>
  <c r="J492" i="20"/>
  <c r="K491" i="20"/>
  <c r="J491" i="20"/>
  <c r="K490" i="20"/>
  <c r="J490" i="20"/>
  <c r="K489" i="20"/>
  <c r="J489" i="20"/>
  <c r="K488" i="20"/>
  <c r="J488" i="20"/>
  <c r="K487" i="20"/>
  <c r="J487" i="20"/>
  <c r="K486" i="20"/>
  <c r="J486" i="20"/>
  <c r="K485" i="20"/>
  <c r="J485" i="20"/>
  <c r="K484" i="20"/>
  <c r="J484" i="20"/>
  <c r="K483" i="20"/>
  <c r="J483" i="20"/>
  <c r="K482" i="20"/>
  <c r="J482" i="20"/>
  <c r="K481" i="20"/>
  <c r="J481" i="20"/>
  <c r="K480" i="20"/>
  <c r="J480" i="20"/>
  <c r="K479" i="20"/>
  <c r="J479" i="20"/>
  <c r="K478" i="20"/>
  <c r="J478" i="20"/>
  <c r="K477" i="20"/>
  <c r="J477" i="20"/>
  <c r="K476" i="20"/>
  <c r="J476" i="20"/>
  <c r="K475" i="20"/>
  <c r="J475" i="20"/>
  <c r="K474" i="20"/>
  <c r="J474" i="20"/>
  <c r="K473" i="20"/>
  <c r="J473" i="20"/>
  <c r="K472" i="20"/>
  <c r="J472" i="20"/>
  <c r="K471" i="20"/>
  <c r="J471" i="20"/>
  <c r="K470" i="20"/>
  <c r="J470" i="20"/>
  <c r="K469" i="20"/>
  <c r="J469" i="20"/>
  <c r="K468" i="20"/>
  <c r="J468" i="20"/>
  <c r="K467" i="20"/>
  <c r="J467" i="20"/>
  <c r="K466" i="20"/>
  <c r="J466" i="20"/>
  <c r="K465" i="20"/>
  <c r="J465" i="20"/>
  <c r="K464" i="20"/>
  <c r="J464" i="20"/>
  <c r="K463" i="20"/>
  <c r="J463" i="20"/>
  <c r="K462" i="20"/>
  <c r="J462" i="20"/>
  <c r="K461" i="20"/>
  <c r="J461" i="20"/>
  <c r="K460" i="20"/>
  <c r="J460" i="20"/>
  <c r="K459" i="20"/>
  <c r="J459" i="20"/>
  <c r="K458" i="20"/>
  <c r="J458" i="20"/>
  <c r="K457" i="20"/>
  <c r="J457" i="20"/>
  <c r="K456" i="20"/>
  <c r="J456" i="20"/>
  <c r="K455" i="20"/>
  <c r="J455" i="20"/>
  <c r="K454" i="20"/>
  <c r="J454" i="20"/>
  <c r="K453" i="20"/>
  <c r="J453" i="20"/>
  <c r="K452" i="20"/>
  <c r="J452" i="20"/>
  <c r="K451" i="20"/>
  <c r="J451" i="20"/>
  <c r="K450" i="20"/>
  <c r="J450" i="20"/>
  <c r="K449" i="20"/>
  <c r="J449" i="20"/>
  <c r="K448" i="20"/>
  <c r="J448" i="20"/>
  <c r="K447" i="20"/>
  <c r="J447" i="20"/>
  <c r="K446" i="20"/>
  <c r="J446" i="20"/>
  <c r="K445" i="20"/>
  <c r="J445" i="20"/>
  <c r="K444" i="20"/>
  <c r="J444" i="20"/>
  <c r="K443" i="20"/>
  <c r="J443" i="20"/>
  <c r="K442" i="20"/>
  <c r="J442" i="20"/>
  <c r="K441" i="20"/>
  <c r="J441" i="20"/>
  <c r="K440" i="20"/>
  <c r="J440" i="20"/>
  <c r="K439" i="20"/>
  <c r="J439" i="20"/>
  <c r="K438" i="20"/>
  <c r="J438" i="20"/>
  <c r="K437" i="20"/>
  <c r="J437" i="20"/>
  <c r="K436" i="20"/>
  <c r="J436" i="20"/>
  <c r="K435" i="20"/>
  <c r="J435" i="20"/>
  <c r="K434" i="20"/>
  <c r="J434" i="20"/>
  <c r="K433" i="20"/>
  <c r="J433" i="20"/>
  <c r="K432" i="20"/>
  <c r="J432" i="20"/>
  <c r="K431" i="20"/>
  <c r="J431" i="20"/>
  <c r="K430" i="20"/>
  <c r="J430" i="20"/>
  <c r="K429" i="20"/>
  <c r="J429" i="20"/>
  <c r="K428" i="20"/>
  <c r="J428" i="20"/>
  <c r="K427" i="20"/>
  <c r="J427" i="20"/>
  <c r="K426" i="20"/>
  <c r="J426" i="20"/>
  <c r="K425" i="20"/>
  <c r="J425" i="20"/>
  <c r="K424" i="20"/>
  <c r="J424" i="20"/>
  <c r="K423" i="20"/>
  <c r="J423" i="20"/>
  <c r="K422" i="20"/>
  <c r="J422" i="20"/>
  <c r="K421" i="20"/>
  <c r="J421" i="20"/>
  <c r="K420" i="20"/>
  <c r="J420" i="20"/>
  <c r="K419" i="20"/>
  <c r="J419" i="20"/>
  <c r="K418" i="20"/>
  <c r="J418" i="20"/>
  <c r="K417" i="20"/>
  <c r="J417" i="20"/>
  <c r="K416" i="20"/>
  <c r="J416" i="20"/>
  <c r="K415" i="20"/>
  <c r="J415" i="20"/>
  <c r="K414" i="20"/>
  <c r="J414" i="20"/>
  <c r="K413" i="20"/>
  <c r="J413" i="20"/>
  <c r="K412" i="20"/>
  <c r="J412" i="20"/>
  <c r="K411" i="20"/>
  <c r="J411" i="20"/>
  <c r="K410" i="20"/>
  <c r="J410" i="20"/>
  <c r="K409" i="20"/>
  <c r="J409" i="20"/>
  <c r="K408" i="20"/>
  <c r="J408" i="20"/>
  <c r="K407" i="20"/>
  <c r="J407" i="20"/>
  <c r="K406" i="20"/>
  <c r="J406" i="20"/>
  <c r="K405" i="20"/>
  <c r="J405" i="20"/>
  <c r="K404" i="20"/>
  <c r="J404" i="20"/>
  <c r="K403" i="20"/>
  <c r="J403" i="20"/>
  <c r="K402" i="20"/>
  <c r="J402" i="20"/>
  <c r="K401" i="20"/>
  <c r="J401" i="20"/>
  <c r="K400" i="20"/>
  <c r="J400" i="20"/>
  <c r="K399" i="20"/>
  <c r="J399" i="20"/>
  <c r="K398" i="20"/>
  <c r="J398" i="20"/>
  <c r="K397" i="20"/>
  <c r="J397" i="20"/>
  <c r="K396" i="20"/>
  <c r="J396" i="20"/>
  <c r="K395" i="20"/>
  <c r="J395" i="20"/>
  <c r="K394" i="20"/>
  <c r="J394" i="20"/>
  <c r="K393" i="20"/>
  <c r="J393" i="20"/>
  <c r="K392" i="20"/>
  <c r="J392" i="20"/>
  <c r="K391" i="20"/>
  <c r="J391" i="20"/>
  <c r="K390" i="20"/>
  <c r="J390" i="20"/>
  <c r="K389" i="20"/>
  <c r="J389" i="20"/>
  <c r="K388" i="20"/>
  <c r="J388" i="20"/>
  <c r="K387" i="20"/>
  <c r="J387" i="20"/>
  <c r="K386" i="20"/>
  <c r="J386" i="20"/>
  <c r="K385" i="20"/>
  <c r="J385" i="20"/>
  <c r="K384" i="20"/>
  <c r="J384" i="20"/>
  <c r="K383" i="20"/>
  <c r="J383" i="20"/>
  <c r="K382" i="20"/>
  <c r="J382" i="20"/>
  <c r="K381" i="20"/>
  <c r="J381" i="20"/>
  <c r="K380" i="20"/>
  <c r="J380" i="20"/>
  <c r="K379" i="20"/>
  <c r="J379" i="20"/>
  <c r="K378" i="20"/>
  <c r="J378" i="20"/>
  <c r="K377" i="20"/>
  <c r="J377" i="20"/>
  <c r="K376" i="20"/>
  <c r="J376" i="20"/>
  <c r="K375" i="20"/>
  <c r="J375" i="20"/>
  <c r="K374" i="20"/>
  <c r="J374" i="20"/>
  <c r="K373" i="20"/>
  <c r="J373" i="20"/>
  <c r="K372" i="20"/>
  <c r="J372" i="20"/>
  <c r="K371" i="20"/>
  <c r="J371" i="20"/>
  <c r="K370" i="20"/>
  <c r="J370" i="20"/>
  <c r="K369" i="20"/>
  <c r="J369" i="20"/>
  <c r="K368" i="20"/>
  <c r="J368" i="20"/>
  <c r="K367" i="20"/>
  <c r="J367" i="20"/>
  <c r="K366" i="20"/>
  <c r="J366" i="20"/>
  <c r="K365" i="20"/>
  <c r="J365" i="20"/>
  <c r="K364" i="20"/>
  <c r="J364" i="20"/>
  <c r="K363" i="20"/>
  <c r="J363" i="20"/>
  <c r="K362" i="20"/>
  <c r="J362" i="20"/>
  <c r="K361" i="20"/>
  <c r="J361" i="20"/>
  <c r="K360" i="20"/>
  <c r="J360" i="20"/>
  <c r="K359" i="20"/>
  <c r="J359" i="20"/>
  <c r="K358" i="20"/>
  <c r="J358" i="20"/>
  <c r="K357" i="20"/>
  <c r="J357" i="20"/>
  <c r="K356" i="20"/>
  <c r="J356" i="20"/>
  <c r="K355" i="20"/>
  <c r="J355" i="20"/>
  <c r="K354" i="20"/>
  <c r="J354" i="20"/>
  <c r="K353" i="20"/>
  <c r="J353" i="20"/>
  <c r="K352" i="20"/>
  <c r="J352" i="20"/>
  <c r="K351" i="20"/>
  <c r="J351" i="20"/>
  <c r="K350" i="20"/>
  <c r="J350" i="20"/>
  <c r="K349" i="20"/>
  <c r="J349" i="20"/>
  <c r="K348" i="20"/>
  <c r="J348" i="20"/>
  <c r="K347" i="20"/>
  <c r="J347" i="20"/>
  <c r="K346" i="20"/>
  <c r="J346" i="20"/>
  <c r="K345" i="20"/>
  <c r="J345" i="20"/>
  <c r="K344" i="20"/>
  <c r="J344" i="20"/>
  <c r="K343" i="20"/>
  <c r="J343" i="20"/>
  <c r="K342" i="20"/>
  <c r="J342" i="20"/>
  <c r="K341" i="20"/>
  <c r="J341" i="20"/>
  <c r="K340" i="20"/>
  <c r="J340" i="20"/>
  <c r="K339" i="20"/>
  <c r="J339" i="20"/>
  <c r="K338" i="20"/>
  <c r="J338" i="20"/>
  <c r="K337" i="20"/>
  <c r="J337" i="20"/>
  <c r="K336" i="20"/>
  <c r="J336" i="20"/>
  <c r="K335" i="20"/>
  <c r="J335" i="20"/>
  <c r="K334" i="20"/>
  <c r="J334" i="20"/>
  <c r="K333" i="20"/>
  <c r="J333" i="20"/>
  <c r="K332" i="20"/>
  <c r="J332" i="20"/>
  <c r="K331" i="20"/>
  <c r="J331" i="20"/>
  <c r="K330" i="20"/>
  <c r="J330" i="20"/>
  <c r="K329" i="20"/>
  <c r="J329" i="20"/>
  <c r="K328" i="20"/>
  <c r="J328" i="20"/>
  <c r="K327" i="20"/>
  <c r="J327" i="20"/>
  <c r="K326" i="20"/>
  <c r="J326" i="20"/>
  <c r="K325" i="20"/>
  <c r="J325" i="20"/>
  <c r="K324" i="20"/>
  <c r="J324" i="20"/>
  <c r="K323" i="20"/>
  <c r="J323" i="20"/>
  <c r="K322" i="20"/>
  <c r="J322" i="20"/>
  <c r="K321" i="20"/>
  <c r="J321" i="20"/>
  <c r="K320" i="20"/>
  <c r="J320" i="20"/>
  <c r="K319" i="20"/>
  <c r="J319" i="20"/>
  <c r="K318" i="20"/>
  <c r="J318" i="20"/>
  <c r="K317" i="20"/>
  <c r="J317" i="20"/>
  <c r="K316" i="20"/>
  <c r="J316" i="20"/>
  <c r="K315" i="20"/>
  <c r="J315" i="20"/>
  <c r="K314" i="20"/>
  <c r="J314" i="20"/>
  <c r="K313" i="20"/>
  <c r="J313" i="20"/>
  <c r="K312" i="20"/>
  <c r="J312" i="20"/>
  <c r="K311" i="20"/>
  <c r="J311" i="20"/>
  <c r="K310" i="20"/>
  <c r="J310" i="20"/>
  <c r="K309" i="20"/>
  <c r="J309" i="20"/>
  <c r="K308" i="20"/>
  <c r="J308" i="20"/>
  <c r="K307" i="20"/>
  <c r="J307" i="20"/>
  <c r="K306" i="20"/>
  <c r="J306" i="20"/>
  <c r="K305" i="20"/>
  <c r="J305" i="20"/>
  <c r="K304" i="20"/>
  <c r="J304" i="20"/>
  <c r="K303" i="20"/>
  <c r="J303" i="20"/>
  <c r="K302" i="20"/>
  <c r="J302" i="20"/>
  <c r="K301" i="20"/>
  <c r="J301" i="20"/>
  <c r="K300" i="20"/>
  <c r="J300" i="20"/>
  <c r="K299" i="20"/>
  <c r="J299" i="20"/>
  <c r="K298" i="20"/>
  <c r="J298" i="20"/>
  <c r="K297" i="20"/>
  <c r="J297" i="20"/>
  <c r="K296" i="20"/>
  <c r="J296" i="20"/>
  <c r="K295" i="20"/>
  <c r="J295" i="20"/>
  <c r="K294" i="20"/>
  <c r="J294" i="20"/>
  <c r="K293" i="20"/>
  <c r="J293" i="20"/>
  <c r="K292" i="20"/>
  <c r="J292" i="20"/>
  <c r="K291" i="20"/>
  <c r="J291" i="20"/>
  <c r="K290" i="20"/>
  <c r="J290" i="20"/>
  <c r="K289" i="20"/>
  <c r="J289" i="20"/>
  <c r="K288" i="20"/>
  <c r="J288" i="20"/>
  <c r="K287" i="20"/>
  <c r="J287" i="20"/>
  <c r="K286" i="20"/>
  <c r="J286" i="20"/>
  <c r="K285" i="20"/>
  <c r="J285" i="20"/>
  <c r="K284" i="20"/>
  <c r="J284" i="20"/>
  <c r="K283" i="20"/>
  <c r="J283" i="20"/>
  <c r="K282" i="20"/>
  <c r="J282" i="20"/>
  <c r="K281" i="20"/>
  <c r="J281" i="20"/>
  <c r="K280" i="20"/>
  <c r="J280" i="20"/>
  <c r="K279" i="20"/>
  <c r="J279" i="20"/>
  <c r="K278" i="20"/>
  <c r="J278" i="20"/>
  <c r="K277" i="20"/>
  <c r="J277" i="20"/>
  <c r="K276" i="20"/>
  <c r="J276" i="20"/>
  <c r="K275" i="20"/>
  <c r="J275" i="20"/>
  <c r="K274" i="20"/>
  <c r="J274" i="20"/>
  <c r="K273" i="20"/>
  <c r="J273" i="20"/>
  <c r="K272" i="20"/>
  <c r="J272" i="20"/>
  <c r="K271" i="20"/>
  <c r="J271" i="20"/>
  <c r="K270" i="20"/>
  <c r="J270" i="20"/>
  <c r="K269" i="20"/>
  <c r="J269" i="20"/>
  <c r="K268" i="20"/>
  <c r="J268" i="20"/>
  <c r="K267" i="20"/>
  <c r="J267" i="20"/>
  <c r="K266" i="20"/>
  <c r="J266" i="20"/>
  <c r="K265" i="20"/>
  <c r="J265" i="20"/>
  <c r="K264" i="20"/>
  <c r="J264" i="20"/>
  <c r="K263" i="20"/>
  <c r="J263" i="20"/>
  <c r="K262" i="20"/>
  <c r="J262" i="20"/>
  <c r="K261" i="20"/>
  <c r="J261" i="20"/>
  <c r="K260" i="20"/>
  <c r="J260" i="20"/>
  <c r="K259" i="20"/>
  <c r="J259" i="20"/>
  <c r="K258" i="20"/>
  <c r="J258" i="20"/>
  <c r="K257" i="20"/>
  <c r="J257" i="20"/>
  <c r="K256" i="20"/>
  <c r="J256" i="20"/>
  <c r="K255" i="20"/>
  <c r="J255" i="20"/>
  <c r="K254" i="20"/>
  <c r="J254" i="20"/>
  <c r="K253" i="20"/>
  <c r="J253" i="20"/>
  <c r="K252" i="20"/>
  <c r="J252" i="20"/>
  <c r="K251" i="20"/>
  <c r="J251" i="20"/>
  <c r="K250" i="20"/>
  <c r="J250" i="20"/>
  <c r="K249" i="20"/>
  <c r="J249" i="20"/>
  <c r="K248" i="20"/>
  <c r="J248" i="20"/>
  <c r="K247" i="20"/>
  <c r="J247" i="20"/>
  <c r="K246" i="20"/>
  <c r="J246" i="20"/>
  <c r="K245" i="20"/>
  <c r="J245" i="20"/>
  <c r="K244" i="20"/>
  <c r="J244" i="20"/>
  <c r="K243" i="20"/>
  <c r="J243" i="20"/>
  <c r="K242" i="20"/>
  <c r="J242" i="20"/>
  <c r="K241" i="20"/>
  <c r="J241" i="20"/>
  <c r="K240" i="20"/>
  <c r="J240" i="20"/>
  <c r="K239" i="20"/>
  <c r="J239" i="20"/>
  <c r="K238" i="20"/>
  <c r="J238" i="20"/>
  <c r="K237" i="20"/>
  <c r="J237" i="20"/>
  <c r="K236" i="20"/>
  <c r="J236" i="20"/>
  <c r="K235" i="20"/>
  <c r="J235" i="20"/>
  <c r="K234" i="20"/>
  <c r="J234" i="20"/>
  <c r="K233" i="20"/>
  <c r="J233" i="20"/>
  <c r="K232" i="20"/>
  <c r="J232" i="20"/>
  <c r="K231" i="20"/>
  <c r="J231" i="20"/>
  <c r="K230" i="20"/>
  <c r="J230" i="20"/>
  <c r="K229" i="20"/>
  <c r="J229" i="20"/>
  <c r="K228" i="20"/>
  <c r="J228" i="20"/>
  <c r="K227" i="20"/>
  <c r="J227" i="20"/>
  <c r="K226" i="20"/>
  <c r="J226" i="20"/>
  <c r="K225" i="20"/>
  <c r="J225" i="20"/>
  <c r="K224" i="20"/>
  <c r="J224" i="20"/>
  <c r="K223" i="20"/>
  <c r="J223" i="20"/>
  <c r="K222" i="20"/>
  <c r="J222" i="20"/>
  <c r="K221" i="20"/>
  <c r="J221" i="20"/>
  <c r="K220" i="20"/>
  <c r="J220" i="20"/>
  <c r="K219" i="20"/>
  <c r="J219" i="20"/>
  <c r="K218" i="20"/>
  <c r="J218" i="20"/>
  <c r="K217" i="20"/>
  <c r="J217" i="20"/>
  <c r="K216" i="20"/>
  <c r="J216" i="20"/>
  <c r="K215" i="20"/>
  <c r="J215" i="20"/>
  <c r="K214" i="20"/>
  <c r="J214" i="20"/>
  <c r="K213" i="20"/>
  <c r="J213" i="20"/>
  <c r="K212" i="20"/>
  <c r="J212" i="20"/>
  <c r="K211" i="20"/>
  <c r="J211" i="20"/>
  <c r="K210" i="20"/>
  <c r="J210" i="20"/>
  <c r="K209" i="20"/>
  <c r="J209" i="20"/>
  <c r="K208" i="20"/>
  <c r="J208" i="20"/>
  <c r="K207" i="20"/>
  <c r="J207" i="20"/>
  <c r="K206" i="20"/>
  <c r="J206" i="20"/>
  <c r="K205" i="20"/>
  <c r="J205" i="20"/>
  <c r="K204" i="20"/>
  <c r="J204" i="20"/>
  <c r="K203" i="20"/>
  <c r="J203" i="20"/>
  <c r="K202" i="20"/>
  <c r="J202" i="20"/>
  <c r="K201" i="20"/>
  <c r="J201" i="20"/>
  <c r="K200" i="20"/>
  <c r="J200" i="20"/>
  <c r="K199" i="20"/>
  <c r="J199" i="20"/>
  <c r="K198" i="20"/>
  <c r="J198" i="20"/>
  <c r="K197" i="20"/>
  <c r="J197" i="20"/>
  <c r="K196" i="20"/>
  <c r="J196" i="20"/>
  <c r="K195" i="20"/>
  <c r="J195" i="20"/>
  <c r="K194" i="20"/>
  <c r="J194" i="20"/>
  <c r="K193" i="20"/>
  <c r="J193" i="20"/>
  <c r="K192" i="20"/>
  <c r="J192" i="20"/>
  <c r="K191" i="20"/>
  <c r="J191" i="20"/>
  <c r="K190" i="20"/>
  <c r="J190" i="20"/>
  <c r="K189" i="20"/>
  <c r="J189" i="20"/>
  <c r="K188" i="20"/>
  <c r="J188" i="20"/>
  <c r="K187" i="20"/>
  <c r="J187" i="20"/>
  <c r="K186" i="20"/>
  <c r="J186" i="20"/>
  <c r="K185" i="20"/>
  <c r="J185" i="20"/>
  <c r="K184" i="20"/>
  <c r="J184" i="20"/>
  <c r="K183" i="20"/>
  <c r="J183" i="20"/>
  <c r="K182" i="20"/>
  <c r="J182" i="20"/>
  <c r="K181" i="20"/>
  <c r="J181" i="20"/>
  <c r="K180" i="20"/>
  <c r="J180" i="20"/>
  <c r="K179" i="20"/>
  <c r="J179" i="20"/>
  <c r="K178" i="20"/>
  <c r="J178" i="20"/>
  <c r="K177" i="20"/>
  <c r="J177" i="20"/>
  <c r="K176" i="20"/>
  <c r="J176" i="20"/>
  <c r="K175" i="20"/>
  <c r="J175" i="20"/>
  <c r="K174" i="20"/>
  <c r="J174" i="20"/>
  <c r="K173" i="20"/>
  <c r="J173" i="20"/>
  <c r="K172" i="20"/>
  <c r="J172" i="20"/>
  <c r="K171" i="20"/>
  <c r="J171" i="20"/>
  <c r="K170" i="20"/>
  <c r="J170" i="20"/>
  <c r="K169" i="20"/>
  <c r="J169" i="20"/>
  <c r="K168" i="20"/>
  <c r="J168" i="20"/>
  <c r="K167" i="20"/>
  <c r="J167" i="20"/>
  <c r="K166" i="20"/>
  <c r="J166" i="20"/>
  <c r="K165" i="20"/>
  <c r="J165" i="20"/>
  <c r="K164" i="20"/>
  <c r="J164" i="20"/>
  <c r="K163" i="20"/>
  <c r="J163" i="20"/>
  <c r="K162" i="20"/>
  <c r="J162" i="20"/>
  <c r="K161" i="20"/>
  <c r="J161" i="20"/>
  <c r="K160" i="20"/>
  <c r="J160" i="20"/>
  <c r="K159" i="20"/>
  <c r="J159" i="20"/>
  <c r="K158" i="20"/>
  <c r="J158" i="20"/>
  <c r="K157" i="20"/>
  <c r="J157" i="20"/>
  <c r="K156" i="20"/>
  <c r="J156" i="20"/>
  <c r="K155" i="20"/>
  <c r="J155" i="20"/>
  <c r="K154" i="20"/>
  <c r="J154" i="20"/>
  <c r="K153" i="20"/>
  <c r="J153" i="20"/>
  <c r="K152" i="20"/>
  <c r="J152" i="20"/>
  <c r="K151" i="20"/>
  <c r="J151" i="20"/>
  <c r="K150" i="20"/>
  <c r="J150" i="20"/>
  <c r="K149" i="20"/>
  <c r="J149" i="20"/>
  <c r="K148" i="20"/>
  <c r="J148" i="20"/>
  <c r="K147" i="20"/>
  <c r="J147" i="20"/>
  <c r="K146" i="20"/>
  <c r="J146" i="20"/>
  <c r="K145" i="20"/>
  <c r="J145" i="20"/>
  <c r="K144" i="20"/>
  <c r="J144" i="20"/>
  <c r="K143" i="20"/>
  <c r="J143" i="20"/>
  <c r="K142" i="20"/>
  <c r="J142" i="20"/>
  <c r="K141" i="20"/>
  <c r="J141" i="20"/>
  <c r="K140" i="20"/>
  <c r="J140" i="20"/>
  <c r="K139" i="20"/>
  <c r="J139" i="20"/>
  <c r="K138" i="20"/>
  <c r="J138" i="20"/>
  <c r="K137" i="20"/>
  <c r="J137" i="20"/>
  <c r="K136" i="20"/>
  <c r="J136" i="20"/>
  <c r="K135" i="20"/>
  <c r="J135" i="20"/>
  <c r="K134" i="20"/>
  <c r="J134" i="20"/>
  <c r="K133" i="20"/>
  <c r="J133" i="20"/>
  <c r="K132" i="20"/>
  <c r="J132" i="20"/>
  <c r="K131" i="20"/>
  <c r="J131" i="20"/>
  <c r="K130" i="20"/>
  <c r="J130" i="20"/>
  <c r="K129" i="20"/>
  <c r="J129" i="20"/>
  <c r="K128" i="20"/>
  <c r="J128" i="20"/>
  <c r="K127" i="20"/>
  <c r="J127" i="20"/>
  <c r="K126" i="20"/>
  <c r="J126" i="20"/>
  <c r="K125" i="20"/>
  <c r="J125" i="20"/>
  <c r="K124" i="20"/>
  <c r="J124" i="20"/>
  <c r="K123" i="20"/>
  <c r="J123" i="20"/>
  <c r="K122" i="20"/>
  <c r="J122" i="20"/>
  <c r="K121" i="20"/>
  <c r="J121" i="20"/>
  <c r="K120" i="20"/>
  <c r="J120" i="20"/>
  <c r="K119" i="20"/>
  <c r="J119" i="20"/>
  <c r="K118" i="20"/>
  <c r="J118" i="20"/>
  <c r="K117" i="20"/>
  <c r="J117" i="20"/>
  <c r="K116" i="20"/>
  <c r="J116" i="20"/>
  <c r="K115" i="20"/>
  <c r="J115" i="20"/>
  <c r="K114" i="20"/>
  <c r="J114" i="20"/>
  <c r="K113" i="20"/>
  <c r="J113" i="20"/>
  <c r="K112" i="20"/>
  <c r="J112" i="20"/>
  <c r="K111" i="20"/>
  <c r="J111" i="20"/>
  <c r="K110" i="20"/>
  <c r="J110" i="20"/>
  <c r="K109" i="20"/>
  <c r="J109" i="20"/>
  <c r="K108" i="20"/>
  <c r="J108" i="20"/>
  <c r="K107" i="20"/>
  <c r="J107" i="20"/>
  <c r="K106" i="20"/>
  <c r="J106" i="20"/>
  <c r="K105" i="20"/>
  <c r="J105" i="20"/>
  <c r="K104" i="20"/>
  <c r="J104" i="20"/>
  <c r="K103" i="20"/>
  <c r="J103" i="20"/>
  <c r="K102" i="20"/>
  <c r="J102" i="20"/>
  <c r="K101" i="20"/>
  <c r="J101" i="20"/>
  <c r="K100" i="20"/>
  <c r="J100" i="20"/>
  <c r="K99" i="20"/>
  <c r="J99" i="20"/>
  <c r="K98" i="20"/>
  <c r="J98" i="20"/>
  <c r="K97" i="20"/>
  <c r="J97" i="20"/>
  <c r="K96" i="20"/>
  <c r="J96" i="20"/>
  <c r="K95" i="20"/>
  <c r="J95" i="20"/>
  <c r="K94" i="20"/>
  <c r="J94" i="20"/>
  <c r="K93" i="20"/>
  <c r="J93" i="20"/>
  <c r="K92" i="20"/>
  <c r="J92" i="20"/>
  <c r="K91" i="20"/>
  <c r="J91" i="20"/>
  <c r="K90" i="20"/>
  <c r="J90" i="20"/>
  <c r="K89" i="20"/>
  <c r="J89" i="20"/>
  <c r="K88" i="20"/>
  <c r="J88" i="20"/>
  <c r="K87" i="20"/>
  <c r="J87" i="20"/>
  <c r="K86" i="20"/>
  <c r="J86" i="20"/>
  <c r="K85" i="20"/>
  <c r="J85" i="20"/>
  <c r="K84" i="20"/>
  <c r="J84" i="20"/>
  <c r="K83" i="20"/>
  <c r="J83" i="20"/>
  <c r="K82" i="20"/>
  <c r="J82" i="20"/>
  <c r="K81" i="20"/>
  <c r="J81" i="20"/>
  <c r="K80" i="20"/>
  <c r="J80" i="20"/>
  <c r="K79" i="20"/>
  <c r="J79" i="20"/>
  <c r="K78" i="20"/>
  <c r="J78" i="20"/>
  <c r="K77" i="20"/>
  <c r="J77" i="20"/>
  <c r="K76" i="20"/>
  <c r="J76" i="20"/>
  <c r="K75" i="20"/>
  <c r="J75" i="20"/>
  <c r="K74" i="20"/>
  <c r="J74" i="20"/>
  <c r="K73" i="20"/>
  <c r="J73" i="20"/>
  <c r="K72" i="20"/>
  <c r="J72" i="20"/>
  <c r="K71" i="20"/>
  <c r="J71" i="20"/>
  <c r="K70" i="20"/>
  <c r="J70" i="20"/>
  <c r="K69" i="20"/>
  <c r="J69" i="20"/>
  <c r="K68" i="20"/>
  <c r="J68" i="20"/>
  <c r="K67" i="20"/>
  <c r="J67" i="20"/>
  <c r="K66" i="20"/>
  <c r="J66" i="20"/>
  <c r="K65" i="20"/>
  <c r="J65" i="20"/>
  <c r="K64" i="20"/>
  <c r="J64" i="20"/>
  <c r="K63" i="20"/>
  <c r="J63" i="20"/>
  <c r="K62" i="20"/>
  <c r="J62" i="20"/>
  <c r="K61" i="20"/>
  <c r="J61" i="20"/>
  <c r="K60" i="20"/>
  <c r="J60" i="20"/>
  <c r="K59" i="20"/>
  <c r="J59" i="20"/>
  <c r="K58" i="20"/>
  <c r="J58" i="20"/>
  <c r="K57" i="20"/>
  <c r="J57" i="20"/>
  <c r="K56" i="20"/>
  <c r="J56" i="20"/>
  <c r="K55" i="20"/>
  <c r="J55" i="20"/>
  <c r="K54" i="20"/>
  <c r="J54" i="20"/>
  <c r="K53" i="20"/>
  <c r="J53" i="20"/>
  <c r="K52" i="20"/>
  <c r="J52" i="20"/>
  <c r="K51" i="20"/>
  <c r="J51" i="20"/>
  <c r="K50" i="20"/>
  <c r="J50" i="20"/>
  <c r="K49" i="20"/>
  <c r="J49" i="20"/>
  <c r="K48" i="20"/>
  <c r="J48" i="20"/>
  <c r="K47" i="20"/>
  <c r="J47" i="20"/>
  <c r="K46" i="20"/>
  <c r="J46" i="20"/>
  <c r="K45" i="20"/>
  <c r="J45" i="20"/>
  <c r="K44" i="20"/>
  <c r="J44" i="20"/>
  <c r="K43" i="20"/>
  <c r="J43" i="20"/>
  <c r="K42" i="20"/>
  <c r="J42" i="20"/>
  <c r="K41" i="20"/>
  <c r="J41" i="20"/>
  <c r="K40" i="20"/>
  <c r="J40" i="20"/>
  <c r="K39" i="20"/>
  <c r="J39" i="20"/>
  <c r="K38" i="20"/>
  <c r="J38" i="20"/>
  <c r="K37" i="20"/>
  <c r="J37" i="20"/>
  <c r="K36" i="20"/>
  <c r="J36" i="20"/>
  <c r="K35" i="20"/>
  <c r="J35" i="20"/>
  <c r="K34" i="20"/>
  <c r="J34" i="20"/>
  <c r="K33" i="20"/>
  <c r="J33" i="20"/>
  <c r="K32" i="20"/>
  <c r="J32" i="20"/>
  <c r="K31" i="20"/>
  <c r="J31" i="20"/>
  <c r="K30" i="20"/>
  <c r="J30" i="20"/>
  <c r="K29" i="20"/>
  <c r="J29" i="20"/>
  <c r="K28" i="20"/>
  <c r="J28" i="20"/>
  <c r="K27" i="20"/>
  <c r="J27" i="20"/>
  <c r="K26" i="20"/>
  <c r="J26" i="20"/>
  <c r="K25" i="20"/>
  <c r="J25" i="20"/>
  <c r="K24" i="20"/>
  <c r="J24" i="20"/>
  <c r="K23" i="20"/>
  <c r="J23" i="20"/>
  <c r="K22" i="20"/>
  <c r="J22" i="20"/>
  <c r="K21" i="20"/>
  <c r="J21" i="20"/>
  <c r="K20" i="20"/>
  <c r="J20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3" i="20"/>
  <c r="I3" i="20"/>
  <c r="H3" i="20"/>
  <c r="K497" i="18"/>
  <c r="J497" i="18"/>
  <c r="K496" i="18"/>
  <c r="J496" i="18"/>
  <c r="K495" i="18"/>
  <c r="J495" i="18"/>
  <c r="K494" i="18"/>
  <c r="J494" i="18"/>
  <c r="K493" i="18"/>
  <c r="J493" i="18"/>
  <c r="K492" i="18"/>
  <c r="J492" i="18"/>
  <c r="K491" i="18"/>
  <c r="J491" i="18"/>
  <c r="K490" i="18"/>
  <c r="J490" i="18"/>
  <c r="K489" i="18"/>
  <c r="J489" i="18"/>
  <c r="K488" i="18"/>
  <c r="J488" i="18"/>
  <c r="K487" i="18"/>
  <c r="J487" i="18"/>
  <c r="K486" i="18"/>
  <c r="J486" i="18"/>
  <c r="K485" i="18"/>
  <c r="J485" i="18"/>
  <c r="K484" i="18"/>
  <c r="J484" i="18"/>
  <c r="K483" i="18"/>
  <c r="J483" i="18"/>
  <c r="K482" i="18"/>
  <c r="J482" i="18"/>
  <c r="K481" i="18"/>
  <c r="J481" i="18"/>
  <c r="K480" i="18"/>
  <c r="J480" i="18"/>
  <c r="K479" i="18"/>
  <c r="J479" i="18"/>
  <c r="K478" i="18"/>
  <c r="J478" i="18"/>
  <c r="K477" i="18"/>
  <c r="J477" i="18"/>
  <c r="K476" i="18"/>
  <c r="J476" i="18"/>
  <c r="K475" i="18"/>
  <c r="J475" i="18"/>
  <c r="K474" i="18"/>
  <c r="J474" i="18"/>
  <c r="K473" i="18"/>
  <c r="J473" i="18"/>
  <c r="K472" i="18"/>
  <c r="J472" i="18"/>
  <c r="K471" i="18"/>
  <c r="J471" i="18"/>
  <c r="K470" i="18"/>
  <c r="J470" i="18"/>
  <c r="K469" i="18"/>
  <c r="J469" i="18"/>
  <c r="K468" i="18"/>
  <c r="J468" i="18"/>
  <c r="K467" i="18"/>
  <c r="J467" i="18"/>
  <c r="K466" i="18"/>
  <c r="J466" i="18"/>
  <c r="K465" i="18"/>
  <c r="J465" i="18"/>
  <c r="K464" i="18"/>
  <c r="J464" i="18"/>
  <c r="K463" i="18"/>
  <c r="J463" i="18"/>
  <c r="K462" i="18"/>
  <c r="J462" i="18"/>
  <c r="K461" i="18"/>
  <c r="J461" i="18"/>
  <c r="K460" i="18"/>
  <c r="J460" i="18"/>
  <c r="K459" i="18"/>
  <c r="J459" i="18"/>
  <c r="K458" i="18"/>
  <c r="J458" i="18"/>
  <c r="K457" i="18"/>
  <c r="J457" i="18"/>
  <c r="K456" i="18"/>
  <c r="J456" i="18"/>
  <c r="K455" i="18"/>
  <c r="J455" i="18"/>
  <c r="K454" i="18"/>
  <c r="J454" i="18"/>
  <c r="K453" i="18"/>
  <c r="J453" i="18"/>
  <c r="K452" i="18"/>
  <c r="J452" i="18"/>
  <c r="K451" i="18"/>
  <c r="J451" i="18"/>
  <c r="K450" i="18"/>
  <c r="J450" i="18"/>
  <c r="K449" i="18"/>
  <c r="J449" i="18"/>
  <c r="K448" i="18"/>
  <c r="J448" i="18"/>
  <c r="K447" i="18"/>
  <c r="J447" i="18"/>
  <c r="K446" i="18"/>
  <c r="J446" i="18"/>
  <c r="K445" i="18"/>
  <c r="J445" i="18"/>
  <c r="K444" i="18"/>
  <c r="J444" i="18"/>
  <c r="K443" i="18"/>
  <c r="J443" i="18"/>
  <c r="K442" i="18"/>
  <c r="J442" i="18"/>
  <c r="K441" i="18"/>
  <c r="J441" i="18"/>
  <c r="K440" i="18"/>
  <c r="J440" i="18"/>
  <c r="K439" i="18"/>
  <c r="J439" i="18"/>
  <c r="K438" i="18"/>
  <c r="J438" i="18"/>
  <c r="K437" i="18"/>
  <c r="J437" i="18"/>
  <c r="K436" i="18"/>
  <c r="J436" i="18"/>
  <c r="K435" i="18"/>
  <c r="J435" i="18"/>
  <c r="K434" i="18"/>
  <c r="J434" i="18"/>
  <c r="K433" i="18"/>
  <c r="J433" i="18"/>
  <c r="K432" i="18"/>
  <c r="J432" i="18"/>
  <c r="K431" i="18"/>
  <c r="J431" i="18"/>
  <c r="K430" i="18"/>
  <c r="J430" i="18"/>
  <c r="K429" i="18"/>
  <c r="J429" i="18"/>
  <c r="K428" i="18"/>
  <c r="J428" i="18"/>
  <c r="K427" i="18"/>
  <c r="J427" i="18"/>
  <c r="K426" i="18"/>
  <c r="J426" i="18"/>
  <c r="K425" i="18"/>
  <c r="J425" i="18"/>
  <c r="K424" i="18"/>
  <c r="J424" i="18"/>
  <c r="K423" i="18"/>
  <c r="J423" i="18"/>
  <c r="K422" i="18"/>
  <c r="J422" i="18"/>
  <c r="K421" i="18"/>
  <c r="J421" i="18"/>
  <c r="K420" i="18"/>
  <c r="J420" i="18"/>
  <c r="K419" i="18"/>
  <c r="J419" i="18"/>
  <c r="K418" i="18"/>
  <c r="J418" i="18"/>
  <c r="K417" i="18"/>
  <c r="J417" i="18"/>
  <c r="K416" i="18"/>
  <c r="J416" i="18"/>
  <c r="K415" i="18"/>
  <c r="J415" i="18"/>
  <c r="K414" i="18"/>
  <c r="J414" i="18"/>
  <c r="K413" i="18"/>
  <c r="J413" i="18"/>
  <c r="K412" i="18"/>
  <c r="J412" i="18"/>
  <c r="K411" i="18"/>
  <c r="J411" i="18"/>
  <c r="K410" i="18"/>
  <c r="J410" i="18"/>
  <c r="K409" i="18"/>
  <c r="J409" i="18"/>
  <c r="K408" i="18"/>
  <c r="J408" i="18"/>
  <c r="K407" i="18"/>
  <c r="J407" i="18"/>
  <c r="K406" i="18"/>
  <c r="J406" i="18"/>
  <c r="K405" i="18"/>
  <c r="J405" i="18"/>
  <c r="K404" i="18"/>
  <c r="J404" i="18"/>
  <c r="K403" i="18"/>
  <c r="J403" i="18"/>
  <c r="K402" i="18"/>
  <c r="J402" i="18"/>
  <c r="K401" i="18"/>
  <c r="J401" i="18"/>
  <c r="K400" i="18"/>
  <c r="J400" i="18"/>
  <c r="K399" i="18"/>
  <c r="J399" i="18"/>
  <c r="K398" i="18"/>
  <c r="J398" i="18"/>
  <c r="K397" i="18"/>
  <c r="J397" i="18"/>
  <c r="K396" i="18"/>
  <c r="J396" i="18"/>
  <c r="K395" i="18"/>
  <c r="J395" i="18"/>
  <c r="K394" i="18"/>
  <c r="J394" i="18"/>
  <c r="K393" i="18"/>
  <c r="J393" i="18"/>
  <c r="K392" i="18"/>
  <c r="J392" i="18"/>
  <c r="K391" i="18"/>
  <c r="J391" i="18"/>
  <c r="K390" i="18"/>
  <c r="J390" i="18"/>
  <c r="K389" i="18"/>
  <c r="J389" i="18"/>
  <c r="K388" i="18"/>
  <c r="J388" i="18"/>
  <c r="K387" i="18"/>
  <c r="J387" i="18"/>
  <c r="K386" i="18"/>
  <c r="J386" i="18"/>
  <c r="K385" i="18"/>
  <c r="J385" i="18"/>
  <c r="K384" i="18"/>
  <c r="J384" i="18"/>
  <c r="K383" i="18"/>
  <c r="J383" i="18"/>
  <c r="K382" i="18"/>
  <c r="J382" i="18"/>
  <c r="K381" i="18"/>
  <c r="J381" i="18"/>
  <c r="K380" i="18"/>
  <c r="J380" i="18"/>
  <c r="K379" i="18"/>
  <c r="J379" i="18"/>
  <c r="K378" i="18"/>
  <c r="J378" i="18"/>
  <c r="K377" i="18"/>
  <c r="J377" i="18"/>
  <c r="K376" i="18"/>
  <c r="J376" i="18"/>
  <c r="K375" i="18"/>
  <c r="J375" i="18"/>
  <c r="K374" i="18"/>
  <c r="J374" i="18"/>
  <c r="K373" i="18"/>
  <c r="J373" i="18"/>
  <c r="K372" i="18"/>
  <c r="J372" i="18"/>
  <c r="K371" i="18"/>
  <c r="J371" i="18"/>
  <c r="K370" i="18"/>
  <c r="J370" i="18"/>
  <c r="K369" i="18"/>
  <c r="J369" i="18"/>
  <c r="K368" i="18"/>
  <c r="J368" i="18"/>
  <c r="K367" i="18"/>
  <c r="J367" i="18"/>
  <c r="K366" i="18"/>
  <c r="J366" i="18"/>
  <c r="K365" i="18"/>
  <c r="J365" i="18"/>
  <c r="K364" i="18"/>
  <c r="J364" i="18"/>
  <c r="K363" i="18"/>
  <c r="J363" i="18"/>
  <c r="K362" i="18"/>
  <c r="J362" i="18"/>
  <c r="K361" i="18"/>
  <c r="J361" i="18"/>
  <c r="K360" i="18"/>
  <c r="J360" i="18"/>
  <c r="K359" i="18"/>
  <c r="J359" i="18"/>
  <c r="K358" i="18"/>
  <c r="J358" i="18"/>
  <c r="K357" i="18"/>
  <c r="J357" i="18"/>
  <c r="K356" i="18"/>
  <c r="J356" i="18"/>
  <c r="K355" i="18"/>
  <c r="J355" i="18"/>
  <c r="K354" i="18"/>
  <c r="J354" i="18"/>
  <c r="K353" i="18"/>
  <c r="J353" i="18"/>
  <c r="K352" i="18"/>
  <c r="J352" i="18"/>
  <c r="K351" i="18"/>
  <c r="J351" i="18"/>
  <c r="K350" i="18"/>
  <c r="J350" i="18"/>
  <c r="K349" i="18"/>
  <c r="J349" i="18"/>
  <c r="K348" i="18"/>
  <c r="J348" i="18"/>
  <c r="K347" i="18"/>
  <c r="J347" i="18"/>
  <c r="K346" i="18"/>
  <c r="J346" i="18"/>
  <c r="K345" i="18"/>
  <c r="J345" i="18"/>
  <c r="K344" i="18"/>
  <c r="J344" i="18"/>
  <c r="K343" i="18"/>
  <c r="J343" i="18"/>
  <c r="K342" i="18"/>
  <c r="J342" i="18"/>
  <c r="K341" i="18"/>
  <c r="J341" i="18"/>
  <c r="K340" i="18"/>
  <c r="J340" i="18"/>
  <c r="K339" i="18"/>
  <c r="J339" i="18"/>
  <c r="K338" i="18"/>
  <c r="J338" i="18"/>
  <c r="K337" i="18"/>
  <c r="J337" i="18"/>
  <c r="K336" i="18"/>
  <c r="J336" i="18"/>
  <c r="K335" i="18"/>
  <c r="J335" i="18"/>
  <c r="K334" i="18"/>
  <c r="J334" i="18"/>
  <c r="K333" i="18"/>
  <c r="J333" i="18"/>
  <c r="K332" i="18"/>
  <c r="J332" i="18"/>
  <c r="K331" i="18"/>
  <c r="J331" i="18"/>
  <c r="K330" i="18"/>
  <c r="J330" i="18"/>
  <c r="K329" i="18"/>
  <c r="J329" i="18"/>
  <c r="K328" i="18"/>
  <c r="J328" i="18"/>
  <c r="K327" i="18"/>
  <c r="J327" i="18"/>
  <c r="K326" i="18"/>
  <c r="J326" i="18"/>
  <c r="K325" i="18"/>
  <c r="J325" i="18"/>
  <c r="K324" i="18"/>
  <c r="J324" i="18"/>
  <c r="K323" i="18"/>
  <c r="J323" i="18"/>
  <c r="K322" i="18"/>
  <c r="J322" i="18"/>
  <c r="K321" i="18"/>
  <c r="J321" i="18"/>
  <c r="K320" i="18"/>
  <c r="J320" i="18"/>
  <c r="K319" i="18"/>
  <c r="J319" i="18"/>
  <c r="K318" i="18"/>
  <c r="J318" i="18"/>
  <c r="K317" i="18"/>
  <c r="J317" i="18"/>
  <c r="K316" i="18"/>
  <c r="J316" i="18"/>
  <c r="K315" i="18"/>
  <c r="J315" i="18"/>
  <c r="K314" i="18"/>
  <c r="J314" i="18"/>
  <c r="K313" i="18"/>
  <c r="J313" i="18"/>
  <c r="K312" i="18"/>
  <c r="J312" i="18"/>
  <c r="K311" i="18"/>
  <c r="J311" i="18"/>
  <c r="K310" i="18"/>
  <c r="J310" i="18"/>
  <c r="K309" i="18"/>
  <c r="J309" i="18"/>
  <c r="K308" i="18"/>
  <c r="J308" i="18"/>
  <c r="K307" i="18"/>
  <c r="J307" i="18"/>
  <c r="K306" i="18"/>
  <c r="J306" i="18"/>
  <c r="K305" i="18"/>
  <c r="J305" i="18"/>
  <c r="K304" i="18"/>
  <c r="J304" i="18"/>
  <c r="K303" i="18"/>
  <c r="J303" i="18"/>
  <c r="K302" i="18"/>
  <c r="J302" i="18"/>
  <c r="K301" i="18"/>
  <c r="J301" i="18"/>
  <c r="K300" i="18"/>
  <c r="J300" i="18"/>
  <c r="K299" i="18"/>
  <c r="J299" i="18"/>
  <c r="K298" i="18"/>
  <c r="J298" i="18"/>
  <c r="K297" i="18"/>
  <c r="J297" i="18"/>
  <c r="K296" i="18"/>
  <c r="J296" i="18"/>
  <c r="K295" i="18"/>
  <c r="J295" i="18"/>
  <c r="K294" i="18"/>
  <c r="J294" i="18"/>
  <c r="K293" i="18"/>
  <c r="J293" i="18"/>
  <c r="K292" i="18"/>
  <c r="J292" i="18"/>
  <c r="K291" i="18"/>
  <c r="J291" i="18"/>
  <c r="K290" i="18"/>
  <c r="J290" i="18"/>
  <c r="K289" i="18"/>
  <c r="J289" i="18"/>
  <c r="K288" i="18"/>
  <c r="J288" i="18"/>
  <c r="K287" i="18"/>
  <c r="J287" i="18"/>
  <c r="K286" i="18"/>
  <c r="J286" i="18"/>
  <c r="K285" i="18"/>
  <c r="J285" i="18"/>
  <c r="K284" i="18"/>
  <c r="J284" i="18"/>
  <c r="K283" i="18"/>
  <c r="J283" i="18"/>
  <c r="K282" i="18"/>
  <c r="J282" i="18"/>
  <c r="K281" i="18"/>
  <c r="J281" i="18"/>
  <c r="K280" i="18"/>
  <c r="J280" i="18"/>
  <c r="K279" i="18"/>
  <c r="J279" i="18"/>
  <c r="K278" i="18"/>
  <c r="J278" i="18"/>
  <c r="K277" i="18"/>
  <c r="J277" i="18"/>
  <c r="K276" i="18"/>
  <c r="J276" i="18"/>
  <c r="K275" i="18"/>
  <c r="J275" i="18"/>
  <c r="K274" i="18"/>
  <c r="J274" i="18"/>
  <c r="K273" i="18"/>
  <c r="J273" i="18"/>
  <c r="K272" i="18"/>
  <c r="J272" i="18"/>
  <c r="K271" i="18"/>
  <c r="J271" i="18"/>
  <c r="K270" i="18"/>
  <c r="J270" i="18"/>
  <c r="K269" i="18"/>
  <c r="J269" i="18"/>
  <c r="K268" i="18"/>
  <c r="J268" i="18"/>
  <c r="K267" i="18"/>
  <c r="J267" i="18"/>
  <c r="K266" i="18"/>
  <c r="J266" i="18"/>
  <c r="K265" i="18"/>
  <c r="J265" i="18"/>
  <c r="K264" i="18"/>
  <c r="J264" i="18"/>
  <c r="K263" i="18"/>
  <c r="J263" i="18"/>
  <c r="K262" i="18"/>
  <c r="J262" i="18"/>
  <c r="K261" i="18"/>
  <c r="J261" i="18"/>
  <c r="K260" i="18"/>
  <c r="J260" i="18"/>
  <c r="K259" i="18"/>
  <c r="J259" i="18"/>
  <c r="K258" i="18"/>
  <c r="J258" i="18"/>
  <c r="K257" i="18"/>
  <c r="J257" i="18"/>
  <c r="K256" i="18"/>
  <c r="J256" i="18"/>
  <c r="K255" i="18"/>
  <c r="J255" i="18"/>
  <c r="K254" i="18"/>
  <c r="J254" i="18"/>
  <c r="K253" i="18"/>
  <c r="J253" i="18"/>
  <c r="K252" i="18"/>
  <c r="J252" i="18"/>
  <c r="K251" i="18"/>
  <c r="J251" i="18"/>
  <c r="K250" i="18"/>
  <c r="J250" i="18"/>
  <c r="K249" i="18"/>
  <c r="J249" i="18"/>
  <c r="K248" i="18"/>
  <c r="J248" i="18"/>
  <c r="K247" i="18"/>
  <c r="J247" i="18"/>
  <c r="K246" i="18"/>
  <c r="J246" i="18"/>
  <c r="K245" i="18"/>
  <c r="J245" i="18"/>
  <c r="K244" i="18"/>
  <c r="J244" i="18"/>
  <c r="K243" i="18"/>
  <c r="J243" i="18"/>
  <c r="K242" i="18"/>
  <c r="J242" i="18"/>
  <c r="K241" i="18"/>
  <c r="J241" i="18"/>
  <c r="K240" i="18"/>
  <c r="J240" i="18"/>
  <c r="K239" i="18"/>
  <c r="J239" i="18"/>
  <c r="K238" i="18"/>
  <c r="J238" i="18"/>
  <c r="K237" i="18"/>
  <c r="J237" i="18"/>
  <c r="K236" i="18"/>
  <c r="J236" i="18"/>
  <c r="K235" i="18"/>
  <c r="J235" i="18"/>
  <c r="K234" i="18"/>
  <c r="J234" i="18"/>
  <c r="K233" i="18"/>
  <c r="J233" i="18"/>
  <c r="K232" i="18"/>
  <c r="J232" i="18"/>
  <c r="K231" i="18"/>
  <c r="J231" i="18"/>
  <c r="K230" i="18"/>
  <c r="J230" i="18"/>
  <c r="K229" i="18"/>
  <c r="J229" i="18"/>
  <c r="K228" i="18"/>
  <c r="J228" i="18"/>
  <c r="K227" i="18"/>
  <c r="J227" i="18"/>
  <c r="K226" i="18"/>
  <c r="J226" i="18"/>
  <c r="K225" i="18"/>
  <c r="J225" i="18"/>
  <c r="K224" i="18"/>
  <c r="J224" i="18"/>
  <c r="K223" i="18"/>
  <c r="J223" i="18"/>
  <c r="K222" i="18"/>
  <c r="J222" i="18"/>
  <c r="K221" i="18"/>
  <c r="J221" i="18"/>
  <c r="K220" i="18"/>
  <c r="J220" i="18"/>
  <c r="K219" i="18"/>
  <c r="J219" i="18"/>
  <c r="K218" i="18"/>
  <c r="J218" i="18"/>
  <c r="K217" i="18"/>
  <c r="J217" i="18"/>
  <c r="K216" i="18"/>
  <c r="J216" i="18"/>
  <c r="K215" i="18"/>
  <c r="J215" i="18"/>
  <c r="K214" i="18"/>
  <c r="J214" i="18"/>
  <c r="K213" i="18"/>
  <c r="J213" i="18"/>
  <c r="K212" i="18"/>
  <c r="J212" i="18"/>
  <c r="K211" i="18"/>
  <c r="J211" i="18"/>
  <c r="K210" i="18"/>
  <c r="J210" i="18"/>
  <c r="K209" i="18"/>
  <c r="J209" i="18"/>
  <c r="K208" i="18"/>
  <c r="J208" i="18"/>
  <c r="K207" i="18"/>
  <c r="J207" i="18"/>
  <c r="K206" i="18"/>
  <c r="J206" i="18"/>
  <c r="K205" i="18"/>
  <c r="J205" i="18"/>
  <c r="K204" i="18"/>
  <c r="J204" i="18"/>
  <c r="K203" i="18"/>
  <c r="J203" i="18"/>
  <c r="K202" i="18"/>
  <c r="J202" i="18"/>
  <c r="K201" i="18"/>
  <c r="J201" i="18"/>
  <c r="K200" i="18"/>
  <c r="J200" i="18"/>
  <c r="K199" i="18"/>
  <c r="J199" i="18"/>
  <c r="K198" i="18"/>
  <c r="J198" i="18"/>
  <c r="K197" i="18"/>
  <c r="J197" i="18"/>
  <c r="K196" i="18"/>
  <c r="J196" i="18"/>
  <c r="K195" i="18"/>
  <c r="J195" i="18"/>
  <c r="K194" i="18"/>
  <c r="J194" i="18"/>
  <c r="K193" i="18"/>
  <c r="J193" i="18"/>
  <c r="K192" i="18"/>
  <c r="J192" i="18"/>
  <c r="K191" i="18"/>
  <c r="J191" i="18"/>
  <c r="K190" i="18"/>
  <c r="J190" i="18"/>
  <c r="K189" i="18"/>
  <c r="J189" i="18"/>
  <c r="K188" i="18"/>
  <c r="J188" i="18"/>
  <c r="K187" i="18"/>
  <c r="J187" i="18"/>
  <c r="K186" i="18"/>
  <c r="J186" i="18"/>
  <c r="K185" i="18"/>
  <c r="J185" i="18"/>
  <c r="K184" i="18"/>
  <c r="J184" i="18"/>
  <c r="K183" i="18"/>
  <c r="J183" i="18"/>
  <c r="K182" i="18"/>
  <c r="J182" i="18"/>
  <c r="K181" i="18"/>
  <c r="J181" i="18"/>
  <c r="K180" i="18"/>
  <c r="J180" i="18"/>
  <c r="K179" i="18"/>
  <c r="J179" i="18"/>
  <c r="K178" i="18"/>
  <c r="J178" i="18"/>
  <c r="K177" i="18"/>
  <c r="J177" i="18"/>
  <c r="K176" i="18"/>
  <c r="J176" i="18"/>
  <c r="K175" i="18"/>
  <c r="J175" i="18"/>
  <c r="K174" i="18"/>
  <c r="J174" i="18"/>
  <c r="K173" i="18"/>
  <c r="J173" i="18"/>
  <c r="K172" i="18"/>
  <c r="J172" i="18"/>
  <c r="K171" i="18"/>
  <c r="J171" i="18"/>
  <c r="K170" i="18"/>
  <c r="J170" i="18"/>
  <c r="K169" i="18"/>
  <c r="J169" i="18"/>
  <c r="K168" i="18"/>
  <c r="J168" i="18"/>
  <c r="K167" i="18"/>
  <c r="J167" i="18"/>
  <c r="K166" i="18"/>
  <c r="J166" i="18"/>
  <c r="K165" i="18"/>
  <c r="J165" i="18"/>
  <c r="K164" i="18"/>
  <c r="J164" i="18"/>
  <c r="K163" i="18"/>
  <c r="J163" i="18"/>
  <c r="K162" i="18"/>
  <c r="J162" i="18"/>
  <c r="K161" i="18"/>
  <c r="J161" i="18"/>
  <c r="K160" i="18"/>
  <c r="J160" i="18"/>
  <c r="K159" i="18"/>
  <c r="J159" i="18"/>
  <c r="K158" i="18"/>
  <c r="J158" i="18"/>
  <c r="K157" i="18"/>
  <c r="J157" i="18"/>
  <c r="K156" i="18"/>
  <c r="J156" i="18"/>
  <c r="K155" i="18"/>
  <c r="J155" i="18"/>
  <c r="K154" i="18"/>
  <c r="J154" i="18"/>
  <c r="K153" i="18"/>
  <c r="J153" i="18"/>
  <c r="K152" i="18"/>
  <c r="J152" i="18"/>
  <c r="K151" i="18"/>
  <c r="J151" i="18"/>
  <c r="K150" i="18"/>
  <c r="J150" i="18"/>
  <c r="K149" i="18"/>
  <c r="J149" i="18"/>
  <c r="K148" i="18"/>
  <c r="J148" i="18"/>
  <c r="K147" i="18"/>
  <c r="J147" i="18"/>
  <c r="K146" i="18"/>
  <c r="J146" i="18"/>
  <c r="K145" i="18"/>
  <c r="J145" i="18"/>
  <c r="K144" i="18"/>
  <c r="J144" i="18"/>
  <c r="K143" i="18"/>
  <c r="J143" i="18"/>
  <c r="K142" i="18"/>
  <c r="J142" i="18"/>
  <c r="K141" i="18"/>
  <c r="J141" i="18"/>
  <c r="K140" i="18"/>
  <c r="J140" i="18"/>
  <c r="K139" i="18"/>
  <c r="J139" i="18"/>
  <c r="K138" i="18"/>
  <c r="J138" i="18"/>
  <c r="K137" i="18"/>
  <c r="J137" i="18"/>
  <c r="K136" i="18"/>
  <c r="J136" i="18"/>
  <c r="K135" i="18"/>
  <c r="J135" i="18"/>
  <c r="K134" i="18"/>
  <c r="J134" i="18"/>
  <c r="K133" i="18"/>
  <c r="J133" i="18"/>
  <c r="K132" i="18"/>
  <c r="J132" i="18"/>
  <c r="K131" i="18"/>
  <c r="J131" i="18"/>
  <c r="K130" i="18"/>
  <c r="J130" i="18"/>
  <c r="K129" i="18"/>
  <c r="J129" i="18"/>
  <c r="K128" i="18"/>
  <c r="J128" i="18"/>
  <c r="K127" i="18"/>
  <c r="J127" i="18"/>
  <c r="K126" i="18"/>
  <c r="J126" i="18"/>
  <c r="K125" i="18"/>
  <c r="J125" i="18"/>
  <c r="K124" i="18"/>
  <c r="J124" i="18"/>
  <c r="K123" i="18"/>
  <c r="J123" i="18"/>
  <c r="K122" i="18"/>
  <c r="J122" i="18"/>
  <c r="K121" i="18"/>
  <c r="J121" i="18"/>
  <c r="K120" i="18"/>
  <c r="J120" i="18"/>
  <c r="K119" i="18"/>
  <c r="J119" i="18"/>
  <c r="K118" i="18"/>
  <c r="J118" i="18"/>
  <c r="K117" i="18"/>
  <c r="J117" i="18"/>
  <c r="K116" i="18"/>
  <c r="J116" i="18"/>
  <c r="K115" i="18"/>
  <c r="J115" i="18"/>
  <c r="K114" i="18"/>
  <c r="J114" i="18"/>
  <c r="K113" i="18"/>
  <c r="J113" i="18"/>
  <c r="K112" i="18"/>
  <c r="J112" i="18"/>
  <c r="K111" i="18"/>
  <c r="J111" i="18"/>
  <c r="K110" i="18"/>
  <c r="J110" i="18"/>
  <c r="K109" i="18"/>
  <c r="J109" i="18"/>
  <c r="K108" i="18"/>
  <c r="J108" i="18"/>
  <c r="K107" i="18"/>
  <c r="J107" i="18"/>
  <c r="K106" i="18"/>
  <c r="J106" i="18"/>
  <c r="K105" i="18"/>
  <c r="J105" i="18"/>
  <c r="K104" i="18"/>
  <c r="J104" i="18"/>
  <c r="K103" i="18"/>
  <c r="J103" i="18"/>
  <c r="K102" i="18"/>
  <c r="J102" i="18"/>
  <c r="K101" i="18"/>
  <c r="J101" i="18"/>
  <c r="K100" i="18"/>
  <c r="J100" i="18"/>
  <c r="K99" i="18"/>
  <c r="J99" i="18"/>
  <c r="K98" i="18"/>
  <c r="J98" i="18"/>
  <c r="K97" i="18"/>
  <c r="J97" i="18"/>
  <c r="K96" i="18"/>
  <c r="J96" i="18"/>
  <c r="K95" i="18"/>
  <c r="J95" i="18"/>
  <c r="K94" i="18"/>
  <c r="J94" i="18"/>
  <c r="K93" i="18"/>
  <c r="J93" i="18"/>
  <c r="K92" i="18"/>
  <c r="J92" i="18"/>
  <c r="K91" i="18"/>
  <c r="J91" i="18"/>
  <c r="K90" i="18"/>
  <c r="J90" i="18"/>
  <c r="K89" i="18"/>
  <c r="J89" i="18"/>
  <c r="K88" i="18"/>
  <c r="J88" i="18"/>
  <c r="K87" i="18"/>
  <c r="J87" i="18"/>
  <c r="K86" i="18"/>
  <c r="J86" i="18"/>
  <c r="K85" i="18"/>
  <c r="J85" i="18"/>
  <c r="K84" i="18"/>
  <c r="J84" i="18"/>
  <c r="K83" i="18"/>
  <c r="J83" i="18"/>
  <c r="K82" i="18"/>
  <c r="J82" i="18"/>
  <c r="K81" i="18"/>
  <c r="J81" i="18"/>
  <c r="K80" i="18"/>
  <c r="J80" i="18"/>
  <c r="K79" i="18"/>
  <c r="J79" i="18"/>
  <c r="K78" i="18"/>
  <c r="J78" i="18"/>
  <c r="K77" i="18"/>
  <c r="J77" i="18"/>
  <c r="K76" i="18"/>
  <c r="J76" i="18"/>
  <c r="K75" i="18"/>
  <c r="J75" i="18"/>
  <c r="K74" i="18"/>
  <c r="J74" i="18"/>
  <c r="K73" i="18"/>
  <c r="J73" i="18"/>
  <c r="K72" i="18"/>
  <c r="J72" i="18"/>
  <c r="K71" i="18"/>
  <c r="J71" i="18"/>
  <c r="K70" i="18"/>
  <c r="J70" i="18"/>
  <c r="K69" i="18"/>
  <c r="J69" i="18"/>
  <c r="K68" i="18"/>
  <c r="J68" i="18"/>
  <c r="K67" i="18"/>
  <c r="J67" i="18"/>
  <c r="K66" i="18"/>
  <c r="J66" i="18"/>
  <c r="K65" i="18"/>
  <c r="J65" i="18"/>
  <c r="K64" i="18"/>
  <c r="J64" i="18"/>
  <c r="K63" i="18"/>
  <c r="J63" i="18"/>
  <c r="K62" i="18"/>
  <c r="J62" i="18"/>
  <c r="K61" i="18"/>
  <c r="J61" i="18"/>
  <c r="K60" i="18"/>
  <c r="J60" i="18"/>
  <c r="K59" i="18"/>
  <c r="J59" i="18"/>
  <c r="K58" i="18"/>
  <c r="J58" i="18"/>
  <c r="K57" i="18"/>
  <c r="J57" i="18"/>
  <c r="K56" i="18"/>
  <c r="J56" i="18"/>
  <c r="K55" i="18"/>
  <c r="J55" i="18"/>
  <c r="K54" i="18"/>
  <c r="J54" i="18"/>
  <c r="K53" i="18"/>
  <c r="J53" i="18"/>
  <c r="K52" i="18"/>
  <c r="J52" i="18"/>
  <c r="K51" i="18"/>
  <c r="J51" i="18"/>
  <c r="K50" i="18"/>
  <c r="J50" i="18"/>
  <c r="K49" i="18"/>
  <c r="J49" i="18"/>
  <c r="K48" i="18"/>
  <c r="J48" i="18"/>
  <c r="K47" i="18"/>
  <c r="J47" i="18"/>
  <c r="K46" i="18"/>
  <c r="J46" i="18"/>
  <c r="K45" i="18"/>
  <c r="J45" i="18"/>
  <c r="K44" i="18"/>
  <c r="J44" i="18"/>
  <c r="K43" i="18"/>
  <c r="J43" i="18"/>
  <c r="K42" i="18"/>
  <c r="J42" i="18"/>
  <c r="K41" i="18"/>
  <c r="J41" i="18"/>
  <c r="K40" i="18"/>
  <c r="J40" i="18"/>
  <c r="K39" i="18"/>
  <c r="J39" i="18"/>
  <c r="K38" i="18"/>
  <c r="J38" i="18"/>
  <c r="K37" i="18"/>
  <c r="J37" i="18"/>
  <c r="K36" i="18"/>
  <c r="J36" i="18"/>
  <c r="K35" i="18"/>
  <c r="J35" i="18"/>
  <c r="K34" i="18"/>
  <c r="J34" i="18"/>
  <c r="K33" i="18"/>
  <c r="J33" i="18"/>
  <c r="K32" i="18"/>
  <c r="J32" i="18"/>
  <c r="K31" i="18"/>
  <c r="J31" i="18"/>
  <c r="K30" i="18"/>
  <c r="J30" i="18"/>
  <c r="K29" i="18"/>
  <c r="J2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3" i="18"/>
  <c r="I3" i="18"/>
  <c r="H3" i="18"/>
  <c r="K498" i="16"/>
  <c r="J498" i="16"/>
  <c r="K497" i="16"/>
  <c r="J497" i="16"/>
  <c r="K496" i="16"/>
  <c r="J496" i="16"/>
  <c r="K495" i="16"/>
  <c r="J495" i="16"/>
  <c r="K494" i="16"/>
  <c r="J494" i="16"/>
  <c r="K493" i="16"/>
  <c r="J493" i="16"/>
  <c r="K492" i="16"/>
  <c r="J492" i="16"/>
  <c r="K491" i="16"/>
  <c r="J491" i="16"/>
  <c r="K490" i="16"/>
  <c r="J490" i="16"/>
  <c r="K489" i="16"/>
  <c r="J489" i="16"/>
  <c r="K488" i="16"/>
  <c r="J488" i="16"/>
  <c r="K487" i="16"/>
  <c r="J487" i="16"/>
  <c r="K486" i="16"/>
  <c r="J486" i="16"/>
  <c r="K485" i="16"/>
  <c r="J485" i="16"/>
  <c r="K484" i="16"/>
  <c r="J484" i="16"/>
  <c r="K483" i="16"/>
  <c r="J483" i="16"/>
  <c r="K482" i="16"/>
  <c r="J482" i="16"/>
  <c r="K481" i="16"/>
  <c r="J481" i="16"/>
  <c r="K480" i="16"/>
  <c r="J480" i="16"/>
  <c r="K479" i="16"/>
  <c r="J479" i="16"/>
  <c r="K478" i="16"/>
  <c r="J478" i="16"/>
  <c r="K477" i="16"/>
  <c r="J477" i="16"/>
  <c r="K476" i="16"/>
  <c r="J476" i="16"/>
  <c r="K475" i="16"/>
  <c r="J475" i="16"/>
  <c r="K474" i="16"/>
  <c r="J474" i="16"/>
  <c r="K473" i="16"/>
  <c r="J473" i="16"/>
  <c r="K472" i="16"/>
  <c r="J472" i="16"/>
  <c r="K471" i="16"/>
  <c r="J471" i="16"/>
  <c r="K470" i="16"/>
  <c r="J470" i="16"/>
  <c r="K469" i="16"/>
  <c r="J469" i="16"/>
  <c r="K468" i="16"/>
  <c r="J468" i="16"/>
  <c r="K467" i="16"/>
  <c r="J467" i="16"/>
  <c r="K466" i="16"/>
  <c r="J466" i="16"/>
  <c r="K465" i="16"/>
  <c r="J465" i="16"/>
  <c r="K464" i="16"/>
  <c r="J464" i="16"/>
  <c r="K463" i="16"/>
  <c r="J463" i="16"/>
  <c r="K462" i="16"/>
  <c r="J462" i="16"/>
  <c r="K461" i="16"/>
  <c r="J461" i="16"/>
  <c r="K460" i="16"/>
  <c r="J460" i="16"/>
  <c r="K459" i="16"/>
  <c r="J459" i="16"/>
  <c r="K458" i="16"/>
  <c r="J458" i="16"/>
  <c r="K457" i="16"/>
  <c r="J457" i="16"/>
  <c r="K456" i="16"/>
  <c r="J456" i="16"/>
  <c r="K455" i="16"/>
  <c r="J455" i="16"/>
  <c r="K454" i="16"/>
  <c r="J454" i="16"/>
  <c r="K453" i="16"/>
  <c r="J453" i="16"/>
  <c r="K452" i="16"/>
  <c r="J452" i="16"/>
  <c r="K451" i="16"/>
  <c r="J451" i="16"/>
  <c r="K450" i="16"/>
  <c r="J450" i="16"/>
  <c r="K449" i="16"/>
  <c r="J449" i="16"/>
  <c r="K448" i="16"/>
  <c r="J448" i="16"/>
  <c r="K447" i="16"/>
  <c r="J447" i="16"/>
  <c r="K446" i="16"/>
  <c r="J446" i="16"/>
  <c r="K445" i="16"/>
  <c r="J445" i="16"/>
  <c r="K444" i="16"/>
  <c r="J444" i="16"/>
  <c r="K443" i="16"/>
  <c r="J443" i="16"/>
  <c r="K442" i="16"/>
  <c r="J442" i="16"/>
  <c r="K441" i="16"/>
  <c r="J441" i="16"/>
  <c r="K440" i="16"/>
  <c r="J440" i="16"/>
  <c r="K439" i="16"/>
  <c r="J439" i="16"/>
  <c r="K438" i="16"/>
  <c r="J438" i="16"/>
  <c r="K437" i="16"/>
  <c r="J437" i="16"/>
  <c r="K436" i="16"/>
  <c r="J436" i="16"/>
  <c r="K435" i="16"/>
  <c r="J435" i="16"/>
  <c r="K434" i="16"/>
  <c r="J434" i="16"/>
  <c r="K433" i="16"/>
  <c r="J433" i="16"/>
  <c r="K432" i="16"/>
  <c r="J432" i="16"/>
  <c r="K431" i="16"/>
  <c r="J431" i="16"/>
  <c r="K430" i="16"/>
  <c r="J430" i="16"/>
  <c r="K429" i="16"/>
  <c r="J429" i="16"/>
  <c r="K428" i="16"/>
  <c r="J428" i="16"/>
  <c r="K427" i="16"/>
  <c r="J427" i="16"/>
  <c r="K426" i="16"/>
  <c r="J426" i="16"/>
  <c r="K425" i="16"/>
  <c r="J425" i="16"/>
  <c r="K424" i="16"/>
  <c r="J424" i="16"/>
  <c r="K423" i="16"/>
  <c r="J423" i="16"/>
  <c r="K422" i="16"/>
  <c r="J422" i="16"/>
  <c r="K421" i="16"/>
  <c r="J421" i="16"/>
  <c r="K420" i="16"/>
  <c r="J420" i="16"/>
  <c r="K419" i="16"/>
  <c r="J419" i="16"/>
  <c r="K418" i="16"/>
  <c r="J418" i="16"/>
  <c r="K417" i="16"/>
  <c r="J417" i="16"/>
  <c r="K416" i="16"/>
  <c r="J416" i="16"/>
  <c r="K415" i="16"/>
  <c r="J415" i="16"/>
  <c r="K414" i="16"/>
  <c r="J414" i="16"/>
  <c r="K413" i="16"/>
  <c r="J413" i="16"/>
  <c r="K412" i="16"/>
  <c r="J412" i="16"/>
  <c r="K411" i="16"/>
  <c r="J411" i="16"/>
  <c r="K410" i="16"/>
  <c r="J410" i="16"/>
  <c r="K409" i="16"/>
  <c r="J409" i="16"/>
  <c r="K408" i="16"/>
  <c r="J408" i="16"/>
  <c r="K407" i="16"/>
  <c r="J407" i="16"/>
  <c r="K406" i="16"/>
  <c r="J406" i="16"/>
  <c r="K405" i="16"/>
  <c r="J405" i="16"/>
  <c r="K404" i="16"/>
  <c r="J404" i="16"/>
  <c r="K403" i="16"/>
  <c r="J403" i="16"/>
  <c r="K402" i="16"/>
  <c r="J402" i="16"/>
  <c r="K401" i="16"/>
  <c r="J401" i="16"/>
  <c r="K400" i="16"/>
  <c r="J400" i="16"/>
  <c r="K399" i="16"/>
  <c r="J399" i="16"/>
  <c r="K398" i="16"/>
  <c r="J398" i="16"/>
  <c r="K397" i="16"/>
  <c r="J397" i="16"/>
  <c r="K396" i="16"/>
  <c r="J396" i="16"/>
  <c r="K395" i="16"/>
  <c r="J395" i="16"/>
  <c r="K394" i="16"/>
  <c r="J394" i="16"/>
  <c r="K393" i="16"/>
  <c r="J393" i="16"/>
  <c r="K392" i="16"/>
  <c r="J392" i="16"/>
  <c r="K391" i="16"/>
  <c r="J391" i="16"/>
  <c r="K390" i="16"/>
  <c r="J390" i="16"/>
  <c r="K389" i="16"/>
  <c r="J389" i="16"/>
  <c r="K388" i="16"/>
  <c r="J388" i="16"/>
  <c r="K387" i="16"/>
  <c r="J387" i="16"/>
  <c r="K386" i="16"/>
  <c r="J386" i="16"/>
  <c r="K385" i="16"/>
  <c r="J385" i="16"/>
  <c r="K384" i="16"/>
  <c r="J384" i="16"/>
  <c r="K383" i="16"/>
  <c r="J383" i="16"/>
  <c r="K382" i="16"/>
  <c r="J382" i="16"/>
  <c r="K381" i="16"/>
  <c r="J381" i="16"/>
  <c r="K380" i="16"/>
  <c r="J380" i="16"/>
  <c r="K379" i="16"/>
  <c r="J379" i="16"/>
  <c r="K378" i="16"/>
  <c r="J378" i="16"/>
  <c r="K377" i="16"/>
  <c r="J377" i="16"/>
  <c r="K376" i="16"/>
  <c r="J376" i="16"/>
  <c r="K375" i="16"/>
  <c r="J375" i="16"/>
  <c r="K374" i="16"/>
  <c r="J374" i="16"/>
  <c r="K373" i="16"/>
  <c r="J373" i="16"/>
  <c r="K372" i="16"/>
  <c r="J372" i="16"/>
  <c r="K371" i="16"/>
  <c r="J371" i="16"/>
  <c r="K370" i="16"/>
  <c r="J370" i="16"/>
  <c r="K369" i="16"/>
  <c r="J369" i="16"/>
  <c r="K368" i="16"/>
  <c r="J368" i="16"/>
  <c r="K367" i="16"/>
  <c r="J367" i="16"/>
  <c r="K366" i="16"/>
  <c r="J366" i="16"/>
  <c r="K365" i="16"/>
  <c r="J365" i="16"/>
  <c r="K364" i="16"/>
  <c r="J364" i="16"/>
  <c r="K363" i="16"/>
  <c r="J363" i="16"/>
  <c r="K362" i="16"/>
  <c r="J362" i="16"/>
  <c r="K361" i="16"/>
  <c r="J361" i="16"/>
  <c r="K360" i="16"/>
  <c r="J360" i="16"/>
  <c r="K359" i="16"/>
  <c r="J359" i="16"/>
  <c r="K358" i="16"/>
  <c r="J358" i="16"/>
  <c r="K357" i="16"/>
  <c r="J357" i="16"/>
  <c r="K356" i="16"/>
  <c r="J356" i="16"/>
  <c r="K355" i="16"/>
  <c r="J355" i="16"/>
  <c r="K354" i="16"/>
  <c r="J354" i="16"/>
  <c r="K353" i="16"/>
  <c r="J353" i="16"/>
  <c r="K352" i="16"/>
  <c r="J352" i="16"/>
  <c r="K351" i="16"/>
  <c r="J351" i="16"/>
  <c r="K350" i="16"/>
  <c r="J350" i="16"/>
  <c r="K349" i="16"/>
  <c r="J349" i="16"/>
  <c r="K348" i="16"/>
  <c r="J348" i="16"/>
  <c r="K347" i="16"/>
  <c r="J347" i="16"/>
  <c r="K346" i="16"/>
  <c r="J346" i="16"/>
  <c r="K345" i="16"/>
  <c r="J345" i="16"/>
  <c r="K344" i="16"/>
  <c r="J344" i="16"/>
  <c r="K343" i="16"/>
  <c r="J343" i="16"/>
  <c r="K342" i="16"/>
  <c r="J342" i="16"/>
  <c r="K341" i="16"/>
  <c r="J341" i="16"/>
  <c r="K340" i="16"/>
  <c r="J340" i="16"/>
  <c r="K339" i="16"/>
  <c r="J339" i="16"/>
  <c r="K338" i="16"/>
  <c r="J338" i="16"/>
  <c r="K337" i="16"/>
  <c r="J337" i="16"/>
  <c r="K336" i="16"/>
  <c r="J336" i="16"/>
  <c r="K335" i="16"/>
  <c r="J335" i="16"/>
  <c r="K334" i="16"/>
  <c r="J334" i="16"/>
  <c r="K333" i="16"/>
  <c r="J333" i="16"/>
  <c r="K332" i="16"/>
  <c r="J332" i="16"/>
  <c r="K331" i="16"/>
  <c r="J331" i="16"/>
  <c r="K330" i="16"/>
  <c r="J330" i="16"/>
  <c r="K329" i="16"/>
  <c r="J329" i="16"/>
  <c r="K328" i="16"/>
  <c r="J328" i="16"/>
  <c r="K327" i="16"/>
  <c r="J327" i="16"/>
  <c r="K326" i="16"/>
  <c r="J326" i="16"/>
  <c r="K325" i="16"/>
  <c r="J325" i="16"/>
  <c r="K324" i="16"/>
  <c r="J324" i="16"/>
  <c r="K323" i="16"/>
  <c r="J323" i="16"/>
  <c r="K322" i="16"/>
  <c r="J322" i="16"/>
  <c r="K321" i="16"/>
  <c r="J321" i="16"/>
  <c r="K320" i="16"/>
  <c r="J320" i="16"/>
  <c r="K319" i="16"/>
  <c r="J319" i="16"/>
  <c r="K318" i="16"/>
  <c r="J318" i="16"/>
  <c r="K317" i="16"/>
  <c r="J317" i="16"/>
  <c r="K316" i="16"/>
  <c r="J316" i="16"/>
  <c r="K315" i="16"/>
  <c r="J315" i="16"/>
  <c r="K314" i="16"/>
  <c r="J314" i="16"/>
  <c r="K313" i="16"/>
  <c r="J313" i="16"/>
  <c r="K312" i="16"/>
  <c r="J312" i="16"/>
  <c r="K311" i="16"/>
  <c r="J311" i="16"/>
  <c r="K310" i="16"/>
  <c r="J310" i="16"/>
  <c r="K309" i="16"/>
  <c r="J309" i="16"/>
  <c r="K308" i="16"/>
  <c r="J308" i="16"/>
  <c r="K307" i="16"/>
  <c r="J307" i="16"/>
  <c r="K306" i="16"/>
  <c r="J306" i="16"/>
  <c r="K305" i="16"/>
  <c r="J305" i="16"/>
  <c r="K304" i="16"/>
  <c r="J304" i="16"/>
  <c r="K303" i="16"/>
  <c r="J303" i="16"/>
  <c r="K302" i="16"/>
  <c r="J302" i="16"/>
  <c r="K301" i="16"/>
  <c r="J301" i="16"/>
  <c r="K300" i="16"/>
  <c r="J300" i="16"/>
  <c r="K299" i="16"/>
  <c r="J299" i="16"/>
  <c r="K298" i="16"/>
  <c r="J298" i="16"/>
  <c r="K297" i="16"/>
  <c r="J297" i="16"/>
  <c r="K296" i="16"/>
  <c r="J296" i="16"/>
  <c r="K295" i="16"/>
  <c r="J295" i="16"/>
  <c r="K294" i="16"/>
  <c r="J294" i="16"/>
  <c r="K293" i="16"/>
  <c r="J293" i="16"/>
  <c r="K292" i="16"/>
  <c r="J292" i="16"/>
  <c r="K291" i="16"/>
  <c r="J291" i="16"/>
  <c r="K290" i="16"/>
  <c r="J290" i="16"/>
  <c r="K289" i="16"/>
  <c r="J289" i="16"/>
  <c r="K288" i="16"/>
  <c r="J288" i="16"/>
  <c r="K287" i="16"/>
  <c r="J287" i="16"/>
  <c r="K286" i="16"/>
  <c r="J286" i="16"/>
  <c r="K285" i="16"/>
  <c r="J285" i="16"/>
  <c r="K284" i="16"/>
  <c r="J284" i="16"/>
  <c r="K283" i="16"/>
  <c r="J283" i="16"/>
  <c r="K282" i="16"/>
  <c r="J282" i="16"/>
  <c r="K281" i="16"/>
  <c r="J281" i="16"/>
  <c r="K280" i="16"/>
  <c r="J280" i="16"/>
  <c r="K279" i="16"/>
  <c r="J279" i="16"/>
  <c r="K278" i="16"/>
  <c r="J278" i="16"/>
  <c r="K277" i="16"/>
  <c r="J277" i="16"/>
  <c r="K276" i="16"/>
  <c r="J276" i="16"/>
  <c r="K275" i="16"/>
  <c r="J275" i="16"/>
  <c r="K274" i="16"/>
  <c r="J274" i="16"/>
  <c r="K273" i="16"/>
  <c r="J273" i="16"/>
  <c r="K272" i="16"/>
  <c r="J272" i="16"/>
  <c r="K271" i="16"/>
  <c r="J271" i="16"/>
  <c r="K270" i="16"/>
  <c r="J270" i="16"/>
  <c r="K269" i="16"/>
  <c r="J269" i="16"/>
  <c r="K268" i="16"/>
  <c r="J268" i="16"/>
  <c r="K267" i="16"/>
  <c r="J267" i="16"/>
  <c r="K266" i="16"/>
  <c r="J266" i="16"/>
  <c r="K265" i="16"/>
  <c r="J265" i="16"/>
  <c r="K264" i="16"/>
  <c r="J264" i="16"/>
  <c r="K263" i="16"/>
  <c r="J263" i="16"/>
  <c r="K262" i="16"/>
  <c r="J262" i="16"/>
  <c r="K261" i="16"/>
  <c r="J261" i="16"/>
  <c r="K260" i="16"/>
  <c r="J260" i="16"/>
  <c r="K259" i="16"/>
  <c r="J259" i="16"/>
  <c r="K258" i="16"/>
  <c r="J258" i="16"/>
  <c r="K257" i="16"/>
  <c r="J257" i="16"/>
  <c r="K256" i="16"/>
  <c r="J256" i="16"/>
  <c r="K255" i="16"/>
  <c r="J255" i="16"/>
  <c r="K254" i="16"/>
  <c r="J254" i="16"/>
  <c r="K253" i="16"/>
  <c r="J253" i="16"/>
  <c r="K252" i="16"/>
  <c r="J252" i="16"/>
  <c r="K251" i="16"/>
  <c r="J251" i="16"/>
  <c r="K250" i="16"/>
  <c r="J250" i="16"/>
  <c r="K249" i="16"/>
  <c r="J249" i="16"/>
  <c r="K248" i="16"/>
  <c r="J248" i="16"/>
  <c r="K247" i="16"/>
  <c r="J247" i="16"/>
  <c r="K246" i="16"/>
  <c r="J246" i="16"/>
  <c r="K245" i="16"/>
  <c r="J245" i="16"/>
  <c r="K244" i="16"/>
  <c r="J244" i="16"/>
  <c r="K243" i="16"/>
  <c r="J243" i="16"/>
  <c r="K242" i="16"/>
  <c r="J242" i="16"/>
  <c r="K241" i="16"/>
  <c r="J241" i="16"/>
  <c r="K240" i="16"/>
  <c r="J240" i="16"/>
  <c r="K239" i="16"/>
  <c r="J239" i="16"/>
  <c r="K238" i="16"/>
  <c r="J238" i="16"/>
  <c r="K237" i="16"/>
  <c r="J237" i="16"/>
  <c r="K236" i="16"/>
  <c r="J236" i="16"/>
  <c r="K235" i="16"/>
  <c r="J235" i="16"/>
  <c r="K234" i="16"/>
  <c r="J234" i="16"/>
  <c r="K233" i="16"/>
  <c r="J233" i="16"/>
  <c r="K232" i="16"/>
  <c r="J232" i="16"/>
  <c r="K231" i="16"/>
  <c r="J231" i="16"/>
  <c r="K230" i="16"/>
  <c r="J230" i="16"/>
  <c r="K229" i="16"/>
  <c r="J229" i="16"/>
  <c r="K228" i="16"/>
  <c r="J228" i="16"/>
  <c r="K227" i="16"/>
  <c r="J227" i="16"/>
  <c r="K226" i="16"/>
  <c r="J226" i="16"/>
  <c r="K225" i="16"/>
  <c r="J225" i="16"/>
  <c r="K224" i="16"/>
  <c r="J224" i="16"/>
  <c r="K223" i="16"/>
  <c r="J223" i="16"/>
  <c r="K222" i="16"/>
  <c r="J222" i="16"/>
  <c r="K221" i="16"/>
  <c r="J221" i="16"/>
  <c r="K220" i="16"/>
  <c r="J220" i="16"/>
  <c r="K219" i="16"/>
  <c r="J219" i="16"/>
  <c r="K218" i="16"/>
  <c r="J218" i="16"/>
  <c r="K217" i="16"/>
  <c r="J217" i="16"/>
  <c r="K216" i="16"/>
  <c r="J216" i="16"/>
  <c r="K215" i="16"/>
  <c r="J215" i="16"/>
  <c r="K214" i="16"/>
  <c r="J214" i="16"/>
  <c r="K213" i="16"/>
  <c r="J213" i="16"/>
  <c r="K212" i="16"/>
  <c r="J212" i="16"/>
  <c r="K211" i="16"/>
  <c r="J211" i="16"/>
  <c r="K210" i="16"/>
  <c r="J210" i="16"/>
  <c r="K209" i="16"/>
  <c r="J209" i="16"/>
  <c r="K208" i="16"/>
  <c r="J208" i="16"/>
  <c r="K207" i="16"/>
  <c r="J207" i="16"/>
  <c r="K206" i="16"/>
  <c r="J206" i="16"/>
  <c r="K205" i="16"/>
  <c r="J205" i="16"/>
  <c r="K204" i="16"/>
  <c r="J204" i="16"/>
  <c r="K203" i="16"/>
  <c r="J203" i="16"/>
  <c r="K202" i="16"/>
  <c r="J202" i="16"/>
  <c r="K201" i="16"/>
  <c r="J201" i="16"/>
  <c r="K200" i="16"/>
  <c r="J200" i="16"/>
  <c r="K199" i="16"/>
  <c r="J199" i="16"/>
  <c r="K198" i="16"/>
  <c r="J198" i="16"/>
  <c r="K197" i="16"/>
  <c r="J197" i="16"/>
  <c r="K196" i="16"/>
  <c r="J196" i="16"/>
  <c r="K195" i="16"/>
  <c r="J195" i="16"/>
  <c r="K194" i="16"/>
  <c r="J194" i="16"/>
  <c r="K193" i="16"/>
  <c r="J193" i="16"/>
  <c r="K192" i="16"/>
  <c r="J192" i="16"/>
  <c r="K191" i="16"/>
  <c r="J191" i="16"/>
  <c r="K190" i="16"/>
  <c r="J190" i="16"/>
  <c r="K189" i="16"/>
  <c r="J189" i="16"/>
  <c r="K188" i="16"/>
  <c r="J188" i="16"/>
  <c r="K187" i="16"/>
  <c r="J187" i="16"/>
  <c r="K186" i="16"/>
  <c r="J186" i="16"/>
  <c r="K185" i="16"/>
  <c r="J185" i="16"/>
  <c r="K184" i="16"/>
  <c r="J184" i="16"/>
  <c r="K183" i="16"/>
  <c r="J183" i="16"/>
  <c r="K182" i="16"/>
  <c r="J182" i="16"/>
  <c r="K181" i="16"/>
  <c r="J181" i="16"/>
  <c r="K180" i="16"/>
  <c r="J180" i="16"/>
  <c r="K179" i="16"/>
  <c r="J179" i="16"/>
  <c r="K178" i="16"/>
  <c r="J178" i="16"/>
  <c r="K177" i="16"/>
  <c r="J177" i="16"/>
  <c r="K176" i="16"/>
  <c r="J176" i="16"/>
  <c r="K175" i="16"/>
  <c r="J175" i="16"/>
  <c r="K174" i="16"/>
  <c r="J174" i="16"/>
  <c r="K173" i="16"/>
  <c r="J173" i="16"/>
  <c r="K172" i="16"/>
  <c r="J172" i="16"/>
  <c r="K171" i="16"/>
  <c r="J171" i="16"/>
  <c r="K170" i="16"/>
  <c r="J170" i="16"/>
  <c r="K169" i="16"/>
  <c r="J169" i="16"/>
  <c r="K168" i="16"/>
  <c r="J168" i="16"/>
  <c r="K167" i="16"/>
  <c r="J167" i="16"/>
  <c r="K166" i="16"/>
  <c r="J166" i="16"/>
  <c r="K165" i="16"/>
  <c r="J165" i="16"/>
  <c r="K164" i="16"/>
  <c r="J164" i="16"/>
  <c r="K163" i="16"/>
  <c r="J163" i="16"/>
  <c r="K162" i="16"/>
  <c r="J162" i="16"/>
  <c r="K161" i="16"/>
  <c r="J161" i="16"/>
  <c r="K160" i="16"/>
  <c r="J160" i="16"/>
  <c r="K159" i="16"/>
  <c r="J159" i="16"/>
  <c r="K158" i="16"/>
  <c r="J158" i="16"/>
  <c r="K157" i="16"/>
  <c r="J157" i="16"/>
  <c r="K156" i="16"/>
  <c r="J156" i="16"/>
  <c r="K155" i="16"/>
  <c r="J155" i="16"/>
  <c r="K154" i="16"/>
  <c r="J154" i="16"/>
  <c r="K153" i="16"/>
  <c r="J153" i="16"/>
  <c r="K152" i="16"/>
  <c r="J152" i="16"/>
  <c r="K151" i="16"/>
  <c r="J151" i="16"/>
  <c r="K150" i="16"/>
  <c r="J150" i="16"/>
  <c r="K149" i="16"/>
  <c r="J149" i="16"/>
  <c r="K148" i="16"/>
  <c r="J148" i="16"/>
  <c r="K147" i="16"/>
  <c r="J147" i="16"/>
  <c r="K146" i="16"/>
  <c r="J146" i="16"/>
  <c r="K145" i="16"/>
  <c r="J145" i="16"/>
  <c r="K144" i="16"/>
  <c r="J144" i="16"/>
  <c r="K143" i="16"/>
  <c r="J143" i="16"/>
  <c r="K142" i="16"/>
  <c r="J142" i="16"/>
  <c r="K141" i="16"/>
  <c r="J141" i="16"/>
  <c r="K140" i="16"/>
  <c r="J140" i="16"/>
  <c r="K139" i="16"/>
  <c r="J139" i="16"/>
  <c r="K138" i="16"/>
  <c r="J138" i="16"/>
  <c r="K137" i="16"/>
  <c r="J137" i="16"/>
  <c r="K136" i="16"/>
  <c r="J136" i="16"/>
  <c r="K135" i="16"/>
  <c r="J135" i="16"/>
  <c r="K134" i="16"/>
  <c r="J134" i="16"/>
  <c r="K133" i="16"/>
  <c r="J133" i="16"/>
  <c r="K132" i="16"/>
  <c r="J132" i="16"/>
  <c r="K131" i="16"/>
  <c r="J131" i="16"/>
  <c r="K130" i="16"/>
  <c r="J130" i="16"/>
  <c r="K129" i="16"/>
  <c r="J129" i="16"/>
  <c r="K128" i="16"/>
  <c r="J128" i="16"/>
  <c r="K127" i="16"/>
  <c r="J127" i="16"/>
  <c r="K126" i="16"/>
  <c r="J126" i="16"/>
  <c r="K125" i="16"/>
  <c r="J125" i="16"/>
  <c r="K124" i="16"/>
  <c r="J124" i="16"/>
  <c r="K123" i="16"/>
  <c r="J123" i="16"/>
  <c r="K122" i="16"/>
  <c r="J122" i="16"/>
  <c r="K121" i="16"/>
  <c r="J121" i="16"/>
  <c r="K120" i="16"/>
  <c r="J120" i="16"/>
  <c r="K119" i="16"/>
  <c r="J119" i="16"/>
  <c r="K118" i="16"/>
  <c r="J118" i="16"/>
  <c r="K117" i="16"/>
  <c r="J117" i="16"/>
  <c r="K116" i="16"/>
  <c r="J116" i="16"/>
  <c r="K115" i="16"/>
  <c r="J115" i="16"/>
  <c r="K114" i="16"/>
  <c r="J114" i="16"/>
  <c r="K113" i="16"/>
  <c r="J113" i="16"/>
  <c r="K112" i="16"/>
  <c r="J112" i="16"/>
  <c r="K111" i="16"/>
  <c r="J111" i="16"/>
  <c r="K110" i="16"/>
  <c r="J110" i="16"/>
  <c r="K109" i="16"/>
  <c r="J109" i="16"/>
  <c r="K108" i="16"/>
  <c r="J108" i="16"/>
  <c r="K107" i="16"/>
  <c r="J107" i="16"/>
  <c r="K106" i="16"/>
  <c r="J106" i="16"/>
  <c r="K105" i="16"/>
  <c r="J105" i="16"/>
  <c r="K104" i="16"/>
  <c r="J104" i="16"/>
  <c r="K103" i="16"/>
  <c r="J103" i="16"/>
  <c r="K102" i="16"/>
  <c r="J102" i="16"/>
  <c r="K101" i="16"/>
  <c r="J101" i="16"/>
  <c r="K100" i="16"/>
  <c r="J100" i="16"/>
  <c r="K99" i="16"/>
  <c r="J99" i="16"/>
  <c r="K98" i="16"/>
  <c r="J98" i="16"/>
  <c r="K97" i="16"/>
  <c r="J97" i="16"/>
  <c r="K96" i="16"/>
  <c r="J96" i="16"/>
  <c r="K95" i="16"/>
  <c r="J95" i="16"/>
  <c r="K94" i="16"/>
  <c r="J94" i="16"/>
  <c r="K93" i="16"/>
  <c r="J93" i="16"/>
  <c r="K92" i="16"/>
  <c r="J92" i="16"/>
  <c r="K91" i="16"/>
  <c r="J91" i="16"/>
  <c r="K90" i="16"/>
  <c r="J90" i="16"/>
  <c r="K89" i="16"/>
  <c r="J89" i="16"/>
  <c r="K88" i="16"/>
  <c r="J88" i="16"/>
  <c r="K87" i="16"/>
  <c r="J87" i="16"/>
  <c r="K86" i="16"/>
  <c r="J86" i="16"/>
  <c r="K85" i="16"/>
  <c r="J85" i="16"/>
  <c r="K84" i="16"/>
  <c r="J84" i="16"/>
  <c r="K83" i="16"/>
  <c r="J83" i="16"/>
  <c r="K82" i="16"/>
  <c r="J82" i="16"/>
  <c r="K81" i="16"/>
  <c r="J81" i="16"/>
  <c r="K80" i="16"/>
  <c r="J80" i="16"/>
  <c r="K79" i="16"/>
  <c r="J79" i="16"/>
  <c r="K78" i="16"/>
  <c r="J78" i="16"/>
  <c r="K77" i="16"/>
  <c r="J77" i="16"/>
  <c r="K76" i="16"/>
  <c r="J76" i="16"/>
  <c r="K75" i="16"/>
  <c r="J75" i="16"/>
  <c r="K74" i="16"/>
  <c r="J74" i="16"/>
  <c r="K73" i="16"/>
  <c r="J73" i="16"/>
  <c r="K72" i="16"/>
  <c r="J72" i="16"/>
  <c r="K71" i="16"/>
  <c r="J71" i="16"/>
  <c r="K70" i="16"/>
  <c r="J70" i="16"/>
  <c r="K69" i="16"/>
  <c r="J69" i="16"/>
  <c r="K68" i="16"/>
  <c r="J68" i="16"/>
  <c r="K67" i="16"/>
  <c r="J67" i="16"/>
  <c r="K66" i="16"/>
  <c r="J66" i="16"/>
  <c r="K65" i="16"/>
  <c r="J65" i="16"/>
  <c r="K64" i="16"/>
  <c r="J64" i="16"/>
  <c r="K63" i="16"/>
  <c r="J63" i="16"/>
  <c r="K62" i="16"/>
  <c r="J62" i="16"/>
  <c r="K61" i="16"/>
  <c r="J61" i="16"/>
  <c r="K60" i="16"/>
  <c r="J60" i="16"/>
  <c r="K59" i="16"/>
  <c r="J59" i="16"/>
  <c r="K58" i="16"/>
  <c r="J58" i="16"/>
  <c r="K57" i="16"/>
  <c r="J57" i="16"/>
  <c r="K56" i="16"/>
  <c r="J56" i="16"/>
  <c r="K55" i="16"/>
  <c r="J55" i="16"/>
  <c r="K54" i="16"/>
  <c r="J54" i="16"/>
  <c r="K53" i="16"/>
  <c r="J53" i="16"/>
  <c r="K52" i="16"/>
  <c r="J52" i="16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3" i="16"/>
  <c r="I3" i="16"/>
  <c r="H3" i="16"/>
  <c r="K500" i="17"/>
  <c r="J500" i="17"/>
  <c r="K499" i="17"/>
  <c r="J499" i="17"/>
  <c r="K498" i="17"/>
  <c r="J498" i="17"/>
  <c r="K497" i="17"/>
  <c r="J497" i="17"/>
  <c r="K496" i="17"/>
  <c r="J496" i="17"/>
  <c r="K495" i="17"/>
  <c r="J495" i="17"/>
  <c r="K494" i="17"/>
  <c r="J494" i="17"/>
  <c r="K493" i="17"/>
  <c r="J493" i="17"/>
  <c r="K492" i="17"/>
  <c r="J492" i="17"/>
  <c r="K491" i="17"/>
  <c r="J491" i="17"/>
  <c r="K490" i="17"/>
  <c r="J490" i="17"/>
  <c r="K489" i="17"/>
  <c r="J489" i="17"/>
  <c r="K488" i="17"/>
  <c r="J488" i="17"/>
  <c r="K487" i="17"/>
  <c r="J487" i="17"/>
  <c r="K486" i="17"/>
  <c r="J486" i="17"/>
  <c r="K485" i="17"/>
  <c r="J485" i="17"/>
  <c r="K484" i="17"/>
  <c r="J484" i="17"/>
  <c r="K483" i="17"/>
  <c r="J483" i="17"/>
  <c r="K482" i="17"/>
  <c r="J482" i="17"/>
  <c r="K481" i="17"/>
  <c r="J481" i="17"/>
  <c r="K480" i="17"/>
  <c r="J480" i="17"/>
  <c r="K479" i="17"/>
  <c r="J479" i="17"/>
  <c r="K478" i="17"/>
  <c r="J478" i="17"/>
  <c r="K477" i="17"/>
  <c r="J477" i="17"/>
  <c r="K476" i="17"/>
  <c r="J476" i="17"/>
  <c r="K475" i="17"/>
  <c r="J475" i="17"/>
  <c r="K474" i="17"/>
  <c r="J474" i="17"/>
  <c r="K473" i="17"/>
  <c r="J473" i="17"/>
  <c r="K472" i="17"/>
  <c r="J472" i="17"/>
  <c r="K471" i="17"/>
  <c r="J471" i="17"/>
  <c r="K470" i="17"/>
  <c r="J470" i="17"/>
  <c r="K469" i="17"/>
  <c r="J469" i="17"/>
  <c r="K468" i="17"/>
  <c r="J468" i="17"/>
  <c r="K467" i="17"/>
  <c r="J467" i="17"/>
  <c r="K466" i="17"/>
  <c r="J466" i="17"/>
  <c r="K465" i="17"/>
  <c r="J465" i="17"/>
  <c r="K464" i="17"/>
  <c r="J464" i="17"/>
  <c r="K463" i="17"/>
  <c r="J463" i="17"/>
  <c r="K462" i="17"/>
  <c r="J462" i="17"/>
  <c r="K461" i="17"/>
  <c r="J461" i="17"/>
  <c r="K460" i="17"/>
  <c r="J460" i="17"/>
  <c r="K459" i="17"/>
  <c r="J459" i="17"/>
  <c r="K458" i="17"/>
  <c r="J458" i="17"/>
  <c r="K457" i="17"/>
  <c r="J457" i="17"/>
  <c r="K456" i="17"/>
  <c r="J456" i="17"/>
  <c r="K455" i="17"/>
  <c r="J455" i="17"/>
  <c r="K454" i="17"/>
  <c r="J454" i="17"/>
  <c r="K453" i="17"/>
  <c r="J453" i="17"/>
  <c r="K452" i="17"/>
  <c r="J452" i="17"/>
  <c r="K451" i="17"/>
  <c r="J451" i="17"/>
  <c r="K450" i="17"/>
  <c r="J450" i="17"/>
  <c r="K449" i="17"/>
  <c r="J449" i="17"/>
  <c r="K448" i="17"/>
  <c r="J448" i="17"/>
  <c r="K447" i="17"/>
  <c r="J447" i="17"/>
  <c r="K446" i="17"/>
  <c r="J446" i="17"/>
  <c r="K445" i="17"/>
  <c r="J445" i="17"/>
  <c r="K444" i="17"/>
  <c r="J444" i="17"/>
  <c r="K443" i="17"/>
  <c r="J443" i="17"/>
  <c r="K442" i="17"/>
  <c r="J442" i="17"/>
  <c r="K441" i="17"/>
  <c r="J441" i="17"/>
  <c r="K440" i="17"/>
  <c r="J440" i="17"/>
  <c r="K439" i="17"/>
  <c r="J439" i="17"/>
  <c r="K438" i="17"/>
  <c r="J438" i="17"/>
  <c r="K437" i="17"/>
  <c r="J437" i="17"/>
  <c r="K436" i="17"/>
  <c r="J436" i="17"/>
  <c r="K435" i="17"/>
  <c r="J435" i="17"/>
  <c r="K434" i="17"/>
  <c r="J434" i="17"/>
  <c r="K433" i="17"/>
  <c r="J433" i="17"/>
  <c r="K432" i="17"/>
  <c r="J432" i="17"/>
  <c r="K431" i="17"/>
  <c r="J431" i="17"/>
  <c r="K430" i="17"/>
  <c r="J430" i="17"/>
  <c r="K429" i="17"/>
  <c r="J429" i="17"/>
  <c r="K428" i="17"/>
  <c r="J428" i="17"/>
  <c r="K427" i="17"/>
  <c r="J427" i="17"/>
  <c r="K426" i="17"/>
  <c r="J426" i="17"/>
  <c r="K425" i="17"/>
  <c r="J425" i="17"/>
  <c r="K424" i="17"/>
  <c r="J424" i="17"/>
  <c r="K423" i="17"/>
  <c r="J423" i="17"/>
  <c r="K422" i="17"/>
  <c r="J422" i="17"/>
  <c r="K421" i="17"/>
  <c r="J421" i="17"/>
  <c r="K420" i="17"/>
  <c r="J420" i="17"/>
  <c r="K419" i="17"/>
  <c r="J419" i="17"/>
  <c r="K418" i="17"/>
  <c r="J418" i="17"/>
  <c r="K417" i="17"/>
  <c r="J417" i="17"/>
  <c r="K416" i="17"/>
  <c r="J416" i="17"/>
  <c r="K415" i="17"/>
  <c r="J415" i="17"/>
  <c r="K414" i="17"/>
  <c r="J414" i="17"/>
  <c r="K413" i="17"/>
  <c r="J413" i="17"/>
  <c r="K412" i="17"/>
  <c r="J412" i="17"/>
  <c r="K411" i="17"/>
  <c r="J411" i="17"/>
  <c r="K410" i="17"/>
  <c r="J410" i="17"/>
  <c r="K409" i="17"/>
  <c r="J409" i="17"/>
  <c r="K408" i="17"/>
  <c r="J408" i="17"/>
  <c r="K407" i="17"/>
  <c r="J407" i="17"/>
  <c r="K406" i="17"/>
  <c r="J406" i="17"/>
  <c r="K405" i="17"/>
  <c r="J405" i="17"/>
  <c r="K404" i="17"/>
  <c r="J404" i="17"/>
  <c r="K403" i="17"/>
  <c r="J403" i="17"/>
  <c r="K402" i="17"/>
  <c r="J402" i="17"/>
  <c r="K401" i="17"/>
  <c r="J401" i="17"/>
  <c r="K400" i="17"/>
  <c r="J400" i="17"/>
  <c r="K399" i="17"/>
  <c r="J399" i="17"/>
  <c r="K398" i="17"/>
  <c r="J398" i="17"/>
  <c r="K397" i="17"/>
  <c r="J397" i="17"/>
  <c r="K396" i="17"/>
  <c r="J396" i="17"/>
  <c r="K395" i="17"/>
  <c r="J395" i="17"/>
  <c r="K394" i="17"/>
  <c r="J394" i="17"/>
  <c r="K393" i="17"/>
  <c r="J393" i="17"/>
  <c r="K392" i="17"/>
  <c r="J392" i="17"/>
  <c r="K391" i="17"/>
  <c r="J391" i="17"/>
  <c r="K390" i="17"/>
  <c r="J390" i="17"/>
  <c r="K389" i="17"/>
  <c r="J389" i="17"/>
  <c r="K388" i="17"/>
  <c r="J388" i="17"/>
  <c r="K387" i="17"/>
  <c r="J387" i="17"/>
  <c r="K386" i="17"/>
  <c r="J386" i="17"/>
  <c r="K385" i="17"/>
  <c r="J385" i="17"/>
  <c r="K384" i="17"/>
  <c r="J384" i="17"/>
  <c r="K383" i="17"/>
  <c r="J383" i="17"/>
  <c r="K382" i="17"/>
  <c r="J382" i="17"/>
  <c r="K381" i="17"/>
  <c r="J381" i="17"/>
  <c r="K380" i="17"/>
  <c r="J380" i="17"/>
  <c r="K379" i="17"/>
  <c r="J379" i="17"/>
  <c r="K378" i="17"/>
  <c r="J378" i="17"/>
  <c r="K377" i="17"/>
  <c r="J377" i="17"/>
  <c r="K376" i="17"/>
  <c r="J376" i="17"/>
  <c r="K375" i="17"/>
  <c r="J375" i="17"/>
  <c r="K374" i="17"/>
  <c r="J374" i="17"/>
  <c r="K373" i="17"/>
  <c r="J373" i="17"/>
  <c r="K372" i="17"/>
  <c r="J372" i="17"/>
  <c r="K371" i="17"/>
  <c r="J371" i="17"/>
  <c r="K370" i="17"/>
  <c r="J370" i="17"/>
  <c r="K369" i="17"/>
  <c r="J369" i="17"/>
  <c r="K368" i="17"/>
  <c r="J368" i="17"/>
  <c r="K367" i="17"/>
  <c r="J367" i="17"/>
  <c r="K366" i="17"/>
  <c r="J366" i="17"/>
  <c r="K365" i="17"/>
  <c r="J365" i="17"/>
  <c r="K364" i="17"/>
  <c r="J364" i="17"/>
  <c r="K363" i="17"/>
  <c r="J363" i="17"/>
  <c r="K362" i="17"/>
  <c r="J362" i="17"/>
  <c r="K361" i="17"/>
  <c r="J361" i="17"/>
  <c r="K360" i="17"/>
  <c r="J360" i="17"/>
  <c r="K359" i="17"/>
  <c r="J359" i="17"/>
  <c r="K358" i="17"/>
  <c r="J358" i="17"/>
  <c r="K357" i="17"/>
  <c r="J357" i="17"/>
  <c r="K356" i="17"/>
  <c r="J356" i="17"/>
  <c r="K355" i="17"/>
  <c r="J355" i="17"/>
  <c r="K354" i="17"/>
  <c r="J354" i="17"/>
  <c r="K353" i="17"/>
  <c r="J353" i="17"/>
  <c r="K352" i="17"/>
  <c r="J352" i="17"/>
  <c r="K351" i="17"/>
  <c r="J351" i="17"/>
  <c r="K350" i="17"/>
  <c r="J350" i="17"/>
  <c r="K349" i="17"/>
  <c r="J349" i="17"/>
  <c r="K348" i="17"/>
  <c r="J348" i="17"/>
  <c r="K347" i="17"/>
  <c r="J347" i="17"/>
  <c r="K346" i="17"/>
  <c r="J346" i="17"/>
  <c r="K345" i="17"/>
  <c r="J345" i="17"/>
  <c r="K344" i="17"/>
  <c r="J344" i="17"/>
  <c r="K343" i="17"/>
  <c r="J343" i="17"/>
  <c r="K342" i="17"/>
  <c r="J342" i="17"/>
  <c r="K341" i="17"/>
  <c r="J341" i="17"/>
  <c r="K340" i="17"/>
  <c r="J340" i="17"/>
  <c r="K339" i="17"/>
  <c r="J339" i="17"/>
  <c r="K338" i="17"/>
  <c r="J338" i="17"/>
  <c r="K337" i="17"/>
  <c r="J337" i="17"/>
  <c r="K336" i="17"/>
  <c r="J336" i="17"/>
  <c r="K335" i="17"/>
  <c r="J335" i="17"/>
  <c r="K334" i="17"/>
  <c r="J334" i="17"/>
  <c r="K333" i="17"/>
  <c r="J333" i="17"/>
  <c r="K332" i="17"/>
  <c r="J332" i="17"/>
  <c r="K331" i="17"/>
  <c r="J331" i="17"/>
  <c r="K330" i="17"/>
  <c r="J330" i="17"/>
  <c r="K329" i="17"/>
  <c r="J329" i="17"/>
  <c r="K328" i="17"/>
  <c r="J328" i="17"/>
  <c r="K327" i="17"/>
  <c r="J327" i="17"/>
  <c r="K326" i="17"/>
  <c r="J326" i="17"/>
  <c r="K325" i="17"/>
  <c r="J325" i="17"/>
  <c r="K324" i="17"/>
  <c r="J324" i="17"/>
  <c r="K323" i="17"/>
  <c r="J323" i="17"/>
  <c r="K322" i="17"/>
  <c r="J322" i="17"/>
  <c r="K321" i="17"/>
  <c r="J321" i="17"/>
  <c r="K320" i="17"/>
  <c r="J320" i="17"/>
  <c r="K319" i="17"/>
  <c r="J319" i="17"/>
  <c r="K318" i="17"/>
  <c r="J318" i="17"/>
  <c r="K317" i="17"/>
  <c r="J317" i="17"/>
  <c r="K316" i="17"/>
  <c r="J316" i="17"/>
  <c r="K315" i="17"/>
  <c r="J315" i="17"/>
  <c r="K314" i="17"/>
  <c r="J314" i="17"/>
  <c r="K313" i="17"/>
  <c r="J313" i="17"/>
  <c r="K312" i="17"/>
  <c r="J312" i="17"/>
  <c r="K311" i="17"/>
  <c r="J311" i="17"/>
  <c r="K310" i="17"/>
  <c r="J310" i="17"/>
  <c r="K309" i="17"/>
  <c r="J309" i="17"/>
  <c r="K308" i="17"/>
  <c r="J308" i="17"/>
  <c r="K307" i="17"/>
  <c r="J307" i="17"/>
  <c r="K306" i="17"/>
  <c r="J306" i="17"/>
  <c r="K305" i="17"/>
  <c r="J305" i="17"/>
  <c r="K304" i="17"/>
  <c r="J304" i="17"/>
  <c r="K303" i="17"/>
  <c r="J303" i="17"/>
  <c r="K302" i="17"/>
  <c r="J302" i="17"/>
  <c r="K301" i="17"/>
  <c r="J301" i="17"/>
  <c r="K300" i="17"/>
  <c r="J300" i="17"/>
  <c r="K299" i="17"/>
  <c r="J299" i="17"/>
  <c r="K298" i="17"/>
  <c r="J298" i="17"/>
  <c r="K297" i="17"/>
  <c r="J297" i="17"/>
  <c r="K296" i="17"/>
  <c r="J296" i="17"/>
  <c r="K295" i="17"/>
  <c r="J295" i="17"/>
  <c r="K294" i="17"/>
  <c r="J294" i="17"/>
  <c r="K293" i="17"/>
  <c r="J293" i="17"/>
  <c r="K292" i="17"/>
  <c r="J292" i="17"/>
  <c r="K291" i="17"/>
  <c r="J291" i="17"/>
  <c r="K290" i="17"/>
  <c r="J290" i="17"/>
  <c r="K289" i="17"/>
  <c r="J289" i="17"/>
  <c r="K288" i="17"/>
  <c r="J288" i="17"/>
  <c r="K287" i="17"/>
  <c r="J287" i="17"/>
  <c r="K286" i="17"/>
  <c r="J286" i="17"/>
  <c r="K285" i="17"/>
  <c r="J285" i="17"/>
  <c r="K284" i="17"/>
  <c r="J284" i="17"/>
  <c r="K283" i="17"/>
  <c r="J283" i="17"/>
  <c r="K282" i="17"/>
  <c r="J282" i="17"/>
  <c r="K281" i="17"/>
  <c r="J281" i="17"/>
  <c r="K280" i="17"/>
  <c r="J280" i="17"/>
  <c r="K279" i="17"/>
  <c r="J279" i="17"/>
  <c r="K278" i="17"/>
  <c r="J278" i="17"/>
  <c r="K277" i="17"/>
  <c r="J277" i="17"/>
  <c r="K276" i="17"/>
  <c r="J276" i="17"/>
  <c r="K275" i="17"/>
  <c r="J275" i="17"/>
  <c r="K274" i="17"/>
  <c r="J274" i="17"/>
  <c r="K273" i="17"/>
  <c r="J273" i="17"/>
  <c r="K272" i="17"/>
  <c r="J272" i="17"/>
  <c r="K271" i="17"/>
  <c r="J271" i="17"/>
  <c r="K270" i="17"/>
  <c r="J270" i="17"/>
  <c r="K269" i="17"/>
  <c r="J269" i="17"/>
  <c r="K268" i="17"/>
  <c r="J268" i="17"/>
  <c r="K267" i="17"/>
  <c r="J267" i="17"/>
  <c r="K266" i="17"/>
  <c r="J266" i="17"/>
  <c r="K265" i="17"/>
  <c r="J265" i="17"/>
  <c r="K264" i="17"/>
  <c r="J264" i="17"/>
  <c r="K263" i="17"/>
  <c r="J263" i="17"/>
  <c r="K262" i="17"/>
  <c r="J262" i="17"/>
  <c r="K261" i="17"/>
  <c r="J261" i="17"/>
  <c r="K260" i="17"/>
  <c r="J260" i="17"/>
  <c r="K259" i="17"/>
  <c r="J259" i="17"/>
  <c r="K258" i="17"/>
  <c r="J258" i="17"/>
  <c r="K257" i="17"/>
  <c r="J257" i="17"/>
  <c r="K256" i="17"/>
  <c r="J256" i="17"/>
  <c r="K255" i="17"/>
  <c r="J255" i="17"/>
  <c r="K254" i="17"/>
  <c r="J254" i="17"/>
  <c r="K253" i="17"/>
  <c r="J253" i="17"/>
  <c r="K252" i="17"/>
  <c r="J252" i="17"/>
  <c r="K251" i="17"/>
  <c r="J251" i="17"/>
  <c r="K250" i="17"/>
  <c r="J250" i="17"/>
  <c r="K249" i="17"/>
  <c r="J249" i="17"/>
  <c r="K248" i="17"/>
  <c r="J248" i="17"/>
  <c r="K247" i="17"/>
  <c r="J247" i="17"/>
  <c r="K246" i="17"/>
  <c r="J246" i="17"/>
  <c r="K245" i="17"/>
  <c r="J245" i="17"/>
  <c r="K244" i="17"/>
  <c r="J244" i="17"/>
  <c r="K243" i="17"/>
  <c r="J243" i="17"/>
  <c r="K242" i="17"/>
  <c r="J242" i="17"/>
  <c r="K241" i="17"/>
  <c r="J241" i="17"/>
  <c r="K240" i="17"/>
  <c r="J240" i="17"/>
  <c r="K239" i="17"/>
  <c r="J239" i="17"/>
  <c r="K238" i="17"/>
  <c r="J238" i="17"/>
  <c r="K237" i="17"/>
  <c r="J237" i="17"/>
  <c r="K236" i="17"/>
  <c r="J236" i="17"/>
  <c r="K235" i="17"/>
  <c r="J235" i="17"/>
  <c r="K234" i="17"/>
  <c r="J234" i="17"/>
  <c r="K233" i="17"/>
  <c r="J233" i="17"/>
  <c r="K232" i="17"/>
  <c r="J232" i="17"/>
  <c r="K231" i="17"/>
  <c r="J231" i="17"/>
  <c r="K230" i="17"/>
  <c r="J230" i="17"/>
  <c r="K229" i="17"/>
  <c r="J229" i="17"/>
  <c r="K228" i="17"/>
  <c r="J228" i="17"/>
  <c r="K227" i="17"/>
  <c r="J227" i="17"/>
  <c r="K226" i="17"/>
  <c r="J226" i="17"/>
  <c r="K225" i="17"/>
  <c r="J225" i="17"/>
  <c r="K224" i="17"/>
  <c r="J224" i="17"/>
  <c r="K223" i="17"/>
  <c r="J223" i="17"/>
  <c r="K222" i="17"/>
  <c r="J222" i="17"/>
  <c r="K221" i="17"/>
  <c r="J221" i="17"/>
  <c r="K220" i="17"/>
  <c r="J220" i="17"/>
  <c r="K219" i="17"/>
  <c r="J219" i="17"/>
  <c r="K218" i="17"/>
  <c r="J218" i="17"/>
  <c r="K217" i="17"/>
  <c r="J217" i="17"/>
  <c r="K216" i="17"/>
  <c r="J216" i="17"/>
  <c r="K215" i="17"/>
  <c r="J215" i="17"/>
  <c r="K214" i="17"/>
  <c r="J214" i="17"/>
  <c r="K213" i="17"/>
  <c r="J213" i="17"/>
  <c r="K212" i="17"/>
  <c r="J212" i="17"/>
  <c r="K211" i="17"/>
  <c r="J211" i="17"/>
  <c r="K210" i="17"/>
  <c r="J210" i="17"/>
  <c r="K209" i="17"/>
  <c r="J209" i="17"/>
  <c r="K208" i="17"/>
  <c r="J208" i="17"/>
  <c r="K207" i="17"/>
  <c r="J207" i="17"/>
  <c r="K206" i="17"/>
  <c r="J206" i="17"/>
  <c r="K205" i="17"/>
  <c r="J205" i="17"/>
  <c r="K204" i="17"/>
  <c r="J204" i="17"/>
  <c r="K203" i="17"/>
  <c r="J203" i="17"/>
  <c r="K202" i="17"/>
  <c r="J202" i="17"/>
  <c r="K201" i="17"/>
  <c r="J201" i="17"/>
  <c r="K200" i="17"/>
  <c r="J200" i="17"/>
  <c r="K199" i="17"/>
  <c r="J199" i="17"/>
  <c r="K198" i="17"/>
  <c r="J198" i="17"/>
  <c r="K197" i="17"/>
  <c r="J197" i="17"/>
  <c r="K196" i="17"/>
  <c r="J196" i="17"/>
  <c r="K195" i="17"/>
  <c r="J195" i="17"/>
  <c r="K194" i="17"/>
  <c r="J194" i="17"/>
  <c r="K193" i="17"/>
  <c r="J193" i="17"/>
  <c r="K192" i="17"/>
  <c r="J192" i="17"/>
  <c r="K191" i="17"/>
  <c r="J191" i="17"/>
  <c r="K190" i="17"/>
  <c r="J190" i="17"/>
  <c r="K189" i="17"/>
  <c r="J189" i="17"/>
  <c r="K188" i="17"/>
  <c r="J188" i="17"/>
  <c r="K187" i="17"/>
  <c r="J187" i="17"/>
  <c r="K186" i="17"/>
  <c r="J186" i="17"/>
  <c r="K185" i="17"/>
  <c r="J185" i="17"/>
  <c r="K184" i="17"/>
  <c r="J184" i="17"/>
  <c r="K183" i="17"/>
  <c r="J183" i="17"/>
  <c r="K182" i="17"/>
  <c r="J182" i="17"/>
  <c r="K181" i="17"/>
  <c r="J181" i="17"/>
  <c r="K180" i="17"/>
  <c r="J180" i="17"/>
  <c r="K179" i="17"/>
  <c r="J179" i="17"/>
  <c r="K178" i="17"/>
  <c r="J178" i="17"/>
  <c r="K177" i="17"/>
  <c r="J177" i="17"/>
  <c r="K176" i="17"/>
  <c r="J176" i="17"/>
  <c r="K175" i="17"/>
  <c r="J175" i="17"/>
  <c r="K174" i="17"/>
  <c r="J174" i="17"/>
  <c r="K173" i="17"/>
  <c r="J173" i="17"/>
  <c r="K172" i="17"/>
  <c r="J172" i="17"/>
  <c r="K171" i="17"/>
  <c r="J171" i="17"/>
  <c r="K170" i="17"/>
  <c r="J170" i="17"/>
  <c r="K169" i="17"/>
  <c r="J169" i="17"/>
  <c r="K168" i="17"/>
  <c r="J168" i="17"/>
  <c r="K167" i="17"/>
  <c r="J167" i="17"/>
  <c r="K166" i="17"/>
  <c r="J166" i="17"/>
  <c r="K165" i="17"/>
  <c r="J165" i="17"/>
  <c r="K164" i="17"/>
  <c r="J164" i="17"/>
  <c r="K163" i="17"/>
  <c r="J163" i="17"/>
  <c r="K162" i="17"/>
  <c r="J162" i="17"/>
  <c r="K161" i="17"/>
  <c r="J161" i="17"/>
  <c r="K160" i="17"/>
  <c r="J160" i="17"/>
  <c r="K159" i="17"/>
  <c r="J159" i="17"/>
  <c r="K158" i="17"/>
  <c r="J158" i="17"/>
  <c r="K157" i="17"/>
  <c r="J157" i="17"/>
  <c r="K156" i="17"/>
  <c r="J156" i="17"/>
  <c r="K155" i="17"/>
  <c r="J155" i="17"/>
  <c r="K154" i="17"/>
  <c r="J154" i="17"/>
  <c r="K153" i="17"/>
  <c r="J153" i="17"/>
  <c r="K152" i="17"/>
  <c r="J152" i="17"/>
  <c r="K151" i="17"/>
  <c r="J151" i="17"/>
  <c r="K150" i="17"/>
  <c r="J150" i="17"/>
  <c r="K149" i="17"/>
  <c r="J149" i="17"/>
  <c r="K148" i="17"/>
  <c r="J148" i="17"/>
  <c r="K147" i="17"/>
  <c r="J147" i="17"/>
  <c r="K146" i="17"/>
  <c r="J146" i="17"/>
  <c r="K145" i="17"/>
  <c r="J145" i="17"/>
  <c r="K144" i="17"/>
  <c r="J144" i="17"/>
  <c r="K143" i="17"/>
  <c r="J143" i="17"/>
  <c r="K142" i="17"/>
  <c r="J142" i="17"/>
  <c r="K141" i="17"/>
  <c r="J141" i="17"/>
  <c r="K140" i="17"/>
  <c r="J140" i="17"/>
  <c r="K139" i="17"/>
  <c r="J139" i="17"/>
  <c r="K138" i="17"/>
  <c r="J138" i="17"/>
  <c r="K137" i="17"/>
  <c r="J137" i="17"/>
  <c r="K136" i="17"/>
  <c r="J136" i="17"/>
  <c r="K135" i="17"/>
  <c r="J135" i="17"/>
  <c r="K134" i="17"/>
  <c r="J134" i="17"/>
  <c r="K133" i="17"/>
  <c r="J133" i="17"/>
  <c r="K132" i="17"/>
  <c r="J132" i="17"/>
  <c r="K131" i="17"/>
  <c r="J131" i="17"/>
  <c r="K130" i="17"/>
  <c r="J130" i="17"/>
  <c r="K129" i="17"/>
  <c r="J129" i="17"/>
  <c r="K128" i="17"/>
  <c r="J128" i="17"/>
  <c r="K127" i="17"/>
  <c r="J127" i="17"/>
  <c r="K126" i="17"/>
  <c r="J126" i="17"/>
  <c r="K125" i="17"/>
  <c r="J125" i="17"/>
  <c r="K124" i="17"/>
  <c r="J124" i="17"/>
  <c r="K123" i="17"/>
  <c r="J123" i="17"/>
  <c r="K122" i="17"/>
  <c r="J122" i="17"/>
  <c r="K121" i="17"/>
  <c r="J121" i="17"/>
  <c r="K120" i="17"/>
  <c r="J120" i="17"/>
  <c r="K119" i="17"/>
  <c r="J119" i="17"/>
  <c r="K118" i="17"/>
  <c r="J118" i="17"/>
  <c r="K117" i="17"/>
  <c r="J117" i="17"/>
  <c r="K116" i="17"/>
  <c r="J116" i="17"/>
  <c r="K115" i="17"/>
  <c r="J115" i="17"/>
  <c r="K114" i="17"/>
  <c r="J114" i="17"/>
  <c r="K113" i="17"/>
  <c r="J113" i="17"/>
  <c r="K112" i="17"/>
  <c r="J112" i="17"/>
  <c r="K111" i="17"/>
  <c r="J111" i="17"/>
  <c r="K110" i="17"/>
  <c r="J110" i="17"/>
  <c r="K109" i="17"/>
  <c r="J109" i="17"/>
  <c r="K108" i="17"/>
  <c r="J108" i="17"/>
  <c r="K107" i="17"/>
  <c r="J107" i="17"/>
  <c r="K106" i="17"/>
  <c r="J106" i="17"/>
  <c r="K105" i="17"/>
  <c r="J105" i="17"/>
  <c r="K104" i="17"/>
  <c r="J104" i="17"/>
  <c r="K103" i="17"/>
  <c r="J103" i="17"/>
  <c r="K102" i="17"/>
  <c r="J102" i="17"/>
  <c r="K101" i="17"/>
  <c r="J101" i="17"/>
  <c r="K100" i="17"/>
  <c r="J100" i="17"/>
  <c r="K99" i="17"/>
  <c r="J99" i="17"/>
  <c r="K98" i="17"/>
  <c r="J98" i="17"/>
  <c r="K97" i="17"/>
  <c r="J97" i="17"/>
  <c r="K96" i="17"/>
  <c r="J96" i="17"/>
  <c r="K95" i="17"/>
  <c r="J95" i="17"/>
  <c r="K94" i="17"/>
  <c r="J94" i="17"/>
  <c r="K93" i="17"/>
  <c r="J93" i="17"/>
  <c r="K92" i="17"/>
  <c r="J92" i="17"/>
  <c r="K91" i="17"/>
  <c r="J91" i="17"/>
  <c r="K90" i="17"/>
  <c r="J90" i="17"/>
  <c r="K89" i="17"/>
  <c r="J89" i="17"/>
  <c r="K88" i="17"/>
  <c r="J88" i="17"/>
  <c r="K87" i="17"/>
  <c r="J87" i="17"/>
  <c r="K86" i="17"/>
  <c r="J86" i="17"/>
  <c r="K85" i="17"/>
  <c r="J85" i="17"/>
  <c r="K84" i="17"/>
  <c r="J84" i="17"/>
  <c r="K83" i="17"/>
  <c r="J83" i="17"/>
  <c r="K82" i="17"/>
  <c r="J82" i="17"/>
  <c r="K81" i="17"/>
  <c r="J81" i="17"/>
  <c r="K80" i="17"/>
  <c r="J80" i="17"/>
  <c r="K79" i="17"/>
  <c r="J79" i="17"/>
  <c r="K78" i="17"/>
  <c r="J78" i="17"/>
  <c r="K77" i="17"/>
  <c r="J77" i="17"/>
  <c r="K76" i="17"/>
  <c r="J76" i="17"/>
  <c r="K75" i="17"/>
  <c r="J75" i="17"/>
  <c r="K74" i="17"/>
  <c r="J74" i="17"/>
  <c r="K73" i="17"/>
  <c r="J73" i="17"/>
  <c r="K72" i="17"/>
  <c r="J72" i="17"/>
  <c r="K71" i="17"/>
  <c r="J71" i="17"/>
  <c r="K70" i="17"/>
  <c r="J70" i="17"/>
  <c r="K69" i="17"/>
  <c r="J69" i="17"/>
  <c r="K68" i="17"/>
  <c r="J68" i="17"/>
  <c r="K67" i="17"/>
  <c r="J67" i="17"/>
  <c r="K66" i="17"/>
  <c r="J66" i="17"/>
  <c r="K65" i="17"/>
  <c r="J65" i="17"/>
  <c r="K64" i="17"/>
  <c r="J64" i="17"/>
  <c r="K63" i="17"/>
  <c r="J63" i="17"/>
  <c r="K62" i="17"/>
  <c r="J62" i="17"/>
  <c r="K61" i="17"/>
  <c r="J61" i="17"/>
  <c r="K60" i="17"/>
  <c r="J60" i="17"/>
  <c r="K59" i="17"/>
  <c r="J59" i="17"/>
  <c r="K58" i="17"/>
  <c r="J58" i="17"/>
  <c r="K57" i="17"/>
  <c r="J57" i="17"/>
  <c r="K56" i="17"/>
  <c r="J56" i="17"/>
  <c r="K55" i="17"/>
  <c r="J55" i="17"/>
  <c r="K54" i="17"/>
  <c r="J54" i="17"/>
  <c r="K53" i="17"/>
  <c r="J53" i="17"/>
  <c r="K52" i="17"/>
  <c r="J52" i="17"/>
  <c r="K51" i="17"/>
  <c r="J51" i="17"/>
  <c r="K50" i="17"/>
  <c r="J50" i="17"/>
  <c r="K49" i="17"/>
  <c r="J49" i="17"/>
  <c r="K48" i="17"/>
  <c r="J48" i="17"/>
  <c r="K47" i="17"/>
  <c r="J47" i="17"/>
  <c r="K46" i="17"/>
  <c r="J46" i="17"/>
  <c r="K45" i="17"/>
  <c r="J45" i="17"/>
  <c r="K44" i="17"/>
  <c r="J44" i="17"/>
  <c r="K43" i="17"/>
  <c r="J43" i="17"/>
  <c r="K42" i="17"/>
  <c r="J42" i="17"/>
  <c r="K41" i="17"/>
  <c r="J41" i="17"/>
  <c r="K40" i="17"/>
  <c r="J40" i="17"/>
  <c r="K39" i="17"/>
  <c r="J39" i="17"/>
  <c r="K38" i="17"/>
  <c r="J38" i="17"/>
  <c r="K37" i="17"/>
  <c r="J37" i="17"/>
  <c r="K36" i="17"/>
  <c r="J36" i="17"/>
  <c r="K35" i="17"/>
  <c r="J35" i="17"/>
  <c r="K34" i="17"/>
  <c r="J34" i="17"/>
  <c r="K33" i="17"/>
  <c r="J33" i="17"/>
  <c r="K32" i="17"/>
  <c r="J32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K23" i="17"/>
  <c r="J23" i="17"/>
  <c r="K22" i="17"/>
  <c r="J22" i="17"/>
  <c r="K21" i="17"/>
  <c r="J21" i="17"/>
  <c r="K20" i="17"/>
  <c r="J20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3" i="17"/>
  <c r="I3" i="17"/>
  <c r="H3" i="17"/>
  <c r="K500" i="27"/>
  <c r="J500" i="27"/>
  <c r="K499" i="27"/>
  <c r="J499" i="27"/>
  <c r="K498" i="27"/>
  <c r="J498" i="27"/>
  <c r="K497" i="27"/>
  <c r="J497" i="27"/>
  <c r="K496" i="27"/>
  <c r="J496" i="27"/>
  <c r="K495" i="27"/>
  <c r="J495" i="27"/>
  <c r="K494" i="27"/>
  <c r="J494" i="27"/>
  <c r="K493" i="27"/>
  <c r="J493" i="27"/>
  <c r="K492" i="27"/>
  <c r="J492" i="27"/>
  <c r="K491" i="27"/>
  <c r="J491" i="27"/>
  <c r="K490" i="27"/>
  <c r="J490" i="27"/>
  <c r="K489" i="27"/>
  <c r="J489" i="27"/>
  <c r="K488" i="27"/>
  <c r="J488" i="27"/>
  <c r="K487" i="27"/>
  <c r="J487" i="27"/>
  <c r="K486" i="27"/>
  <c r="J486" i="27"/>
  <c r="K485" i="27"/>
  <c r="J485" i="27"/>
  <c r="K484" i="27"/>
  <c r="J484" i="27"/>
  <c r="K483" i="27"/>
  <c r="J483" i="27"/>
  <c r="K482" i="27"/>
  <c r="J482" i="27"/>
  <c r="K481" i="27"/>
  <c r="J481" i="27"/>
  <c r="K480" i="27"/>
  <c r="J480" i="27"/>
  <c r="K479" i="27"/>
  <c r="J479" i="27"/>
  <c r="K478" i="27"/>
  <c r="J478" i="27"/>
  <c r="K477" i="27"/>
  <c r="J477" i="27"/>
  <c r="K476" i="27"/>
  <c r="J476" i="27"/>
  <c r="K475" i="27"/>
  <c r="J475" i="27"/>
  <c r="K474" i="27"/>
  <c r="J474" i="27"/>
  <c r="K473" i="27"/>
  <c r="J473" i="27"/>
  <c r="K472" i="27"/>
  <c r="J472" i="27"/>
  <c r="K471" i="27"/>
  <c r="J471" i="27"/>
  <c r="K470" i="27"/>
  <c r="J470" i="27"/>
  <c r="K469" i="27"/>
  <c r="J469" i="27"/>
  <c r="K468" i="27"/>
  <c r="J468" i="27"/>
  <c r="K467" i="27"/>
  <c r="J467" i="27"/>
  <c r="K466" i="27"/>
  <c r="J466" i="27"/>
  <c r="K465" i="27"/>
  <c r="J465" i="27"/>
  <c r="K464" i="27"/>
  <c r="J464" i="27"/>
  <c r="K463" i="27"/>
  <c r="J463" i="27"/>
  <c r="K462" i="27"/>
  <c r="J462" i="27"/>
  <c r="K461" i="27"/>
  <c r="J461" i="27"/>
  <c r="K460" i="27"/>
  <c r="J460" i="27"/>
  <c r="K459" i="27"/>
  <c r="J459" i="27"/>
  <c r="K458" i="27"/>
  <c r="J458" i="27"/>
  <c r="K457" i="27"/>
  <c r="J457" i="27"/>
  <c r="K456" i="27"/>
  <c r="J456" i="27"/>
  <c r="K455" i="27"/>
  <c r="J455" i="27"/>
  <c r="K454" i="27"/>
  <c r="J454" i="27"/>
  <c r="K453" i="27"/>
  <c r="J453" i="27"/>
  <c r="K452" i="27"/>
  <c r="J452" i="27"/>
  <c r="K451" i="27"/>
  <c r="J451" i="27"/>
  <c r="K450" i="27"/>
  <c r="J450" i="27"/>
  <c r="K449" i="27"/>
  <c r="J449" i="27"/>
  <c r="K448" i="27"/>
  <c r="J448" i="27"/>
  <c r="K447" i="27"/>
  <c r="J447" i="27"/>
  <c r="K446" i="27"/>
  <c r="J446" i="27"/>
  <c r="K445" i="27"/>
  <c r="J445" i="27"/>
  <c r="K444" i="27"/>
  <c r="J444" i="27"/>
  <c r="K443" i="27"/>
  <c r="J443" i="27"/>
  <c r="K442" i="27"/>
  <c r="J442" i="27"/>
  <c r="K441" i="27"/>
  <c r="J441" i="27"/>
  <c r="K440" i="27"/>
  <c r="J440" i="27"/>
  <c r="K439" i="27"/>
  <c r="J439" i="27"/>
  <c r="K438" i="27"/>
  <c r="J438" i="27"/>
  <c r="K437" i="27"/>
  <c r="J437" i="27"/>
  <c r="K436" i="27"/>
  <c r="J436" i="27"/>
  <c r="K435" i="27"/>
  <c r="J435" i="27"/>
  <c r="K434" i="27"/>
  <c r="J434" i="27"/>
  <c r="K433" i="27"/>
  <c r="J433" i="27"/>
  <c r="K432" i="27"/>
  <c r="J432" i="27"/>
  <c r="K431" i="27"/>
  <c r="J431" i="27"/>
  <c r="K430" i="27"/>
  <c r="J430" i="27"/>
  <c r="K429" i="27"/>
  <c r="J429" i="27"/>
  <c r="K428" i="27"/>
  <c r="J428" i="27"/>
  <c r="K427" i="27"/>
  <c r="J427" i="27"/>
  <c r="K426" i="27"/>
  <c r="J426" i="27"/>
  <c r="K425" i="27"/>
  <c r="J425" i="27"/>
  <c r="K424" i="27"/>
  <c r="J424" i="27"/>
  <c r="K423" i="27"/>
  <c r="J423" i="27"/>
  <c r="K422" i="27"/>
  <c r="J422" i="27"/>
  <c r="K421" i="27"/>
  <c r="J421" i="27"/>
  <c r="K420" i="27"/>
  <c r="J420" i="27"/>
  <c r="K419" i="27"/>
  <c r="J419" i="27"/>
  <c r="K418" i="27"/>
  <c r="J418" i="27"/>
  <c r="K417" i="27"/>
  <c r="J417" i="27"/>
  <c r="K416" i="27"/>
  <c r="J416" i="27"/>
  <c r="K415" i="27"/>
  <c r="J415" i="27"/>
  <c r="K414" i="27"/>
  <c r="J414" i="27"/>
  <c r="K413" i="27"/>
  <c r="J413" i="27"/>
  <c r="K412" i="27"/>
  <c r="J412" i="27"/>
  <c r="K411" i="27"/>
  <c r="J411" i="27"/>
  <c r="K410" i="27"/>
  <c r="J410" i="27"/>
  <c r="K409" i="27"/>
  <c r="J409" i="27"/>
  <c r="K408" i="27"/>
  <c r="J408" i="27"/>
  <c r="K407" i="27"/>
  <c r="J407" i="27"/>
  <c r="K406" i="27"/>
  <c r="J406" i="27"/>
  <c r="K405" i="27"/>
  <c r="J405" i="27"/>
  <c r="K404" i="27"/>
  <c r="J404" i="27"/>
  <c r="K403" i="27"/>
  <c r="J403" i="27"/>
  <c r="K402" i="27"/>
  <c r="J402" i="27"/>
  <c r="K401" i="27"/>
  <c r="J401" i="27"/>
  <c r="K400" i="27"/>
  <c r="J400" i="27"/>
  <c r="K399" i="27"/>
  <c r="J399" i="27"/>
  <c r="K398" i="27"/>
  <c r="J398" i="27"/>
  <c r="K397" i="27"/>
  <c r="J397" i="27"/>
  <c r="K396" i="27"/>
  <c r="J396" i="27"/>
  <c r="K395" i="27"/>
  <c r="J395" i="27"/>
  <c r="K394" i="27"/>
  <c r="J394" i="27"/>
  <c r="K393" i="27"/>
  <c r="J393" i="27"/>
  <c r="K392" i="27"/>
  <c r="J392" i="27"/>
  <c r="K391" i="27"/>
  <c r="J391" i="27"/>
  <c r="K390" i="27"/>
  <c r="J390" i="27"/>
  <c r="K389" i="27"/>
  <c r="J389" i="27"/>
  <c r="K388" i="27"/>
  <c r="J388" i="27"/>
  <c r="K387" i="27"/>
  <c r="J387" i="27"/>
  <c r="K386" i="27"/>
  <c r="J386" i="27"/>
  <c r="K385" i="27"/>
  <c r="J385" i="27"/>
  <c r="K384" i="27"/>
  <c r="J384" i="27"/>
  <c r="K383" i="27"/>
  <c r="J383" i="27"/>
  <c r="K382" i="27"/>
  <c r="J382" i="27"/>
  <c r="K381" i="27"/>
  <c r="J381" i="27"/>
  <c r="K380" i="27"/>
  <c r="J380" i="27"/>
  <c r="K379" i="27"/>
  <c r="J379" i="27"/>
  <c r="K378" i="27"/>
  <c r="J378" i="27"/>
  <c r="K377" i="27"/>
  <c r="J377" i="27"/>
  <c r="K376" i="27"/>
  <c r="J376" i="27"/>
  <c r="K375" i="27"/>
  <c r="J375" i="27"/>
  <c r="K374" i="27"/>
  <c r="J374" i="27"/>
  <c r="K373" i="27"/>
  <c r="J373" i="27"/>
  <c r="K372" i="27"/>
  <c r="J372" i="27"/>
  <c r="K371" i="27"/>
  <c r="J371" i="27"/>
  <c r="K370" i="27"/>
  <c r="J370" i="27"/>
  <c r="K369" i="27"/>
  <c r="J369" i="27"/>
  <c r="K368" i="27"/>
  <c r="J368" i="27"/>
  <c r="K367" i="27"/>
  <c r="J367" i="27"/>
  <c r="K366" i="27"/>
  <c r="J366" i="27"/>
  <c r="K365" i="27"/>
  <c r="J365" i="27"/>
  <c r="K364" i="27"/>
  <c r="J364" i="27"/>
  <c r="K363" i="27"/>
  <c r="J363" i="27"/>
  <c r="K362" i="27"/>
  <c r="J362" i="27"/>
  <c r="K361" i="27"/>
  <c r="J361" i="27"/>
  <c r="K360" i="27"/>
  <c r="J360" i="27"/>
  <c r="K359" i="27"/>
  <c r="J359" i="27"/>
  <c r="K358" i="27"/>
  <c r="J358" i="27"/>
  <c r="K357" i="27"/>
  <c r="J357" i="27"/>
  <c r="K356" i="27"/>
  <c r="J356" i="27"/>
  <c r="K355" i="27"/>
  <c r="J355" i="27"/>
  <c r="K354" i="27"/>
  <c r="J354" i="27"/>
  <c r="K353" i="27"/>
  <c r="J353" i="27"/>
  <c r="K352" i="27"/>
  <c r="J352" i="27"/>
  <c r="K351" i="27"/>
  <c r="J351" i="27"/>
  <c r="K350" i="27"/>
  <c r="J350" i="27"/>
  <c r="K349" i="27"/>
  <c r="J349" i="27"/>
  <c r="K348" i="27"/>
  <c r="J348" i="27"/>
  <c r="K347" i="27"/>
  <c r="J347" i="27"/>
  <c r="K346" i="27"/>
  <c r="J346" i="27"/>
  <c r="K345" i="27"/>
  <c r="J345" i="27"/>
  <c r="K344" i="27"/>
  <c r="J344" i="27"/>
  <c r="K343" i="27"/>
  <c r="J343" i="27"/>
  <c r="K342" i="27"/>
  <c r="J342" i="27"/>
  <c r="K341" i="27"/>
  <c r="J341" i="27"/>
  <c r="K340" i="27"/>
  <c r="J340" i="27"/>
  <c r="K339" i="27"/>
  <c r="J339" i="27"/>
  <c r="K338" i="27"/>
  <c r="J338" i="27"/>
  <c r="K337" i="27"/>
  <c r="J337" i="27"/>
  <c r="K336" i="27"/>
  <c r="J336" i="27"/>
  <c r="K335" i="27"/>
  <c r="J335" i="27"/>
  <c r="K334" i="27"/>
  <c r="J334" i="27"/>
  <c r="K333" i="27"/>
  <c r="J333" i="27"/>
  <c r="K332" i="27"/>
  <c r="J332" i="27"/>
  <c r="K331" i="27"/>
  <c r="J331" i="27"/>
  <c r="K330" i="27"/>
  <c r="J330" i="27"/>
  <c r="K329" i="27"/>
  <c r="J329" i="27"/>
  <c r="K328" i="27"/>
  <c r="J328" i="27"/>
  <c r="K327" i="27"/>
  <c r="J327" i="27"/>
  <c r="K326" i="27"/>
  <c r="J326" i="27"/>
  <c r="K325" i="27"/>
  <c r="J325" i="27"/>
  <c r="K324" i="27"/>
  <c r="J324" i="27"/>
  <c r="K323" i="27"/>
  <c r="J323" i="27"/>
  <c r="K322" i="27"/>
  <c r="J322" i="27"/>
  <c r="K321" i="27"/>
  <c r="J321" i="27"/>
  <c r="K320" i="27"/>
  <c r="J320" i="27"/>
  <c r="K319" i="27"/>
  <c r="J319" i="27"/>
  <c r="K318" i="27"/>
  <c r="J318" i="27"/>
  <c r="K317" i="27"/>
  <c r="J317" i="27"/>
  <c r="K316" i="27"/>
  <c r="J316" i="27"/>
  <c r="K315" i="27"/>
  <c r="J315" i="27"/>
  <c r="K314" i="27"/>
  <c r="J314" i="27"/>
  <c r="K313" i="27"/>
  <c r="J313" i="27"/>
  <c r="K312" i="27"/>
  <c r="J312" i="27"/>
  <c r="K311" i="27"/>
  <c r="J311" i="27"/>
  <c r="K310" i="27"/>
  <c r="J310" i="27"/>
  <c r="K309" i="27"/>
  <c r="J309" i="27"/>
  <c r="K308" i="27"/>
  <c r="J308" i="27"/>
  <c r="K307" i="27"/>
  <c r="J307" i="27"/>
  <c r="K306" i="27"/>
  <c r="J306" i="27"/>
  <c r="K305" i="27"/>
  <c r="J305" i="27"/>
  <c r="K304" i="27"/>
  <c r="J304" i="27"/>
  <c r="K303" i="27"/>
  <c r="J303" i="27"/>
  <c r="K302" i="27"/>
  <c r="J302" i="27"/>
  <c r="K301" i="27"/>
  <c r="J301" i="27"/>
  <c r="K300" i="27"/>
  <c r="J300" i="27"/>
  <c r="K299" i="27"/>
  <c r="J299" i="27"/>
  <c r="K298" i="27"/>
  <c r="J298" i="27"/>
  <c r="K297" i="27"/>
  <c r="J297" i="27"/>
  <c r="K296" i="27"/>
  <c r="J296" i="27"/>
  <c r="K295" i="27"/>
  <c r="J295" i="27"/>
  <c r="K294" i="27"/>
  <c r="J294" i="27"/>
  <c r="K293" i="27"/>
  <c r="J293" i="27"/>
  <c r="K292" i="27"/>
  <c r="J292" i="27"/>
  <c r="K291" i="27"/>
  <c r="J291" i="27"/>
  <c r="K290" i="27"/>
  <c r="J290" i="27"/>
  <c r="K289" i="27"/>
  <c r="J289" i="27"/>
  <c r="K288" i="27"/>
  <c r="J288" i="27"/>
  <c r="K287" i="27"/>
  <c r="J287" i="27"/>
  <c r="K286" i="27"/>
  <c r="J286" i="27"/>
  <c r="K285" i="27"/>
  <c r="J285" i="27"/>
  <c r="K284" i="27"/>
  <c r="J284" i="27"/>
  <c r="K283" i="27"/>
  <c r="J283" i="27"/>
  <c r="K282" i="27"/>
  <c r="J282" i="27"/>
  <c r="K281" i="27"/>
  <c r="J281" i="27"/>
  <c r="K280" i="27"/>
  <c r="J280" i="27"/>
  <c r="K279" i="27"/>
  <c r="J279" i="27"/>
  <c r="K278" i="27"/>
  <c r="J278" i="27"/>
  <c r="K277" i="27"/>
  <c r="J277" i="27"/>
  <c r="K276" i="27"/>
  <c r="J276" i="27"/>
  <c r="K275" i="27"/>
  <c r="J275" i="27"/>
  <c r="K274" i="27"/>
  <c r="J274" i="27"/>
  <c r="K273" i="27"/>
  <c r="J273" i="27"/>
  <c r="K272" i="27"/>
  <c r="J272" i="27"/>
  <c r="K271" i="27"/>
  <c r="J271" i="27"/>
  <c r="K270" i="27"/>
  <c r="J270" i="27"/>
  <c r="K269" i="27"/>
  <c r="J269" i="27"/>
  <c r="K268" i="27"/>
  <c r="J268" i="27"/>
  <c r="K267" i="27"/>
  <c r="J267" i="27"/>
  <c r="K266" i="27"/>
  <c r="J266" i="27"/>
  <c r="K265" i="27"/>
  <c r="J265" i="27"/>
  <c r="K264" i="27"/>
  <c r="J264" i="27"/>
  <c r="K263" i="27"/>
  <c r="J263" i="27"/>
  <c r="K262" i="27"/>
  <c r="J262" i="27"/>
  <c r="K261" i="27"/>
  <c r="J261" i="27"/>
  <c r="K260" i="27"/>
  <c r="J260" i="27"/>
  <c r="K259" i="27"/>
  <c r="J259" i="27"/>
  <c r="K258" i="27"/>
  <c r="J258" i="27"/>
  <c r="K257" i="27"/>
  <c r="J257" i="27"/>
  <c r="K256" i="27"/>
  <c r="J256" i="27"/>
  <c r="K255" i="27"/>
  <c r="J255" i="27"/>
  <c r="K254" i="27"/>
  <c r="J254" i="27"/>
  <c r="K253" i="27"/>
  <c r="J253" i="27"/>
  <c r="K252" i="27"/>
  <c r="J252" i="27"/>
  <c r="K251" i="27"/>
  <c r="J251" i="27"/>
  <c r="K250" i="27"/>
  <c r="J250" i="27"/>
  <c r="K249" i="27"/>
  <c r="J249" i="27"/>
  <c r="K248" i="27"/>
  <c r="J248" i="27"/>
  <c r="K247" i="27"/>
  <c r="J247" i="27"/>
  <c r="K246" i="27"/>
  <c r="J246" i="27"/>
  <c r="K245" i="27"/>
  <c r="J245" i="27"/>
  <c r="K244" i="27"/>
  <c r="J244" i="27"/>
  <c r="K243" i="27"/>
  <c r="J243" i="27"/>
  <c r="K242" i="27"/>
  <c r="J242" i="27"/>
  <c r="K241" i="27"/>
  <c r="J241" i="27"/>
  <c r="K240" i="27"/>
  <c r="J240" i="27"/>
  <c r="K239" i="27"/>
  <c r="J239" i="27"/>
  <c r="K238" i="27"/>
  <c r="J238" i="27"/>
  <c r="K237" i="27"/>
  <c r="J237" i="27"/>
  <c r="K236" i="27"/>
  <c r="J236" i="27"/>
  <c r="K235" i="27"/>
  <c r="J235" i="27"/>
  <c r="K234" i="27"/>
  <c r="J234" i="27"/>
  <c r="K233" i="27"/>
  <c r="J233" i="27"/>
  <c r="K232" i="27"/>
  <c r="J232" i="27"/>
  <c r="K231" i="27"/>
  <c r="J231" i="27"/>
  <c r="K230" i="27"/>
  <c r="J230" i="27"/>
  <c r="K229" i="27"/>
  <c r="J229" i="27"/>
  <c r="K228" i="27"/>
  <c r="J228" i="27"/>
  <c r="K227" i="27"/>
  <c r="J227" i="27"/>
  <c r="K226" i="27"/>
  <c r="J226" i="27"/>
  <c r="K225" i="27"/>
  <c r="J225" i="27"/>
  <c r="K224" i="27"/>
  <c r="J224" i="27"/>
  <c r="K223" i="27"/>
  <c r="J223" i="27"/>
  <c r="K222" i="27"/>
  <c r="J222" i="27"/>
  <c r="K221" i="27"/>
  <c r="J221" i="27"/>
  <c r="K220" i="27"/>
  <c r="J220" i="27"/>
  <c r="K219" i="27"/>
  <c r="J219" i="27"/>
  <c r="K218" i="27"/>
  <c r="J218" i="27"/>
  <c r="K217" i="27"/>
  <c r="J217" i="27"/>
  <c r="K216" i="27"/>
  <c r="J216" i="27"/>
  <c r="K215" i="27"/>
  <c r="J215" i="27"/>
  <c r="K214" i="27"/>
  <c r="J214" i="27"/>
  <c r="K213" i="27"/>
  <c r="J213" i="27"/>
  <c r="K212" i="27"/>
  <c r="J212" i="27"/>
  <c r="K211" i="27"/>
  <c r="J211" i="27"/>
  <c r="K210" i="27"/>
  <c r="J210" i="27"/>
  <c r="K209" i="27"/>
  <c r="J209" i="27"/>
  <c r="K208" i="27"/>
  <c r="J208" i="27"/>
  <c r="K207" i="27"/>
  <c r="J207" i="27"/>
  <c r="K206" i="27"/>
  <c r="J206" i="27"/>
  <c r="K205" i="27"/>
  <c r="J205" i="27"/>
  <c r="K204" i="27"/>
  <c r="J204" i="27"/>
  <c r="K203" i="27"/>
  <c r="J203" i="27"/>
  <c r="K202" i="27"/>
  <c r="J202" i="27"/>
  <c r="K201" i="27"/>
  <c r="J201" i="27"/>
  <c r="K200" i="27"/>
  <c r="J200" i="27"/>
  <c r="K199" i="27"/>
  <c r="J199" i="27"/>
  <c r="K198" i="27"/>
  <c r="J198" i="27"/>
  <c r="K197" i="27"/>
  <c r="J197" i="27"/>
  <c r="K196" i="27"/>
  <c r="J196" i="27"/>
  <c r="K195" i="27"/>
  <c r="J195" i="27"/>
  <c r="K194" i="27"/>
  <c r="J194" i="27"/>
  <c r="K193" i="27"/>
  <c r="J193" i="27"/>
  <c r="K192" i="27"/>
  <c r="J192" i="27"/>
  <c r="K191" i="27"/>
  <c r="J191" i="27"/>
  <c r="K190" i="27"/>
  <c r="J190" i="27"/>
  <c r="K189" i="27"/>
  <c r="J189" i="27"/>
  <c r="K188" i="27"/>
  <c r="J188" i="27"/>
  <c r="K187" i="27"/>
  <c r="J187" i="27"/>
  <c r="K186" i="27"/>
  <c r="J186" i="27"/>
  <c r="K185" i="27"/>
  <c r="J185" i="27"/>
  <c r="K184" i="27"/>
  <c r="J184" i="27"/>
  <c r="K183" i="27"/>
  <c r="J183" i="27"/>
  <c r="K182" i="27"/>
  <c r="J182" i="27"/>
  <c r="K181" i="27"/>
  <c r="J181" i="27"/>
  <c r="K180" i="27"/>
  <c r="J180" i="27"/>
  <c r="K179" i="27"/>
  <c r="J179" i="27"/>
  <c r="K178" i="27"/>
  <c r="J178" i="27"/>
  <c r="K177" i="27"/>
  <c r="J177" i="27"/>
  <c r="K176" i="27"/>
  <c r="J176" i="27"/>
  <c r="K175" i="27"/>
  <c r="J175" i="27"/>
  <c r="K174" i="27"/>
  <c r="J174" i="27"/>
  <c r="K173" i="27"/>
  <c r="J173" i="27"/>
  <c r="K172" i="27"/>
  <c r="J172" i="27"/>
  <c r="K171" i="27"/>
  <c r="J171" i="27"/>
  <c r="K170" i="27"/>
  <c r="J170" i="27"/>
  <c r="K169" i="27"/>
  <c r="J169" i="27"/>
  <c r="K168" i="27"/>
  <c r="J168" i="27"/>
  <c r="K167" i="27"/>
  <c r="J167" i="27"/>
  <c r="K166" i="27"/>
  <c r="J166" i="27"/>
  <c r="K165" i="27"/>
  <c r="J165" i="27"/>
  <c r="K164" i="27"/>
  <c r="J164" i="27"/>
  <c r="K163" i="27"/>
  <c r="J163" i="27"/>
  <c r="K162" i="27"/>
  <c r="J162" i="27"/>
  <c r="K161" i="27"/>
  <c r="J161" i="27"/>
  <c r="K160" i="27"/>
  <c r="J160" i="27"/>
  <c r="K159" i="27"/>
  <c r="J159" i="27"/>
  <c r="K158" i="27"/>
  <c r="J158" i="27"/>
  <c r="K157" i="27"/>
  <c r="J157" i="27"/>
  <c r="K156" i="27"/>
  <c r="J156" i="27"/>
  <c r="K155" i="27"/>
  <c r="J155" i="27"/>
  <c r="K154" i="27"/>
  <c r="J154" i="27"/>
  <c r="K153" i="27"/>
  <c r="J153" i="27"/>
  <c r="K152" i="27"/>
  <c r="J152" i="27"/>
  <c r="K151" i="27"/>
  <c r="J151" i="27"/>
  <c r="K150" i="27"/>
  <c r="J150" i="27"/>
  <c r="K149" i="27"/>
  <c r="J149" i="27"/>
  <c r="K148" i="27"/>
  <c r="J148" i="27"/>
  <c r="K147" i="27"/>
  <c r="J147" i="27"/>
  <c r="K146" i="27"/>
  <c r="J146" i="27"/>
  <c r="K145" i="27"/>
  <c r="J145" i="27"/>
  <c r="K144" i="27"/>
  <c r="J144" i="27"/>
  <c r="K143" i="27"/>
  <c r="J143" i="27"/>
  <c r="K142" i="27"/>
  <c r="J142" i="27"/>
  <c r="K141" i="27"/>
  <c r="J141" i="27"/>
  <c r="K140" i="27"/>
  <c r="J140" i="27"/>
  <c r="K139" i="27"/>
  <c r="J139" i="27"/>
  <c r="K138" i="27"/>
  <c r="J138" i="27"/>
  <c r="K137" i="27"/>
  <c r="J137" i="27"/>
  <c r="K136" i="27"/>
  <c r="J136" i="27"/>
  <c r="K135" i="27"/>
  <c r="J135" i="27"/>
  <c r="K134" i="27"/>
  <c r="J134" i="27"/>
  <c r="K133" i="27"/>
  <c r="J133" i="27"/>
  <c r="K132" i="27"/>
  <c r="J132" i="27"/>
  <c r="K131" i="27"/>
  <c r="J131" i="27"/>
  <c r="K130" i="27"/>
  <c r="J130" i="27"/>
  <c r="K129" i="27"/>
  <c r="J129" i="27"/>
  <c r="K128" i="27"/>
  <c r="J128" i="27"/>
  <c r="K127" i="27"/>
  <c r="J127" i="27"/>
  <c r="K126" i="27"/>
  <c r="J126" i="27"/>
  <c r="K125" i="27"/>
  <c r="J125" i="27"/>
  <c r="K124" i="27"/>
  <c r="J124" i="27"/>
  <c r="K123" i="27"/>
  <c r="J123" i="27"/>
  <c r="K122" i="27"/>
  <c r="J122" i="27"/>
  <c r="K121" i="27"/>
  <c r="J121" i="27"/>
  <c r="K120" i="27"/>
  <c r="J120" i="27"/>
  <c r="K119" i="27"/>
  <c r="J119" i="27"/>
  <c r="K118" i="27"/>
  <c r="J118" i="27"/>
  <c r="K117" i="27"/>
  <c r="J117" i="27"/>
  <c r="K116" i="27"/>
  <c r="J116" i="27"/>
  <c r="K115" i="27"/>
  <c r="J115" i="27"/>
  <c r="K114" i="27"/>
  <c r="J114" i="27"/>
  <c r="K113" i="27"/>
  <c r="J113" i="27"/>
  <c r="K112" i="27"/>
  <c r="J112" i="27"/>
  <c r="K111" i="27"/>
  <c r="J111" i="27"/>
  <c r="K110" i="27"/>
  <c r="J110" i="27"/>
  <c r="K109" i="27"/>
  <c r="J109" i="27"/>
  <c r="K108" i="27"/>
  <c r="J108" i="27"/>
  <c r="K107" i="27"/>
  <c r="J107" i="27"/>
  <c r="K106" i="27"/>
  <c r="J106" i="27"/>
  <c r="K105" i="27"/>
  <c r="J105" i="27"/>
  <c r="K104" i="27"/>
  <c r="J104" i="27"/>
  <c r="K103" i="27"/>
  <c r="J103" i="27"/>
  <c r="K102" i="27"/>
  <c r="J102" i="27"/>
  <c r="K101" i="27"/>
  <c r="J101" i="27"/>
  <c r="K100" i="27"/>
  <c r="J100" i="27"/>
  <c r="K99" i="27"/>
  <c r="J99" i="27"/>
  <c r="K98" i="27"/>
  <c r="J98" i="27"/>
  <c r="K97" i="27"/>
  <c r="J97" i="27"/>
  <c r="K96" i="27"/>
  <c r="J96" i="27"/>
  <c r="K95" i="27"/>
  <c r="J95" i="27"/>
  <c r="K94" i="27"/>
  <c r="J94" i="27"/>
  <c r="K93" i="27"/>
  <c r="J93" i="27"/>
  <c r="K92" i="27"/>
  <c r="J92" i="27"/>
  <c r="K91" i="27"/>
  <c r="J91" i="27"/>
  <c r="K90" i="27"/>
  <c r="J90" i="27"/>
  <c r="K89" i="27"/>
  <c r="J89" i="27"/>
  <c r="K88" i="27"/>
  <c r="J88" i="27"/>
  <c r="K87" i="27"/>
  <c r="J87" i="27"/>
  <c r="K86" i="27"/>
  <c r="J86" i="27"/>
  <c r="K85" i="27"/>
  <c r="J85" i="27"/>
  <c r="K84" i="27"/>
  <c r="J84" i="27"/>
  <c r="K83" i="27"/>
  <c r="J83" i="27"/>
  <c r="K82" i="27"/>
  <c r="J82" i="27"/>
  <c r="K81" i="27"/>
  <c r="J81" i="27"/>
  <c r="K80" i="27"/>
  <c r="J80" i="27"/>
  <c r="K79" i="27"/>
  <c r="J79" i="27"/>
  <c r="K78" i="27"/>
  <c r="J78" i="27"/>
  <c r="K77" i="27"/>
  <c r="J77" i="27"/>
  <c r="K76" i="27"/>
  <c r="J76" i="27"/>
  <c r="K75" i="27"/>
  <c r="J75" i="27"/>
  <c r="K74" i="27"/>
  <c r="J74" i="27"/>
  <c r="K73" i="27"/>
  <c r="J73" i="27"/>
  <c r="K72" i="27"/>
  <c r="J72" i="27"/>
  <c r="K71" i="27"/>
  <c r="J71" i="27"/>
  <c r="K70" i="27"/>
  <c r="J70" i="27"/>
  <c r="K69" i="27"/>
  <c r="J69" i="27"/>
  <c r="K68" i="27"/>
  <c r="J68" i="27"/>
  <c r="K67" i="27"/>
  <c r="J67" i="27"/>
  <c r="K66" i="27"/>
  <c r="J66" i="27"/>
  <c r="K65" i="27"/>
  <c r="J65" i="27"/>
  <c r="K64" i="27"/>
  <c r="J64" i="27"/>
  <c r="K63" i="27"/>
  <c r="J63" i="27"/>
  <c r="K62" i="27"/>
  <c r="J62" i="27"/>
  <c r="K61" i="27"/>
  <c r="J61" i="27"/>
  <c r="K60" i="27"/>
  <c r="J60" i="27"/>
  <c r="K59" i="27"/>
  <c r="J59" i="27"/>
  <c r="K58" i="27"/>
  <c r="J58" i="27"/>
  <c r="K57" i="27"/>
  <c r="J57" i="27"/>
  <c r="K56" i="27"/>
  <c r="J56" i="27"/>
  <c r="K55" i="27"/>
  <c r="J55" i="27"/>
  <c r="K54" i="27"/>
  <c r="J54" i="27"/>
  <c r="K53" i="27"/>
  <c r="J53" i="27"/>
  <c r="K52" i="27"/>
  <c r="J52" i="27"/>
  <c r="K51" i="27"/>
  <c r="J51" i="27"/>
  <c r="K50" i="27"/>
  <c r="J50" i="27"/>
  <c r="K49" i="27"/>
  <c r="J49" i="27"/>
  <c r="K48" i="27"/>
  <c r="J48" i="27"/>
  <c r="K47" i="27"/>
  <c r="J47" i="27"/>
  <c r="K46" i="27"/>
  <c r="J46" i="27"/>
  <c r="K45" i="27"/>
  <c r="J45" i="27"/>
  <c r="K44" i="27"/>
  <c r="J44" i="27"/>
  <c r="K43" i="27"/>
  <c r="J43" i="27"/>
  <c r="K42" i="27"/>
  <c r="J42" i="27"/>
  <c r="K41" i="27"/>
  <c r="J41" i="27"/>
  <c r="K40" i="27"/>
  <c r="J40" i="27"/>
  <c r="K39" i="27"/>
  <c r="J39" i="27"/>
  <c r="K38" i="27"/>
  <c r="J38" i="27"/>
  <c r="K37" i="27"/>
  <c r="J37" i="27"/>
  <c r="K36" i="27"/>
  <c r="J36" i="27"/>
  <c r="K35" i="27"/>
  <c r="J35" i="27"/>
  <c r="K34" i="27"/>
  <c r="J34" i="27"/>
  <c r="K33" i="27"/>
  <c r="J33" i="27"/>
  <c r="K32" i="27"/>
  <c r="J32" i="27"/>
  <c r="K31" i="27"/>
  <c r="J31" i="27"/>
  <c r="K30" i="27"/>
  <c r="J30" i="27"/>
  <c r="K29" i="27"/>
  <c r="J29" i="27"/>
  <c r="K28" i="27"/>
  <c r="J28" i="27"/>
  <c r="K27" i="27"/>
  <c r="J27" i="27"/>
  <c r="K26" i="27"/>
  <c r="J26" i="27"/>
  <c r="K25" i="27"/>
  <c r="J25" i="27"/>
  <c r="K24" i="27"/>
  <c r="J24" i="27"/>
  <c r="K23" i="27"/>
  <c r="J23" i="27"/>
  <c r="K22" i="27"/>
  <c r="J22" i="27"/>
  <c r="K21" i="27"/>
  <c r="J21" i="27"/>
  <c r="K20" i="27"/>
  <c r="J20" i="27"/>
  <c r="K19" i="27"/>
  <c r="J19" i="27"/>
  <c r="K18" i="27"/>
  <c r="J18" i="27"/>
  <c r="K17" i="27"/>
  <c r="J17" i="27"/>
  <c r="K16" i="27"/>
  <c r="J16" i="27"/>
  <c r="K15" i="27"/>
  <c r="J15" i="27"/>
  <c r="K14" i="27"/>
  <c r="J14" i="27"/>
  <c r="K13" i="27"/>
  <c r="J13" i="27"/>
  <c r="K12" i="27"/>
  <c r="J12" i="27"/>
  <c r="K11" i="27"/>
  <c r="J11" i="27"/>
  <c r="K10" i="27"/>
  <c r="J10" i="27"/>
  <c r="K9" i="27"/>
  <c r="J9" i="27"/>
  <c r="K8" i="27"/>
  <c r="J8" i="27"/>
  <c r="K7" i="27"/>
  <c r="J7" i="27"/>
  <c r="K6" i="27"/>
  <c r="J6" i="27"/>
  <c r="K3" i="27"/>
  <c r="I3" i="27"/>
  <c r="H3" i="27"/>
  <c r="K498" i="73"/>
  <c r="J498" i="73"/>
  <c r="K497" i="73"/>
  <c r="J497" i="73"/>
  <c r="K496" i="73"/>
  <c r="J496" i="73"/>
  <c r="K495" i="73"/>
  <c r="J495" i="73"/>
  <c r="K494" i="73"/>
  <c r="J494" i="73"/>
  <c r="K493" i="73"/>
  <c r="J493" i="73"/>
  <c r="K492" i="73"/>
  <c r="J492" i="73"/>
  <c r="K491" i="73"/>
  <c r="J491" i="73"/>
  <c r="K490" i="73"/>
  <c r="J490" i="73"/>
  <c r="K489" i="73"/>
  <c r="J489" i="73"/>
  <c r="K488" i="73"/>
  <c r="J488" i="73"/>
  <c r="K487" i="73"/>
  <c r="J487" i="73"/>
  <c r="K486" i="73"/>
  <c r="J486" i="73"/>
  <c r="K485" i="73"/>
  <c r="J485" i="73"/>
  <c r="K484" i="73"/>
  <c r="J484" i="73"/>
  <c r="K483" i="73"/>
  <c r="J483" i="73"/>
  <c r="K482" i="73"/>
  <c r="J482" i="73"/>
  <c r="K481" i="73"/>
  <c r="J481" i="73"/>
  <c r="K480" i="73"/>
  <c r="J480" i="73"/>
  <c r="K479" i="73"/>
  <c r="J479" i="73"/>
  <c r="K478" i="73"/>
  <c r="J478" i="73"/>
  <c r="K477" i="73"/>
  <c r="J477" i="73"/>
  <c r="K476" i="73"/>
  <c r="J476" i="73"/>
  <c r="K475" i="73"/>
  <c r="J475" i="73"/>
  <c r="K474" i="73"/>
  <c r="J474" i="73"/>
  <c r="K473" i="73"/>
  <c r="J473" i="73"/>
  <c r="K472" i="73"/>
  <c r="J472" i="73"/>
  <c r="K471" i="73"/>
  <c r="J471" i="73"/>
  <c r="K470" i="73"/>
  <c r="J470" i="73"/>
  <c r="K469" i="73"/>
  <c r="J469" i="73"/>
  <c r="K468" i="73"/>
  <c r="J468" i="73"/>
  <c r="K467" i="73"/>
  <c r="J467" i="73"/>
  <c r="K466" i="73"/>
  <c r="J466" i="73"/>
  <c r="K465" i="73"/>
  <c r="J465" i="73"/>
  <c r="K464" i="73"/>
  <c r="J464" i="73"/>
  <c r="K463" i="73"/>
  <c r="J463" i="73"/>
  <c r="K462" i="73"/>
  <c r="J462" i="73"/>
  <c r="K461" i="73"/>
  <c r="J461" i="73"/>
  <c r="K460" i="73"/>
  <c r="J460" i="73"/>
  <c r="K459" i="73"/>
  <c r="J459" i="73"/>
  <c r="K458" i="73"/>
  <c r="J458" i="73"/>
  <c r="K457" i="73"/>
  <c r="J457" i="73"/>
  <c r="K456" i="73"/>
  <c r="J456" i="73"/>
  <c r="K455" i="73"/>
  <c r="J455" i="73"/>
  <c r="K454" i="73"/>
  <c r="J454" i="73"/>
  <c r="K453" i="73"/>
  <c r="J453" i="73"/>
  <c r="K452" i="73"/>
  <c r="J452" i="73"/>
  <c r="K451" i="73"/>
  <c r="J451" i="73"/>
  <c r="K450" i="73"/>
  <c r="J450" i="73"/>
  <c r="K449" i="73"/>
  <c r="J449" i="73"/>
  <c r="K448" i="73"/>
  <c r="J448" i="73"/>
  <c r="K447" i="73"/>
  <c r="J447" i="73"/>
  <c r="K446" i="73"/>
  <c r="J446" i="73"/>
  <c r="K445" i="73"/>
  <c r="J445" i="73"/>
  <c r="K444" i="73"/>
  <c r="J444" i="73"/>
  <c r="K443" i="73"/>
  <c r="J443" i="73"/>
  <c r="K442" i="73"/>
  <c r="J442" i="73"/>
  <c r="K441" i="73"/>
  <c r="J441" i="73"/>
  <c r="K440" i="73"/>
  <c r="J440" i="73"/>
  <c r="K439" i="73"/>
  <c r="J439" i="73"/>
  <c r="K438" i="73"/>
  <c r="J438" i="73"/>
  <c r="K437" i="73"/>
  <c r="J437" i="73"/>
  <c r="K436" i="73"/>
  <c r="J436" i="73"/>
  <c r="K435" i="73"/>
  <c r="J435" i="73"/>
  <c r="K434" i="73"/>
  <c r="J434" i="73"/>
  <c r="K433" i="73"/>
  <c r="J433" i="73"/>
  <c r="K432" i="73"/>
  <c r="J432" i="73"/>
  <c r="K431" i="73"/>
  <c r="J431" i="73"/>
  <c r="K430" i="73"/>
  <c r="J430" i="73"/>
  <c r="K429" i="73"/>
  <c r="J429" i="73"/>
  <c r="K428" i="73"/>
  <c r="J428" i="73"/>
  <c r="K427" i="73"/>
  <c r="J427" i="73"/>
  <c r="K426" i="73"/>
  <c r="J426" i="73"/>
  <c r="K425" i="73"/>
  <c r="J425" i="73"/>
  <c r="K424" i="73"/>
  <c r="J424" i="73"/>
  <c r="K423" i="73"/>
  <c r="J423" i="73"/>
  <c r="K422" i="73"/>
  <c r="J422" i="73"/>
  <c r="K421" i="73"/>
  <c r="J421" i="73"/>
  <c r="K420" i="73"/>
  <c r="J420" i="73"/>
  <c r="K419" i="73"/>
  <c r="J419" i="73"/>
  <c r="K418" i="73"/>
  <c r="J418" i="73"/>
  <c r="K417" i="73"/>
  <c r="J417" i="73"/>
  <c r="K416" i="73"/>
  <c r="J416" i="73"/>
  <c r="K415" i="73"/>
  <c r="J415" i="73"/>
  <c r="K414" i="73"/>
  <c r="J414" i="73"/>
  <c r="K413" i="73"/>
  <c r="J413" i="73"/>
  <c r="K412" i="73"/>
  <c r="J412" i="73"/>
  <c r="K411" i="73"/>
  <c r="J411" i="73"/>
  <c r="K410" i="73"/>
  <c r="J410" i="73"/>
  <c r="K409" i="73"/>
  <c r="J409" i="73"/>
  <c r="K408" i="73"/>
  <c r="J408" i="73"/>
  <c r="K407" i="73"/>
  <c r="J407" i="73"/>
  <c r="K406" i="73"/>
  <c r="J406" i="73"/>
  <c r="K405" i="73"/>
  <c r="J405" i="73"/>
  <c r="K404" i="73"/>
  <c r="J404" i="73"/>
  <c r="K403" i="73"/>
  <c r="J403" i="73"/>
  <c r="K402" i="73"/>
  <c r="J402" i="73"/>
  <c r="K401" i="73"/>
  <c r="J401" i="73"/>
  <c r="K400" i="73"/>
  <c r="J400" i="73"/>
  <c r="K399" i="73"/>
  <c r="J399" i="73"/>
  <c r="K398" i="73"/>
  <c r="J398" i="73"/>
  <c r="K397" i="73"/>
  <c r="J397" i="73"/>
  <c r="K396" i="73"/>
  <c r="J396" i="73"/>
  <c r="K395" i="73"/>
  <c r="J395" i="73"/>
  <c r="K394" i="73"/>
  <c r="J394" i="73"/>
  <c r="K393" i="73"/>
  <c r="J393" i="73"/>
  <c r="K392" i="73"/>
  <c r="J392" i="73"/>
  <c r="K391" i="73"/>
  <c r="J391" i="73"/>
  <c r="K390" i="73"/>
  <c r="J390" i="73"/>
  <c r="K389" i="73"/>
  <c r="J389" i="73"/>
  <c r="K388" i="73"/>
  <c r="J388" i="73"/>
  <c r="K387" i="73"/>
  <c r="J387" i="73"/>
  <c r="K386" i="73"/>
  <c r="J386" i="73"/>
  <c r="K385" i="73"/>
  <c r="J385" i="73"/>
  <c r="K384" i="73"/>
  <c r="J384" i="73"/>
  <c r="K383" i="73"/>
  <c r="J383" i="73"/>
  <c r="K382" i="73"/>
  <c r="J382" i="73"/>
  <c r="K381" i="73"/>
  <c r="J381" i="73"/>
  <c r="K380" i="73"/>
  <c r="J380" i="73"/>
  <c r="K379" i="73"/>
  <c r="J379" i="73"/>
  <c r="K378" i="73"/>
  <c r="J378" i="73"/>
  <c r="K377" i="73"/>
  <c r="J377" i="73"/>
  <c r="K376" i="73"/>
  <c r="J376" i="73"/>
  <c r="K375" i="73"/>
  <c r="J375" i="73"/>
  <c r="K374" i="73"/>
  <c r="J374" i="73"/>
  <c r="K373" i="73"/>
  <c r="J373" i="73"/>
  <c r="K372" i="73"/>
  <c r="J372" i="73"/>
  <c r="K371" i="73"/>
  <c r="J371" i="73"/>
  <c r="K370" i="73"/>
  <c r="J370" i="73"/>
  <c r="K369" i="73"/>
  <c r="J369" i="73"/>
  <c r="K368" i="73"/>
  <c r="J368" i="73"/>
  <c r="K367" i="73"/>
  <c r="J367" i="73"/>
  <c r="K366" i="73"/>
  <c r="J366" i="73"/>
  <c r="K365" i="73"/>
  <c r="J365" i="73"/>
  <c r="K364" i="73"/>
  <c r="J364" i="73"/>
  <c r="K363" i="73"/>
  <c r="J363" i="73"/>
  <c r="K362" i="73"/>
  <c r="J362" i="73"/>
  <c r="K361" i="73"/>
  <c r="J361" i="73"/>
  <c r="K360" i="73"/>
  <c r="J360" i="73"/>
  <c r="K359" i="73"/>
  <c r="J359" i="73"/>
  <c r="K358" i="73"/>
  <c r="J358" i="73"/>
  <c r="K357" i="73"/>
  <c r="J357" i="73"/>
  <c r="K356" i="73"/>
  <c r="J356" i="73"/>
  <c r="K355" i="73"/>
  <c r="J355" i="73"/>
  <c r="K354" i="73"/>
  <c r="J354" i="73"/>
  <c r="K353" i="73"/>
  <c r="J353" i="73"/>
  <c r="K352" i="73"/>
  <c r="J352" i="73"/>
  <c r="K351" i="73"/>
  <c r="J351" i="73"/>
  <c r="K350" i="73"/>
  <c r="J350" i="73"/>
  <c r="K349" i="73"/>
  <c r="J349" i="73"/>
  <c r="K348" i="73"/>
  <c r="J348" i="73"/>
  <c r="K347" i="73"/>
  <c r="J347" i="73"/>
  <c r="K346" i="73"/>
  <c r="J346" i="73"/>
  <c r="K345" i="73"/>
  <c r="J345" i="73"/>
  <c r="K344" i="73"/>
  <c r="J344" i="73"/>
  <c r="K343" i="73"/>
  <c r="J343" i="73"/>
  <c r="K342" i="73"/>
  <c r="J342" i="73"/>
  <c r="K341" i="73"/>
  <c r="J341" i="73"/>
  <c r="K340" i="73"/>
  <c r="J340" i="73"/>
  <c r="K339" i="73"/>
  <c r="J339" i="73"/>
  <c r="K338" i="73"/>
  <c r="J338" i="73"/>
  <c r="K337" i="73"/>
  <c r="J337" i="73"/>
  <c r="K336" i="73"/>
  <c r="J336" i="73"/>
  <c r="K335" i="73"/>
  <c r="J335" i="73"/>
  <c r="K334" i="73"/>
  <c r="J334" i="73"/>
  <c r="K333" i="73"/>
  <c r="J333" i="73"/>
  <c r="K332" i="73"/>
  <c r="J332" i="73"/>
  <c r="K331" i="73"/>
  <c r="J331" i="73"/>
  <c r="K330" i="73"/>
  <c r="J330" i="73"/>
  <c r="K329" i="73"/>
  <c r="J329" i="73"/>
  <c r="K328" i="73"/>
  <c r="J328" i="73"/>
  <c r="K327" i="73"/>
  <c r="J327" i="73"/>
  <c r="K326" i="73"/>
  <c r="J326" i="73"/>
  <c r="K325" i="73"/>
  <c r="J325" i="73"/>
  <c r="K324" i="73"/>
  <c r="J324" i="73"/>
  <c r="K323" i="73"/>
  <c r="J323" i="73"/>
  <c r="K322" i="73"/>
  <c r="J322" i="73"/>
  <c r="K321" i="73"/>
  <c r="J321" i="73"/>
  <c r="K320" i="73"/>
  <c r="J320" i="73"/>
  <c r="K319" i="73"/>
  <c r="J319" i="73"/>
  <c r="K318" i="73"/>
  <c r="J318" i="73"/>
  <c r="K317" i="73"/>
  <c r="J317" i="73"/>
  <c r="K316" i="73"/>
  <c r="J316" i="73"/>
  <c r="K315" i="73"/>
  <c r="J315" i="73"/>
  <c r="K314" i="73"/>
  <c r="J314" i="73"/>
  <c r="K313" i="73"/>
  <c r="J313" i="73"/>
  <c r="K312" i="73"/>
  <c r="J312" i="73"/>
  <c r="K311" i="73"/>
  <c r="J311" i="73"/>
  <c r="K310" i="73"/>
  <c r="J310" i="73"/>
  <c r="K309" i="73"/>
  <c r="J309" i="73"/>
  <c r="K308" i="73"/>
  <c r="J308" i="73"/>
  <c r="K307" i="73"/>
  <c r="J307" i="73"/>
  <c r="K306" i="73"/>
  <c r="J306" i="73"/>
  <c r="K305" i="73"/>
  <c r="J305" i="73"/>
  <c r="K304" i="73"/>
  <c r="J304" i="73"/>
  <c r="K303" i="73"/>
  <c r="J303" i="73"/>
  <c r="K302" i="73"/>
  <c r="J302" i="73"/>
  <c r="K301" i="73"/>
  <c r="J301" i="73"/>
  <c r="K300" i="73"/>
  <c r="J300" i="73"/>
  <c r="K299" i="73"/>
  <c r="J299" i="73"/>
  <c r="K298" i="73"/>
  <c r="J298" i="73"/>
  <c r="K297" i="73"/>
  <c r="J297" i="73"/>
  <c r="K296" i="73"/>
  <c r="J296" i="73"/>
  <c r="K295" i="73"/>
  <c r="J295" i="73"/>
  <c r="K294" i="73"/>
  <c r="J294" i="73"/>
  <c r="K293" i="73"/>
  <c r="J293" i="73"/>
  <c r="K292" i="73"/>
  <c r="J292" i="73"/>
  <c r="K291" i="73"/>
  <c r="J291" i="73"/>
  <c r="K290" i="73"/>
  <c r="J290" i="73"/>
  <c r="K289" i="73"/>
  <c r="J289" i="73"/>
  <c r="K288" i="73"/>
  <c r="J288" i="73"/>
  <c r="K287" i="73"/>
  <c r="J287" i="73"/>
  <c r="K286" i="73"/>
  <c r="J286" i="73"/>
  <c r="K285" i="73"/>
  <c r="J285" i="73"/>
  <c r="K284" i="73"/>
  <c r="J284" i="73"/>
  <c r="K283" i="73"/>
  <c r="J283" i="73"/>
  <c r="K282" i="73"/>
  <c r="J282" i="73"/>
  <c r="K281" i="73"/>
  <c r="J281" i="73"/>
  <c r="K280" i="73"/>
  <c r="J280" i="73"/>
  <c r="K279" i="73"/>
  <c r="J279" i="73"/>
  <c r="K278" i="73"/>
  <c r="J278" i="73"/>
  <c r="K277" i="73"/>
  <c r="J277" i="73"/>
  <c r="K276" i="73"/>
  <c r="J276" i="73"/>
  <c r="K275" i="73"/>
  <c r="J275" i="73"/>
  <c r="K274" i="73"/>
  <c r="J274" i="73"/>
  <c r="K273" i="73"/>
  <c r="J273" i="73"/>
  <c r="K272" i="73"/>
  <c r="J272" i="73"/>
  <c r="K271" i="73"/>
  <c r="J271" i="73"/>
  <c r="K270" i="73"/>
  <c r="J270" i="73"/>
  <c r="K269" i="73"/>
  <c r="J269" i="73"/>
  <c r="K268" i="73"/>
  <c r="J268" i="73"/>
  <c r="K267" i="73"/>
  <c r="J267" i="73"/>
  <c r="K266" i="73"/>
  <c r="J266" i="73"/>
  <c r="K265" i="73"/>
  <c r="J265" i="73"/>
  <c r="K264" i="73"/>
  <c r="J264" i="73"/>
  <c r="K263" i="73"/>
  <c r="J263" i="73"/>
  <c r="K262" i="73"/>
  <c r="J262" i="73"/>
  <c r="K261" i="73"/>
  <c r="J261" i="73"/>
  <c r="K260" i="73"/>
  <c r="J260" i="73"/>
  <c r="K259" i="73"/>
  <c r="J259" i="73"/>
  <c r="K258" i="73"/>
  <c r="J258" i="73"/>
  <c r="K257" i="73"/>
  <c r="J257" i="73"/>
  <c r="K256" i="73"/>
  <c r="J256" i="73"/>
  <c r="K255" i="73"/>
  <c r="J255" i="73"/>
  <c r="K254" i="73"/>
  <c r="J254" i="73"/>
  <c r="K253" i="73"/>
  <c r="J253" i="73"/>
  <c r="K252" i="73"/>
  <c r="J252" i="73"/>
  <c r="K251" i="73"/>
  <c r="J251" i="73"/>
  <c r="K250" i="73"/>
  <c r="J250" i="73"/>
  <c r="K249" i="73"/>
  <c r="J249" i="73"/>
  <c r="K248" i="73"/>
  <c r="J248" i="73"/>
  <c r="K247" i="73"/>
  <c r="J247" i="73"/>
  <c r="K246" i="73"/>
  <c r="J246" i="73"/>
  <c r="K245" i="73"/>
  <c r="J245" i="73"/>
  <c r="K244" i="73"/>
  <c r="J244" i="73"/>
  <c r="K243" i="73"/>
  <c r="J243" i="73"/>
  <c r="K242" i="73"/>
  <c r="J242" i="73"/>
  <c r="K241" i="73"/>
  <c r="J241" i="73"/>
  <c r="K240" i="73"/>
  <c r="J240" i="73"/>
  <c r="K239" i="73"/>
  <c r="J239" i="73"/>
  <c r="K238" i="73"/>
  <c r="J238" i="73"/>
  <c r="K237" i="73"/>
  <c r="J237" i="73"/>
  <c r="K236" i="73"/>
  <c r="J236" i="73"/>
  <c r="K235" i="73"/>
  <c r="J235" i="73"/>
  <c r="K234" i="73"/>
  <c r="J234" i="73"/>
  <c r="K233" i="73"/>
  <c r="J233" i="73"/>
  <c r="K232" i="73"/>
  <c r="J232" i="73"/>
  <c r="K231" i="73"/>
  <c r="J231" i="73"/>
  <c r="K230" i="73"/>
  <c r="J230" i="73"/>
  <c r="K229" i="73"/>
  <c r="J229" i="73"/>
  <c r="K228" i="73"/>
  <c r="J228" i="73"/>
  <c r="K227" i="73"/>
  <c r="J227" i="73"/>
  <c r="K226" i="73"/>
  <c r="J226" i="73"/>
  <c r="K225" i="73"/>
  <c r="J225" i="73"/>
  <c r="K224" i="73"/>
  <c r="J224" i="73"/>
  <c r="K223" i="73"/>
  <c r="J223" i="73"/>
  <c r="K222" i="73"/>
  <c r="J222" i="73"/>
  <c r="K221" i="73"/>
  <c r="J221" i="73"/>
  <c r="K220" i="73"/>
  <c r="J220" i="73"/>
  <c r="K219" i="73"/>
  <c r="J219" i="73"/>
  <c r="K218" i="73"/>
  <c r="J218" i="73"/>
  <c r="K217" i="73"/>
  <c r="J217" i="73"/>
  <c r="K216" i="73"/>
  <c r="J216" i="73"/>
  <c r="K215" i="73"/>
  <c r="J215" i="73"/>
  <c r="K214" i="73"/>
  <c r="J214" i="73"/>
  <c r="K213" i="73"/>
  <c r="J213" i="73"/>
  <c r="K212" i="73"/>
  <c r="J212" i="73"/>
  <c r="K211" i="73"/>
  <c r="J211" i="73"/>
  <c r="K210" i="73"/>
  <c r="J210" i="73"/>
  <c r="K209" i="73"/>
  <c r="J209" i="73"/>
  <c r="K208" i="73"/>
  <c r="J208" i="73"/>
  <c r="K207" i="73"/>
  <c r="J207" i="73"/>
  <c r="K206" i="73"/>
  <c r="J206" i="73"/>
  <c r="K205" i="73"/>
  <c r="J205" i="73"/>
  <c r="K204" i="73"/>
  <c r="J204" i="73"/>
  <c r="K203" i="73"/>
  <c r="J203" i="73"/>
  <c r="K202" i="73"/>
  <c r="J202" i="73"/>
  <c r="K201" i="73"/>
  <c r="J201" i="73"/>
  <c r="K200" i="73"/>
  <c r="J200" i="73"/>
  <c r="K199" i="73"/>
  <c r="J199" i="73"/>
  <c r="K198" i="73"/>
  <c r="J198" i="73"/>
  <c r="K197" i="73"/>
  <c r="J197" i="73"/>
  <c r="K196" i="73"/>
  <c r="J196" i="73"/>
  <c r="K195" i="73"/>
  <c r="J195" i="73"/>
  <c r="K194" i="73"/>
  <c r="J194" i="73"/>
  <c r="K193" i="73"/>
  <c r="J193" i="73"/>
  <c r="K192" i="73"/>
  <c r="J192" i="73"/>
  <c r="K191" i="73"/>
  <c r="J191" i="73"/>
  <c r="K190" i="73"/>
  <c r="J190" i="73"/>
  <c r="K189" i="73"/>
  <c r="J189" i="73"/>
  <c r="K188" i="73"/>
  <c r="J188" i="73"/>
  <c r="K187" i="73"/>
  <c r="J187" i="73"/>
  <c r="K186" i="73"/>
  <c r="J186" i="73"/>
  <c r="K185" i="73"/>
  <c r="J185" i="73"/>
  <c r="K184" i="73"/>
  <c r="J184" i="73"/>
  <c r="K183" i="73"/>
  <c r="J183" i="73"/>
  <c r="K182" i="73"/>
  <c r="J182" i="73"/>
  <c r="K181" i="73"/>
  <c r="J181" i="73"/>
  <c r="K180" i="73"/>
  <c r="J180" i="73"/>
  <c r="K179" i="73"/>
  <c r="J179" i="73"/>
  <c r="K178" i="73"/>
  <c r="J178" i="73"/>
  <c r="K177" i="73"/>
  <c r="J177" i="73"/>
  <c r="K176" i="73"/>
  <c r="J176" i="73"/>
  <c r="K175" i="73"/>
  <c r="J175" i="73"/>
  <c r="K174" i="73"/>
  <c r="J174" i="73"/>
  <c r="K173" i="73"/>
  <c r="J173" i="73"/>
  <c r="K172" i="73"/>
  <c r="J172" i="73"/>
  <c r="K171" i="73"/>
  <c r="J171" i="73"/>
  <c r="K170" i="73"/>
  <c r="J170" i="73"/>
  <c r="K169" i="73"/>
  <c r="J169" i="73"/>
  <c r="K168" i="73"/>
  <c r="J168" i="73"/>
  <c r="K167" i="73"/>
  <c r="J167" i="73"/>
  <c r="K166" i="73"/>
  <c r="J166" i="73"/>
  <c r="K165" i="73"/>
  <c r="J165" i="73"/>
  <c r="K164" i="73"/>
  <c r="J164" i="73"/>
  <c r="K163" i="73"/>
  <c r="J163" i="73"/>
  <c r="K162" i="73"/>
  <c r="J162" i="73"/>
  <c r="K161" i="73"/>
  <c r="J161" i="73"/>
  <c r="K160" i="73"/>
  <c r="J160" i="73"/>
  <c r="K159" i="73"/>
  <c r="J159" i="73"/>
  <c r="K158" i="73"/>
  <c r="J158" i="73"/>
  <c r="K157" i="73"/>
  <c r="J157" i="73"/>
  <c r="K156" i="73"/>
  <c r="J156" i="73"/>
  <c r="K155" i="73"/>
  <c r="J155" i="73"/>
  <c r="K154" i="73"/>
  <c r="J154" i="73"/>
  <c r="K153" i="73"/>
  <c r="J153" i="73"/>
  <c r="K152" i="73"/>
  <c r="J152" i="73"/>
  <c r="K151" i="73"/>
  <c r="J151" i="73"/>
  <c r="K150" i="73"/>
  <c r="J150" i="73"/>
  <c r="K149" i="73"/>
  <c r="J149" i="73"/>
  <c r="K148" i="73"/>
  <c r="J148" i="73"/>
  <c r="K147" i="73"/>
  <c r="J147" i="73"/>
  <c r="K146" i="73"/>
  <c r="J146" i="73"/>
  <c r="K145" i="73"/>
  <c r="J145" i="73"/>
  <c r="K144" i="73"/>
  <c r="J144" i="73"/>
  <c r="K143" i="73"/>
  <c r="J143" i="73"/>
  <c r="K142" i="73"/>
  <c r="J142" i="73"/>
  <c r="K141" i="73"/>
  <c r="J141" i="73"/>
  <c r="K140" i="73"/>
  <c r="J140" i="73"/>
  <c r="K139" i="73"/>
  <c r="J139" i="73"/>
  <c r="K138" i="73"/>
  <c r="J138" i="73"/>
  <c r="K137" i="73"/>
  <c r="J137" i="73"/>
  <c r="K136" i="73"/>
  <c r="J136" i="73"/>
  <c r="K135" i="73"/>
  <c r="J135" i="73"/>
  <c r="K134" i="73"/>
  <c r="J134" i="73"/>
  <c r="K133" i="73"/>
  <c r="J133" i="73"/>
  <c r="K132" i="73"/>
  <c r="J132" i="73"/>
  <c r="K131" i="73"/>
  <c r="J131" i="73"/>
  <c r="K130" i="73"/>
  <c r="J130" i="73"/>
  <c r="K129" i="73"/>
  <c r="J129" i="73"/>
  <c r="K128" i="73"/>
  <c r="J128" i="73"/>
  <c r="K127" i="73"/>
  <c r="J127" i="73"/>
  <c r="K126" i="73"/>
  <c r="J126" i="73"/>
  <c r="K125" i="73"/>
  <c r="J125" i="73"/>
  <c r="K124" i="73"/>
  <c r="J124" i="73"/>
  <c r="K123" i="73"/>
  <c r="J123" i="73"/>
  <c r="K122" i="73"/>
  <c r="J122" i="73"/>
  <c r="K121" i="73"/>
  <c r="J121" i="73"/>
  <c r="K120" i="73"/>
  <c r="J120" i="73"/>
  <c r="K119" i="73"/>
  <c r="J119" i="73"/>
  <c r="K118" i="73"/>
  <c r="J118" i="73"/>
  <c r="K117" i="73"/>
  <c r="J117" i="73"/>
  <c r="K116" i="73"/>
  <c r="J116" i="73"/>
  <c r="K115" i="73"/>
  <c r="J115" i="73"/>
  <c r="K114" i="73"/>
  <c r="J114" i="73"/>
  <c r="K113" i="73"/>
  <c r="J113" i="73"/>
  <c r="K112" i="73"/>
  <c r="J112" i="73"/>
  <c r="K111" i="73"/>
  <c r="J111" i="73"/>
  <c r="K110" i="73"/>
  <c r="J110" i="73"/>
  <c r="K109" i="73"/>
  <c r="J109" i="73"/>
  <c r="K108" i="73"/>
  <c r="J108" i="73"/>
  <c r="K107" i="73"/>
  <c r="J107" i="73"/>
  <c r="K106" i="73"/>
  <c r="J106" i="73"/>
  <c r="K105" i="73"/>
  <c r="J105" i="73"/>
  <c r="K104" i="73"/>
  <c r="J104" i="73"/>
  <c r="K103" i="73"/>
  <c r="J103" i="73"/>
  <c r="K102" i="73"/>
  <c r="J102" i="73"/>
  <c r="K101" i="73"/>
  <c r="J101" i="73"/>
  <c r="K100" i="73"/>
  <c r="J100" i="73"/>
  <c r="K99" i="73"/>
  <c r="J99" i="73"/>
  <c r="K98" i="73"/>
  <c r="J98" i="73"/>
  <c r="K97" i="73"/>
  <c r="J97" i="73"/>
  <c r="K96" i="73"/>
  <c r="J96" i="73"/>
  <c r="K95" i="73"/>
  <c r="J95" i="73"/>
  <c r="K94" i="73"/>
  <c r="J94" i="73"/>
  <c r="K93" i="73"/>
  <c r="J93" i="73"/>
  <c r="K92" i="73"/>
  <c r="J92" i="73"/>
  <c r="K91" i="73"/>
  <c r="J91" i="73"/>
  <c r="K90" i="73"/>
  <c r="J90" i="73"/>
  <c r="K89" i="73"/>
  <c r="J89" i="73"/>
  <c r="K88" i="73"/>
  <c r="J88" i="73"/>
  <c r="K87" i="73"/>
  <c r="J87" i="73"/>
  <c r="K86" i="73"/>
  <c r="J86" i="73"/>
  <c r="K85" i="73"/>
  <c r="J85" i="73"/>
  <c r="K84" i="73"/>
  <c r="J84" i="73"/>
  <c r="K83" i="73"/>
  <c r="J83" i="73"/>
  <c r="K82" i="73"/>
  <c r="J82" i="73"/>
  <c r="K81" i="73"/>
  <c r="J81" i="73"/>
  <c r="K80" i="73"/>
  <c r="J80" i="73"/>
  <c r="K79" i="73"/>
  <c r="J79" i="73"/>
  <c r="K78" i="73"/>
  <c r="J78" i="73"/>
  <c r="K77" i="73"/>
  <c r="J77" i="73"/>
  <c r="K76" i="73"/>
  <c r="J76" i="73"/>
  <c r="K75" i="73"/>
  <c r="J75" i="73"/>
  <c r="K74" i="73"/>
  <c r="J74" i="73"/>
  <c r="K73" i="73"/>
  <c r="J73" i="73"/>
  <c r="K72" i="73"/>
  <c r="J72" i="73"/>
  <c r="K71" i="73"/>
  <c r="J71" i="73"/>
  <c r="K70" i="73"/>
  <c r="J70" i="73"/>
  <c r="K69" i="73"/>
  <c r="J69" i="73"/>
  <c r="K68" i="73"/>
  <c r="J68" i="73"/>
  <c r="K67" i="73"/>
  <c r="J67" i="73"/>
  <c r="K66" i="73"/>
  <c r="J66" i="73"/>
  <c r="K65" i="73"/>
  <c r="J65" i="73"/>
  <c r="K64" i="73"/>
  <c r="J64" i="73"/>
  <c r="K63" i="73"/>
  <c r="J63" i="73"/>
  <c r="K62" i="73"/>
  <c r="J62" i="73"/>
  <c r="K61" i="73"/>
  <c r="J61" i="73"/>
  <c r="K60" i="73"/>
  <c r="J60" i="73"/>
  <c r="K59" i="73"/>
  <c r="J59" i="73"/>
  <c r="K58" i="73"/>
  <c r="J58" i="73"/>
  <c r="K57" i="73"/>
  <c r="J57" i="73"/>
  <c r="K56" i="73"/>
  <c r="J56" i="73"/>
  <c r="K55" i="73"/>
  <c r="J55" i="73"/>
  <c r="K54" i="73"/>
  <c r="J54" i="73"/>
  <c r="K53" i="73"/>
  <c r="J53" i="73"/>
  <c r="K52" i="73"/>
  <c r="J52" i="73"/>
  <c r="K51" i="73"/>
  <c r="J51" i="73"/>
  <c r="K50" i="73"/>
  <c r="J50" i="73"/>
  <c r="K49" i="73"/>
  <c r="J49" i="73"/>
  <c r="K48" i="73"/>
  <c r="J48" i="73"/>
  <c r="K47" i="73"/>
  <c r="J47" i="73"/>
  <c r="K46" i="73"/>
  <c r="J46" i="73"/>
  <c r="K45" i="73"/>
  <c r="J45" i="73"/>
  <c r="K44" i="73"/>
  <c r="J44" i="73"/>
  <c r="K43" i="73"/>
  <c r="J43" i="73"/>
  <c r="K42" i="73"/>
  <c r="J42" i="73"/>
  <c r="K41" i="73"/>
  <c r="J41" i="73"/>
  <c r="K40" i="73"/>
  <c r="J40" i="73"/>
  <c r="K39" i="73"/>
  <c r="J39" i="73"/>
  <c r="K38" i="73"/>
  <c r="J38" i="73"/>
  <c r="K37" i="73"/>
  <c r="J37" i="73"/>
  <c r="K36" i="73"/>
  <c r="J36" i="73"/>
  <c r="K35" i="73"/>
  <c r="J35" i="73"/>
  <c r="K34" i="73"/>
  <c r="J34" i="73"/>
  <c r="K33" i="73"/>
  <c r="J33" i="73"/>
  <c r="K32" i="73"/>
  <c r="J32" i="73"/>
  <c r="K31" i="73"/>
  <c r="J31" i="73"/>
  <c r="K30" i="73"/>
  <c r="J30" i="73"/>
  <c r="K29" i="73"/>
  <c r="J29" i="73"/>
  <c r="K28" i="73"/>
  <c r="J28" i="73"/>
  <c r="K27" i="73"/>
  <c r="J27" i="73"/>
  <c r="K26" i="73"/>
  <c r="J26" i="73"/>
  <c r="K25" i="73"/>
  <c r="J25" i="73"/>
  <c r="K24" i="73"/>
  <c r="J24" i="73"/>
  <c r="K23" i="73"/>
  <c r="J23" i="73"/>
  <c r="K22" i="73"/>
  <c r="J22" i="73"/>
  <c r="K21" i="73"/>
  <c r="J21" i="73"/>
  <c r="K20" i="73"/>
  <c r="J20" i="73"/>
  <c r="K19" i="73"/>
  <c r="J19" i="73"/>
  <c r="K18" i="73"/>
  <c r="J18" i="73"/>
  <c r="K17" i="73"/>
  <c r="J17" i="73"/>
  <c r="K16" i="73"/>
  <c r="J16" i="73"/>
  <c r="K15" i="73"/>
  <c r="J15" i="73"/>
  <c r="K14" i="73"/>
  <c r="J14" i="73"/>
  <c r="K13" i="73"/>
  <c r="J13" i="73"/>
  <c r="K12" i="73"/>
  <c r="J12" i="73"/>
  <c r="K11" i="73"/>
  <c r="J11" i="73"/>
  <c r="K10" i="73"/>
  <c r="J10" i="73"/>
  <c r="K9" i="73"/>
  <c r="J9" i="73"/>
  <c r="K8" i="73"/>
  <c r="J8" i="73"/>
  <c r="K7" i="73"/>
  <c r="J7" i="73"/>
  <c r="K6" i="73"/>
  <c r="J6" i="73"/>
  <c r="K3" i="73"/>
  <c r="I3" i="73"/>
  <c r="H3" i="73"/>
  <c r="K499" i="26"/>
  <c r="J499" i="26"/>
  <c r="K498" i="26"/>
  <c r="J498" i="26"/>
  <c r="K497" i="26"/>
  <c r="J497" i="26"/>
  <c r="K496" i="26"/>
  <c r="J496" i="26"/>
  <c r="K495" i="26"/>
  <c r="J495" i="26"/>
  <c r="K494" i="26"/>
  <c r="J494" i="26"/>
  <c r="K493" i="26"/>
  <c r="J493" i="26"/>
  <c r="K492" i="26"/>
  <c r="J492" i="26"/>
  <c r="K491" i="26"/>
  <c r="J491" i="26"/>
  <c r="K490" i="26"/>
  <c r="J490" i="26"/>
  <c r="K489" i="26"/>
  <c r="J489" i="26"/>
  <c r="K488" i="26"/>
  <c r="J488" i="26"/>
  <c r="K487" i="26"/>
  <c r="J487" i="26"/>
  <c r="K486" i="26"/>
  <c r="J486" i="26"/>
  <c r="K485" i="26"/>
  <c r="J485" i="26"/>
  <c r="K484" i="26"/>
  <c r="J484" i="26"/>
  <c r="K483" i="26"/>
  <c r="J483" i="26"/>
  <c r="K482" i="26"/>
  <c r="J482" i="26"/>
  <c r="K481" i="26"/>
  <c r="J481" i="26"/>
  <c r="K480" i="26"/>
  <c r="J480" i="26"/>
  <c r="K479" i="26"/>
  <c r="J479" i="26"/>
  <c r="K478" i="26"/>
  <c r="J478" i="26"/>
  <c r="K477" i="26"/>
  <c r="J477" i="26"/>
  <c r="K476" i="26"/>
  <c r="J476" i="26"/>
  <c r="K475" i="26"/>
  <c r="J475" i="26"/>
  <c r="K474" i="26"/>
  <c r="J474" i="26"/>
  <c r="K473" i="26"/>
  <c r="J473" i="26"/>
  <c r="K472" i="26"/>
  <c r="J472" i="26"/>
  <c r="K471" i="26"/>
  <c r="J471" i="26"/>
  <c r="K470" i="26"/>
  <c r="J470" i="26"/>
  <c r="K469" i="26"/>
  <c r="J469" i="26"/>
  <c r="K468" i="26"/>
  <c r="J468" i="26"/>
  <c r="K467" i="26"/>
  <c r="J467" i="26"/>
  <c r="K466" i="26"/>
  <c r="J466" i="26"/>
  <c r="K465" i="26"/>
  <c r="J465" i="26"/>
  <c r="K464" i="26"/>
  <c r="J464" i="26"/>
  <c r="K463" i="26"/>
  <c r="J463" i="26"/>
  <c r="K462" i="26"/>
  <c r="J462" i="26"/>
  <c r="K461" i="26"/>
  <c r="J461" i="26"/>
  <c r="K460" i="26"/>
  <c r="J460" i="26"/>
  <c r="K459" i="26"/>
  <c r="J459" i="26"/>
  <c r="K458" i="26"/>
  <c r="J458" i="26"/>
  <c r="K457" i="26"/>
  <c r="J457" i="26"/>
  <c r="K456" i="26"/>
  <c r="J456" i="26"/>
  <c r="K455" i="26"/>
  <c r="J455" i="26"/>
  <c r="K454" i="26"/>
  <c r="J454" i="26"/>
  <c r="K453" i="26"/>
  <c r="J453" i="26"/>
  <c r="K452" i="26"/>
  <c r="J452" i="26"/>
  <c r="K451" i="26"/>
  <c r="J451" i="26"/>
  <c r="K450" i="26"/>
  <c r="J450" i="26"/>
  <c r="K449" i="26"/>
  <c r="J449" i="26"/>
  <c r="K448" i="26"/>
  <c r="J448" i="26"/>
  <c r="K447" i="26"/>
  <c r="J447" i="26"/>
  <c r="K446" i="26"/>
  <c r="J446" i="26"/>
  <c r="K445" i="26"/>
  <c r="J445" i="26"/>
  <c r="K444" i="26"/>
  <c r="J444" i="26"/>
  <c r="K443" i="26"/>
  <c r="J443" i="26"/>
  <c r="K442" i="26"/>
  <c r="J442" i="26"/>
  <c r="K441" i="26"/>
  <c r="J441" i="26"/>
  <c r="K440" i="26"/>
  <c r="J440" i="26"/>
  <c r="K439" i="26"/>
  <c r="J439" i="26"/>
  <c r="K438" i="26"/>
  <c r="J438" i="26"/>
  <c r="K437" i="26"/>
  <c r="J437" i="26"/>
  <c r="K436" i="26"/>
  <c r="J436" i="26"/>
  <c r="K435" i="26"/>
  <c r="J435" i="26"/>
  <c r="K434" i="26"/>
  <c r="J434" i="26"/>
  <c r="K433" i="26"/>
  <c r="J433" i="26"/>
  <c r="K432" i="26"/>
  <c r="J432" i="26"/>
  <c r="K431" i="26"/>
  <c r="J431" i="26"/>
  <c r="K430" i="26"/>
  <c r="J430" i="26"/>
  <c r="K429" i="26"/>
  <c r="J429" i="26"/>
  <c r="K428" i="26"/>
  <c r="J428" i="26"/>
  <c r="K427" i="26"/>
  <c r="J427" i="26"/>
  <c r="K426" i="26"/>
  <c r="J426" i="26"/>
  <c r="K425" i="26"/>
  <c r="J425" i="26"/>
  <c r="K424" i="26"/>
  <c r="J424" i="26"/>
  <c r="K423" i="26"/>
  <c r="J423" i="26"/>
  <c r="K422" i="26"/>
  <c r="J422" i="26"/>
  <c r="K421" i="26"/>
  <c r="J421" i="26"/>
  <c r="K420" i="26"/>
  <c r="J420" i="26"/>
  <c r="K419" i="26"/>
  <c r="J419" i="26"/>
  <c r="K418" i="26"/>
  <c r="J418" i="26"/>
  <c r="K417" i="26"/>
  <c r="J417" i="26"/>
  <c r="K416" i="26"/>
  <c r="J416" i="26"/>
  <c r="K415" i="26"/>
  <c r="J415" i="26"/>
  <c r="K414" i="26"/>
  <c r="J414" i="26"/>
  <c r="K413" i="26"/>
  <c r="J413" i="26"/>
  <c r="K412" i="26"/>
  <c r="J412" i="26"/>
  <c r="K411" i="26"/>
  <c r="J411" i="26"/>
  <c r="K410" i="26"/>
  <c r="J410" i="26"/>
  <c r="K409" i="26"/>
  <c r="J409" i="26"/>
  <c r="K408" i="26"/>
  <c r="J408" i="26"/>
  <c r="K407" i="26"/>
  <c r="J407" i="26"/>
  <c r="K406" i="26"/>
  <c r="J406" i="26"/>
  <c r="K405" i="26"/>
  <c r="J405" i="26"/>
  <c r="K404" i="26"/>
  <c r="J404" i="26"/>
  <c r="K403" i="26"/>
  <c r="J403" i="26"/>
  <c r="K402" i="26"/>
  <c r="J402" i="26"/>
  <c r="K401" i="26"/>
  <c r="J401" i="26"/>
  <c r="K400" i="26"/>
  <c r="J400" i="26"/>
  <c r="K399" i="26"/>
  <c r="J399" i="26"/>
  <c r="K398" i="26"/>
  <c r="J398" i="26"/>
  <c r="K397" i="26"/>
  <c r="J397" i="26"/>
  <c r="K396" i="26"/>
  <c r="J396" i="26"/>
  <c r="K395" i="26"/>
  <c r="J395" i="26"/>
  <c r="K394" i="26"/>
  <c r="J394" i="26"/>
  <c r="K393" i="26"/>
  <c r="J393" i="26"/>
  <c r="K392" i="26"/>
  <c r="J392" i="26"/>
  <c r="K391" i="26"/>
  <c r="J391" i="26"/>
  <c r="K390" i="26"/>
  <c r="J390" i="26"/>
  <c r="K389" i="26"/>
  <c r="J389" i="26"/>
  <c r="K388" i="26"/>
  <c r="J388" i="26"/>
  <c r="K387" i="26"/>
  <c r="J387" i="26"/>
  <c r="K386" i="26"/>
  <c r="J386" i="26"/>
  <c r="K385" i="26"/>
  <c r="J385" i="26"/>
  <c r="K384" i="26"/>
  <c r="J384" i="26"/>
  <c r="K383" i="26"/>
  <c r="J383" i="26"/>
  <c r="K382" i="26"/>
  <c r="J382" i="26"/>
  <c r="K381" i="26"/>
  <c r="J381" i="26"/>
  <c r="K380" i="26"/>
  <c r="J380" i="26"/>
  <c r="K379" i="26"/>
  <c r="J379" i="26"/>
  <c r="K378" i="26"/>
  <c r="J378" i="26"/>
  <c r="K377" i="26"/>
  <c r="J377" i="26"/>
  <c r="K376" i="26"/>
  <c r="J376" i="26"/>
  <c r="K375" i="26"/>
  <c r="J375" i="26"/>
  <c r="K374" i="26"/>
  <c r="J374" i="26"/>
  <c r="K373" i="26"/>
  <c r="J373" i="26"/>
  <c r="K372" i="26"/>
  <c r="J372" i="26"/>
  <c r="K371" i="26"/>
  <c r="J371" i="26"/>
  <c r="K370" i="26"/>
  <c r="J370" i="26"/>
  <c r="K369" i="26"/>
  <c r="J369" i="26"/>
  <c r="K368" i="26"/>
  <c r="J368" i="26"/>
  <c r="K367" i="26"/>
  <c r="J367" i="26"/>
  <c r="K366" i="26"/>
  <c r="J366" i="26"/>
  <c r="K365" i="26"/>
  <c r="J365" i="26"/>
  <c r="K364" i="26"/>
  <c r="J364" i="26"/>
  <c r="K363" i="26"/>
  <c r="J363" i="26"/>
  <c r="K362" i="26"/>
  <c r="J362" i="26"/>
  <c r="K361" i="26"/>
  <c r="J361" i="26"/>
  <c r="K360" i="26"/>
  <c r="J360" i="26"/>
  <c r="K359" i="26"/>
  <c r="J359" i="26"/>
  <c r="K358" i="26"/>
  <c r="J358" i="26"/>
  <c r="K357" i="26"/>
  <c r="J357" i="26"/>
  <c r="K356" i="26"/>
  <c r="J356" i="26"/>
  <c r="K355" i="26"/>
  <c r="J355" i="26"/>
  <c r="K354" i="26"/>
  <c r="J354" i="26"/>
  <c r="K353" i="26"/>
  <c r="J353" i="26"/>
  <c r="K352" i="26"/>
  <c r="J352" i="26"/>
  <c r="K351" i="26"/>
  <c r="J351" i="26"/>
  <c r="K350" i="26"/>
  <c r="J350" i="26"/>
  <c r="K349" i="26"/>
  <c r="J349" i="26"/>
  <c r="K348" i="26"/>
  <c r="J348" i="26"/>
  <c r="K347" i="26"/>
  <c r="J347" i="26"/>
  <c r="K346" i="26"/>
  <c r="J346" i="26"/>
  <c r="K345" i="26"/>
  <c r="J345" i="26"/>
  <c r="K344" i="26"/>
  <c r="J344" i="26"/>
  <c r="K343" i="26"/>
  <c r="J343" i="26"/>
  <c r="K342" i="26"/>
  <c r="J342" i="26"/>
  <c r="K341" i="26"/>
  <c r="J341" i="26"/>
  <c r="K340" i="26"/>
  <c r="J340" i="26"/>
  <c r="K339" i="26"/>
  <c r="J339" i="26"/>
  <c r="K338" i="26"/>
  <c r="J338" i="26"/>
  <c r="K337" i="26"/>
  <c r="J337" i="26"/>
  <c r="K336" i="26"/>
  <c r="J336" i="26"/>
  <c r="K335" i="26"/>
  <c r="J335" i="26"/>
  <c r="K334" i="26"/>
  <c r="J334" i="26"/>
  <c r="K333" i="26"/>
  <c r="J333" i="26"/>
  <c r="K332" i="26"/>
  <c r="J332" i="26"/>
  <c r="K331" i="26"/>
  <c r="J331" i="26"/>
  <c r="K330" i="26"/>
  <c r="J330" i="26"/>
  <c r="K329" i="26"/>
  <c r="J329" i="26"/>
  <c r="K328" i="26"/>
  <c r="J328" i="26"/>
  <c r="K327" i="26"/>
  <c r="J327" i="26"/>
  <c r="K326" i="26"/>
  <c r="J326" i="26"/>
  <c r="K325" i="26"/>
  <c r="J325" i="26"/>
  <c r="K324" i="26"/>
  <c r="J324" i="26"/>
  <c r="K323" i="26"/>
  <c r="J323" i="26"/>
  <c r="K322" i="26"/>
  <c r="J322" i="26"/>
  <c r="K321" i="26"/>
  <c r="J321" i="26"/>
  <c r="K320" i="26"/>
  <c r="J320" i="26"/>
  <c r="K319" i="26"/>
  <c r="J319" i="26"/>
  <c r="K318" i="26"/>
  <c r="J318" i="26"/>
  <c r="K317" i="26"/>
  <c r="J317" i="26"/>
  <c r="K316" i="26"/>
  <c r="J316" i="26"/>
  <c r="K315" i="26"/>
  <c r="J315" i="26"/>
  <c r="K314" i="26"/>
  <c r="J314" i="26"/>
  <c r="K313" i="26"/>
  <c r="J313" i="26"/>
  <c r="K312" i="26"/>
  <c r="J312" i="26"/>
  <c r="K311" i="26"/>
  <c r="J311" i="26"/>
  <c r="K310" i="26"/>
  <c r="J310" i="26"/>
  <c r="K309" i="26"/>
  <c r="J309" i="26"/>
  <c r="K308" i="26"/>
  <c r="J308" i="26"/>
  <c r="K307" i="26"/>
  <c r="J307" i="26"/>
  <c r="K306" i="26"/>
  <c r="J306" i="26"/>
  <c r="K305" i="26"/>
  <c r="J305" i="26"/>
  <c r="K304" i="26"/>
  <c r="J304" i="26"/>
  <c r="K303" i="26"/>
  <c r="J303" i="26"/>
  <c r="K302" i="26"/>
  <c r="J302" i="26"/>
  <c r="K301" i="26"/>
  <c r="J301" i="26"/>
  <c r="K300" i="26"/>
  <c r="J300" i="26"/>
  <c r="K299" i="26"/>
  <c r="J299" i="26"/>
  <c r="K298" i="26"/>
  <c r="J298" i="26"/>
  <c r="K297" i="26"/>
  <c r="J297" i="26"/>
  <c r="K296" i="26"/>
  <c r="J296" i="26"/>
  <c r="K295" i="26"/>
  <c r="J295" i="26"/>
  <c r="K294" i="26"/>
  <c r="J294" i="26"/>
  <c r="K293" i="26"/>
  <c r="J293" i="26"/>
  <c r="K292" i="26"/>
  <c r="J292" i="26"/>
  <c r="K291" i="26"/>
  <c r="J291" i="26"/>
  <c r="K290" i="26"/>
  <c r="J290" i="26"/>
  <c r="K289" i="26"/>
  <c r="J289" i="26"/>
  <c r="K288" i="26"/>
  <c r="J288" i="26"/>
  <c r="K287" i="26"/>
  <c r="J287" i="26"/>
  <c r="K286" i="26"/>
  <c r="J286" i="26"/>
  <c r="K285" i="26"/>
  <c r="J285" i="26"/>
  <c r="K284" i="26"/>
  <c r="J284" i="26"/>
  <c r="K283" i="26"/>
  <c r="J283" i="26"/>
  <c r="K282" i="26"/>
  <c r="J282" i="26"/>
  <c r="K281" i="26"/>
  <c r="J281" i="26"/>
  <c r="K280" i="26"/>
  <c r="J280" i="26"/>
  <c r="K279" i="26"/>
  <c r="J279" i="26"/>
  <c r="K278" i="26"/>
  <c r="J278" i="26"/>
  <c r="K277" i="26"/>
  <c r="J277" i="26"/>
  <c r="K276" i="26"/>
  <c r="J276" i="26"/>
  <c r="K275" i="26"/>
  <c r="J275" i="26"/>
  <c r="K274" i="26"/>
  <c r="J274" i="26"/>
  <c r="K273" i="26"/>
  <c r="J273" i="26"/>
  <c r="K272" i="26"/>
  <c r="J272" i="26"/>
  <c r="K271" i="26"/>
  <c r="J271" i="26"/>
  <c r="K270" i="26"/>
  <c r="J270" i="26"/>
  <c r="K269" i="26"/>
  <c r="J269" i="26"/>
  <c r="K268" i="26"/>
  <c r="J268" i="26"/>
  <c r="K267" i="26"/>
  <c r="J267" i="26"/>
  <c r="K266" i="26"/>
  <c r="J266" i="26"/>
  <c r="K265" i="26"/>
  <c r="J265" i="26"/>
  <c r="K264" i="26"/>
  <c r="J264" i="26"/>
  <c r="K263" i="26"/>
  <c r="J263" i="26"/>
  <c r="K262" i="26"/>
  <c r="J262" i="26"/>
  <c r="K261" i="26"/>
  <c r="J261" i="26"/>
  <c r="K260" i="26"/>
  <c r="J260" i="26"/>
  <c r="K259" i="26"/>
  <c r="J259" i="26"/>
  <c r="K258" i="26"/>
  <c r="J258" i="26"/>
  <c r="K257" i="26"/>
  <c r="J257" i="26"/>
  <c r="K256" i="26"/>
  <c r="J256" i="26"/>
  <c r="K255" i="26"/>
  <c r="J255" i="26"/>
  <c r="K254" i="26"/>
  <c r="J254" i="26"/>
  <c r="K253" i="26"/>
  <c r="J253" i="26"/>
  <c r="K252" i="26"/>
  <c r="J252" i="26"/>
  <c r="K251" i="26"/>
  <c r="J251" i="26"/>
  <c r="K250" i="26"/>
  <c r="J250" i="26"/>
  <c r="K249" i="26"/>
  <c r="J249" i="26"/>
  <c r="K248" i="26"/>
  <c r="J248" i="26"/>
  <c r="K247" i="26"/>
  <c r="J247" i="26"/>
  <c r="K246" i="26"/>
  <c r="J246" i="26"/>
  <c r="K245" i="26"/>
  <c r="J245" i="26"/>
  <c r="K244" i="26"/>
  <c r="J244" i="26"/>
  <c r="K243" i="26"/>
  <c r="J243" i="26"/>
  <c r="K242" i="26"/>
  <c r="J242" i="26"/>
  <c r="K241" i="26"/>
  <c r="J241" i="26"/>
  <c r="K240" i="26"/>
  <c r="J240" i="26"/>
  <c r="K239" i="26"/>
  <c r="J239" i="26"/>
  <c r="K238" i="26"/>
  <c r="J238" i="26"/>
  <c r="K237" i="26"/>
  <c r="J237" i="26"/>
  <c r="K236" i="26"/>
  <c r="J236" i="26"/>
  <c r="K235" i="26"/>
  <c r="J235" i="26"/>
  <c r="K234" i="26"/>
  <c r="J234" i="26"/>
  <c r="K233" i="26"/>
  <c r="J233" i="26"/>
  <c r="K232" i="26"/>
  <c r="J232" i="26"/>
  <c r="K231" i="26"/>
  <c r="J231" i="26"/>
  <c r="K230" i="26"/>
  <c r="J230" i="26"/>
  <c r="K229" i="26"/>
  <c r="J229" i="26"/>
  <c r="K228" i="26"/>
  <c r="J228" i="26"/>
  <c r="K227" i="26"/>
  <c r="J227" i="26"/>
  <c r="K226" i="26"/>
  <c r="J226" i="26"/>
  <c r="K225" i="26"/>
  <c r="J225" i="26"/>
  <c r="K224" i="26"/>
  <c r="J224" i="26"/>
  <c r="K223" i="26"/>
  <c r="J223" i="26"/>
  <c r="K222" i="26"/>
  <c r="J222" i="26"/>
  <c r="K221" i="26"/>
  <c r="J221" i="26"/>
  <c r="K220" i="26"/>
  <c r="J220" i="26"/>
  <c r="K219" i="26"/>
  <c r="J219" i="26"/>
  <c r="K218" i="26"/>
  <c r="J218" i="26"/>
  <c r="K217" i="26"/>
  <c r="J217" i="26"/>
  <c r="K216" i="26"/>
  <c r="J216" i="26"/>
  <c r="K215" i="26"/>
  <c r="J215" i="26"/>
  <c r="K214" i="26"/>
  <c r="J214" i="26"/>
  <c r="K213" i="26"/>
  <c r="J213" i="26"/>
  <c r="K212" i="26"/>
  <c r="J212" i="26"/>
  <c r="K211" i="26"/>
  <c r="J211" i="26"/>
  <c r="K210" i="26"/>
  <c r="J210" i="26"/>
  <c r="K209" i="26"/>
  <c r="J209" i="26"/>
  <c r="K208" i="26"/>
  <c r="J208" i="26"/>
  <c r="K207" i="26"/>
  <c r="J207" i="26"/>
  <c r="K206" i="26"/>
  <c r="J206" i="26"/>
  <c r="K205" i="26"/>
  <c r="J205" i="26"/>
  <c r="K204" i="26"/>
  <c r="J204" i="26"/>
  <c r="K203" i="26"/>
  <c r="J203" i="26"/>
  <c r="K202" i="26"/>
  <c r="J202" i="26"/>
  <c r="K201" i="26"/>
  <c r="J201" i="26"/>
  <c r="K200" i="26"/>
  <c r="J200" i="26"/>
  <c r="K199" i="26"/>
  <c r="J199" i="26"/>
  <c r="K198" i="26"/>
  <c r="J198" i="26"/>
  <c r="K197" i="26"/>
  <c r="J197" i="26"/>
  <c r="K196" i="26"/>
  <c r="J196" i="26"/>
  <c r="K195" i="26"/>
  <c r="J195" i="26"/>
  <c r="K194" i="26"/>
  <c r="J194" i="26"/>
  <c r="K193" i="26"/>
  <c r="J193" i="26"/>
  <c r="K192" i="26"/>
  <c r="J192" i="26"/>
  <c r="K191" i="26"/>
  <c r="J191" i="26"/>
  <c r="K190" i="26"/>
  <c r="J190" i="26"/>
  <c r="K189" i="26"/>
  <c r="J189" i="26"/>
  <c r="K188" i="26"/>
  <c r="J188" i="26"/>
  <c r="K187" i="26"/>
  <c r="J187" i="26"/>
  <c r="K186" i="26"/>
  <c r="J186" i="26"/>
  <c r="K185" i="26"/>
  <c r="J185" i="26"/>
  <c r="K184" i="26"/>
  <c r="J184" i="26"/>
  <c r="K183" i="26"/>
  <c r="J183" i="26"/>
  <c r="K182" i="26"/>
  <c r="J182" i="26"/>
  <c r="K181" i="26"/>
  <c r="J181" i="26"/>
  <c r="K180" i="26"/>
  <c r="J180" i="26"/>
  <c r="K179" i="26"/>
  <c r="J179" i="26"/>
  <c r="K178" i="26"/>
  <c r="J178" i="26"/>
  <c r="K177" i="26"/>
  <c r="J177" i="26"/>
  <c r="K176" i="26"/>
  <c r="J176" i="26"/>
  <c r="K175" i="26"/>
  <c r="J175" i="26"/>
  <c r="K174" i="26"/>
  <c r="J174" i="26"/>
  <c r="K173" i="26"/>
  <c r="J173" i="26"/>
  <c r="K172" i="26"/>
  <c r="J172" i="26"/>
  <c r="K171" i="26"/>
  <c r="J171" i="26"/>
  <c r="K170" i="26"/>
  <c r="J170" i="26"/>
  <c r="K169" i="26"/>
  <c r="J169" i="26"/>
  <c r="K168" i="26"/>
  <c r="J168" i="26"/>
  <c r="K167" i="26"/>
  <c r="J167" i="26"/>
  <c r="K166" i="26"/>
  <c r="J166" i="26"/>
  <c r="K165" i="26"/>
  <c r="J165" i="26"/>
  <c r="K164" i="26"/>
  <c r="J164" i="26"/>
  <c r="K163" i="26"/>
  <c r="J163" i="26"/>
  <c r="K162" i="26"/>
  <c r="J162" i="26"/>
  <c r="K161" i="26"/>
  <c r="J161" i="26"/>
  <c r="K160" i="26"/>
  <c r="J160" i="26"/>
  <c r="K159" i="26"/>
  <c r="J159" i="26"/>
  <c r="K158" i="26"/>
  <c r="J158" i="26"/>
  <c r="K157" i="26"/>
  <c r="J157" i="26"/>
  <c r="K156" i="26"/>
  <c r="J156" i="26"/>
  <c r="K155" i="26"/>
  <c r="J155" i="26"/>
  <c r="K154" i="26"/>
  <c r="J154" i="26"/>
  <c r="K153" i="26"/>
  <c r="J153" i="26"/>
  <c r="K152" i="26"/>
  <c r="J152" i="26"/>
  <c r="K151" i="26"/>
  <c r="J151" i="26"/>
  <c r="K150" i="26"/>
  <c r="J150" i="26"/>
  <c r="K149" i="26"/>
  <c r="J149" i="26"/>
  <c r="K148" i="26"/>
  <c r="J148" i="26"/>
  <c r="K147" i="26"/>
  <c r="J147" i="26"/>
  <c r="K146" i="26"/>
  <c r="J146" i="26"/>
  <c r="K145" i="26"/>
  <c r="J145" i="26"/>
  <c r="K144" i="26"/>
  <c r="J144" i="26"/>
  <c r="K143" i="26"/>
  <c r="J143" i="26"/>
  <c r="K142" i="26"/>
  <c r="J142" i="26"/>
  <c r="K141" i="26"/>
  <c r="J141" i="26"/>
  <c r="K140" i="26"/>
  <c r="J140" i="26"/>
  <c r="K139" i="26"/>
  <c r="J139" i="26"/>
  <c r="K138" i="26"/>
  <c r="J138" i="26"/>
  <c r="K137" i="26"/>
  <c r="J137" i="26"/>
  <c r="K136" i="26"/>
  <c r="J136" i="26"/>
  <c r="K135" i="26"/>
  <c r="J135" i="26"/>
  <c r="K134" i="26"/>
  <c r="J134" i="26"/>
  <c r="K133" i="26"/>
  <c r="J133" i="26"/>
  <c r="K132" i="26"/>
  <c r="J132" i="26"/>
  <c r="K131" i="26"/>
  <c r="J131" i="26"/>
  <c r="K130" i="26"/>
  <c r="J130" i="26"/>
  <c r="K129" i="26"/>
  <c r="J129" i="26"/>
  <c r="K128" i="26"/>
  <c r="J128" i="26"/>
  <c r="K127" i="26"/>
  <c r="J127" i="26"/>
  <c r="K126" i="26"/>
  <c r="J126" i="26"/>
  <c r="K125" i="26"/>
  <c r="J125" i="26"/>
  <c r="K124" i="26"/>
  <c r="J124" i="26"/>
  <c r="K123" i="26"/>
  <c r="J123" i="26"/>
  <c r="K122" i="26"/>
  <c r="J122" i="26"/>
  <c r="K121" i="26"/>
  <c r="J121" i="26"/>
  <c r="K120" i="26"/>
  <c r="J120" i="26"/>
  <c r="K119" i="26"/>
  <c r="J119" i="26"/>
  <c r="K118" i="26"/>
  <c r="J118" i="26"/>
  <c r="K117" i="26"/>
  <c r="J117" i="26"/>
  <c r="K116" i="26"/>
  <c r="J116" i="26"/>
  <c r="K115" i="26"/>
  <c r="J115" i="26"/>
  <c r="K114" i="26"/>
  <c r="J114" i="26"/>
  <c r="K113" i="26"/>
  <c r="J113" i="26"/>
  <c r="K112" i="26"/>
  <c r="J112" i="26"/>
  <c r="K111" i="26"/>
  <c r="J111" i="26"/>
  <c r="K110" i="26"/>
  <c r="J110" i="26"/>
  <c r="K109" i="26"/>
  <c r="J109" i="26"/>
  <c r="K108" i="26"/>
  <c r="J108" i="26"/>
  <c r="K107" i="26"/>
  <c r="J107" i="26"/>
  <c r="K106" i="26"/>
  <c r="J106" i="26"/>
  <c r="K105" i="26"/>
  <c r="J105" i="26"/>
  <c r="K104" i="26"/>
  <c r="J104" i="26"/>
  <c r="K103" i="26"/>
  <c r="J103" i="26"/>
  <c r="K102" i="26"/>
  <c r="J102" i="26"/>
  <c r="K101" i="26"/>
  <c r="J101" i="26"/>
  <c r="K100" i="26"/>
  <c r="J100" i="26"/>
  <c r="K99" i="26"/>
  <c r="J99" i="26"/>
  <c r="K98" i="26"/>
  <c r="J98" i="26"/>
  <c r="K97" i="26"/>
  <c r="J97" i="26"/>
  <c r="K96" i="26"/>
  <c r="J96" i="26"/>
  <c r="K95" i="26"/>
  <c r="J95" i="26"/>
  <c r="K94" i="26"/>
  <c r="J94" i="26"/>
  <c r="K93" i="26"/>
  <c r="J93" i="26"/>
  <c r="K92" i="26"/>
  <c r="J92" i="26"/>
  <c r="K91" i="26"/>
  <c r="J91" i="26"/>
  <c r="K90" i="26"/>
  <c r="J90" i="26"/>
  <c r="K89" i="26"/>
  <c r="J89" i="26"/>
  <c r="K88" i="26"/>
  <c r="J88" i="26"/>
  <c r="K87" i="26"/>
  <c r="J87" i="26"/>
  <c r="K86" i="26"/>
  <c r="J86" i="26"/>
  <c r="K85" i="26"/>
  <c r="J85" i="26"/>
  <c r="K84" i="26"/>
  <c r="J84" i="26"/>
  <c r="K83" i="26"/>
  <c r="J83" i="26"/>
  <c r="K82" i="26"/>
  <c r="J82" i="26"/>
  <c r="K81" i="26"/>
  <c r="J81" i="26"/>
  <c r="K80" i="26"/>
  <c r="J80" i="26"/>
  <c r="K79" i="26"/>
  <c r="J79" i="26"/>
  <c r="K78" i="26"/>
  <c r="J78" i="26"/>
  <c r="K77" i="26"/>
  <c r="J77" i="26"/>
  <c r="K76" i="26"/>
  <c r="J76" i="26"/>
  <c r="K75" i="26"/>
  <c r="J75" i="26"/>
  <c r="K74" i="26"/>
  <c r="J74" i="26"/>
  <c r="K73" i="26"/>
  <c r="J73" i="26"/>
  <c r="K72" i="26"/>
  <c r="J72" i="26"/>
  <c r="K71" i="26"/>
  <c r="J71" i="26"/>
  <c r="K70" i="26"/>
  <c r="J70" i="26"/>
  <c r="K69" i="26"/>
  <c r="J69" i="26"/>
  <c r="K68" i="26"/>
  <c r="J68" i="26"/>
  <c r="K67" i="26"/>
  <c r="J67" i="26"/>
  <c r="K66" i="26"/>
  <c r="J66" i="26"/>
  <c r="K65" i="26"/>
  <c r="J65" i="26"/>
  <c r="K64" i="26"/>
  <c r="J64" i="26"/>
  <c r="K63" i="26"/>
  <c r="J63" i="26"/>
  <c r="K62" i="26"/>
  <c r="J62" i="26"/>
  <c r="K61" i="26"/>
  <c r="J61" i="26"/>
  <c r="K60" i="26"/>
  <c r="J60" i="26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K32" i="26"/>
  <c r="J32" i="26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K23" i="26"/>
  <c r="J23" i="26"/>
  <c r="K22" i="26"/>
  <c r="J22" i="26"/>
  <c r="K21" i="26"/>
  <c r="J21" i="26"/>
  <c r="K20" i="26"/>
  <c r="J20" i="26"/>
  <c r="K19" i="26"/>
  <c r="J19" i="26"/>
  <c r="K18" i="26"/>
  <c r="J18" i="26"/>
  <c r="K17" i="26"/>
  <c r="J17" i="26"/>
  <c r="K16" i="26"/>
  <c r="J16" i="26"/>
  <c r="K15" i="26"/>
  <c r="J15" i="26"/>
  <c r="K14" i="26"/>
  <c r="J14" i="26"/>
  <c r="K13" i="26"/>
  <c r="J13" i="26"/>
  <c r="K12" i="26"/>
  <c r="J12" i="26"/>
  <c r="K11" i="26"/>
  <c r="J11" i="26"/>
  <c r="K10" i="26"/>
  <c r="J10" i="26"/>
  <c r="K9" i="26"/>
  <c r="J9" i="26"/>
  <c r="K8" i="26"/>
  <c r="J8" i="26"/>
  <c r="K7" i="26"/>
  <c r="J7" i="26"/>
  <c r="K6" i="26"/>
  <c r="J6" i="26"/>
  <c r="K3" i="26"/>
  <c r="I3" i="26"/>
  <c r="H3" i="26"/>
  <c r="K498" i="72"/>
  <c r="J498" i="72"/>
  <c r="K497" i="72"/>
  <c r="J497" i="72"/>
  <c r="K496" i="72"/>
  <c r="J496" i="72"/>
  <c r="K495" i="72"/>
  <c r="J495" i="72"/>
  <c r="K494" i="72"/>
  <c r="J494" i="72"/>
  <c r="K493" i="72"/>
  <c r="J493" i="72"/>
  <c r="K492" i="72"/>
  <c r="J492" i="72"/>
  <c r="K491" i="72"/>
  <c r="J491" i="72"/>
  <c r="K490" i="72"/>
  <c r="J490" i="72"/>
  <c r="K489" i="72"/>
  <c r="J489" i="72"/>
  <c r="K488" i="72"/>
  <c r="J488" i="72"/>
  <c r="K487" i="72"/>
  <c r="J487" i="72"/>
  <c r="K486" i="72"/>
  <c r="J486" i="72"/>
  <c r="K485" i="72"/>
  <c r="J485" i="72"/>
  <c r="K484" i="72"/>
  <c r="J484" i="72"/>
  <c r="K483" i="72"/>
  <c r="J483" i="72"/>
  <c r="K482" i="72"/>
  <c r="J482" i="72"/>
  <c r="K481" i="72"/>
  <c r="J481" i="72"/>
  <c r="K480" i="72"/>
  <c r="J480" i="72"/>
  <c r="K479" i="72"/>
  <c r="J479" i="72"/>
  <c r="K478" i="72"/>
  <c r="J478" i="72"/>
  <c r="K477" i="72"/>
  <c r="J477" i="72"/>
  <c r="K476" i="72"/>
  <c r="J476" i="72"/>
  <c r="K475" i="72"/>
  <c r="J475" i="72"/>
  <c r="K474" i="72"/>
  <c r="J474" i="72"/>
  <c r="K473" i="72"/>
  <c r="J473" i="72"/>
  <c r="K472" i="72"/>
  <c r="J472" i="72"/>
  <c r="K471" i="72"/>
  <c r="J471" i="72"/>
  <c r="K470" i="72"/>
  <c r="J470" i="72"/>
  <c r="K469" i="72"/>
  <c r="J469" i="72"/>
  <c r="K468" i="72"/>
  <c r="J468" i="72"/>
  <c r="K467" i="72"/>
  <c r="J467" i="72"/>
  <c r="K466" i="72"/>
  <c r="J466" i="72"/>
  <c r="K465" i="72"/>
  <c r="J465" i="72"/>
  <c r="K464" i="72"/>
  <c r="J464" i="72"/>
  <c r="K463" i="72"/>
  <c r="J463" i="72"/>
  <c r="K462" i="72"/>
  <c r="J462" i="72"/>
  <c r="K461" i="72"/>
  <c r="J461" i="72"/>
  <c r="K460" i="72"/>
  <c r="J460" i="72"/>
  <c r="K459" i="72"/>
  <c r="J459" i="72"/>
  <c r="K458" i="72"/>
  <c r="J458" i="72"/>
  <c r="K457" i="72"/>
  <c r="J457" i="72"/>
  <c r="K456" i="72"/>
  <c r="J456" i="72"/>
  <c r="K455" i="72"/>
  <c r="J455" i="72"/>
  <c r="K454" i="72"/>
  <c r="J454" i="72"/>
  <c r="K453" i="72"/>
  <c r="J453" i="72"/>
  <c r="K452" i="72"/>
  <c r="J452" i="72"/>
  <c r="K451" i="72"/>
  <c r="J451" i="72"/>
  <c r="K450" i="72"/>
  <c r="J450" i="72"/>
  <c r="K449" i="72"/>
  <c r="J449" i="72"/>
  <c r="K448" i="72"/>
  <c r="J448" i="72"/>
  <c r="K447" i="72"/>
  <c r="J447" i="72"/>
  <c r="K446" i="72"/>
  <c r="J446" i="72"/>
  <c r="K445" i="72"/>
  <c r="J445" i="72"/>
  <c r="K444" i="72"/>
  <c r="J444" i="72"/>
  <c r="K443" i="72"/>
  <c r="J443" i="72"/>
  <c r="K442" i="72"/>
  <c r="J442" i="72"/>
  <c r="K441" i="72"/>
  <c r="J441" i="72"/>
  <c r="K440" i="72"/>
  <c r="J440" i="72"/>
  <c r="K439" i="72"/>
  <c r="J439" i="72"/>
  <c r="K438" i="72"/>
  <c r="J438" i="72"/>
  <c r="K437" i="72"/>
  <c r="J437" i="72"/>
  <c r="K436" i="72"/>
  <c r="J436" i="72"/>
  <c r="K435" i="72"/>
  <c r="J435" i="72"/>
  <c r="K434" i="72"/>
  <c r="J434" i="72"/>
  <c r="K433" i="72"/>
  <c r="J433" i="72"/>
  <c r="K432" i="72"/>
  <c r="J432" i="72"/>
  <c r="K431" i="72"/>
  <c r="J431" i="72"/>
  <c r="K430" i="72"/>
  <c r="J430" i="72"/>
  <c r="K429" i="72"/>
  <c r="J429" i="72"/>
  <c r="K428" i="72"/>
  <c r="J428" i="72"/>
  <c r="K427" i="72"/>
  <c r="J427" i="72"/>
  <c r="K426" i="72"/>
  <c r="J426" i="72"/>
  <c r="K425" i="72"/>
  <c r="J425" i="72"/>
  <c r="K424" i="72"/>
  <c r="J424" i="72"/>
  <c r="K423" i="72"/>
  <c r="J423" i="72"/>
  <c r="K422" i="72"/>
  <c r="J422" i="72"/>
  <c r="K421" i="72"/>
  <c r="J421" i="72"/>
  <c r="K420" i="72"/>
  <c r="J420" i="72"/>
  <c r="K419" i="72"/>
  <c r="J419" i="72"/>
  <c r="K418" i="72"/>
  <c r="J418" i="72"/>
  <c r="K417" i="72"/>
  <c r="J417" i="72"/>
  <c r="K416" i="72"/>
  <c r="J416" i="72"/>
  <c r="K415" i="72"/>
  <c r="J415" i="72"/>
  <c r="K414" i="72"/>
  <c r="J414" i="72"/>
  <c r="K413" i="72"/>
  <c r="J413" i="72"/>
  <c r="K412" i="72"/>
  <c r="J412" i="72"/>
  <c r="K411" i="72"/>
  <c r="J411" i="72"/>
  <c r="K410" i="72"/>
  <c r="J410" i="72"/>
  <c r="K409" i="72"/>
  <c r="J409" i="72"/>
  <c r="K408" i="72"/>
  <c r="J408" i="72"/>
  <c r="K407" i="72"/>
  <c r="J407" i="72"/>
  <c r="K406" i="72"/>
  <c r="J406" i="72"/>
  <c r="K405" i="72"/>
  <c r="J405" i="72"/>
  <c r="K404" i="72"/>
  <c r="J404" i="72"/>
  <c r="K403" i="72"/>
  <c r="J403" i="72"/>
  <c r="K402" i="72"/>
  <c r="J402" i="72"/>
  <c r="K401" i="72"/>
  <c r="J401" i="72"/>
  <c r="K400" i="72"/>
  <c r="J400" i="72"/>
  <c r="K399" i="72"/>
  <c r="J399" i="72"/>
  <c r="K398" i="72"/>
  <c r="J398" i="72"/>
  <c r="K397" i="72"/>
  <c r="J397" i="72"/>
  <c r="K396" i="72"/>
  <c r="J396" i="72"/>
  <c r="K395" i="72"/>
  <c r="J395" i="72"/>
  <c r="K394" i="72"/>
  <c r="J394" i="72"/>
  <c r="K393" i="72"/>
  <c r="J393" i="72"/>
  <c r="K392" i="72"/>
  <c r="J392" i="72"/>
  <c r="K391" i="72"/>
  <c r="J391" i="72"/>
  <c r="K390" i="72"/>
  <c r="J390" i="72"/>
  <c r="K389" i="72"/>
  <c r="J389" i="72"/>
  <c r="K388" i="72"/>
  <c r="J388" i="72"/>
  <c r="K387" i="72"/>
  <c r="J387" i="72"/>
  <c r="K386" i="72"/>
  <c r="J386" i="72"/>
  <c r="K385" i="72"/>
  <c r="J385" i="72"/>
  <c r="K384" i="72"/>
  <c r="J384" i="72"/>
  <c r="K383" i="72"/>
  <c r="J383" i="72"/>
  <c r="K382" i="72"/>
  <c r="J382" i="72"/>
  <c r="K381" i="72"/>
  <c r="J381" i="72"/>
  <c r="K380" i="72"/>
  <c r="J380" i="72"/>
  <c r="K379" i="72"/>
  <c r="J379" i="72"/>
  <c r="K378" i="72"/>
  <c r="J378" i="72"/>
  <c r="K377" i="72"/>
  <c r="J377" i="72"/>
  <c r="K376" i="72"/>
  <c r="J376" i="72"/>
  <c r="K375" i="72"/>
  <c r="J375" i="72"/>
  <c r="K374" i="72"/>
  <c r="J374" i="72"/>
  <c r="K373" i="72"/>
  <c r="J373" i="72"/>
  <c r="K372" i="72"/>
  <c r="J372" i="72"/>
  <c r="K371" i="72"/>
  <c r="J371" i="72"/>
  <c r="K370" i="72"/>
  <c r="J370" i="72"/>
  <c r="K369" i="72"/>
  <c r="J369" i="72"/>
  <c r="K368" i="72"/>
  <c r="J368" i="72"/>
  <c r="K367" i="72"/>
  <c r="J367" i="72"/>
  <c r="K366" i="72"/>
  <c r="J366" i="72"/>
  <c r="K365" i="72"/>
  <c r="J365" i="72"/>
  <c r="K364" i="72"/>
  <c r="J364" i="72"/>
  <c r="K363" i="72"/>
  <c r="J363" i="72"/>
  <c r="K362" i="72"/>
  <c r="J362" i="72"/>
  <c r="K361" i="72"/>
  <c r="J361" i="72"/>
  <c r="K360" i="72"/>
  <c r="J360" i="72"/>
  <c r="K359" i="72"/>
  <c r="J359" i="72"/>
  <c r="K358" i="72"/>
  <c r="J358" i="72"/>
  <c r="K357" i="72"/>
  <c r="J357" i="72"/>
  <c r="K356" i="72"/>
  <c r="J356" i="72"/>
  <c r="K355" i="72"/>
  <c r="J355" i="72"/>
  <c r="K354" i="72"/>
  <c r="J354" i="72"/>
  <c r="K353" i="72"/>
  <c r="J353" i="72"/>
  <c r="K352" i="72"/>
  <c r="J352" i="72"/>
  <c r="K351" i="72"/>
  <c r="J351" i="72"/>
  <c r="K350" i="72"/>
  <c r="J350" i="72"/>
  <c r="K349" i="72"/>
  <c r="J349" i="72"/>
  <c r="K348" i="72"/>
  <c r="J348" i="72"/>
  <c r="K347" i="72"/>
  <c r="J347" i="72"/>
  <c r="K346" i="72"/>
  <c r="J346" i="72"/>
  <c r="K345" i="72"/>
  <c r="J345" i="72"/>
  <c r="K344" i="72"/>
  <c r="J344" i="72"/>
  <c r="K343" i="72"/>
  <c r="J343" i="72"/>
  <c r="K342" i="72"/>
  <c r="J342" i="72"/>
  <c r="K341" i="72"/>
  <c r="J341" i="72"/>
  <c r="K340" i="72"/>
  <c r="J340" i="72"/>
  <c r="K339" i="72"/>
  <c r="J339" i="72"/>
  <c r="K338" i="72"/>
  <c r="J338" i="72"/>
  <c r="K337" i="72"/>
  <c r="J337" i="72"/>
  <c r="K336" i="72"/>
  <c r="J336" i="72"/>
  <c r="K335" i="72"/>
  <c r="J335" i="72"/>
  <c r="K334" i="72"/>
  <c r="J334" i="72"/>
  <c r="K333" i="72"/>
  <c r="J333" i="72"/>
  <c r="K332" i="72"/>
  <c r="J332" i="72"/>
  <c r="K331" i="72"/>
  <c r="J331" i="72"/>
  <c r="K330" i="72"/>
  <c r="J330" i="72"/>
  <c r="K329" i="72"/>
  <c r="J329" i="72"/>
  <c r="K328" i="72"/>
  <c r="J328" i="72"/>
  <c r="K327" i="72"/>
  <c r="J327" i="72"/>
  <c r="K326" i="72"/>
  <c r="J326" i="72"/>
  <c r="K325" i="72"/>
  <c r="J325" i="72"/>
  <c r="K324" i="72"/>
  <c r="J324" i="72"/>
  <c r="K323" i="72"/>
  <c r="J323" i="72"/>
  <c r="K322" i="72"/>
  <c r="J322" i="72"/>
  <c r="K321" i="72"/>
  <c r="J321" i="72"/>
  <c r="K320" i="72"/>
  <c r="J320" i="72"/>
  <c r="K319" i="72"/>
  <c r="J319" i="72"/>
  <c r="K318" i="72"/>
  <c r="J318" i="72"/>
  <c r="K317" i="72"/>
  <c r="J317" i="72"/>
  <c r="K316" i="72"/>
  <c r="J316" i="72"/>
  <c r="K315" i="72"/>
  <c r="J315" i="72"/>
  <c r="K314" i="72"/>
  <c r="J314" i="72"/>
  <c r="K313" i="72"/>
  <c r="J313" i="72"/>
  <c r="K312" i="72"/>
  <c r="J312" i="72"/>
  <c r="K311" i="72"/>
  <c r="J311" i="72"/>
  <c r="K310" i="72"/>
  <c r="J310" i="72"/>
  <c r="K309" i="72"/>
  <c r="J309" i="72"/>
  <c r="K308" i="72"/>
  <c r="J308" i="72"/>
  <c r="K307" i="72"/>
  <c r="J307" i="72"/>
  <c r="K306" i="72"/>
  <c r="J306" i="72"/>
  <c r="K305" i="72"/>
  <c r="J305" i="72"/>
  <c r="K304" i="72"/>
  <c r="J304" i="72"/>
  <c r="K303" i="72"/>
  <c r="J303" i="72"/>
  <c r="K302" i="72"/>
  <c r="J302" i="72"/>
  <c r="K301" i="72"/>
  <c r="J301" i="72"/>
  <c r="K300" i="72"/>
  <c r="J300" i="72"/>
  <c r="K299" i="72"/>
  <c r="J299" i="72"/>
  <c r="K298" i="72"/>
  <c r="J298" i="72"/>
  <c r="K297" i="72"/>
  <c r="J297" i="72"/>
  <c r="K296" i="72"/>
  <c r="J296" i="72"/>
  <c r="K295" i="72"/>
  <c r="J295" i="72"/>
  <c r="K294" i="72"/>
  <c r="J294" i="72"/>
  <c r="K293" i="72"/>
  <c r="J293" i="72"/>
  <c r="K292" i="72"/>
  <c r="J292" i="72"/>
  <c r="K291" i="72"/>
  <c r="J291" i="72"/>
  <c r="K290" i="72"/>
  <c r="J290" i="72"/>
  <c r="K289" i="72"/>
  <c r="J289" i="72"/>
  <c r="K288" i="72"/>
  <c r="J288" i="72"/>
  <c r="K287" i="72"/>
  <c r="J287" i="72"/>
  <c r="K286" i="72"/>
  <c r="J286" i="72"/>
  <c r="K285" i="72"/>
  <c r="J285" i="72"/>
  <c r="K284" i="72"/>
  <c r="J284" i="72"/>
  <c r="K283" i="72"/>
  <c r="J283" i="72"/>
  <c r="K282" i="72"/>
  <c r="J282" i="72"/>
  <c r="K281" i="72"/>
  <c r="J281" i="72"/>
  <c r="K280" i="72"/>
  <c r="J280" i="72"/>
  <c r="K279" i="72"/>
  <c r="J279" i="72"/>
  <c r="K278" i="72"/>
  <c r="J278" i="72"/>
  <c r="K277" i="72"/>
  <c r="J277" i="72"/>
  <c r="K276" i="72"/>
  <c r="J276" i="72"/>
  <c r="K275" i="72"/>
  <c r="J275" i="72"/>
  <c r="K274" i="72"/>
  <c r="J274" i="72"/>
  <c r="K273" i="72"/>
  <c r="J273" i="72"/>
  <c r="K272" i="72"/>
  <c r="J272" i="72"/>
  <c r="K271" i="72"/>
  <c r="J271" i="72"/>
  <c r="K270" i="72"/>
  <c r="J270" i="72"/>
  <c r="K269" i="72"/>
  <c r="J269" i="72"/>
  <c r="K268" i="72"/>
  <c r="J268" i="72"/>
  <c r="K267" i="72"/>
  <c r="J267" i="72"/>
  <c r="K266" i="72"/>
  <c r="J266" i="72"/>
  <c r="K265" i="72"/>
  <c r="J265" i="72"/>
  <c r="K264" i="72"/>
  <c r="J264" i="72"/>
  <c r="K263" i="72"/>
  <c r="J263" i="72"/>
  <c r="K262" i="72"/>
  <c r="J262" i="72"/>
  <c r="K261" i="72"/>
  <c r="J261" i="72"/>
  <c r="K260" i="72"/>
  <c r="J260" i="72"/>
  <c r="K259" i="72"/>
  <c r="J259" i="72"/>
  <c r="K258" i="72"/>
  <c r="J258" i="72"/>
  <c r="K257" i="72"/>
  <c r="J257" i="72"/>
  <c r="K256" i="72"/>
  <c r="J256" i="72"/>
  <c r="K255" i="72"/>
  <c r="J255" i="72"/>
  <c r="K254" i="72"/>
  <c r="J254" i="72"/>
  <c r="K253" i="72"/>
  <c r="J253" i="72"/>
  <c r="K252" i="72"/>
  <c r="J252" i="72"/>
  <c r="K251" i="72"/>
  <c r="J251" i="72"/>
  <c r="K250" i="72"/>
  <c r="J250" i="72"/>
  <c r="K249" i="72"/>
  <c r="J249" i="72"/>
  <c r="K248" i="72"/>
  <c r="J248" i="72"/>
  <c r="K247" i="72"/>
  <c r="J247" i="72"/>
  <c r="K246" i="72"/>
  <c r="J246" i="72"/>
  <c r="K245" i="72"/>
  <c r="J245" i="72"/>
  <c r="K244" i="72"/>
  <c r="J244" i="72"/>
  <c r="K243" i="72"/>
  <c r="J243" i="72"/>
  <c r="K242" i="72"/>
  <c r="J242" i="72"/>
  <c r="K241" i="72"/>
  <c r="J241" i="72"/>
  <c r="K240" i="72"/>
  <c r="J240" i="72"/>
  <c r="K239" i="72"/>
  <c r="J239" i="72"/>
  <c r="K238" i="72"/>
  <c r="J238" i="72"/>
  <c r="K237" i="72"/>
  <c r="J237" i="72"/>
  <c r="K236" i="72"/>
  <c r="J236" i="72"/>
  <c r="K235" i="72"/>
  <c r="J235" i="72"/>
  <c r="K234" i="72"/>
  <c r="J234" i="72"/>
  <c r="K233" i="72"/>
  <c r="J233" i="72"/>
  <c r="K232" i="72"/>
  <c r="J232" i="72"/>
  <c r="K231" i="72"/>
  <c r="J231" i="72"/>
  <c r="K230" i="72"/>
  <c r="J230" i="72"/>
  <c r="K229" i="72"/>
  <c r="J229" i="72"/>
  <c r="K228" i="72"/>
  <c r="J228" i="72"/>
  <c r="K227" i="72"/>
  <c r="J227" i="72"/>
  <c r="K226" i="72"/>
  <c r="J226" i="72"/>
  <c r="K225" i="72"/>
  <c r="J225" i="72"/>
  <c r="K224" i="72"/>
  <c r="J224" i="72"/>
  <c r="K223" i="72"/>
  <c r="J223" i="72"/>
  <c r="K222" i="72"/>
  <c r="J222" i="72"/>
  <c r="K221" i="72"/>
  <c r="J221" i="72"/>
  <c r="K220" i="72"/>
  <c r="J220" i="72"/>
  <c r="K219" i="72"/>
  <c r="J219" i="72"/>
  <c r="K218" i="72"/>
  <c r="J218" i="72"/>
  <c r="K217" i="72"/>
  <c r="J217" i="72"/>
  <c r="K216" i="72"/>
  <c r="J216" i="72"/>
  <c r="K215" i="72"/>
  <c r="J215" i="72"/>
  <c r="K214" i="72"/>
  <c r="J214" i="72"/>
  <c r="K213" i="72"/>
  <c r="J213" i="72"/>
  <c r="K212" i="72"/>
  <c r="J212" i="72"/>
  <c r="K211" i="72"/>
  <c r="J211" i="72"/>
  <c r="K210" i="72"/>
  <c r="J210" i="72"/>
  <c r="K209" i="72"/>
  <c r="J209" i="72"/>
  <c r="K208" i="72"/>
  <c r="J208" i="72"/>
  <c r="K207" i="72"/>
  <c r="J207" i="72"/>
  <c r="K206" i="72"/>
  <c r="J206" i="72"/>
  <c r="K205" i="72"/>
  <c r="J205" i="72"/>
  <c r="K204" i="72"/>
  <c r="J204" i="72"/>
  <c r="K203" i="72"/>
  <c r="J203" i="72"/>
  <c r="K202" i="72"/>
  <c r="J202" i="72"/>
  <c r="K201" i="72"/>
  <c r="J201" i="72"/>
  <c r="K200" i="72"/>
  <c r="J200" i="72"/>
  <c r="K199" i="72"/>
  <c r="J199" i="72"/>
  <c r="K198" i="72"/>
  <c r="J198" i="72"/>
  <c r="K197" i="72"/>
  <c r="J197" i="72"/>
  <c r="K196" i="72"/>
  <c r="J196" i="72"/>
  <c r="K195" i="72"/>
  <c r="J195" i="72"/>
  <c r="K194" i="72"/>
  <c r="J194" i="72"/>
  <c r="K193" i="72"/>
  <c r="J193" i="72"/>
  <c r="K192" i="72"/>
  <c r="J192" i="72"/>
  <c r="K191" i="72"/>
  <c r="J191" i="72"/>
  <c r="K190" i="72"/>
  <c r="J190" i="72"/>
  <c r="K189" i="72"/>
  <c r="J189" i="72"/>
  <c r="K188" i="72"/>
  <c r="J188" i="72"/>
  <c r="K187" i="72"/>
  <c r="J187" i="72"/>
  <c r="K186" i="72"/>
  <c r="J186" i="72"/>
  <c r="K185" i="72"/>
  <c r="J185" i="72"/>
  <c r="K184" i="72"/>
  <c r="J184" i="72"/>
  <c r="K183" i="72"/>
  <c r="J183" i="72"/>
  <c r="K182" i="72"/>
  <c r="J182" i="72"/>
  <c r="K181" i="72"/>
  <c r="J181" i="72"/>
  <c r="K180" i="72"/>
  <c r="J180" i="72"/>
  <c r="K179" i="72"/>
  <c r="J179" i="72"/>
  <c r="K178" i="72"/>
  <c r="J178" i="72"/>
  <c r="K177" i="72"/>
  <c r="J177" i="72"/>
  <c r="K176" i="72"/>
  <c r="J176" i="72"/>
  <c r="K175" i="72"/>
  <c r="J175" i="72"/>
  <c r="K174" i="72"/>
  <c r="J174" i="72"/>
  <c r="K173" i="72"/>
  <c r="J173" i="72"/>
  <c r="K172" i="72"/>
  <c r="J172" i="72"/>
  <c r="K171" i="72"/>
  <c r="J171" i="72"/>
  <c r="K170" i="72"/>
  <c r="J170" i="72"/>
  <c r="K169" i="72"/>
  <c r="J169" i="72"/>
  <c r="K168" i="72"/>
  <c r="J168" i="72"/>
  <c r="K167" i="72"/>
  <c r="J167" i="72"/>
  <c r="K166" i="72"/>
  <c r="J166" i="72"/>
  <c r="K165" i="72"/>
  <c r="J165" i="72"/>
  <c r="K164" i="72"/>
  <c r="J164" i="72"/>
  <c r="K163" i="72"/>
  <c r="J163" i="72"/>
  <c r="K162" i="72"/>
  <c r="J162" i="72"/>
  <c r="K161" i="72"/>
  <c r="J161" i="72"/>
  <c r="K160" i="72"/>
  <c r="J160" i="72"/>
  <c r="K159" i="72"/>
  <c r="J159" i="72"/>
  <c r="K158" i="72"/>
  <c r="J158" i="72"/>
  <c r="K157" i="72"/>
  <c r="J157" i="72"/>
  <c r="K156" i="72"/>
  <c r="J156" i="72"/>
  <c r="K155" i="72"/>
  <c r="J155" i="72"/>
  <c r="K154" i="72"/>
  <c r="J154" i="72"/>
  <c r="K153" i="72"/>
  <c r="J153" i="72"/>
  <c r="K152" i="72"/>
  <c r="J152" i="72"/>
  <c r="K151" i="72"/>
  <c r="J151" i="72"/>
  <c r="K150" i="72"/>
  <c r="J150" i="72"/>
  <c r="K149" i="72"/>
  <c r="J149" i="72"/>
  <c r="K148" i="72"/>
  <c r="J148" i="72"/>
  <c r="K147" i="72"/>
  <c r="J147" i="72"/>
  <c r="K146" i="72"/>
  <c r="J146" i="72"/>
  <c r="K145" i="72"/>
  <c r="J145" i="72"/>
  <c r="K144" i="72"/>
  <c r="J144" i="72"/>
  <c r="K143" i="72"/>
  <c r="J143" i="72"/>
  <c r="K142" i="72"/>
  <c r="J142" i="72"/>
  <c r="K141" i="72"/>
  <c r="J141" i="72"/>
  <c r="K140" i="72"/>
  <c r="J140" i="72"/>
  <c r="K139" i="72"/>
  <c r="J139" i="72"/>
  <c r="K138" i="72"/>
  <c r="J138" i="72"/>
  <c r="K137" i="72"/>
  <c r="J137" i="72"/>
  <c r="K136" i="72"/>
  <c r="J136" i="72"/>
  <c r="K135" i="72"/>
  <c r="J135" i="72"/>
  <c r="K134" i="72"/>
  <c r="J134" i="72"/>
  <c r="K133" i="72"/>
  <c r="J133" i="72"/>
  <c r="K132" i="72"/>
  <c r="J132" i="72"/>
  <c r="K131" i="72"/>
  <c r="J131" i="72"/>
  <c r="K130" i="72"/>
  <c r="J130" i="72"/>
  <c r="K129" i="72"/>
  <c r="J129" i="72"/>
  <c r="K128" i="72"/>
  <c r="J128" i="72"/>
  <c r="K127" i="72"/>
  <c r="J127" i="72"/>
  <c r="K126" i="72"/>
  <c r="J126" i="72"/>
  <c r="K125" i="72"/>
  <c r="J125" i="72"/>
  <c r="K124" i="72"/>
  <c r="J124" i="72"/>
  <c r="K123" i="72"/>
  <c r="J123" i="72"/>
  <c r="K122" i="72"/>
  <c r="J122" i="72"/>
  <c r="K121" i="72"/>
  <c r="J121" i="72"/>
  <c r="K120" i="72"/>
  <c r="J120" i="72"/>
  <c r="K119" i="72"/>
  <c r="J119" i="72"/>
  <c r="K118" i="72"/>
  <c r="J118" i="72"/>
  <c r="K117" i="72"/>
  <c r="J117" i="72"/>
  <c r="K116" i="72"/>
  <c r="J116" i="72"/>
  <c r="K115" i="72"/>
  <c r="J115" i="72"/>
  <c r="K114" i="72"/>
  <c r="J114" i="72"/>
  <c r="K113" i="72"/>
  <c r="J113" i="72"/>
  <c r="K112" i="72"/>
  <c r="J112" i="72"/>
  <c r="K111" i="72"/>
  <c r="J111" i="72"/>
  <c r="K110" i="72"/>
  <c r="J110" i="72"/>
  <c r="K109" i="72"/>
  <c r="J109" i="72"/>
  <c r="K108" i="72"/>
  <c r="J108" i="72"/>
  <c r="K107" i="72"/>
  <c r="J107" i="72"/>
  <c r="K106" i="72"/>
  <c r="J106" i="72"/>
  <c r="K105" i="72"/>
  <c r="J105" i="72"/>
  <c r="K104" i="72"/>
  <c r="J104" i="72"/>
  <c r="K103" i="72"/>
  <c r="J103" i="72"/>
  <c r="K102" i="72"/>
  <c r="J102" i="72"/>
  <c r="K101" i="72"/>
  <c r="J101" i="72"/>
  <c r="K100" i="72"/>
  <c r="J100" i="72"/>
  <c r="K99" i="72"/>
  <c r="J99" i="72"/>
  <c r="K98" i="72"/>
  <c r="J98" i="72"/>
  <c r="K97" i="72"/>
  <c r="J97" i="72"/>
  <c r="K96" i="72"/>
  <c r="J96" i="72"/>
  <c r="K95" i="72"/>
  <c r="J95" i="72"/>
  <c r="K94" i="72"/>
  <c r="J94" i="72"/>
  <c r="K93" i="72"/>
  <c r="J93" i="72"/>
  <c r="K92" i="72"/>
  <c r="J92" i="72"/>
  <c r="K91" i="72"/>
  <c r="J91" i="72"/>
  <c r="K90" i="72"/>
  <c r="J90" i="72"/>
  <c r="K89" i="72"/>
  <c r="J89" i="72"/>
  <c r="K88" i="72"/>
  <c r="J88" i="72"/>
  <c r="K87" i="72"/>
  <c r="J87" i="72"/>
  <c r="K86" i="72"/>
  <c r="J86" i="72"/>
  <c r="K85" i="72"/>
  <c r="J85" i="72"/>
  <c r="K84" i="72"/>
  <c r="J84" i="72"/>
  <c r="K83" i="72"/>
  <c r="J83" i="72"/>
  <c r="K82" i="72"/>
  <c r="J82" i="72"/>
  <c r="K81" i="72"/>
  <c r="J81" i="72"/>
  <c r="K80" i="72"/>
  <c r="J80" i="72"/>
  <c r="K79" i="72"/>
  <c r="J79" i="72"/>
  <c r="K78" i="72"/>
  <c r="J78" i="72"/>
  <c r="K77" i="72"/>
  <c r="J77" i="72"/>
  <c r="K76" i="72"/>
  <c r="J76" i="72"/>
  <c r="K75" i="72"/>
  <c r="J75" i="72"/>
  <c r="K74" i="72"/>
  <c r="J74" i="72"/>
  <c r="K73" i="72"/>
  <c r="J73" i="72"/>
  <c r="K72" i="72"/>
  <c r="J72" i="72"/>
  <c r="K71" i="72"/>
  <c r="J71" i="72"/>
  <c r="K70" i="72"/>
  <c r="J70" i="72"/>
  <c r="K69" i="72"/>
  <c r="J69" i="72"/>
  <c r="K68" i="72"/>
  <c r="J68" i="72"/>
  <c r="K67" i="72"/>
  <c r="J67" i="72"/>
  <c r="K66" i="72"/>
  <c r="J66" i="72"/>
  <c r="K65" i="72"/>
  <c r="J65" i="72"/>
  <c r="K64" i="72"/>
  <c r="J64" i="72"/>
  <c r="K63" i="72"/>
  <c r="J63" i="72"/>
  <c r="K62" i="72"/>
  <c r="J62" i="72"/>
  <c r="K61" i="72"/>
  <c r="J61" i="72"/>
  <c r="K60" i="72"/>
  <c r="J60" i="72"/>
  <c r="K59" i="72"/>
  <c r="J59" i="72"/>
  <c r="K58" i="72"/>
  <c r="J58" i="72"/>
  <c r="K57" i="72"/>
  <c r="J57" i="72"/>
  <c r="K56" i="72"/>
  <c r="J56" i="72"/>
  <c r="K55" i="72"/>
  <c r="J55" i="72"/>
  <c r="K54" i="72"/>
  <c r="J54" i="72"/>
  <c r="K53" i="72"/>
  <c r="J53" i="72"/>
  <c r="K52" i="72"/>
  <c r="J52" i="72"/>
  <c r="K51" i="72"/>
  <c r="J51" i="72"/>
  <c r="K50" i="72"/>
  <c r="J50" i="72"/>
  <c r="K49" i="72"/>
  <c r="J49" i="72"/>
  <c r="K48" i="72"/>
  <c r="J48" i="72"/>
  <c r="K47" i="72"/>
  <c r="J47" i="72"/>
  <c r="K46" i="72"/>
  <c r="J46" i="72"/>
  <c r="K45" i="72"/>
  <c r="J45" i="72"/>
  <c r="K44" i="72"/>
  <c r="J44" i="72"/>
  <c r="K43" i="72"/>
  <c r="J43" i="72"/>
  <c r="K42" i="72"/>
  <c r="J42" i="72"/>
  <c r="K41" i="72"/>
  <c r="J41" i="72"/>
  <c r="K40" i="72"/>
  <c r="J40" i="72"/>
  <c r="K39" i="72"/>
  <c r="J39" i="72"/>
  <c r="K38" i="72"/>
  <c r="J38" i="72"/>
  <c r="K37" i="72"/>
  <c r="J37" i="72"/>
  <c r="K36" i="72"/>
  <c r="J36" i="72"/>
  <c r="K35" i="72"/>
  <c r="J35" i="72"/>
  <c r="K34" i="72"/>
  <c r="J34" i="72"/>
  <c r="K33" i="72"/>
  <c r="J33" i="72"/>
  <c r="K32" i="72"/>
  <c r="J32" i="72"/>
  <c r="K31" i="72"/>
  <c r="J31" i="72"/>
  <c r="K30" i="72"/>
  <c r="J30" i="72"/>
  <c r="K29" i="72"/>
  <c r="J29" i="72"/>
  <c r="K28" i="72"/>
  <c r="J28" i="72"/>
  <c r="K27" i="72"/>
  <c r="J27" i="72"/>
  <c r="K26" i="72"/>
  <c r="J26" i="72"/>
  <c r="K25" i="72"/>
  <c r="J25" i="72"/>
  <c r="K24" i="72"/>
  <c r="J24" i="72"/>
  <c r="K23" i="72"/>
  <c r="J23" i="72"/>
  <c r="K22" i="72"/>
  <c r="J22" i="72"/>
  <c r="K21" i="72"/>
  <c r="J21" i="72"/>
  <c r="K20" i="72"/>
  <c r="J20" i="72"/>
  <c r="K19" i="72"/>
  <c r="J19" i="72"/>
  <c r="K18" i="72"/>
  <c r="J18" i="72"/>
  <c r="K17" i="72"/>
  <c r="J17" i="72"/>
  <c r="K16" i="72"/>
  <c r="J16" i="72"/>
  <c r="K15" i="72"/>
  <c r="J15" i="72"/>
  <c r="K14" i="72"/>
  <c r="J14" i="72"/>
  <c r="K13" i="72"/>
  <c r="J13" i="72"/>
  <c r="K12" i="72"/>
  <c r="J12" i="72"/>
  <c r="K11" i="72"/>
  <c r="J11" i="72"/>
  <c r="K10" i="72"/>
  <c r="J10" i="72"/>
  <c r="K9" i="72"/>
  <c r="J9" i="72"/>
  <c r="K8" i="72"/>
  <c r="J8" i="72"/>
  <c r="K7" i="72"/>
  <c r="J7" i="72"/>
  <c r="K6" i="72"/>
  <c r="J6" i="72"/>
  <c r="K3" i="72"/>
  <c r="I3" i="72"/>
  <c r="H3" i="72"/>
  <c r="K496" i="13"/>
  <c r="J496" i="13"/>
  <c r="K495" i="13"/>
  <c r="J495" i="13"/>
  <c r="K494" i="13"/>
  <c r="J494" i="13"/>
  <c r="K493" i="13"/>
  <c r="J493" i="13"/>
  <c r="K492" i="13"/>
  <c r="J492" i="13"/>
  <c r="K491" i="13"/>
  <c r="J491" i="13"/>
  <c r="K490" i="13"/>
  <c r="J490" i="13"/>
  <c r="K489" i="13"/>
  <c r="J489" i="13"/>
  <c r="K488" i="13"/>
  <c r="J488" i="13"/>
  <c r="K487" i="13"/>
  <c r="J487" i="13"/>
  <c r="K486" i="13"/>
  <c r="J486" i="13"/>
  <c r="K485" i="13"/>
  <c r="J485" i="13"/>
  <c r="K484" i="13"/>
  <c r="J484" i="13"/>
  <c r="K483" i="13"/>
  <c r="J483" i="13"/>
  <c r="K482" i="13"/>
  <c r="J482" i="13"/>
  <c r="K481" i="13"/>
  <c r="J481" i="13"/>
  <c r="K480" i="13"/>
  <c r="J480" i="13"/>
  <c r="K479" i="13"/>
  <c r="J479" i="13"/>
  <c r="K478" i="13"/>
  <c r="J478" i="13"/>
  <c r="K477" i="13"/>
  <c r="J477" i="13"/>
  <c r="K476" i="13"/>
  <c r="J476" i="13"/>
  <c r="K475" i="13"/>
  <c r="J475" i="13"/>
  <c r="K474" i="13"/>
  <c r="J474" i="13"/>
  <c r="K473" i="13"/>
  <c r="J473" i="13"/>
  <c r="K472" i="13"/>
  <c r="J472" i="13"/>
  <c r="K471" i="13"/>
  <c r="J471" i="13"/>
  <c r="K470" i="13"/>
  <c r="J470" i="13"/>
  <c r="K469" i="13"/>
  <c r="J469" i="13"/>
  <c r="K468" i="13"/>
  <c r="J468" i="13"/>
  <c r="K467" i="13"/>
  <c r="J467" i="13"/>
  <c r="K466" i="13"/>
  <c r="J466" i="13"/>
  <c r="K465" i="13"/>
  <c r="J465" i="13"/>
  <c r="K464" i="13"/>
  <c r="J464" i="13"/>
  <c r="K463" i="13"/>
  <c r="J463" i="13"/>
  <c r="K462" i="13"/>
  <c r="J462" i="13"/>
  <c r="K461" i="13"/>
  <c r="J461" i="13"/>
  <c r="K460" i="13"/>
  <c r="J460" i="13"/>
  <c r="K459" i="13"/>
  <c r="J459" i="13"/>
  <c r="K458" i="13"/>
  <c r="J458" i="13"/>
  <c r="K457" i="13"/>
  <c r="J457" i="13"/>
  <c r="K456" i="13"/>
  <c r="J456" i="13"/>
  <c r="K455" i="13"/>
  <c r="J455" i="13"/>
  <c r="K454" i="13"/>
  <c r="J454" i="13"/>
  <c r="K453" i="13"/>
  <c r="J453" i="13"/>
  <c r="K452" i="13"/>
  <c r="J452" i="13"/>
  <c r="K451" i="13"/>
  <c r="J451" i="13"/>
  <c r="K450" i="13"/>
  <c r="J450" i="13"/>
  <c r="K449" i="13"/>
  <c r="J449" i="13"/>
  <c r="K448" i="13"/>
  <c r="J448" i="13"/>
  <c r="K447" i="13"/>
  <c r="J447" i="13"/>
  <c r="K446" i="13"/>
  <c r="J446" i="13"/>
  <c r="K445" i="13"/>
  <c r="J445" i="13"/>
  <c r="K444" i="13"/>
  <c r="J444" i="13"/>
  <c r="K443" i="13"/>
  <c r="J443" i="13"/>
  <c r="K442" i="13"/>
  <c r="J442" i="13"/>
  <c r="K441" i="13"/>
  <c r="J441" i="13"/>
  <c r="K440" i="13"/>
  <c r="J440" i="13"/>
  <c r="K439" i="13"/>
  <c r="J439" i="13"/>
  <c r="K438" i="13"/>
  <c r="J438" i="13"/>
  <c r="K437" i="13"/>
  <c r="J437" i="13"/>
  <c r="K436" i="13"/>
  <c r="J436" i="13"/>
  <c r="K435" i="13"/>
  <c r="J435" i="13"/>
  <c r="K434" i="13"/>
  <c r="J434" i="13"/>
  <c r="K433" i="13"/>
  <c r="J433" i="13"/>
  <c r="K432" i="13"/>
  <c r="J432" i="13"/>
  <c r="K431" i="13"/>
  <c r="J431" i="13"/>
  <c r="K430" i="13"/>
  <c r="J430" i="13"/>
  <c r="K429" i="13"/>
  <c r="J429" i="13"/>
  <c r="K428" i="13"/>
  <c r="J428" i="13"/>
  <c r="K427" i="13"/>
  <c r="J427" i="13"/>
  <c r="K426" i="13"/>
  <c r="J426" i="13"/>
  <c r="K425" i="13"/>
  <c r="J425" i="13"/>
  <c r="K424" i="13"/>
  <c r="J424" i="13"/>
  <c r="K423" i="13"/>
  <c r="J423" i="13"/>
  <c r="K422" i="13"/>
  <c r="J422" i="13"/>
  <c r="K421" i="13"/>
  <c r="J421" i="13"/>
  <c r="K420" i="13"/>
  <c r="J420" i="13"/>
  <c r="K419" i="13"/>
  <c r="J419" i="13"/>
  <c r="K418" i="13"/>
  <c r="J418" i="13"/>
  <c r="K417" i="13"/>
  <c r="J417" i="13"/>
  <c r="K416" i="13"/>
  <c r="J416" i="13"/>
  <c r="K415" i="13"/>
  <c r="J415" i="13"/>
  <c r="K414" i="13"/>
  <c r="J414" i="13"/>
  <c r="K413" i="13"/>
  <c r="J413" i="13"/>
  <c r="K412" i="13"/>
  <c r="J412" i="13"/>
  <c r="K411" i="13"/>
  <c r="J411" i="13"/>
  <c r="K410" i="13"/>
  <c r="J410" i="13"/>
  <c r="K409" i="13"/>
  <c r="J409" i="13"/>
  <c r="K408" i="13"/>
  <c r="J408" i="13"/>
  <c r="K407" i="13"/>
  <c r="J407" i="13"/>
  <c r="K406" i="13"/>
  <c r="J406" i="13"/>
  <c r="K405" i="13"/>
  <c r="J405" i="13"/>
  <c r="K404" i="13"/>
  <c r="J404" i="13"/>
  <c r="K403" i="13"/>
  <c r="J403" i="13"/>
  <c r="K402" i="13"/>
  <c r="J402" i="13"/>
  <c r="K401" i="13"/>
  <c r="J401" i="13"/>
  <c r="K400" i="13"/>
  <c r="J400" i="13"/>
  <c r="K399" i="13"/>
  <c r="J399" i="13"/>
  <c r="K398" i="13"/>
  <c r="J398" i="13"/>
  <c r="K397" i="13"/>
  <c r="J397" i="13"/>
  <c r="K396" i="13"/>
  <c r="J396" i="13"/>
  <c r="K395" i="13"/>
  <c r="J395" i="13"/>
  <c r="K394" i="13"/>
  <c r="J394" i="13"/>
  <c r="K393" i="13"/>
  <c r="J393" i="13"/>
  <c r="K392" i="13"/>
  <c r="J392" i="13"/>
  <c r="K391" i="13"/>
  <c r="J391" i="13"/>
  <c r="K390" i="13"/>
  <c r="J390" i="13"/>
  <c r="K389" i="13"/>
  <c r="J389" i="13"/>
  <c r="K388" i="13"/>
  <c r="J388" i="13"/>
  <c r="K387" i="13"/>
  <c r="J387" i="13"/>
  <c r="K386" i="13"/>
  <c r="J386" i="13"/>
  <c r="K385" i="13"/>
  <c r="J385" i="13"/>
  <c r="K384" i="13"/>
  <c r="J384" i="13"/>
  <c r="K383" i="13"/>
  <c r="J383" i="13"/>
  <c r="K382" i="13"/>
  <c r="J382" i="13"/>
  <c r="K381" i="13"/>
  <c r="J381" i="13"/>
  <c r="K380" i="13"/>
  <c r="J380" i="13"/>
  <c r="K379" i="13"/>
  <c r="J379" i="13"/>
  <c r="K378" i="13"/>
  <c r="J378" i="13"/>
  <c r="K377" i="13"/>
  <c r="J377" i="13"/>
  <c r="K376" i="13"/>
  <c r="J376" i="13"/>
  <c r="K375" i="13"/>
  <c r="J375" i="13"/>
  <c r="K374" i="13"/>
  <c r="J374" i="13"/>
  <c r="K373" i="13"/>
  <c r="J373" i="13"/>
  <c r="K372" i="13"/>
  <c r="J372" i="13"/>
  <c r="K371" i="13"/>
  <c r="J371" i="13"/>
  <c r="K370" i="13"/>
  <c r="J370" i="13"/>
  <c r="K369" i="13"/>
  <c r="J369" i="13"/>
  <c r="K368" i="13"/>
  <c r="J368" i="13"/>
  <c r="K367" i="13"/>
  <c r="J367" i="13"/>
  <c r="K366" i="13"/>
  <c r="J366" i="13"/>
  <c r="K365" i="13"/>
  <c r="J365" i="13"/>
  <c r="K364" i="13"/>
  <c r="J364" i="13"/>
  <c r="K363" i="13"/>
  <c r="J363" i="13"/>
  <c r="K362" i="13"/>
  <c r="J362" i="13"/>
  <c r="K361" i="13"/>
  <c r="J361" i="13"/>
  <c r="K360" i="13"/>
  <c r="J360" i="13"/>
  <c r="K359" i="13"/>
  <c r="J359" i="13"/>
  <c r="K358" i="13"/>
  <c r="J358" i="13"/>
  <c r="K357" i="13"/>
  <c r="J357" i="13"/>
  <c r="K356" i="13"/>
  <c r="J356" i="13"/>
  <c r="K355" i="13"/>
  <c r="J355" i="13"/>
  <c r="K354" i="13"/>
  <c r="J354" i="13"/>
  <c r="K353" i="13"/>
  <c r="J353" i="13"/>
  <c r="K352" i="13"/>
  <c r="J352" i="13"/>
  <c r="K351" i="13"/>
  <c r="J351" i="13"/>
  <c r="K350" i="13"/>
  <c r="J350" i="13"/>
  <c r="K349" i="13"/>
  <c r="J349" i="13"/>
  <c r="K348" i="13"/>
  <c r="J348" i="13"/>
  <c r="K347" i="13"/>
  <c r="J347" i="13"/>
  <c r="K346" i="13"/>
  <c r="J346" i="13"/>
  <c r="K345" i="13"/>
  <c r="J345" i="13"/>
  <c r="K344" i="13"/>
  <c r="J344" i="13"/>
  <c r="K343" i="13"/>
  <c r="J343" i="13"/>
  <c r="K342" i="13"/>
  <c r="J342" i="13"/>
  <c r="K341" i="13"/>
  <c r="J341" i="13"/>
  <c r="K340" i="13"/>
  <c r="J340" i="13"/>
  <c r="K339" i="13"/>
  <c r="J339" i="13"/>
  <c r="K338" i="13"/>
  <c r="J338" i="13"/>
  <c r="K337" i="13"/>
  <c r="J337" i="13"/>
  <c r="K336" i="13"/>
  <c r="J336" i="13"/>
  <c r="K335" i="13"/>
  <c r="J335" i="13"/>
  <c r="K334" i="13"/>
  <c r="J334" i="13"/>
  <c r="K333" i="13"/>
  <c r="J333" i="13"/>
  <c r="K332" i="13"/>
  <c r="J332" i="13"/>
  <c r="K331" i="13"/>
  <c r="J331" i="13"/>
  <c r="K330" i="13"/>
  <c r="J330" i="13"/>
  <c r="K329" i="13"/>
  <c r="J329" i="13"/>
  <c r="K328" i="13"/>
  <c r="J328" i="13"/>
  <c r="K327" i="13"/>
  <c r="J327" i="13"/>
  <c r="K326" i="13"/>
  <c r="J326" i="13"/>
  <c r="K325" i="13"/>
  <c r="J325" i="13"/>
  <c r="K324" i="13"/>
  <c r="J324" i="13"/>
  <c r="K323" i="13"/>
  <c r="J323" i="13"/>
  <c r="K322" i="13"/>
  <c r="J322" i="13"/>
  <c r="K321" i="13"/>
  <c r="J321" i="13"/>
  <c r="K320" i="13"/>
  <c r="J320" i="13"/>
  <c r="K319" i="13"/>
  <c r="J319" i="13"/>
  <c r="K318" i="13"/>
  <c r="J318" i="13"/>
  <c r="K317" i="13"/>
  <c r="J317" i="13"/>
  <c r="K316" i="13"/>
  <c r="J316" i="13"/>
  <c r="K315" i="13"/>
  <c r="J315" i="13"/>
  <c r="K314" i="13"/>
  <c r="J314" i="13"/>
  <c r="K313" i="13"/>
  <c r="J313" i="13"/>
  <c r="K312" i="13"/>
  <c r="J312" i="13"/>
  <c r="K311" i="13"/>
  <c r="J311" i="13"/>
  <c r="K310" i="13"/>
  <c r="J310" i="13"/>
  <c r="K309" i="13"/>
  <c r="J309" i="13"/>
  <c r="K308" i="13"/>
  <c r="J308" i="13"/>
  <c r="K307" i="13"/>
  <c r="J307" i="13"/>
  <c r="K306" i="13"/>
  <c r="J306" i="13"/>
  <c r="K305" i="13"/>
  <c r="J305" i="13"/>
  <c r="K304" i="13"/>
  <c r="J304" i="13"/>
  <c r="K303" i="13"/>
  <c r="J303" i="13"/>
  <c r="K302" i="13"/>
  <c r="J302" i="13"/>
  <c r="K301" i="13"/>
  <c r="J301" i="13"/>
  <c r="K300" i="13"/>
  <c r="J300" i="13"/>
  <c r="K299" i="13"/>
  <c r="J299" i="13"/>
  <c r="K298" i="13"/>
  <c r="J298" i="13"/>
  <c r="K297" i="13"/>
  <c r="J297" i="13"/>
  <c r="K296" i="13"/>
  <c r="J296" i="13"/>
  <c r="K295" i="13"/>
  <c r="J295" i="13"/>
  <c r="K294" i="13"/>
  <c r="J294" i="13"/>
  <c r="K293" i="13"/>
  <c r="J293" i="13"/>
  <c r="K292" i="13"/>
  <c r="J292" i="13"/>
  <c r="K291" i="13"/>
  <c r="J291" i="13"/>
  <c r="K290" i="13"/>
  <c r="J290" i="13"/>
  <c r="K289" i="13"/>
  <c r="J289" i="13"/>
  <c r="K288" i="13"/>
  <c r="J288" i="13"/>
  <c r="K287" i="13"/>
  <c r="J287" i="13"/>
  <c r="K286" i="13"/>
  <c r="J286" i="13"/>
  <c r="K285" i="13"/>
  <c r="J285" i="13"/>
  <c r="K284" i="13"/>
  <c r="J284" i="13"/>
  <c r="K283" i="13"/>
  <c r="J283" i="13"/>
  <c r="K282" i="13"/>
  <c r="J282" i="13"/>
  <c r="K281" i="13"/>
  <c r="J281" i="13"/>
  <c r="K280" i="13"/>
  <c r="J280" i="13"/>
  <c r="K279" i="13"/>
  <c r="J279" i="13"/>
  <c r="K278" i="13"/>
  <c r="J278" i="13"/>
  <c r="K277" i="13"/>
  <c r="J277" i="13"/>
  <c r="K276" i="13"/>
  <c r="J276" i="13"/>
  <c r="K275" i="13"/>
  <c r="J275" i="13"/>
  <c r="K274" i="13"/>
  <c r="J274" i="13"/>
  <c r="K273" i="13"/>
  <c r="J273" i="13"/>
  <c r="K272" i="13"/>
  <c r="J272" i="13"/>
  <c r="K271" i="13"/>
  <c r="J271" i="13"/>
  <c r="K270" i="13"/>
  <c r="J270" i="13"/>
  <c r="K269" i="13"/>
  <c r="J269" i="13"/>
  <c r="K268" i="13"/>
  <c r="J268" i="13"/>
  <c r="K267" i="13"/>
  <c r="J267" i="13"/>
  <c r="K266" i="13"/>
  <c r="J266" i="13"/>
  <c r="K265" i="13"/>
  <c r="J265" i="13"/>
  <c r="K264" i="13"/>
  <c r="J264" i="13"/>
  <c r="K263" i="13"/>
  <c r="J263" i="13"/>
  <c r="K262" i="13"/>
  <c r="J262" i="13"/>
  <c r="K261" i="13"/>
  <c r="J261" i="13"/>
  <c r="K260" i="13"/>
  <c r="J260" i="13"/>
  <c r="K259" i="13"/>
  <c r="J259" i="13"/>
  <c r="K258" i="13"/>
  <c r="J258" i="13"/>
  <c r="K257" i="13"/>
  <c r="J257" i="13"/>
  <c r="K256" i="13"/>
  <c r="J256" i="13"/>
  <c r="K255" i="13"/>
  <c r="J255" i="13"/>
  <c r="K254" i="13"/>
  <c r="J254" i="13"/>
  <c r="K253" i="13"/>
  <c r="J253" i="13"/>
  <c r="K252" i="13"/>
  <c r="J252" i="13"/>
  <c r="K251" i="13"/>
  <c r="J251" i="13"/>
  <c r="K250" i="13"/>
  <c r="J250" i="13"/>
  <c r="K249" i="13"/>
  <c r="J249" i="13"/>
  <c r="K248" i="13"/>
  <c r="J248" i="13"/>
  <c r="K247" i="13"/>
  <c r="J247" i="13"/>
  <c r="K246" i="13"/>
  <c r="J246" i="13"/>
  <c r="K245" i="13"/>
  <c r="J245" i="13"/>
  <c r="K244" i="13"/>
  <c r="J244" i="13"/>
  <c r="K243" i="13"/>
  <c r="J243" i="13"/>
  <c r="K242" i="13"/>
  <c r="J242" i="13"/>
  <c r="K241" i="13"/>
  <c r="J241" i="13"/>
  <c r="K240" i="13"/>
  <c r="J240" i="13"/>
  <c r="K239" i="13"/>
  <c r="J239" i="13"/>
  <c r="K238" i="13"/>
  <c r="J238" i="13"/>
  <c r="K237" i="13"/>
  <c r="J237" i="13"/>
  <c r="K236" i="13"/>
  <c r="J236" i="13"/>
  <c r="K235" i="13"/>
  <c r="J235" i="13"/>
  <c r="K234" i="13"/>
  <c r="J234" i="13"/>
  <c r="K233" i="13"/>
  <c r="J233" i="13"/>
  <c r="K232" i="13"/>
  <c r="J232" i="13"/>
  <c r="K231" i="13"/>
  <c r="J231" i="13"/>
  <c r="K230" i="13"/>
  <c r="J230" i="13"/>
  <c r="K229" i="13"/>
  <c r="J229" i="13"/>
  <c r="K228" i="13"/>
  <c r="J228" i="13"/>
  <c r="K227" i="13"/>
  <c r="J227" i="13"/>
  <c r="K226" i="13"/>
  <c r="J226" i="13"/>
  <c r="K225" i="13"/>
  <c r="J225" i="13"/>
  <c r="K224" i="13"/>
  <c r="J224" i="13"/>
  <c r="K223" i="13"/>
  <c r="J223" i="13"/>
  <c r="K222" i="13"/>
  <c r="J222" i="13"/>
  <c r="K221" i="13"/>
  <c r="J221" i="13"/>
  <c r="K220" i="13"/>
  <c r="J220" i="13"/>
  <c r="K219" i="13"/>
  <c r="J219" i="13"/>
  <c r="K218" i="13"/>
  <c r="J218" i="13"/>
  <c r="K217" i="13"/>
  <c r="J217" i="13"/>
  <c r="K216" i="13"/>
  <c r="J216" i="13"/>
  <c r="K215" i="13"/>
  <c r="J215" i="13"/>
  <c r="K214" i="13"/>
  <c r="J214" i="13"/>
  <c r="K213" i="13"/>
  <c r="J213" i="13"/>
  <c r="K212" i="13"/>
  <c r="J212" i="13"/>
  <c r="K211" i="13"/>
  <c r="J211" i="13"/>
  <c r="K210" i="13"/>
  <c r="J210" i="13"/>
  <c r="K209" i="13"/>
  <c r="J209" i="13"/>
  <c r="K208" i="13"/>
  <c r="J208" i="13"/>
  <c r="K207" i="13"/>
  <c r="J207" i="13"/>
  <c r="K206" i="13"/>
  <c r="J206" i="13"/>
  <c r="K205" i="13"/>
  <c r="J205" i="13"/>
  <c r="K204" i="13"/>
  <c r="J204" i="13"/>
  <c r="K203" i="13"/>
  <c r="J203" i="13"/>
  <c r="K202" i="13"/>
  <c r="J202" i="13"/>
  <c r="K201" i="13"/>
  <c r="J201" i="13"/>
  <c r="K200" i="13"/>
  <c r="J200" i="13"/>
  <c r="K199" i="13"/>
  <c r="J199" i="13"/>
  <c r="K198" i="13"/>
  <c r="J198" i="13"/>
  <c r="K197" i="13"/>
  <c r="J197" i="13"/>
  <c r="K196" i="13"/>
  <c r="J196" i="13"/>
  <c r="K195" i="13"/>
  <c r="J195" i="13"/>
  <c r="K194" i="13"/>
  <c r="J194" i="13"/>
  <c r="K193" i="13"/>
  <c r="J193" i="13"/>
  <c r="K192" i="13"/>
  <c r="J192" i="13"/>
  <c r="K191" i="13"/>
  <c r="J191" i="13"/>
  <c r="K190" i="13"/>
  <c r="J190" i="13"/>
  <c r="K189" i="13"/>
  <c r="J189" i="13"/>
  <c r="K188" i="13"/>
  <c r="J188" i="13"/>
  <c r="K187" i="13"/>
  <c r="J187" i="13"/>
  <c r="K186" i="13"/>
  <c r="J186" i="13"/>
  <c r="K185" i="13"/>
  <c r="J185" i="13"/>
  <c r="K184" i="13"/>
  <c r="J184" i="13"/>
  <c r="K183" i="13"/>
  <c r="J183" i="13"/>
  <c r="K182" i="13"/>
  <c r="J182" i="13"/>
  <c r="K181" i="13"/>
  <c r="J181" i="13"/>
  <c r="K180" i="13"/>
  <c r="J180" i="13"/>
  <c r="K179" i="13"/>
  <c r="J179" i="13"/>
  <c r="K178" i="13"/>
  <c r="J178" i="13"/>
  <c r="K177" i="13"/>
  <c r="J177" i="13"/>
  <c r="K176" i="13"/>
  <c r="J176" i="13"/>
  <c r="K175" i="13"/>
  <c r="J175" i="13"/>
  <c r="K174" i="13"/>
  <c r="J174" i="13"/>
  <c r="K173" i="13"/>
  <c r="J173" i="13"/>
  <c r="K172" i="13"/>
  <c r="J172" i="13"/>
  <c r="K171" i="13"/>
  <c r="J171" i="13"/>
  <c r="K170" i="13"/>
  <c r="J170" i="13"/>
  <c r="K169" i="13"/>
  <c r="J169" i="13"/>
  <c r="K168" i="13"/>
  <c r="J168" i="13"/>
  <c r="K167" i="13"/>
  <c r="J167" i="13"/>
  <c r="K166" i="13"/>
  <c r="J166" i="13"/>
  <c r="K165" i="13"/>
  <c r="J165" i="13"/>
  <c r="K164" i="13"/>
  <c r="J164" i="13"/>
  <c r="K163" i="13"/>
  <c r="J163" i="13"/>
  <c r="K162" i="13"/>
  <c r="J162" i="13"/>
  <c r="K161" i="13"/>
  <c r="J161" i="13"/>
  <c r="K160" i="13"/>
  <c r="J160" i="13"/>
  <c r="K159" i="13"/>
  <c r="J159" i="13"/>
  <c r="K158" i="13"/>
  <c r="J158" i="13"/>
  <c r="K157" i="13"/>
  <c r="J157" i="13"/>
  <c r="K156" i="13"/>
  <c r="J156" i="13"/>
  <c r="K155" i="13"/>
  <c r="J155" i="13"/>
  <c r="K154" i="13"/>
  <c r="J154" i="13"/>
  <c r="K153" i="13"/>
  <c r="J153" i="13"/>
  <c r="K152" i="13"/>
  <c r="J152" i="13"/>
  <c r="K151" i="13"/>
  <c r="J151" i="13"/>
  <c r="K150" i="13"/>
  <c r="J150" i="13"/>
  <c r="K149" i="13"/>
  <c r="J149" i="13"/>
  <c r="K148" i="13"/>
  <c r="J148" i="13"/>
  <c r="K147" i="13"/>
  <c r="J147" i="13"/>
  <c r="K146" i="13"/>
  <c r="J146" i="13"/>
  <c r="K145" i="13"/>
  <c r="J145" i="13"/>
  <c r="K144" i="13"/>
  <c r="J144" i="13"/>
  <c r="K143" i="13"/>
  <c r="J143" i="13"/>
  <c r="K142" i="13"/>
  <c r="J142" i="13"/>
  <c r="K141" i="13"/>
  <c r="J141" i="13"/>
  <c r="K140" i="13"/>
  <c r="J140" i="13"/>
  <c r="K139" i="13"/>
  <c r="J139" i="13"/>
  <c r="K138" i="13"/>
  <c r="J138" i="13"/>
  <c r="K137" i="13"/>
  <c r="J137" i="13"/>
  <c r="K136" i="13"/>
  <c r="J136" i="13"/>
  <c r="K135" i="13"/>
  <c r="J135" i="13"/>
  <c r="K134" i="13"/>
  <c r="J134" i="13"/>
  <c r="K133" i="13"/>
  <c r="J133" i="13"/>
  <c r="K132" i="13"/>
  <c r="J132" i="13"/>
  <c r="K131" i="13"/>
  <c r="J131" i="13"/>
  <c r="K130" i="13"/>
  <c r="J130" i="13"/>
  <c r="K129" i="13"/>
  <c r="J129" i="13"/>
  <c r="K128" i="13"/>
  <c r="J128" i="13"/>
  <c r="K127" i="13"/>
  <c r="J127" i="13"/>
  <c r="K126" i="13"/>
  <c r="J126" i="13"/>
  <c r="K125" i="13"/>
  <c r="J125" i="13"/>
  <c r="K124" i="13"/>
  <c r="J124" i="13"/>
  <c r="K123" i="13"/>
  <c r="J123" i="13"/>
  <c r="K122" i="13"/>
  <c r="J122" i="13"/>
  <c r="K121" i="13"/>
  <c r="J121" i="13"/>
  <c r="K120" i="13"/>
  <c r="J120" i="13"/>
  <c r="K119" i="13"/>
  <c r="J119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11" i="13"/>
  <c r="J111" i="13"/>
  <c r="K110" i="13"/>
  <c r="J110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01" i="13"/>
  <c r="J101" i="13"/>
  <c r="K100" i="13"/>
  <c r="J100" i="13"/>
  <c r="K99" i="13"/>
  <c r="J99" i="13"/>
  <c r="K98" i="13"/>
  <c r="J98" i="13"/>
  <c r="K97" i="13"/>
  <c r="J97" i="13"/>
  <c r="K96" i="13"/>
  <c r="J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3" i="13"/>
  <c r="I3" i="13"/>
  <c r="H3" i="13"/>
  <c r="K498" i="69"/>
  <c r="J498" i="69"/>
  <c r="K497" i="69"/>
  <c r="J497" i="69"/>
  <c r="K496" i="69"/>
  <c r="J496" i="69"/>
  <c r="K495" i="69"/>
  <c r="J495" i="69"/>
  <c r="K494" i="69"/>
  <c r="J494" i="69"/>
  <c r="K493" i="69"/>
  <c r="J493" i="69"/>
  <c r="K492" i="69"/>
  <c r="J492" i="69"/>
  <c r="K491" i="69"/>
  <c r="J491" i="69"/>
  <c r="K490" i="69"/>
  <c r="J490" i="69"/>
  <c r="K489" i="69"/>
  <c r="J489" i="69"/>
  <c r="K488" i="69"/>
  <c r="J488" i="69"/>
  <c r="K487" i="69"/>
  <c r="J487" i="69"/>
  <c r="K486" i="69"/>
  <c r="J486" i="69"/>
  <c r="K485" i="69"/>
  <c r="J485" i="69"/>
  <c r="K484" i="69"/>
  <c r="J484" i="69"/>
  <c r="K483" i="69"/>
  <c r="J483" i="69"/>
  <c r="K482" i="69"/>
  <c r="J482" i="69"/>
  <c r="K481" i="69"/>
  <c r="J481" i="69"/>
  <c r="K480" i="69"/>
  <c r="J480" i="69"/>
  <c r="K479" i="69"/>
  <c r="J479" i="69"/>
  <c r="K478" i="69"/>
  <c r="J478" i="69"/>
  <c r="K477" i="69"/>
  <c r="J477" i="69"/>
  <c r="K476" i="69"/>
  <c r="J476" i="69"/>
  <c r="K475" i="69"/>
  <c r="J475" i="69"/>
  <c r="K474" i="69"/>
  <c r="J474" i="69"/>
  <c r="K473" i="69"/>
  <c r="J473" i="69"/>
  <c r="K472" i="69"/>
  <c r="J472" i="69"/>
  <c r="K471" i="69"/>
  <c r="J471" i="69"/>
  <c r="K470" i="69"/>
  <c r="J470" i="69"/>
  <c r="K469" i="69"/>
  <c r="J469" i="69"/>
  <c r="K468" i="69"/>
  <c r="J468" i="69"/>
  <c r="K467" i="69"/>
  <c r="J467" i="69"/>
  <c r="K466" i="69"/>
  <c r="J466" i="69"/>
  <c r="K465" i="69"/>
  <c r="J465" i="69"/>
  <c r="K464" i="69"/>
  <c r="J464" i="69"/>
  <c r="K463" i="69"/>
  <c r="J463" i="69"/>
  <c r="K462" i="69"/>
  <c r="J462" i="69"/>
  <c r="K461" i="69"/>
  <c r="J461" i="69"/>
  <c r="K460" i="69"/>
  <c r="J460" i="69"/>
  <c r="K459" i="69"/>
  <c r="J459" i="69"/>
  <c r="K458" i="69"/>
  <c r="J458" i="69"/>
  <c r="K457" i="69"/>
  <c r="J457" i="69"/>
  <c r="K456" i="69"/>
  <c r="J456" i="69"/>
  <c r="K455" i="69"/>
  <c r="J455" i="69"/>
  <c r="K454" i="69"/>
  <c r="J454" i="69"/>
  <c r="K453" i="69"/>
  <c r="J453" i="69"/>
  <c r="K452" i="69"/>
  <c r="J452" i="69"/>
  <c r="K451" i="69"/>
  <c r="J451" i="69"/>
  <c r="K450" i="69"/>
  <c r="J450" i="69"/>
  <c r="K449" i="69"/>
  <c r="J449" i="69"/>
  <c r="K448" i="69"/>
  <c r="J448" i="69"/>
  <c r="K447" i="69"/>
  <c r="J447" i="69"/>
  <c r="K446" i="69"/>
  <c r="J446" i="69"/>
  <c r="K445" i="69"/>
  <c r="J445" i="69"/>
  <c r="K444" i="69"/>
  <c r="J444" i="69"/>
  <c r="K443" i="69"/>
  <c r="J443" i="69"/>
  <c r="K442" i="69"/>
  <c r="J442" i="69"/>
  <c r="K441" i="69"/>
  <c r="J441" i="69"/>
  <c r="K440" i="69"/>
  <c r="J440" i="69"/>
  <c r="K439" i="69"/>
  <c r="J439" i="69"/>
  <c r="K438" i="69"/>
  <c r="J438" i="69"/>
  <c r="K437" i="69"/>
  <c r="J437" i="69"/>
  <c r="K436" i="69"/>
  <c r="J436" i="69"/>
  <c r="K435" i="69"/>
  <c r="J435" i="69"/>
  <c r="K434" i="69"/>
  <c r="J434" i="69"/>
  <c r="K433" i="69"/>
  <c r="J433" i="69"/>
  <c r="K432" i="69"/>
  <c r="J432" i="69"/>
  <c r="K431" i="69"/>
  <c r="J431" i="69"/>
  <c r="K430" i="69"/>
  <c r="J430" i="69"/>
  <c r="K429" i="69"/>
  <c r="J429" i="69"/>
  <c r="K428" i="69"/>
  <c r="J428" i="69"/>
  <c r="K427" i="69"/>
  <c r="J427" i="69"/>
  <c r="K426" i="69"/>
  <c r="J426" i="69"/>
  <c r="K425" i="69"/>
  <c r="J425" i="69"/>
  <c r="K424" i="69"/>
  <c r="J424" i="69"/>
  <c r="K423" i="69"/>
  <c r="J423" i="69"/>
  <c r="K422" i="69"/>
  <c r="J422" i="69"/>
  <c r="K421" i="69"/>
  <c r="J421" i="69"/>
  <c r="K420" i="69"/>
  <c r="J420" i="69"/>
  <c r="K419" i="69"/>
  <c r="J419" i="69"/>
  <c r="K418" i="69"/>
  <c r="J418" i="69"/>
  <c r="K417" i="69"/>
  <c r="J417" i="69"/>
  <c r="K416" i="69"/>
  <c r="J416" i="69"/>
  <c r="K415" i="69"/>
  <c r="J415" i="69"/>
  <c r="K414" i="69"/>
  <c r="J414" i="69"/>
  <c r="K413" i="69"/>
  <c r="J413" i="69"/>
  <c r="K412" i="69"/>
  <c r="J412" i="69"/>
  <c r="K411" i="69"/>
  <c r="J411" i="69"/>
  <c r="K410" i="69"/>
  <c r="J410" i="69"/>
  <c r="K409" i="69"/>
  <c r="J409" i="69"/>
  <c r="K408" i="69"/>
  <c r="J408" i="69"/>
  <c r="K407" i="69"/>
  <c r="J407" i="69"/>
  <c r="K406" i="69"/>
  <c r="J406" i="69"/>
  <c r="K405" i="69"/>
  <c r="J405" i="69"/>
  <c r="K404" i="69"/>
  <c r="J404" i="69"/>
  <c r="K403" i="69"/>
  <c r="J403" i="69"/>
  <c r="K402" i="69"/>
  <c r="J402" i="69"/>
  <c r="K401" i="69"/>
  <c r="J401" i="69"/>
  <c r="K400" i="69"/>
  <c r="J400" i="69"/>
  <c r="K399" i="69"/>
  <c r="J399" i="69"/>
  <c r="K398" i="69"/>
  <c r="J398" i="69"/>
  <c r="K397" i="69"/>
  <c r="J397" i="69"/>
  <c r="K396" i="69"/>
  <c r="J396" i="69"/>
  <c r="K395" i="69"/>
  <c r="J395" i="69"/>
  <c r="K394" i="69"/>
  <c r="J394" i="69"/>
  <c r="K393" i="69"/>
  <c r="J393" i="69"/>
  <c r="K392" i="69"/>
  <c r="J392" i="69"/>
  <c r="K391" i="69"/>
  <c r="J391" i="69"/>
  <c r="K390" i="69"/>
  <c r="J390" i="69"/>
  <c r="K389" i="69"/>
  <c r="J389" i="69"/>
  <c r="K388" i="69"/>
  <c r="J388" i="69"/>
  <c r="K387" i="69"/>
  <c r="J387" i="69"/>
  <c r="K386" i="69"/>
  <c r="J386" i="69"/>
  <c r="K385" i="69"/>
  <c r="J385" i="69"/>
  <c r="K384" i="69"/>
  <c r="J384" i="69"/>
  <c r="K383" i="69"/>
  <c r="J383" i="69"/>
  <c r="K382" i="69"/>
  <c r="J382" i="69"/>
  <c r="K381" i="69"/>
  <c r="J381" i="69"/>
  <c r="K380" i="69"/>
  <c r="J380" i="69"/>
  <c r="K379" i="69"/>
  <c r="J379" i="69"/>
  <c r="K378" i="69"/>
  <c r="J378" i="69"/>
  <c r="K377" i="69"/>
  <c r="J377" i="69"/>
  <c r="K376" i="69"/>
  <c r="J376" i="69"/>
  <c r="K375" i="69"/>
  <c r="J375" i="69"/>
  <c r="K374" i="69"/>
  <c r="J374" i="69"/>
  <c r="K373" i="69"/>
  <c r="J373" i="69"/>
  <c r="K372" i="69"/>
  <c r="J372" i="69"/>
  <c r="K371" i="69"/>
  <c r="J371" i="69"/>
  <c r="K370" i="69"/>
  <c r="J370" i="69"/>
  <c r="K369" i="69"/>
  <c r="J369" i="69"/>
  <c r="K368" i="69"/>
  <c r="J368" i="69"/>
  <c r="K367" i="69"/>
  <c r="J367" i="69"/>
  <c r="K366" i="69"/>
  <c r="J366" i="69"/>
  <c r="K365" i="69"/>
  <c r="J365" i="69"/>
  <c r="K364" i="69"/>
  <c r="J364" i="69"/>
  <c r="K363" i="69"/>
  <c r="J363" i="69"/>
  <c r="K362" i="69"/>
  <c r="J362" i="69"/>
  <c r="K361" i="69"/>
  <c r="J361" i="69"/>
  <c r="K360" i="69"/>
  <c r="J360" i="69"/>
  <c r="K359" i="69"/>
  <c r="J359" i="69"/>
  <c r="K358" i="69"/>
  <c r="J358" i="69"/>
  <c r="K357" i="69"/>
  <c r="J357" i="69"/>
  <c r="K356" i="69"/>
  <c r="J356" i="69"/>
  <c r="K355" i="69"/>
  <c r="J355" i="69"/>
  <c r="K354" i="69"/>
  <c r="J354" i="69"/>
  <c r="K353" i="69"/>
  <c r="J353" i="69"/>
  <c r="K352" i="69"/>
  <c r="J352" i="69"/>
  <c r="K351" i="69"/>
  <c r="J351" i="69"/>
  <c r="K350" i="69"/>
  <c r="J350" i="69"/>
  <c r="K349" i="69"/>
  <c r="J349" i="69"/>
  <c r="K348" i="69"/>
  <c r="J348" i="69"/>
  <c r="K347" i="69"/>
  <c r="J347" i="69"/>
  <c r="K346" i="69"/>
  <c r="J346" i="69"/>
  <c r="K345" i="69"/>
  <c r="J345" i="69"/>
  <c r="K344" i="69"/>
  <c r="J344" i="69"/>
  <c r="K343" i="69"/>
  <c r="J343" i="69"/>
  <c r="K342" i="69"/>
  <c r="J342" i="69"/>
  <c r="K341" i="69"/>
  <c r="J341" i="69"/>
  <c r="K340" i="69"/>
  <c r="J340" i="69"/>
  <c r="K339" i="69"/>
  <c r="J339" i="69"/>
  <c r="K338" i="69"/>
  <c r="J338" i="69"/>
  <c r="K337" i="69"/>
  <c r="J337" i="69"/>
  <c r="K336" i="69"/>
  <c r="J336" i="69"/>
  <c r="K335" i="69"/>
  <c r="J335" i="69"/>
  <c r="K334" i="69"/>
  <c r="J334" i="69"/>
  <c r="K333" i="69"/>
  <c r="J333" i="69"/>
  <c r="K332" i="69"/>
  <c r="J332" i="69"/>
  <c r="K331" i="69"/>
  <c r="J331" i="69"/>
  <c r="K330" i="69"/>
  <c r="J330" i="69"/>
  <c r="K329" i="69"/>
  <c r="J329" i="69"/>
  <c r="K328" i="69"/>
  <c r="J328" i="69"/>
  <c r="K327" i="69"/>
  <c r="J327" i="69"/>
  <c r="K326" i="69"/>
  <c r="J326" i="69"/>
  <c r="K325" i="69"/>
  <c r="J325" i="69"/>
  <c r="K324" i="69"/>
  <c r="J324" i="69"/>
  <c r="K323" i="69"/>
  <c r="J323" i="69"/>
  <c r="K322" i="69"/>
  <c r="J322" i="69"/>
  <c r="K321" i="69"/>
  <c r="J321" i="69"/>
  <c r="K320" i="69"/>
  <c r="J320" i="69"/>
  <c r="K319" i="69"/>
  <c r="J319" i="69"/>
  <c r="K318" i="69"/>
  <c r="J318" i="69"/>
  <c r="K317" i="69"/>
  <c r="J317" i="69"/>
  <c r="K316" i="69"/>
  <c r="J316" i="69"/>
  <c r="K315" i="69"/>
  <c r="J315" i="69"/>
  <c r="K314" i="69"/>
  <c r="J314" i="69"/>
  <c r="K313" i="69"/>
  <c r="J313" i="69"/>
  <c r="K312" i="69"/>
  <c r="J312" i="69"/>
  <c r="K311" i="69"/>
  <c r="J311" i="69"/>
  <c r="K310" i="69"/>
  <c r="J310" i="69"/>
  <c r="K309" i="69"/>
  <c r="J309" i="69"/>
  <c r="K308" i="69"/>
  <c r="J308" i="69"/>
  <c r="K307" i="69"/>
  <c r="J307" i="69"/>
  <c r="K306" i="69"/>
  <c r="J306" i="69"/>
  <c r="K305" i="69"/>
  <c r="J305" i="69"/>
  <c r="K304" i="69"/>
  <c r="J304" i="69"/>
  <c r="K303" i="69"/>
  <c r="J303" i="69"/>
  <c r="K302" i="69"/>
  <c r="J302" i="69"/>
  <c r="K301" i="69"/>
  <c r="J301" i="69"/>
  <c r="K300" i="69"/>
  <c r="J300" i="69"/>
  <c r="K299" i="69"/>
  <c r="J299" i="69"/>
  <c r="K298" i="69"/>
  <c r="J298" i="69"/>
  <c r="K297" i="69"/>
  <c r="J297" i="69"/>
  <c r="K296" i="69"/>
  <c r="J296" i="69"/>
  <c r="K295" i="69"/>
  <c r="J295" i="69"/>
  <c r="K294" i="69"/>
  <c r="J294" i="69"/>
  <c r="K293" i="69"/>
  <c r="J293" i="69"/>
  <c r="K292" i="69"/>
  <c r="J292" i="69"/>
  <c r="K291" i="69"/>
  <c r="J291" i="69"/>
  <c r="K290" i="69"/>
  <c r="J290" i="69"/>
  <c r="K289" i="69"/>
  <c r="J289" i="69"/>
  <c r="K288" i="69"/>
  <c r="J288" i="69"/>
  <c r="K287" i="69"/>
  <c r="J287" i="69"/>
  <c r="K286" i="69"/>
  <c r="J286" i="69"/>
  <c r="K285" i="69"/>
  <c r="J285" i="69"/>
  <c r="K284" i="69"/>
  <c r="J284" i="69"/>
  <c r="K283" i="69"/>
  <c r="J283" i="69"/>
  <c r="K282" i="69"/>
  <c r="J282" i="69"/>
  <c r="K281" i="69"/>
  <c r="J281" i="69"/>
  <c r="K280" i="69"/>
  <c r="J280" i="69"/>
  <c r="K279" i="69"/>
  <c r="J279" i="69"/>
  <c r="K278" i="69"/>
  <c r="J278" i="69"/>
  <c r="K277" i="69"/>
  <c r="J277" i="69"/>
  <c r="K276" i="69"/>
  <c r="J276" i="69"/>
  <c r="K275" i="69"/>
  <c r="J275" i="69"/>
  <c r="K274" i="69"/>
  <c r="J274" i="69"/>
  <c r="K273" i="69"/>
  <c r="J273" i="69"/>
  <c r="K272" i="69"/>
  <c r="J272" i="69"/>
  <c r="K271" i="69"/>
  <c r="J271" i="69"/>
  <c r="K270" i="69"/>
  <c r="J270" i="69"/>
  <c r="K269" i="69"/>
  <c r="J269" i="69"/>
  <c r="K268" i="69"/>
  <c r="J268" i="69"/>
  <c r="K267" i="69"/>
  <c r="J267" i="69"/>
  <c r="K266" i="69"/>
  <c r="J266" i="69"/>
  <c r="K265" i="69"/>
  <c r="J265" i="69"/>
  <c r="K264" i="69"/>
  <c r="J264" i="69"/>
  <c r="K263" i="69"/>
  <c r="J263" i="69"/>
  <c r="K262" i="69"/>
  <c r="J262" i="69"/>
  <c r="K261" i="69"/>
  <c r="J261" i="69"/>
  <c r="K260" i="69"/>
  <c r="J260" i="69"/>
  <c r="K259" i="69"/>
  <c r="J259" i="69"/>
  <c r="K258" i="69"/>
  <c r="J258" i="69"/>
  <c r="K257" i="69"/>
  <c r="J257" i="69"/>
  <c r="K256" i="69"/>
  <c r="J256" i="69"/>
  <c r="K255" i="69"/>
  <c r="J255" i="69"/>
  <c r="K254" i="69"/>
  <c r="J254" i="69"/>
  <c r="K253" i="69"/>
  <c r="J253" i="69"/>
  <c r="K252" i="69"/>
  <c r="J252" i="69"/>
  <c r="K251" i="69"/>
  <c r="J251" i="69"/>
  <c r="K250" i="69"/>
  <c r="J250" i="69"/>
  <c r="K249" i="69"/>
  <c r="J249" i="69"/>
  <c r="K248" i="69"/>
  <c r="J248" i="69"/>
  <c r="K247" i="69"/>
  <c r="J247" i="69"/>
  <c r="K246" i="69"/>
  <c r="J246" i="69"/>
  <c r="K245" i="69"/>
  <c r="J245" i="69"/>
  <c r="K244" i="69"/>
  <c r="J244" i="69"/>
  <c r="K243" i="69"/>
  <c r="J243" i="69"/>
  <c r="K242" i="69"/>
  <c r="J242" i="69"/>
  <c r="K241" i="69"/>
  <c r="J241" i="69"/>
  <c r="K240" i="69"/>
  <c r="J240" i="69"/>
  <c r="K239" i="69"/>
  <c r="J239" i="69"/>
  <c r="K238" i="69"/>
  <c r="J238" i="69"/>
  <c r="K237" i="69"/>
  <c r="J237" i="69"/>
  <c r="K236" i="69"/>
  <c r="J236" i="69"/>
  <c r="K235" i="69"/>
  <c r="J235" i="69"/>
  <c r="K234" i="69"/>
  <c r="J234" i="69"/>
  <c r="K233" i="69"/>
  <c r="J233" i="69"/>
  <c r="K232" i="69"/>
  <c r="J232" i="69"/>
  <c r="K231" i="69"/>
  <c r="J231" i="69"/>
  <c r="K230" i="69"/>
  <c r="J230" i="69"/>
  <c r="K229" i="69"/>
  <c r="J229" i="69"/>
  <c r="K228" i="69"/>
  <c r="J228" i="69"/>
  <c r="K227" i="69"/>
  <c r="J227" i="69"/>
  <c r="K226" i="69"/>
  <c r="J226" i="69"/>
  <c r="K225" i="69"/>
  <c r="J225" i="69"/>
  <c r="K224" i="69"/>
  <c r="J224" i="69"/>
  <c r="K223" i="69"/>
  <c r="J223" i="69"/>
  <c r="K222" i="69"/>
  <c r="J222" i="69"/>
  <c r="K221" i="69"/>
  <c r="J221" i="69"/>
  <c r="K220" i="69"/>
  <c r="J220" i="69"/>
  <c r="K219" i="69"/>
  <c r="J219" i="69"/>
  <c r="K218" i="69"/>
  <c r="J218" i="69"/>
  <c r="K217" i="69"/>
  <c r="J217" i="69"/>
  <c r="K216" i="69"/>
  <c r="J216" i="69"/>
  <c r="K215" i="69"/>
  <c r="J215" i="69"/>
  <c r="K214" i="69"/>
  <c r="J214" i="69"/>
  <c r="K213" i="69"/>
  <c r="J213" i="69"/>
  <c r="K212" i="69"/>
  <c r="J212" i="69"/>
  <c r="K211" i="69"/>
  <c r="J211" i="69"/>
  <c r="K210" i="69"/>
  <c r="J210" i="69"/>
  <c r="K209" i="69"/>
  <c r="J209" i="69"/>
  <c r="K208" i="69"/>
  <c r="J208" i="69"/>
  <c r="K207" i="69"/>
  <c r="J207" i="69"/>
  <c r="K206" i="69"/>
  <c r="J206" i="69"/>
  <c r="K205" i="69"/>
  <c r="J205" i="69"/>
  <c r="K204" i="69"/>
  <c r="J204" i="69"/>
  <c r="K203" i="69"/>
  <c r="J203" i="69"/>
  <c r="K202" i="69"/>
  <c r="J202" i="69"/>
  <c r="K201" i="69"/>
  <c r="J201" i="69"/>
  <c r="K200" i="69"/>
  <c r="J200" i="69"/>
  <c r="K199" i="69"/>
  <c r="J199" i="69"/>
  <c r="K198" i="69"/>
  <c r="J198" i="69"/>
  <c r="K197" i="69"/>
  <c r="J197" i="69"/>
  <c r="K196" i="69"/>
  <c r="J196" i="69"/>
  <c r="K195" i="69"/>
  <c r="J195" i="69"/>
  <c r="K194" i="69"/>
  <c r="J194" i="69"/>
  <c r="K193" i="69"/>
  <c r="J193" i="69"/>
  <c r="K192" i="69"/>
  <c r="J192" i="69"/>
  <c r="K191" i="69"/>
  <c r="J191" i="69"/>
  <c r="K190" i="69"/>
  <c r="J190" i="69"/>
  <c r="K189" i="69"/>
  <c r="J189" i="69"/>
  <c r="K188" i="69"/>
  <c r="J188" i="69"/>
  <c r="K187" i="69"/>
  <c r="J187" i="69"/>
  <c r="K186" i="69"/>
  <c r="J186" i="69"/>
  <c r="K185" i="69"/>
  <c r="J185" i="69"/>
  <c r="K184" i="69"/>
  <c r="J184" i="69"/>
  <c r="K183" i="69"/>
  <c r="J183" i="69"/>
  <c r="K182" i="69"/>
  <c r="J182" i="69"/>
  <c r="K181" i="69"/>
  <c r="J181" i="69"/>
  <c r="K180" i="69"/>
  <c r="J180" i="69"/>
  <c r="K179" i="69"/>
  <c r="J179" i="69"/>
  <c r="K178" i="69"/>
  <c r="J178" i="69"/>
  <c r="K177" i="69"/>
  <c r="J177" i="69"/>
  <c r="K176" i="69"/>
  <c r="J176" i="69"/>
  <c r="K175" i="69"/>
  <c r="J175" i="69"/>
  <c r="K174" i="69"/>
  <c r="J174" i="69"/>
  <c r="K173" i="69"/>
  <c r="J173" i="69"/>
  <c r="K172" i="69"/>
  <c r="J172" i="69"/>
  <c r="K171" i="69"/>
  <c r="J171" i="69"/>
  <c r="K170" i="69"/>
  <c r="J170" i="69"/>
  <c r="K169" i="69"/>
  <c r="J169" i="69"/>
  <c r="K168" i="69"/>
  <c r="J168" i="69"/>
  <c r="K167" i="69"/>
  <c r="J167" i="69"/>
  <c r="K166" i="69"/>
  <c r="J166" i="69"/>
  <c r="K165" i="69"/>
  <c r="J165" i="69"/>
  <c r="K164" i="69"/>
  <c r="J164" i="69"/>
  <c r="K163" i="69"/>
  <c r="J163" i="69"/>
  <c r="K162" i="69"/>
  <c r="J162" i="69"/>
  <c r="K161" i="69"/>
  <c r="J161" i="69"/>
  <c r="K160" i="69"/>
  <c r="J160" i="69"/>
  <c r="K159" i="69"/>
  <c r="J159" i="69"/>
  <c r="K158" i="69"/>
  <c r="J158" i="69"/>
  <c r="K157" i="69"/>
  <c r="J157" i="69"/>
  <c r="K156" i="69"/>
  <c r="J156" i="69"/>
  <c r="K155" i="69"/>
  <c r="J155" i="69"/>
  <c r="K154" i="69"/>
  <c r="J154" i="69"/>
  <c r="K153" i="69"/>
  <c r="J153" i="69"/>
  <c r="K152" i="69"/>
  <c r="J152" i="69"/>
  <c r="K151" i="69"/>
  <c r="J151" i="69"/>
  <c r="K150" i="69"/>
  <c r="J150" i="69"/>
  <c r="K149" i="69"/>
  <c r="J149" i="69"/>
  <c r="K148" i="69"/>
  <c r="J148" i="69"/>
  <c r="K147" i="69"/>
  <c r="J147" i="69"/>
  <c r="K146" i="69"/>
  <c r="J146" i="69"/>
  <c r="K145" i="69"/>
  <c r="J145" i="69"/>
  <c r="K144" i="69"/>
  <c r="J144" i="69"/>
  <c r="K143" i="69"/>
  <c r="J143" i="69"/>
  <c r="K142" i="69"/>
  <c r="J142" i="69"/>
  <c r="K141" i="69"/>
  <c r="J141" i="69"/>
  <c r="K140" i="69"/>
  <c r="J140" i="69"/>
  <c r="K139" i="69"/>
  <c r="J139" i="69"/>
  <c r="K138" i="69"/>
  <c r="J138" i="69"/>
  <c r="K137" i="69"/>
  <c r="J137" i="69"/>
  <c r="K136" i="69"/>
  <c r="J136" i="69"/>
  <c r="K135" i="69"/>
  <c r="J135" i="69"/>
  <c r="K134" i="69"/>
  <c r="J134" i="69"/>
  <c r="K133" i="69"/>
  <c r="J133" i="69"/>
  <c r="K132" i="69"/>
  <c r="J132" i="69"/>
  <c r="K131" i="69"/>
  <c r="J131" i="69"/>
  <c r="K130" i="69"/>
  <c r="J130" i="69"/>
  <c r="K129" i="69"/>
  <c r="J129" i="69"/>
  <c r="K128" i="69"/>
  <c r="J128" i="69"/>
  <c r="K127" i="69"/>
  <c r="J127" i="69"/>
  <c r="K126" i="69"/>
  <c r="J126" i="69"/>
  <c r="K125" i="69"/>
  <c r="J125" i="69"/>
  <c r="K124" i="69"/>
  <c r="J124" i="69"/>
  <c r="K123" i="69"/>
  <c r="J123" i="69"/>
  <c r="K122" i="69"/>
  <c r="J122" i="69"/>
  <c r="K121" i="69"/>
  <c r="J121" i="69"/>
  <c r="K120" i="69"/>
  <c r="J120" i="69"/>
  <c r="K119" i="69"/>
  <c r="J119" i="69"/>
  <c r="K118" i="69"/>
  <c r="J118" i="69"/>
  <c r="K117" i="69"/>
  <c r="J117" i="69"/>
  <c r="K116" i="69"/>
  <c r="J116" i="69"/>
  <c r="K115" i="69"/>
  <c r="J115" i="69"/>
  <c r="K114" i="69"/>
  <c r="J114" i="69"/>
  <c r="K113" i="69"/>
  <c r="J113" i="69"/>
  <c r="K112" i="69"/>
  <c r="J112" i="69"/>
  <c r="K111" i="69"/>
  <c r="J111" i="69"/>
  <c r="K110" i="69"/>
  <c r="J110" i="69"/>
  <c r="K109" i="69"/>
  <c r="J109" i="69"/>
  <c r="K108" i="69"/>
  <c r="J108" i="69"/>
  <c r="K107" i="69"/>
  <c r="J107" i="69"/>
  <c r="K106" i="69"/>
  <c r="J106" i="69"/>
  <c r="K105" i="69"/>
  <c r="J105" i="69"/>
  <c r="K104" i="69"/>
  <c r="J104" i="69"/>
  <c r="K103" i="69"/>
  <c r="J103" i="69"/>
  <c r="K102" i="69"/>
  <c r="J102" i="69"/>
  <c r="K101" i="69"/>
  <c r="J101" i="69"/>
  <c r="K100" i="69"/>
  <c r="J100" i="69"/>
  <c r="K99" i="69"/>
  <c r="J99" i="69"/>
  <c r="K98" i="69"/>
  <c r="J98" i="69"/>
  <c r="K97" i="69"/>
  <c r="J97" i="69"/>
  <c r="K96" i="69"/>
  <c r="J96" i="69"/>
  <c r="K95" i="69"/>
  <c r="J95" i="69"/>
  <c r="K94" i="69"/>
  <c r="J94" i="69"/>
  <c r="K93" i="69"/>
  <c r="J93" i="69"/>
  <c r="K92" i="69"/>
  <c r="J92" i="69"/>
  <c r="K91" i="69"/>
  <c r="J91" i="69"/>
  <c r="K90" i="69"/>
  <c r="J90" i="69"/>
  <c r="K89" i="69"/>
  <c r="J89" i="69"/>
  <c r="K88" i="69"/>
  <c r="J88" i="69"/>
  <c r="K87" i="69"/>
  <c r="J87" i="69"/>
  <c r="K86" i="69"/>
  <c r="J86" i="69"/>
  <c r="K85" i="69"/>
  <c r="J85" i="69"/>
  <c r="K84" i="69"/>
  <c r="J84" i="69"/>
  <c r="K83" i="69"/>
  <c r="J83" i="69"/>
  <c r="K82" i="69"/>
  <c r="J82" i="69"/>
  <c r="K81" i="69"/>
  <c r="J81" i="69"/>
  <c r="K80" i="69"/>
  <c r="J80" i="69"/>
  <c r="K79" i="69"/>
  <c r="J79" i="69"/>
  <c r="K78" i="69"/>
  <c r="J78" i="69"/>
  <c r="K77" i="69"/>
  <c r="J77" i="69"/>
  <c r="K76" i="69"/>
  <c r="J76" i="69"/>
  <c r="K75" i="69"/>
  <c r="J75" i="69"/>
  <c r="K74" i="69"/>
  <c r="J74" i="69"/>
  <c r="K73" i="69"/>
  <c r="J73" i="69"/>
  <c r="K72" i="69"/>
  <c r="J72" i="69"/>
  <c r="K71" i="69"/>
  <c r="J71" i="69"/>
  <c r="K70" i="69"/>
  <c r="J70" i="69"/>
  <c r="K69" i="69"/>
  <c r="J69" i="69"/>
  <c r="K68" i="69"/>
  <c r="J68" i="69"/>
  <c r="K67" i="69"/>
  <c r="J67" i="69"/>
  <c r="K66" i="69"/>
  <c r="J66" i="69"/>
  <c r="K65" i="69"/>
  <c r="J65" i="69"/>
  <c r="K64" i="69"/>
  <c r="J64" i="69"/>
  <c r="K63" i="69"/>
  <c r="J63" i="69"/>
  <c r="K62" i="69"/>
  <c r="J62" i="69"/>
  <c r="K61" i="69"/>
  <c r="J61" i="69"/>
  <c r="K60" i="69"/>
  <c r="J60" i="69"/>
  <c r="K59" i="69"/>
  <c r="J59" i="69"/>
  <c r="K58" i="69"/>
  <c r="J58" i="69"/>
  <c r="K57" i="69"/>
  <c r="J57" i="69"/>
  <c r="K56" i="69"/>
  <c r="J56" i="69"/>
  <c r="K55" i="69"/>
  <c r="J55" i="69"/>
  <c r="K54" i="69"/>
  <c r="J54" i="69"/>
  <c r="K53" i="69"/>
  <c r="J53" i="69"/>
  <c r="K52" i="69"/>
  <c r="J52" i="69"/>
  <c r="K51" i="69"/>
  <c r="J51" i="69"/>
  <c r="K50" i="69"/>
  <c r="J50" i="69"/>
  <c r="K49" i="69"/>
  <c r="J49" i="69"/>
  <c r="K48" i="69"/>
  <c r="J48" i="69"/>
  <c r="K47" i="69"/>
  <c r="J47" i="69"/>
  <c r="K46" i="69"/>
  <c r="J46" i="69"/>
  <c r="K45" i="69"/>
  <c r="J45" i="69"/>
  <c r="K44" i="69"/>
  <c r="J44" i="69"/>
  <c r="K43" i="69"/>
  <c r="J43" i="69"/>
  <c r="K42" i="69"/>
  <c r="J42" i="69"/>
  <c r="K41" i="69"/>
  <c r="J41" i="69"/>
  <c r="K40" i="69"/>
  <c r="J40" i="69"/>
  <c r="K39" i="69"/>
  <c r="J39" i="69"/>
  <c r="K38" i="69"/>
  <c r="J38" i="69"/>
  <c r="K37" i="69"/>
  <c r="J37" i="69"/>
  <c r="K36" i="69"/>
  <c r="J36" i="69"/>
  <c r="K35" i="69"/>
  <c r="J35" i="69"/>
  <c r="K34" i="69"/>
  <c r="J34" i="69"/>
  <c r="K33" i="69"/>
  <c r="J33" i="69"/>
  <c r="K32" i="69"/>
  <c r="J32" i="69"/>
  <c r="K31" i="69"/>
  <c r="J31" i="69"/>
  <c r="K30" i="69"/>
  <c r="J30" i="69"/>
  <c r="K29" i="69"/>
  <c r="J29" i="69"/>
  <c r="K28" i="69"/>
  <c r="J28" i="69"/>
  <c r="K27" i="69"/>
  <c r="J27" i="69"/>
  <c r="K26" i="69"/>
  <c r="J26" i="69"/>
  <c r="K25" i="69"/>
  <c r="J25" i="69"/>
  <c r="K24" i="69"/>
  <c r="J24" i="69"/>
  <c r="K23" i="69"/>
  <c r="J23" i="69"/>
  <c r="K22" i="69"/>
  <c r="J22" i="69"/>
  <c r="K21" i="69"/>
  <c r="J21" i="69"/>
  <c r="K20" i="69"/>
  <c r="J20" i="69"/>
  <c r="K19" i="69"/>
  <c r="J19" i="69"/>
  <c r="K18" i="69"/>
  <c r="J18" i="69"/>
  <c r="K17" i="69"/>
  <c r="J17" i="69"/>
  <c r="K16" i="69"/>
  <c r="J16" i="69"/>
  <c r="K15" i="69"/>
  <c r="J15" i="69"/>
  <c r="K14" i="69"/>
  <c r="J14" i="69"/>
  <c r="K13" i="69"/>
  <c r="J13" i="69"/>
  <c r="K12" i="69"/>
  <c r="J12" i="69"/>
  <c r="K11" i="69"/>
  <c r="J11" i="69"/>
  <c r="K10" i="69"/>
  <c r="J10" i="69"/>
  <c r="K9" i="69"/>
  <c r="J9" i="69"/>
  <c r="K8" i="69"/>
  <c r="J8" i="69"/>
  <c r="K7" i="69"/>
  <c r="J7" i="69"/>
  <c r="K6" i="69"/>
  <c r="J6" i="69"/>
  <c r="K3" i="69"/>
  <c r="I3" i="69"/>
  <c r="H3" i="69"/>
  <c r="K498" i="12"/>
  <c r="J498" i="12"/>
  <c r="K497" i="12"/>
  <c r="J497" i="12"/>
  <c r="K496" i="12"/>
  <c r="J496" i="12"/>
  <c r="K495" i="12"/>
  <c r="J495" i="12"/>
  <c r="K494" i="12"/>
  <c r="J494" i="12"/>
  <c r="K493" i="12"/>
  <c r="J493" i="12"/>
  <c r="K492" i="12"/>
  <c r="J492" i="12"/>
  <c r="K491" i="12"/>
  <c r="J491" i="12"/>
  <c r="K490" i="12"/>
  <c r="J490" i="12"/>
  <c r="K489" i="12"/>
  <c r="J489" i="12"/>
  <c r="K488" i="12"/>
  <c r="J488" i="12"/>
  <c r="K487" i="12"/>
  <c r="J487" i="12"/>
  <c r="K486" i="12"/>
  <c r="J486" i="12"/>
  <c r="K485" i="12"/>
  <c r="J485" i="12"/>
  <c r="K484" i="12"/>
  <c r="J484" i="12"/>
  <c r="K483" i="12"/>
  <c r="J483" i="12"/>
  <c r="K482" i="12"/>
  <c r="J482" i="12"/>
  <c r="K481" i="12"/>
  <c r="J481" i="12"/>
  <c r="K480" i="12"/>
  <c r="J480" i="12"/>
  <c r="K479" i="12"/>
  <c r="J479" i="12"/>
  <c r="K478" i="12"/>
  <c r="J478" i="12"/>
  <c r="K477" i="12"/>
  <c r="J477" i="12"/>
  <c r="K476" i="12"/>
  <c r="J476" i="12"/>
  <c r="K475" i="12"/>
  <c r="J475" i="12"/>
  <c r="K474" i="12"/>
  <c r="J474" i="12"/>
  <c r="K473" i="12"/>
  <c r="J473" i="12"/>
  <c r="K472" i="12"/>
  <c r="J472" i="12"/>
  <c r="K471" i="12"/>
  <c r="J471" i="12"/>
  <c r="K470" i="12"/>
  <c r="J470" i="12"/>
  <c r="K469" i="12"/>
  <c r="J469" i="12"/>
  <c r="K468" i="12"/>
  <c r="J468" i="12"/>
  <c r="K467" i="12"/>
  <c r="J467" i="12"/>
  <c r="K466" i="12"/>
  <c r="J466" i="12"/>
  <c r="K465" i="12"/>
  <c r="J465" i="12"/>
  <c r="K464" i="12"/>
  <c r="J464" i="12"/>
  <c r="K463" i="12"/>
  <c r="J463" i="12"/>
  <c r="K462" i="12"/>
  <c r="J462" i="12"/>
  <c r="K461" i="12"/>
  <c r="J461" i="12"/>
  <c r="K460" i="12"/>
  <c r="J460" i="12"/>
  <c r="K459" i="12"/>
  <c r="J459" i="12"/>
  <c r="K458" i="12"/>
  <c r="J458" i="12"/>
  <c r="K457" i="12"/>
  <c r="J457" i="12"/>
  <c r="K456" i="12"/>
  <c r="J456" i="12"/>
  <c r="K455" i="12"/>
  <c r="J455" i="12"/>
  <c r="K454" i="12"/>
  <c r="J454" i="12"/>
  <c r="K453" i="12"/>
  <c r="J453" i="12"/>
  <c r="K452" i="12"/>
  <c r="J452" i="12"/>
  <c r="K451" i="12"/>
  <c r="J451" i="12"/>
  <c r="K450" i="12"/>
  <c r="J450" i="12"/>
  <c r="K449" i="12"/>
  <c r="J449" i="12"/>
  <c r="K448" i="12"/>
  <c r="J448" i="12"/>
  <c r="K447" i="12"/>
  <c r="J447" i="12"/>
  <c r="K446" i="12"/>
  <c r="J446" i="12"/>
  <c r="K445" i="12"/>
  <c r="J445" i="12"/>
  <c r="K444" i="12"/>
  <c r="J444" i="12"/>
  <c r="K443" i="12"/>
  <c r="J443" i="12"/>
  <c r="K442" i="12"/>
  <c r="J442" i="12"/>
  <c r="K441" i="12"/>
  <c r="J441" i="12"/>
  <c r="K440" i="12"/>
  <c r="J440" i="12"/>
  <c r="K439" i="12"/>
  <c r="J439" i="12"/>
  <c r="K438" i="12"/>
  <c r="J438" i="12"/>
  <c r="K437" i="12"/>
  <c r="J437" i="12"/>
  <c r="K436" i="12"/>
  <c r="J436" i="12"/>
  <c r="K435" i="12"/>
  <c r="J435" i="12"/>
  <c r="K434" i="12"/>
  <c r="J434" i="12"/>
  <c r="K433" i="12"/>
  <c r="J433" i="12"/>
  <c r="K432" i="12"/>
  <c r="J432" i="12"/>
  <c r="K431" i="12"/>
  <c r="J431" i="12"/>
  <c r="K430" i="12"/>
  <c r="J430" i="12"/>
  <c r="K429" i="12"/>
  <c r="J429" i="12"/>
  <c r="K428" i="12"/>
  <c r="J428" i="12"/>
  <c r="K427" i="12"/>
  <c r="J427" i="12"/>
  <c r="K426" i="12"/>
  <c r="J426" i="12"/>
  <c r="K425" i="12"/>
  <c r="J425" i="12"/>
  <c r="K424" i="12"/>
  <c r="J424" i="12"/>
  <c r="K423" i="12"/>
  <c r="J423" i="12"/>
  <c r="K422" i="12"/>
  <c r="J422" i="12"/>
  <c r="K421" i="12"/>
  <c r="J421" i="12"/>
  <c r="K420" i="12"/>
  <c r="J420" i="12"/>
  <c r="K419" i="12"/>
  <c r="J419" i="12"/>
  <c r="K418" i="12"/>
  <c r="J418" i="12"/>
  <c r="K417" i="12"/>
  <c r="J417" i="12"/>
  <c r="K416" i="12"/>
  <c r="J416" i="12"/>
  <c r="K415" i="12"/>
  <c r="J415" i="12"/>
  <c r="K414" i="12"/>
  <c r="J414" i="12"/>
  <c r="K413" i="12"/>
  <c r="J413" i="12"/>
  <c r="K412" i="12"/>
  <c r="J412" i="12"/>
  <c r="K411" i="12"/>
  <c r="J411" i="12"/>
  <c r="K410" i="12"/>
  <c r="J410" i="12"/>
  <c r="K409" i="12"/>
  <c r="J409" i="12"/>
  <c r="K408" i="12"/>
  <c r="J408" i="12"/>
  <c r="K407" i="12"/>
  <c r="J407" i="12"/>
  <c r="K406" i="12"/>
  <c r="J406" i="12"/>
  <c r="K405" i="12"/>
  <c r="J405" i="12"/>
  <c r="K404" i="12"/>
  <c r="J404" i="12"/>
  <c r="K403" i="12"/>
  <c r="J403" i="12"/>
  <c r="K402" i="12"/>
  <c r="J402" i="12"/>
  <c r="K401" i="12"/>
  <c r="J401" i="12"/>
  <c r="K400" i="12"/>
  <c r="J400" i="12"/>
  <c r="K399" i="12"/>
  <c r="J399" i="12"/>
  <c r="K398" i="12"/>
  <c r="J398" i="12"/>
  <c r="K397" i="12"/>
  <c r="J397" i="12"/>
  <c r="K396" i="12"/>
  <c r="J396" i="12"/>
  <c r="K395" i="12"/>
  <c r="J395" i="12"/>
  <c r="K394" i="12"/>
  <c r="J394" i="12"/>
  <c r="K393" i="12"/>
  <c r="J393" i="12"/>
  <c r="K392" i="12"/>
  <c r="J392" i="12"/>
  <c r="K391" i="12"/>
  <c r="J391" i="12"/>
  <c r="K390" i="12"/>
  <c r="J390" i="12"/>
  <c r="K389" i="12"/>
  <c r="J389" i="12"/>
  <c r="K388" i="12"/>
  <c r="J388" i="12"/>
  <c r="K387" i="12"/>
  <c r="J387" i="12"/>
  <c r="K386" i="12"/>
  <c r="J386" i="12"/>
  <c r="K385" i="12"/>
  <c r="J385" i="12"/>
  <c r="K384" i="12"/>
  <c r="J384" i="12"/>
  <c r="K383" i="12"/>
  <c r="J383" i="12"/>
  <c r="K382" i="12"/>
  <c r="J382" i="12"/>
  <c r="K381" i="12"/>
  <c r="J381" i="12"/>
  <c r="K380" i="12"/>
  <c r="J380" i="12"/>
  <c r="K379" i="12"/>
  <c r="J379" i="12"/>
  <c r="K378" i="12"/>
  <c r="J378" i="12"/>
  <c r="K377" i="12"/>
  <c r="J377" i="12"/>
  <c r="K376" i="12"/>
  <c r="J376" i="12"/>
  <c r="K375" i="12"/>
  <c r="J375" i="12"/>
  <c r="K374" i="12"/>
  <c r="J374" i="12"/>
  <c r="K373" i="12"/>
  <c r="J373" i="12"/>
  <c r="K372" i="12"/>
  <c r="J372" i="12"/>
  <c r="K371" i="12"/>
  <c r="J371" i="12"/>
  <c r="K370" i="12"/>
  <c r="J370" i="12"/>
  <c r="K369" i="12"/>
  <c r="J369" i="12"/>
  <c r="K368" i="12"/>
  <c r="J368" i="12"/>
  <c r="K367" i="12"/>
  <c r="J367" i="12"/>
  <c r="K366" i="12"/>
  <c r="J366" i="12"/>
  <c r="K365" i="12"/>
  <c r="J365" i="12"/>
  <c r="K364" i="12"/>
  <c r="J364" i="12"/>
  <c r="K363" i="12"/>
  <c r="J363" i="12"/>
  <c r="K362" i="12"/>
  <c r="J362" i="12"/>
  <c r="K361" i="12"/>
  <c r="J361" i="12"/>
  <c r="K360" i="12"/>
  <c r="J360" i="12"/>
  <c r="K359" i="12"/>
  <c r="J359" i="12"/>
  <c r="K358" i="12"/>
  <c r="J358" i="12"/>
  <c r="K357" i="12"/>
  <c r="J357" i="12"/>
  <c r="K356" i="12"/>
  <c r="J356" i="12"/>
  <c r="K355" i="12"/>
  <c r="J355" i="12"/>
  <c r="K354" i="12"/>
  <c r="J354" i="12"/>
  <c r="K353" i="12"/>
  <c r="J353" i="12"/>
  <c r="K352" i="12"/>
  <c r="J352" i="12"/>
  <c r="K351" i="12"/>
  <c r="J351" i="12"/>
  <c r="K350" i="12"/>
  <c r="J350" i="12"/>
  <c r="K349" i="12"/>
  <c r="J349" i="12"/>
  <c r="K348" i="12"/>
  <c r="J348" i="12"/>
  <c r="K347" i="12"/>
  <c r="J347" i="12"/>
  <c r="K346" i="12"/>
  <c r="J346" i="12"/>
  <c r="K345" i="12"/>
  <c r="J345" i="12"/>
  <c r="K344" i="12"/>
  <c r="J344" i="12"/>
  <c r="K343" i="12"/>
  <c r="J343" i="12"/>
  <c r="K342" i="12"/>
  <c r="J342" i="12"/>
  <c r="K341" i="12"/>
  <c r="J341" i="12"/>
  <c r="K340" i="12"/>
  <c r="J340" i="12"/>
  <c r="K339" i="12"/>
  <c r="J339" i="12"/>
  <c r="K338" i="12"/>
  <c r="J338" i="12"/>
  <c r="K337" i="12"/>
  <c r="J337" i="12"/>
  <c r="K336" i="12"/>
  <c r="J336" i="12"/>
  <c r="K335" i="12"/>
  <c r="J335" i="12"/>
  <c r="K334" i="12"/>
  <c r="J334" i="12"/>
  <c r="K333" i="12"/>
  <c r="J333" i="12"/>
  <c r="K332" i="12"/>
  <c r="J332" i="12"/>
  <c r="K331" i="12"/>
  <c r="J331" i="12"/>
  <c r="K330" i="12"/>
  <c r="J330" i="12"/>
  <c r="K329" i="12"/>
  <c r="J329" i="12"/>
  <c r="K328" i="12"/>
  <c r="J328" i="12"/>
  <c r="K327" i="12"/>
  <c r="J327" i="12"/>
  <c r="K326" i="12"/>
  <c r="J326" i="12"/>
  <c r="K325" i="12"/>
  <c r="J325" i="12"/>
  <c r="K324" i="12"/>
  <c r="J324" i="12"/>
  <c r="K323" i="12"/>
  <c r="J323" i="12"/>
  <c r="K322" i="12"/>
  <c r="J322" i="12"/>
  <c r="K321" i="12"/>
  <c r="J321" i="12"/>
  <c r="K320" i="12"/>
  <c r="J320" i="12"/>
  <c r="K319" i="12"/>
  <c r="J319" i="12"/>
  <c r="K318" i="12"/>
  <c r="J318" i="12"/>
  <c r="K317" i="12"/>
  <c r="J317" i="12"/>
  <c r="K316" i="12"/>
  <c r="J316" i="12"/>
  <c r="K315" i="12"/>
  <c r="J315" i="12"/>
  <c r="K314" i="12"/>
  <c r="J314" i="12"/>
  <c r="K313" i="12"/>
  <c r="J313" i="12"/>
  <c r="K312" i="12"/>
  <c r="J312" i="12"/>
  <c r="K311" i="12"/>
  <c r="J311" i="12"/>
  <c r="K310" i="12"/>
  <c r="J310" i="12"/>
  <c r="K309" i="12"/>
  <c r="J309" i="12"/>
  <c r="K308" i="12"/>
  <c r="J308" i="12"/>
  <c r="K307" i="12"/>
  <c r="J307" i="12"/>
  <c r="K306" i="12"/>
  <c r="J306" i="12"/>
  <c r="K305" i="12"/>
  <c r="J305" i="12"/>
  <c r="K304" i="12"/>
  <c r="J304" i="12"/>
  <c r="K303" i="12"/>
  <c r="J303" i="12"/>
  <c r="K302" i="12"/>
  <c r="J302" i="12"/>
  <c r="K301" i="12"/>
  <c r="J301" i="12"/>
  <c r="K300" i="12"/>
  <c r="J300" i="12"/>
  <c r="K299" i="12"/>
  <c r="J299" i="12"/>
  <c r="K298" i="12"/>
  <c r="J298" i="12"/>
  <c r="K297" i="12"/>
  <c r="J297" i="12"/>
  <c r="K296" i="12"/>
  <c r="J296" i="12"/>
  <c r="K295" i="12"/>
  <c r="J295" i="12"/>
  <c r="K294" i="12"/>
  <c r="J294" i="12"/>
  <c r="K293" i="12"/>
  <c r="J293" i="12"/>
  <c r="K292" i="12"/>
  <c r="J292" i="12"/>
  <c r="K291" i="12"/>
  <c r="J291" i="12"/>
  <c r="K290" i="12"/>
  <c r="J290" i="12"/>
  <c r="K289" i="12"/>
  <c r="J289" i="12"/>
  <c r="K288" i="12"/>
  <c r="J288" i="12"/>
  <c r="K287" i="12"/>
  <c r="J287" i="12"/>
  <c r="K286" i="12"/>
  <c r="J286" i="12"/>
  <c r="K285" i="12"/>
  <c r="J285" i="12"/>
  <c r="K284" i="12"/>
  <c r="J284" i="12"/>
  <c r="K283" i="12"/>
  <c r="J283" i="12"/>
  <c r="K282" i="12"/>
  <c r="J282" i="12"/>
  <c r="K281" i="12"/>
  <c r="J281" i="12"/>
  <c r="K280" i="12"/>
  <c r="J280" i="12"/>
  <c r="K279" i="12"/>
  <c r="J279" i="12"/>
  <c r="K278" i="12"/>
  <c r="J278" i="12"/>
  <c r="K277" i="12"/>
  <c r="J277" i="12"/>
  <c r="K276" i="12"/>
  <c r="J276" i="12"/>
  <c r="K275" i="12"/>
  <c r="J275" i="12"/>
  <c r="K274" i="12"/>
  <c r="J274" i="12"/>
  <c r="K273" i="12"/>
  <c r="J273" i="12"/>
  <c r="K272" i="12"/>
  <c r="J272" i="12"/>
  <c r="K271" i="12"/>
  <c r="J271" i="12"/>
  <c r="K270" i="12"/>
  <c r="J270" i="12"/>
  <c r="K269" i="12"/>
  <c r="J269" i="12"/>
  <c r="K268" i="12"/>
  <c r="J268" i="12"/>
  <c r="K267" i="12"/>
  <c r="J267" i="12"/>
  <c r="K266" i="12"/>
  <c r="J266" i="12"/>
  <c r="K265" i="12"/>
  <c r="J265" i="12"/>
  <c r="K264" i="12"/>
  <c r="J264" i="12"/>
  <c r="K263" i="12"/>
  <c r="J263" i="12"/>
  <c r="K262" i="12"/>
  <c r="J262" i="12"/>
  <c r="K261" i="12"/>
  <c r="J261" i="12"/>
  <c r="K260" i="12"/>
  <c r="J260" i="12"/>
  <c r="K259" i="12"/>
  <c r="J259" i="12"/>
  <c r="K258" i="12"/>
  <c r="J258" i="12"/>
  <c r="K257" i="12"/>
  <c r="J257" i="12"/>
  <c r="K256" i="12"/>
  <c r="J256" i="12"/>
  <c r="K255" i="12"/>
  <c r="J255" i="12"/>
  <c r="K254" i="12"/>
  <c r="J254" i="12"/>
  <c r="K253" i="12"/>
  <c r="J253" i="12"/>
  <c r="K252" i="12"/>
  <c r="J252" i="12"/>
  <c r="K251" i="12"/>
  <c r="J251" i="12"/>
  <c r="K250" i="12"/>
  <c r="J250" i="12"/>
  <c r="K249" i="12"/>
  <c r="J249" i="12"/>
  <c r="K248" i="12"/>
  <c r="J248" i="12"/>
  <c r="K247" i="12"/>
  <c r="J247" i="12"/>
  <c r="K246" i="12"/>
  <c r="J246" i="12"/>
  <c r="K245" i="12"/>
  <c r="J245" i="12"/>
  <c r="K244" i="12"/>
  <c r="J244" i="12"/>
  <c r="K243" i="12"/>
  <c r="J243" i="12"/>
  <c r="K242" i="12"/>
  <c r="J242" i="12"/>
  <c r="K241" i="12"/>
  <c r="J241" i="12"/>
  <c r="K240" i="12"/>
  <c r="J240" i="12"/>
  <c r="K239" i="12"/>
  <c r="J239" i="12"/>
  <c r="K238" i="12"/>
  <c r="J238" i="12"/>
  <c r="K237" i="12"/>
  <c r="J237" i="12"/>
  <c r="K236" i="12"/>
  <c r="J236" i="12"/>
  <c r="K235" i="12"/>
  <c r="J235" i="12"/>
  <c r="K234" i="12"/>
  <c r="J234" i="12"/>
  <c r="K233" i="12"/>
  <c r="J233" i="12"/>
  <c r="K232" i="12"/>
  <c r="J232" i="12"/>
  <c r="K231" i="12"/>
  <c r="J231" i="12"/>
  <c r="K230" i="12"/>
  <c r="J230" i="12"/>
  <c r="K229" i="12"/>
  <c r="J229" i="12"/>
  <c r="K228" i="12"/>
  <c r="J228" i="12"/>
  <c r="K227" i="12"/>
  <c r="J227" i="12"/>
  <c r="K226" i="12"/>
  <c r="J226" i="12"/>
  <c r="K225" i="12"/>
  <c r="J225" i="12"/>
  <c r="K224" i="12"/>
  <c r="J224" i="12"/>
  <c r="K223" i="12"/>
  <c r="J223" i="12"/>
  <c r="K222" i="12"/>
  <c r="J222" i="12"/>
  <c r="K221" i="12"/>
  <c r="J221" i="12"/>
  <c r="K220" i="12"/>
  <c r="J220" i="12"/>
  <c r="K219" i="12"/>
  <c r="J219" i="12"/>
  <c r="K218" i="12"/>
  <c r="J218" i="12"/>
  <c r="K217" i="12"/>
  <c r="J217" i="12"/>
  <c r="K216" i="12"/>
  <c r="J216" i="12"/>
  <c r="K215" i="12"/>
  <c r="J215" i="12"/>
  <c r="K214" i="12"/>
  <c r="J214" i="12"/>
  <c r="K213" i="12"/>
  <c r="J213" i="12"/>
  <c r="K212" i="12"/>
  <c r="J212" i="12"/>
  <c r="K211" i="12"/>
  <c r="J211" i="12"/>
  <c r="K210" i="12"/>
  <c r="J210" i="12"/>
  <c r="K209" i="12"/>
  <c r="J209" i="12"/>
  <c r="K208" i="12"/>
  <c r="J208" i="12"/>
  <c r="K207" i="12"/>
  <c r="J207" i="12"/>
  <c r="K206" i="12"/>
  <c r="J206" i="12"/>
  <c r="K205" i="12"/>
  <c r="J205" i="12"/>
  <c r="K204" i="12"/>
  <c r="J204" i="12"/>
  <c r="K203" i="12"/>
  <c r="J203" i="12"/>
  <c r="K202" i="12"/>
  <c r="J202" i="12"/>
  <c r="K201" i="12"/>
  <c r="J201" i="12"/>
  <c r="K200" i="12"/>
  <c r="J200" i="12"/>
  <c r="K199" i="12"/>
  <c r="J199" i="12"/>
  <c r="K198" i="12"/>
  <c r="J198" i="12"/>
  <c r="K197" i="12"/>
  <c r="J197" i="12"/>
  <c r="K196" i="12"/>
  <c r="J196" i="12"/>
  <c r="K195" i="12"/>
  <c r="J195" i="12"/>
  <c r="K194" i="12"/>
  <c r="J194" i="12"/>
  <c r="K193" i="12"/>
  <c r="J193" i="12"/>
  <c r="K192" i="12"/>
  <c r="J192" i="12"/>
  <c r="K191" i="12"/>
  <c r="J191" i="12"/>
  <c r="K190" i="12"/>
  <c r="J190" i="12"/>
  <c r="K189" i="12"/>
  <c r="J189" i="12"/>
  <c r="K188" i="12"/>
  <c r="J188" i="12"/>
  <c r="K187" i="12"/>
  <c r="J187" i="12"/>
  <c r="K186" i="12"/>
  <c r="J186" i="12"/>
  <c r="K185" i="12"/>
  <c r="J185" i="12"/>
  <c r="K184" i="12"/>
  <c r="J184" i="12"/>
  <c r="K183" i="12"/>
  <c r="J183" i="12"/>
  <c r="K182" i="12"/>
  <c r="J182" i="12"/>
  <c r="K181" i="12"/>
  <c r="J181" i="12"/>
  <c r="K180" i="12"/>
  <c r="J180" i="12"/>
  <c r="K179" i="12"/>
  <c r="J179" i="12"/>
  <c r="K178" i="12"/>
  <c r="J178" i="12"/>
  <c r="K177" i="12"/>
  <c r="J177" i="12"/>
  <c r="K176" i="12"/>
  <c r="J176" i="12"/>
  <c r="K175" i="12"/>
  <c r="J175" i="12"/>
  <c r="K174" i="12"/>
  <c r="J174" i="12"/>
  <c r="K173" i="12"/>
  <c r="J173" i="12"/>
  <c r="K172" i="12"/>
  <c r="J172" i="12"/>
  <c r="K171" i="12"/>
  <c r="J171" i="12"/>
  <c r="K170" i="12"/>
  <c r="J170" i="12"/>
  <c r="K169" i="12"/>
  <c r="J169" i="12"/>
  <c r="K168" i="12"/>
  <c r="J168" i="12"/>
  <c r="K167" i="12"/>
  <c r="J167" i="12"/>
  <c r="K166" i="12"/>
  <c r="J166" i="12"/>
  <c r="K165" i="12"/>
  <c r="J165" i="12"/>
  <c r="K164" i="12"/>
  <c r="J164" i="12"/>
  <c r="K163" i="12"/>
  <c r="J163" i="12"/>
  <c r="K162" i="12"/>
  <c r="J162" i="12"/>
  <c r="K161" i="12"/>
  <c r="J161" i="12"/>
  <c r="K160" i="12"/>
  <c r="J160" i="12"/>
  <c r="K159" i="12"/>
  <c r="J159" i="12"/>
  <c r="K158" i="12"/>
  <c r="J158" i="12"/>
  <c r="K157" i="12"/>
  <c r="J157" i="12"/>
  <c r="K156" i="12"/>
  <c r="J156" i="12"/>
  <c r="K155" i="12"/>
  <c r="J155" i="12"/>
  <c r="K154" i="12"/>
  <c r="J154" i="12"/>
  <c r="K153" i="12"/>
  <c r="J153" i="12"/>
  <c r="K152" i="12"/>
  <c r="J152" i="12"/>
  <c r="K151" i="12"/>
  <c r="J151" i="12"/>
  <c r="K150" i="12"/>
  <c r="J150" i="12"/>
  <c r="K149" i="12"/>
  <c r="J149" i="12"/>
  <c r="K148" i="12"/>
  <c r="J148" i="12"/>
  <c r="K147" i="12"/>
  <c r="J147" i="12"/>
  <c r="K146" i="12"/>
  <c r="J146" i="12"/>
  <c r="K145" i="12"/>
  <c r="J145" i="12"/>
  <c r="K144" i="12"/>
  <c r="J144" i="12"/>
  <c r="K143" i="12"/>
  <c r="J143" i="12"/>
  <c r="K142" i="12"/>
  <c r="J142" i="12"/>
  <c r="K141" i="12"/>
  <c r="J141" i="12"/>
  <c r="K140" i="12"/>
  <c r="J140" i="12"/>
  <c r="K139" i="12"/>
  <c r="J139" i="12"/>
  <c r="K138" i="12"/>
  <c r="J138" i="12"/>
  <c r="K137" i="12"/>
  <c r="J137" i="12"/>
  <c r="K136" i="12"/>
  <c r="J136" i="12"/>
  <c r="K135" i="12"/>
  <c r="J135" i="12"/>
  <c r="K134" i="12"/>
  <c r="J134" i="12"/>
  <c r="K133" i="12"/>
  <c r="J133" i="12"/>
  <c r="K132" i="12"/>
  <c r="J132" i="12"/>
  <c r="K131" i="12"/>
  <c r="J131" i="12"/>
  <c r="K130" i="12"/>
  <c r="J130" i="12"/>
  <c r="K129" i="12"/>
  <c r="J129" i="12"/>
  <c r="K128" i="12"/>
  <c r="J128" i="12"/>
  <c r="K127" i="12"/>
  <c r="J127" i="12"/>
  <c r="K126" i="12"/>
  <c r="J126" i="12"/>
  <c r="K125" i="12"/>
  <c r="J125" i="12"/>
  <c r="K124" i="12"/>
  <c r="J124" i="12"/>
  <c r="K123" i="12"/>
  <c r="J123" i="12"/>
  <c r="K122" i="12"/>
  <c r="J122" i="12"/>
  <c r="K121" i="12"/>
  <c r="J121" i="12"/>
  <c r="K120" i="12"/>
  <c r="J120" i="12"/>
  <c r="K119" i="12"/>
  <c r="J119" i="12"/>
  <c r="K118" i="12"/>
  <c r="J118" i="12"/>
  <c r="K117" i="12"/>
  <c r="J117" i="12"/>
  <c r="K116" i="12"/>
  <c r="J116" i="12"/>
  <c r="K115" i="12"/>
  <c r="J115" i="12"/>
  <c r="K114" i="12"/>
  <c r="J114" i="12"/>
  <c r="K113" i="12"/>
  <c r="J113" i="12"/>
  <c r="K112" i="12"/>
  <c r="J112" i="12"/>
  <c r="K111" i="12"/>
  <c r="J111" i="12"/>
  <c r="K110" i="12"/>
  <c r="J110" i="12"/>
  <c r="K109" i="12"/>
  <c r="J109" i="12"/>
  <c r="K108" i="12"/>
  <c r="J108" i="12"/>
  <c r="K107" i="12"/>
  <c r="J107" i="12"/>
  <c r="K106" i="12"/>
  <c r="J106" i="12"/>
  <c r="K105" i="12"/>
  <c r="J105" i="12"/>
  <c r="K104" i="12"/>
  <c r="J104" i="12"/>
  <c r="K103" i="12"/>
  <c r="J103" i="12"/>
  <c r="K102" i="12"/>
  <c r="J102" i="12"/>
  <c r="K101" i="12"/>
  <c r="J101" i="12"/>
  <c r="K100" i="12"/>
  <c r="J100" i="12"/>
  <c r="K99" i="12"/>
  <c r="J99" i="12"/>
  <c r="K98" i="12"/>
  <c r="J98" i="12"/>
  <c r="K97" i="12"/>
  <c r="J97" i="12"/>
  <c r="K96" i="12"/>
  <c r="J96" i="12"/>
  <c r="K95" i="12"/>
  <c r="J95" i="12"/>
  <c r="K94" i="12"/>
  <c r="J94" i="12"/>
  <c r="K93" i="12"/>
  <c r="J93" i="12"/>
  <c r="K92" i="12"/>
  <c r="J92" i="12"/>
  <c r="K91" i="12"/>
  <c r="J91" i="12"/>
  <c r="K90" i="12"/>
  <c r="J90" i="12"/>
  <c r="K89" i="12"/>
  <c r="J89" i="12"/>
  <c r="K88" i="12"/>
  <c r="J88" i="12"/>
  <c r="K87" i="12"/>
  <c r="J87" i="12"/>
  <c r="K86" i="12"/>
  <c r="J86" i="12"/>
  <c r="K85" i="12"/>
  <c r="J85" i="12"/>
  <c r="K84" i="12"/>
  <c r="J84" i="12"/>
  <c r="K83" i="12"/>
  <c r="J83" i="12"/>
  <c r="K82" i="12"/>
  <c r="J82" i="12"/>
  <c r="K81" i="12"/>
  <c r="J81" i="12"/>
  <c r="K80" i="12"/>
  <c r="J80" i="12"/>
  <c r="K79" i="12"/>
  <c r="J79" i="12"/>
  <c r="K78" i="12"/>
  <c r="J78" i="12"/>
  <c r="K77" i="12"/>
  <c r="J77" i="12"/>
  <c r="K76" i="12"/>
  <c r="J76" i="12"/>
  <c r="K75" i="12"/>
  <c r="J75" i="12"/>
  <c r="K74" i="12"/>
  <c r="J74" i="12"/>
  <c r="K73" i="12"/>
  <c r="J73" i="12"/>
  <c r="K72" i="12"/>
  <c r="J72" i="12"/>
  <c r="K71" i="12"/>
  <c r="J71" i="12"/>
  <c r="K70" i="12"/>
  <c r="J70" i="12"/>
  <c r="K69" i="12"/>
  <c r="J69" i="12"/>
  <c r="K68" i="12"/>
  <c r="J68" i="12"/>
  <c r="K67" i="12"/>
  <c r="J67" i="12"/>
  <c r="K66" i="12"/>
  <c r="J66" i="12"/>
  <c r="K65" i="12"/>
  <c r="J65" i="12"/>
  <c r="K64" i="12"/>
  <c r="J64" i="12"/>
  <c r="K63" i="12"/>
  <c r="J63" i="12"/>
  <c r="K62" i="12"/>
  <c r="J62" i="12"/>
  <c r="K61" i="12"/>
  <c r="J61" i="12"/>
  <c r="K60" i="12"/>
  <c r="J60" i="12"/>
  <c r="K59" i="12"/>
  <c r="J59" i="12"/>
  <c r="K58" i="12"/>
  <c r="J58" i="12"/>
  <c r="K57" i="12"/>
  <c r="J57" i="12"/>
  <c r="K56" i="12"/>
  <c r="J56" i="12"/>
  <c r="K55" i="12"/>
  <c r="J55" i="12"/>
  <c r="K54" i="12"/>
  <c r="J54" i="12"/>
  <c r="K53" i="12"/>
  <c r="J53" i="12"/>
  <c r="K52" i="12"/>
  <c r="J52" i="12"/>
  <c r="K51" i="12"/>
  <c r="J51" i="12"/>
  <c r="K50" i="12"/>
  <c r="J50" i="12"/>
  <c r="K49" i="12"/>
  <c r="J49" i="12"/>
  <c r="K48" i="12"/>
  <c r="J48" i="12"/>
  <c r="K47" i="12"/>
  <c r="J47" i="12"/>
  <c r="K46" i="12"/>
  <c r="J46" i="12"/>
  <c r="K45" i="12"/>
  <c r="J45" i="12"/>
  <c r="K44" i="12"/>
  <c r="J44" i="12"/>
  <c r="K43" i="12"/>
  <c r="J43" i="12"/>
  <c r="K42" i="12"/>
  <c r="J42" i="12"/>
  <c r="K41" i="12"/>
  <c r="J41" i="12"/>
  <c r="K40" i="12"/>
  <c r="J40" i="12"/>
  <c r="K39" i="12"/>
  <c r="J39" i="12"/>
  <c r="K38" i="12"/>
  <c r="J38" i="12"/>
  <c r="K37" i="12"/>
  <c r="J37" i="12"/>
  <c r="K36" i="12"/>
  <c r="J36" i="12"/>
  <c r="K35" i="12"/>
  <c r="J35" i="12"/>
  <c r="K34" i="12"/>
  <c r="J34" i="12"/>
  <c r="K33" i="12"/>
  <c r="J33" i="12"/>
  <c r="K32" i="12"/>
  <c r="J32" i="12"/>
  <c r="K31" i="12"/>
  <c r="J31" i="12"/>
  <c r="K30" i="12"/>
  <c r="J30" i="12"/>
  <c r="K29" i="12"/>
  <c r="J29" i="12"/>
  <c r="K28" i="12"/>
  <c r="J28" i="12"/>
  <c r="K27" i="12"/>
  <c r="J27" i="12"/>
  <c r="K26" i="12"/>
  <c r="J26" i="12"/>
  <c r="K25" i="12"/>
  <c r="J25" i="12"/>
  <c r="K24" i="12"/>
  <c r="J24" i="12"/>
  <c r="K23" i="12"/>
  <c r="J23" i="12"/>
  <c r="K22" i="12"/>
  <c r="J22" i="12"/>
  <c r="K21" i="12"/>
  <c r="J21" i="12"/>
  <c r="K20" i="12"/>
  <c r="J20" i="12"/>
  <c r="K19" i="12"/>
  <c r="J19" i="12"/>
  <c r="K18" i="12"/>
  <c r="J18" i="12"/>
  <c r="K17" i="12"/>
  <c r="J17" i="12"/>
  <c r="K16" i="12"/>
  <c r="J16" i="12"/>
  <c r="K15" i="12"/>
  <c r="J15" i="12"/>
  <c r="K14" i="12"/>
  <c r="J14" i="12"/>
  <c r="K13" i="12"/>
  <c r="J13" i="12"/>
  <c r="K12" i="12"/>
  <c r="J12" i="12"/>
  <c r="K11" i="12"/>
  <c r="J11" i="12"/>
  <c r="K10" i="12"/>
  <c r="J10" i="12"/>
  <c r="K9" i="12"/>
  <c r="J9" i="12"/>
  <c r="K8" i="12"/>
  <c r="J8" i="12"/>
  <c r="K7" i="12"/>
  <c r="J7" i="12"/>
  <c r="K6" i="12"/>
  <c r="J6" i="12"/>
  <c r="K3" i="12"/>
  <c r="I3" i="12"/>
  <c r="H3" i="12"/>
  <c r="J504" i="40"/>
  <c r="J503" i="40"/>
  <c r="J502" i="40"/>
  <c r="J501" i="40"/>
  <c r="J500" i="40"/>
  <c r="J499" i="40"/>
  <c r="J498" i="40"/>
  <c r="J497" i="40"/>
  <c r="J496" i="40"/>
  <c r="J495" i="40"/>
  <c r="J494" i="40"/>
  <c r="J493" i="40"/>
  <c r="J492" i="40"/>
  <c r="J491" i="40"/>
  <c r="J490" i="40"/>
  <c r="J489" i="40"/>
  <c r="J488" i="40"/>
  <c r="J487" i="40"/>
  <c r="J486" i="40"/>
  <c r="J485" i="40"/>
  <c r="J484" i="40"/>
  <c r="J483" i="40"/>
  <c r="J482" i="40"/>
  <c r="J481" i="40"/>
  <c r="J480" i="40"/>
  <c r="J479" i="40"/>
  <c r="J478" i="40"/>
  <c r="J477" i="40"/>
  <c r="J476" i="40"/>
  <c r="J475" i="40"/>
  <c r="J474" i="40"/>
  <c r="J473" i="40"/>
  <c r="J472" i="40"/>
  <c r="J471" i="40"/>
  <c r="J470" i="40"/>
  <c r="J469" i="40"/>
  <c r="J468" i="40"/>
  <c r="J467" i="40"/>
  <c r="J466" i="40"/>
  <c r="J465" i="40"/>
  <c r="J464" i="40"/>
  <c r="J463" i="40"/>
  <c r="J462" i="40"/>
  <c r="J461" i="40"/>
  <c r="J460" i="40"/>
  <c r="J459" i="40"/>
  <c r="J458" i="40"/>
  <c r="J457" i="40"/>
  <c r="J456" i="40"/>
  <c r="J455" i="40"/>
  <c r="J454" i="40"/>
  <c r="J453" i="40"/>
  <c r="J452" i="40"/>
  <c r="J451" i="40"/>
  <c r="J450" i="40"/>
  <c r="J449" i="40"/>
  <c r="J448" i="40"/>
  <c r="J447" i="40"/>
  <c r="J446" i="40"/>
  <c r="J445" i="40"/>
  <c r="J444" i="40"/>
  <c r="J443" i="40"/>
  <c r="J442" i="40"/>
  <c r="J441" i="40"/>
  <c r="J440" i="40"/>
  <c r="J439" i="40"/>
  <c r="J438" i="40"/>
  <c r="J437" i="40"/>
  <c r="J436" i="40"/>
  <c r="J435" i="40"/>
  <c r="J434" i="40"/>
  <c r="J433" i="40"/>
  <c r="J432" i="40"/>
  <c r="J431" i="40"/>
  <c r="J430" i="40"/>
  <c r="J429" i="40"/>
  <c r="J428" i="40"/>
  <c r="J427" i="40"/>
  <c r="J426" i="40"/>
  <c r="J425" i="40"/>
  <c r="J424" i="40"/>
  <c r="J423" i="40"/>
  <c r="J422" i="40"/>
  <c r="J421" i="40"/>
  <c r="J420" i="40"/>
  <c r="J419" i="40"/>
  <c r="J418" i="40"/>
  <c r="J417" i="40"/>
  <c r="J416" i="40"/>
  <c r="J415" i="40"/>
  <c r="J414" i="40"/>
  <c r="J413" i="40"/>
  <c r="J412" i="40"/>
  <c r="J411" i="40"/>
  <c r="J410" i="40"/>
  <c r="J409" i="40"/>
  <c r="J408" i="40"/>
  <c r="J407" i="40"/>
  <c r="J406" i="40"/>
  <c r="J405" i="40"/>
  <c r="J404" i="40"/>
  <c r="J403" i="40"/>
  <c r="J402" i="40"/>
  <c r="J401" i="40"/>
  <c r="J400" i="40"/>
  <c r="J399" i="40"/>
  <c r="J398" i="40"/>
  <c r="J397" i="40"/>
  <c r="J396" i="40"/>
  <c r="J395" i="40"/>
  <c r="J394" i="40"/>
  <c r="J393" i="40"/>
  <c r="J392" i="40"/>
  <c r="J391" i="40"/>
  <c r="J390" i="40"/>
  <c r="J389" i="40"/>
  <c r="J388" i="40"/>
  <c r="J387" i="40"/>
  <c r="J386" i="40"/>
  <c r="J385" i="40"/>
  <c r="J384" i="40"/>
  <c r="J383" i="40"/>
  <c r="J382" i="40"/>
  <c r="J381" i="40"/>
  <c r="J380" i="40"/>
  <c r="J379" i="40"/>
  <c r="J378" i="40"/>
  <c r="J377" i="40"/>
  <c r="J376" i="40"/>
  <c r="J375" i="40"/>
  <c r="J374" i="40"/>
  <c r="J373" i="40"/>
  <c r="J372" i="40"/>
  <c r="J371" i="40"/>
  <c r="J370" i="40"/>
  <c r="J369" i="40"/>
  <c r="J368" i="40"/>
  <c r="J367" i="40"/>
  <c r="J366" i="40"/>
  <c r="J365" i="40"/>
  <c r="J364" i="40"/>
  <c r="J363" i="40"/>
  <c r="J362" i="40"/>
  <c r="J361" i="40"/>
  <c r="J360" i="40"/>
  <c r="J359" i="40"/>
  <c r="J358" i="40"/>
  <c r="J357" i="40"/>
  <c r="J356" i="40"/>
  <c r="J355" i="40"/>
  <c r="J354" i="40"/>
  <c r="J353" i="40"/>
  <c r="J352" i="40"/>
  <c r="J351" i="40"/>
  <c r="J350" i="40"/>
  <c r="J349" i="40"/>
  <c r="J348" i="40"/>
  <c r="J347" i="40"/>
  <c r="J346" i="40"/>
  <c r="J345" i="40"/>
  <c r="J344" i="40"/>
  <c r="J343" i="40"/>
  <c r="J342" i="40"/>
  <c r="J341" i="40"/>
  <c r="J340" i="40"/>
  <c r="J339" i="40"/>
  <c r="J338" i="40"/>
  <c r="J337" i="40"/>
  <c r="J336" i="40"/>
  <c r="J335" i="40"/>
  <c r="J334" i="40"/>
  <c r="J333" i="40"/>
  <c r="J332" i="40"/>
  <c r="J331" i="40"/>
  <c r="J330" i="40"/>
  <c r="J329" i="40"/>
  <c r="J328" i="40"/>
  <c r="J327" i="40"/>
  <c r="J326" i="40"/>
  <c r="J325" i="40"/>
  <c r="J324" i="40"/>
  <c r="J323" i="40"/>
  <c r="J322" i="40"/>
  <c r="J321" i="40"/>
  <c r="J320" i="40"/>
  <c r="J319" i="40"/>
  <c r="J318" i="40"/>
  <c r="J317" i="40"/>
  <c r="J316" i="40"/>
  <c r="J315" i="40"/>
  <c r="J314" i="40"/>
  <c r="J313" i="40"/>
  <c r="J312" i="40"/>
  <c r="J311" i="40"/>
  <c r="J310" i="40"/>
  <c r="J309" i="40"/>
  <c r="J308" i="40"/>
  <c r="J307" i="40"/>
  <c r="J306" i="40"/>
  <c r="J305" i="40"/>
  <c r="J304" i="40"/>
  <c r="J303" i="40"/>
  <c r="J302" i="40"/>
  <c r="J301" i="40"/>
  <c r="J300" i="40"/>
  <c r="J299" i="40"/>
  <c r="J298" i="40"/>
  <c r="J297" i="40"/>
  <c r="J296" i="40"/>
  <c r="J295" i="40"/>
  <c r="J294" i="40"/>
  <c r="J293" i="40"/>
  <c r="J292" i="40"/>
  <c r="J291" i="40"/>
  <c r="J290" i="40"/>
  <c r="J289" i="40"/>
  <c r="J288" i="40"/>
  <c r="J287" i="40"/>
  <c r="J286" i="40"/>
  <c r="J285" i="40"/>
  <c r="J284" i="40"/>
  <c r="J283" i="40"/>
  <c r="J282" i="40"/>
  <c r="J281" i="40"/>
  <c r="J280" i="40"/>
  <c r="J279" i="40"/>
  <c r="J278" i="40"/>
  <c r="J277" i="40"/>
  <c r="J276" i="40"/>
  <c r="J275" i="40"/>
  <c r="J274" i="40"/>
  <c r="J273" i="40"/>
  <c r="J272" i="40"/>
  <c r="J271" i="40"/>
  <c r="J270" i="40"/>
  <c r="J269" i="40"/>
  <c r="J268" i="40"/>
  <c r="J267" i="40"/>
  <c r="J266" i="40"/>
  <c r="J265" i="40"/>
  <c r="J264" i="40"/>
  <c r="J263" i="40"/>
  <c r="J262" i="40"/>
  <c r="J261" i="40"/>
  <c r="J260" i="40"/>
  <c r="J259" i="40"/>
  <c r="J258" i="40"/>
  <c r="J257" i="40"/>
  <c r="J256" i="40"/>
  <c r="J255" i="40"/>
  <c r="J254" i="40"/>
  <c r="J253" i="40"/>
  <c r="J252" i="40"/>
  <c r="J251" i="40"/>
  <c r="J250" i="40"/>
  <c r="J249" i="40"/>
  <c r="J248" i="40"/>
  <c r="J247" i="40"/>
  <c r="J246" i="40"/>
  <c r="J245" i="40"/>
  <c r="J244" i="40"/>
  <c r="J243" i="40"/>
  <c r="J242" i="40"/>
  <c r="J241" i="40"/>
  <c r="J240" i="40"/>
  <c r="J239" i="40"/>
  <c r="J238" i="40"/>
  <c r="J237" i="40"/>
  <c r="J236" i="40"/>
  <c r="J235" i="40"/>
  <c r="J234" i="40"/>
  <c r="J233" i="40"/>
  <c r="J232" i="40"/>
  <c r="J231" i="40"/>
  <c r="J230" i="40"/>
  <c r="J229" i="40"/>
  <c r="J228" i="40"/>
  <c r="J227" i="40"/>
  <c r="J226" i="40"/>
  <c r="J225" i="40"/>
  <c r="J224" i="40"/>
  <c r="J223" i="40"/>
  <c r="J222" i="40"/>
  <c r="J221" i="40"/>
  <c r="J220" i="40"/>
  <c r="J219" i="40"/>
  <c r="J218" i="40"/>
  <c r="J217" i="40"/>
  <c r="J216" i="40"/>
  <c r="J215" i="40"/>
  <c r="J214" i="40"/>
  <c r="J213" i="40"/>
  <c r="J212" i="40"/>
  <c r="J211" i="40"/>
  <c r="J210" i="40"/>
  <c r="J209" i="40"/>
  <c r="J208" i="40"/>
  <c r="J207" i="40"/>
  <c r="J206" i="40"/>
  <c r="J205" i="40"/>
  <c r="J204" i="40"/>
  <c r="J203" i="40"/>
  <c r="J202" i="40"/>
  <c r="J201" i="40"/>
  <c r="J200" i="40"/>
  <c r="J199" i="40"/>
  <c r="J198" i="40"/>
  <c r="J197" i="40"/>
  <c r="J196" i="40"/>
  <c r="J195" i="40"/>
  <c r="J194" i="40"/>
  <c r="J193" i="40"/>
  <c r="J192" i="40"/>
  <c r="J191" i="40"/>
  <c r="J190" i="40"/>
  <c r="J189" i="40"/>
  <c r="J188" i="40"/>
  <c r="J187" i="40"/>
  <c r="J186" i="40"/>
  <c r="J185" i="40"/>
  <c r="J184" i="40"/>
  <c r="J183" i="40"/>
  <c r="J182" i="40"/>
  <c r="J181" i="40"/>
  <c r="J180" i="40"/>
  <c r="J179" i="40"/>
  <c r="J178" i="40"/>
  <c r="J177" i="40"/>
  <c r="J176" i="40"/>
  <c r="J175" i="40"/>
  <c r="J174" i="40"/>
  <c r="J173" i="40"/>
  <c r="J172" i="40"/>
  <c r="J171" i="40"/>
  <c r="J170" i="40"/>
  <c r="J169" i="40"/>
  <c r="J168" i="40"/>
  <c r="J167" i="40"/>
  <c r="J166" i="40"/>
  <c r="J165" i="40"/>
  <c r="J164" i="40"/>
  <c r="J163" i="40"/>
  <c r="J162" i="40"/>
  <c r="J161" i="40"/>
  <c r="J160" i="40"/>
  <c r="J159" i="40"/>
  <c r="J158" i="40"/>
  <c r="J157" i="40"/>
  <c r="J156" i="40"/>
  <c r="J155" i="40"/>
  <c r="J154" i="40"/>
  <c r="J153" i="40"/>
  <c r="J152" i="40"/>
  <c r="J151" i="40"/>
  <c r="J150" i="40"/>
  <c r="J149" i="40"/>
  <c r="K148" i="40"/>
  <c r="J148" i="40"/>
  <c r="K147" i="40"/>
  <c r="J147" i="40"/>
  <c r="K146" i="40"/>
  <c r="J146" i="40"/>
  <c r="K145" i="40"/>
  <c r="J145" i="40"/>
  <c r="K144" i="40"/>
  <c r="J144" i="40"/>
  <c r="K143" i="40"/>
  <c r="J143" i="40"/>
  <c r="K142" i="40"/>
  <c r="J142" i="40"/>
  <c r="K141" i="40"/>
  <c r="J141" i="40"/>
  <c r="K140" i="40"/>
  <c r="J140" i="40"/>
  <c r="K139" i="40"/>
  <c r="J139" i="40"/>
  <c r="K138" i="40"/>
  <c r="J138" i="40"/>
  <c r="K137" i="40"/>
  <c r="J137" i="40"/>
  <c r="K136" i="40"/>
  <c r="J136" i="40"/>
  <c r="K135" i="40"/>
  <c r="J135" i="40"/>
  <c r="K134" i="40"/>
  <c r="J134" i="40"/>
  <c r="K133" i="40"/>
  <c r="J133" i="40"/>
  <c r="K132" i="40"/>
  <c r="J132" i="40"/>
  <c r="K131" i="40"/>
  <c r="J131" i="40"/>
  <c r="K130" i="40"/>
  <c r="J130" i="40"/>
  <c r="K129" i="40"/>
  <c r="J129" i="40"/>
  <c r="K128" i="40"/>
  <c r="J128" i="40"/>
  <c r="K127" i="40"/>
  <c r="J127" i="40"/>
  <c r="K126" i="40"/>
  <c r="J126" i="40"/>
  <c r="K125" i="40"/>
  <c r="J125" i="40"/>
  <c r="K124" i="40"/>
  <c r="J124" i="40"/>
  <c r="K123" i="40"/>
  <c r="J123" i="40"/>
  <c r="K122" i="40"/>
  <c r="J122" i="40"/>
  <c r="K121" i="40"/>
  <c r="J121" i="40"/>
  <c r="K120" i="40"/>
  <c r="J120" i="40"/>
  <c r="K119" i="40"/>
  <c r="J119" i="40"/>
  <c r="K118" i="40"/>
  <c r="J118" i="40"/>
  <c r="K117" i="40"/>
  <c r="J117" i="40"/>
  <c r="K116" i="40"/>
  <c r="J116" i="40"/>
  <c r="K115" i="40"/>
  <c r="J115" i="40"/>
  <c r="K114" i="40"/>
  <c r="J114" i="40"/>
  <c r="K113" i="40"/>
  <c r="J113" i="40"/>
  <c r="K112" i="40"/>
  <c r="J112" i="40"/>
  <c r="K111" i="40"/>
  <c r="J111" i="40"/>
  <c r="K110" i="40"/>
  <c r="J110" i="40"/>
  <c r="K109" i="40"/>
  <c r="J109" i="40"/>
  <c r="K108" i="40"/>
  <c r="J108" i="40"/>
  <c r="K107" i="40"/>
  <c r="J107" i="40"/>
  <c r="K106" i="40"/>
  <c r="J106" i="40"/>
  <c r="K105" i="40"/>
  <c r="J105" i="40"/>
  <c r="K104" i="40"/>
  <c r="J104" i="40"/>
  <c r="K103" i="40"/>
  <c r="J103" i="40"/>
  <c r="K102" i="40"/>
  <c r="J102" i="40"/>
  <c r="K101" i="40"/>
  <c r="J101" i="40"/>
  <c r="K100" i="40"/>
  <c r="J100" i="40"/>
  <c r="K99" i="40"/>
  <c r="J99" i="40"/>
  <c r="K98" i="40"/>
  <c r="J98" i="40"/>
  <c r="K97" i="40"/>
  <c r="J97" i="40"/>
  <c r="K96" i="40"/>
  <c r="J96" i="40"/>
  <c r="K95" i="40"/>
  <c r="J95" i="40"/>
  <c r="K94" i="40"/>
  <c r="J94" i="40"/>
  <c r="K93" i="40"/>
  <c r="J93" i="40"/>
  <c r="K92" i="40"/>
  <c r="J92" i="40"/>
  <c r="K91" i="40"/>
  <c r="J91" i="40"/>
  <c r="K90" i="40"/>
  <c r="J90" i="40"/>
  <c r="K89" i="40"/>
  <c r="J89" i="40"/>
  <c r="K88" i="40"/>
  <c r="J88" i="40"/>
  <c r="K87" i="40"/>
  <c r="J87" i="40"/>
  <c r="K86" i="40"/>
  <c r="J86" i="40"/>
  <c r="K85" i="40"/>
  <c r="J85" i="40"/>
  <c r="K84" i="40"/>
  <c r="J84" i="40"/>
  <c r="K83" i="40"/>
  <c r="J83" i="40"/>
  <c r="K82" i="40"/>
  <c r="J82" i="40"/>
  <c r="K81" i="40"/>
  <c r="J81" i="40"/>
  <c r="K80" i="40"/>
  <c r="J80" i="40"/>
  <c r="K79" i="40"/>
  <c r="J79" i="40"/>
  <c r="K78" i="40"/>
  <c r="J78" i="40"/>
  <c r="K77" i="40"/>
  <c r="J77" i="40"/>
  <c r="K76" i="40"/>
  <c r="J76" i="40"/>
  <c r="K75" i="40"/>
  <c r="J75" i="40"/>
  <c r="K74" i="40"/>
  <c r="J74" i="40"/>
  <c r="K73" i="40"/>
  <c r="J73" i="40"/>
  <c r="K72" i="40"/>
  <c r="J72" i="40"/>
  <c r="K71" i="40"/>
  <c r="J71" i="40"/>
  <c r="K70" i="40"/>
  <c r="J70" i="40"/>
  <c r="K69" i="40"/>
  <c r="J69" i="40"/>
  <c r="K68" i="40"/>
  <c r="J68" i="40"/>
  <c r="K67" i="40"/>
  <c r="J67" i="40"/>
  <c r="K66" i="40"/>
  <c r="J66" i="40"/>
  <c r="K65" i="40"/>
  <c r="J65" i="40"/>
  <c r="K64" i="40"/>
  <c r="J64" i="40"/>
  <c r="K63" i="40"/>
  <c r="J63" i="40"/>
  <c r="K62" i="40"/>
  <c r="J62" i="40"/>
  <c r="K61" i="40"/>
  <c r="J61" i="40"/>
  <c r="K60" i="40"/>
  <c r="J60" i="40"/>
  <c r="K59" i="40"/>
  <c r="J59" i="40"/>
  <c r="K58" i="40"/>
  <c r="J58" i="40"/>
  <c r="K57" i="40"/>
  <c r="J57" i="40"/>
  <c r="K56" i="40"/>
  <c r="J56" i="40"/>
  <c r="K55" i="40"/>
  <c r="J55" i="40"/>
  <c r="K54" i="40"/>
  <c r="J54" i="40"/>
  <c r="K53" i="40"/>
  <c r="J53" i="40"/>
  <c r="K52" i="40"/>
  <c r="J52" i="40"/>
  <c r="K51" i="40"/>
  <c r="J51" i="40"/>
  <c r="K50" i="40"/>
  <c r="J50" i="40"/>
  <c r="K49" i="40"/>
  <c r="J49" i="40"/>
  <c r="K48" i="40"/>
  <c r="J48" i="40"/>
  <c r="K47" i="40"/>
  <c r="J47" i="40"/>
  <c r="K46" i="40"/>
  <c r="J46" i="40"/>
  <c r="K45" i="40"/>
  <c r="J45" i="40"/>
  <c r="K44" i="40"/>
  <c r="J44" i="40"/>
  <c r="K43" i="40"/>
  <c r="J43" i="40"/>
  <c r="K42" i="40"/>
  <c r="J42" i="40"/>
  <c r="K41" i="40"/>
  <c r="J41" i="40"/>
  <c r="K40" i="40"/>
  <c r="J40" i="40"/>
  <c r="K39" i="40"/>
  <c r="J39" i="40"/>
  <c r="K38" i="40"/>
  <c r="J38" i="40"/>
  <c r="K37" i="40"/>
  <c r="J37" i="40"/>
  <c r="K36" i="40"/>
  <c r="J36" i="40"/>
  <c r="K35" i="40"/>
  <c r="J35" i="40"/>
  <c r="K34" i="40"/>
  <c r="J34" i="40"/>
  <c r="K33" i="40"/>
  <c r="J33" i="40"/>
  <c r="K32" i="40"/>
  <c r="J32" i="40"/>
  <c r="K31" i="40"/>
  <c r="J31" i="40"/>
  <c r="K30" i="40"/>
  <c r="J30" i="40"/>
  <c r="K29" i="40"/>
  <c r="J29" i="40"/>
  <c r="K28" i="40"/>
  <c r="J28" i="40"/>
  <c r="K27" i="40"/>
  <c r="J27" i="40"/>
  <c r="K26" i="40"/>
  <c r="J26" i="40"/>
  <c r="K25" i="40"/>
  <c r="J25" i="40"/>
  <c r="K24" i="40"/>
  <c r="J24" i="40"/>
  <c r="K23" i="40"/>
  <c r="J23" i="40"/>
  <c r="K22" i="40"/>
  <c r="J22" i="40"/>
  <c r="K21" i="40"/>
  <c r="J21" i="40"/>
  <c r="K20" i="40"/>
  <c r="J20" i="40"/>
  <c r="K19" i="40"/>
  <c r="J19" i="40"/>
  <c r="K18" i="40"/>
  <c r="J18" i="40"/>
  <c r="K17" i="40"/>
  <c r="J17" i="40"/>
  <c r="K16" i="40"/>
  <c r="J16" i="40"/>
  <c r="K15" i="40"/>
  <c r="J15" i="40"/>
  <c r="K14" i="40"/>
  <c r="J14" i="40"/>
  <c r="K13" i="40"/>
  <c r="J13" i="40"/>
  <c r="K12" i="40"/>
  <c r="J12" i="40"/>
  <c r="K11" i="40"/>
  <c r="J11" i="40"/>
  <c r="K10" i="40"/>
  <c r="J10" i="40"/>
  <c r="K9" i="40"/>
  <c r="J9" i="40"/>
  <c r="K8" i="40"/>
  <c r="J8" i="40"/>
  <c r="K7" i="40"/>
  <c r="J7" i="40"/>
  <c r="K6" i="40"/>
  <c r="J6" i="40"/>
  <c r="K5" i="40"/>
  <c r="J5" i="40"/>
  <c r="K2" i="40"/>
  <c r="I2" i="40"/>
  <c r="H2" i="40"/>
  <c r="K498" i="68"/>
  <c r="J498" i="68"/>
  <c r="K497" i="68"/>
  <c r="J497" i="68"/>
  <c r="K496" i="68"/>
  <c r="J496" i="68"/>
  <c r="K495" i="68"/>
  <c r="J495" i="68"/>
  <c r="K494" i="68"/>
  <c r="J494" i="68"/>
  <c r="K493" i="68"/>
  <c r="J493" i="68"/>
  <c r="K492" i="68"/>
  <c r="J492" i="68"/>
  <c r="K491" i="68"/>
  <c r="J491" i="68"/>
  <c r="K490" i="68"/>
  <c r="J490" i="68"/>
  <c r="K489" i="68"/>
  <c r="J489" i="68"/>
  <c r="K488" i="68"/>
  <c r="J488" i="68"/>
  <c r="K487" i="68"/>
  <c r="J487" i="68"/>
  <c r="K486" i="68"/>
  <c r="J486" i="68"/>
  <c r="K485" i="68"/>
  <c r="J485" i="68"/>
  <c r="K484" i="68"/>
  <c r="J484" i="68"/>
  <c r="K483" i="68"/>
  <c r="J483" i="68"/>
  <c r="K482" i="68"/>
  <c r="J482" i="68"/>
  <c r="K481" i="68"/>
  <c r="J481" i="68"/>
  <c r="K480" i="68"/>
  <c r="J480" i="68"/>
  <c r="K479" i="68"/>
  <c r="J479" i="68"/>
  <c r="K478" i="68"/>
  <c r="J478" i="68"/>
  <c r="K477" i="68"/>
  <c r="J477" i="68"/>
  <c r="K476" i="68"/>
  <c r="J476" i="68"/>
  <c r="K475" i="68"/>
  <c r="J475" i="68"/>
  <c r="K474" i="68"/>
  <c r="J474" i="68"/>
  <c r="K473" i="68"/>
  <c r="J473" i="68"/>
  <c r="K472" i="68"/>
  <c r="J472" i="68"/>
  <c r="K471" i="68"/>
  <c r="J471" i="68"/>
  <c r="K470" i="68"/>
  <c r="J470" i="68"/>
  <c r="K469" i="68"/>
  <c r="J469" i="68"/>
  <c r="K468" i="68"/>
  <c r="J468" i="68"/>
  <c r="K467" i="68"/>
  <c r="J467" i="68"/>
  <c r="K466" i="68"/>
  <c r="J466" i="68"/>
  <c r="K465" i="68"/>
  <c r="J465" i="68"/>
  <c r="K464" i="68"/>
  <c r="J464" i="68"/>
  <c r="K463" i="68"/>
  <c r="J463" i="68"/>
  <c r="K462" i="68"/>
  <c r="J462" i="68"/>
  <c r="K461" i="68"/>
  <c r="J461" i="68"/>
  <c r="K460" i="68"/>
  <c r="J460" i="68"/>
  <c r="K459" i="68"/>
  <c r="J459" i="68"/>
  <c r="K458" i="68"/>
  <c r="J458" i="68"/>
  <c r="K457" i="68"/>
  <c r="J457" i="68"/>
  <c r="K456" i="68"/>
  <c r="J456" i="68"/>
  <c r="K455" i="68"/>
  <c r="J455" i="68"/>
  <c r="K454" i="68"/>
  <c r="J454" i="68"/>
  <c r="K453" i="68"/>
  <c r="J453" i="68"/>
  <c r="K452" i="68"/>
  <c r="J452" i="68"/>
  <c r="K451" i="68"/>
  <c r="J451" i="68"/>
  <c r="K450" i="68"/>
  <c r="J450" i="68"/>
  <c r="K449" i="68"/>
  <c r="J449" i="68"/>
  <c r="K448" i="68"/>
  <c r="J448" i="68"/>
  <c r="K447" i="68"/>
  <c r="J447" i="68"/>
  <c r="K446" i="68"/>
  <c r="J446" i="68"/>
  <c r="K445" i="68"/>
  <c r="J445" i="68"/>
  <c r="K444" i="68"/>
  <c r="J444" i="68"/>
  <c r="K443" i="68"/>
  <c r="J443" i="68"/>
  <c r="K442" i="68"/>
  <c r="J442" i="68"/>
  <c r="K441" i="68"/>
  <c r="J441" i="68"/>
  <c r="K440" i="68"/>
  <c r="J440" i="68"/>
  <c r="K439" i="68"/>
  <c r="J439" i="68"/>
  <c r="K438" i="68"/>
  <c r="J438" i="68"/>
  <c r="K437" i="68"/>
  <c r="J437" i="68"/>
  <c r="K436" i="68"/>
  <c r="J436" i="68"/>
  <c r="K435" i="68"/>
  <c r="J435" i="68"/>
  <c r="K434" i="68"/>
  <c r="J434" i="68"/>
  <c r="K433" i="68"/>
  <c r="J433" i="68"/>
  <c r="K432" i="68"/>
  <c r="J432" i="68"/>
  <c r="K431" i="68"/>
  <c r="J431" i="68"/>
  <c r="K430" i="68"/>
  <c r="J430" i="68"/>
  <c r="K429" i="68"/>
  <c r="J429" i="68"/>
  <c r="K428" i="68"/>
  <c r="J428" i="68"/>
  <c r="K427" i="68"/>
  <c r="J427" i="68"/>
  <c r="K426" i="68"/>
  <c r="J426" i="68"/>
  <c r="K425" i="68"/>
  <c r="J425" i="68"/>
  <c r="K424" i="68"/>
  <c r="J424" i="68"/>
  <c r="K423" i="68"/>
  <c r="J423" i="68"/>
  <c r="K422" i="68"/>
  <c r="J422" i="68"/>
  <c r="K421" i="68"/>
  <c r="J421" i="68"/>
  <c r="K420" i="68"/>
  <c r="J420" i="68"/>
  <c r="K419" i="68"/>
  <c r="J419" i="68"/>
  <c r="K418" i="68"/>
  <c r="J418" i="68"/>
  <c r="K417" i="68"/>
  <c r="J417" i="68"/>
  <c r="K416" i="68"/>
  <c r="J416" i="68"/>
  <c r="K415" i="68"/>
  <c r="J415" i="68"/>
  <c r="K414" i="68"/>
  <c r="J414" i="68"/>
  <c r="K413" i="68"/>
  <c r="J413" i="68"/>
  <c r="K412" i="68"/>
  <c r="J412" i="68"/>
  <c r="K411" i="68"/>
  <c r="J411" i="68"/>
  <c r="K410" i="68"/>
  <c r="J410" i="68"/>
  <c r="K409" i="68"/>
  <c r="J409" i="68"/>
  <c r="K408" i="68"/>
  <c r="J408" i="68"/>
  <c r="K407" i="68"/>
  <c r="J407" i="68"/>
  <c r="K406" i="68"/>
  <c r="J406" i="68"/>
  <c r="K405" i="68"/>
  <c r="J405" i="68"/>
  <c r="K404" i="68"/>
  <c r="J404" i="68"/>
  <c r="K403" i="68"/>
  <c r="J403" i="68"/>
  <c r="K402" i="68"/>
  <c r="J402" i="68"/>
  <c r="K401" i="68"/>
  <c r="J401" i="68"/>
  <c r="K400" i="68"/>
  <c r="J400" i="68"/>
  <c r="K399" i="68"/>
  <c r="J399" i="68"/>
  <c r="K398" i="68"/>
  <c r="J398" i="68"/>
  <c r="K397" i="68"/>
  <c r="J397" i="68"/>
  <c r="K396" i="68"/>
  <c r="J396" i="68"/>
  <c r="K395" i="68"/>
  <c r="J395" i="68"/>
  <c r="K394" i="68"/>
  <c r="J394" i="68"/>
  <c r="K393" i="68"/>
  <c r="J393" i="68"/>
  <c r="K392" i="68"/>
  <c r="J392" i="68"/>
  <c r="K391" i="68"/>
  <c r="J391" i="68"/>
  <c r="K390" i="68"/>
  <c r="J390" i="68"/>
  <c r="K389" i="68"/>
  <c r="J389" i="68"/>
  <c r="K388" i="68"/>
  <c r="J388" i="68"/>
  <c r="K387" i="68"/>
  <c r="J387" i="68"/>
  <c r="K386" i="68"/>
  <c r="J386" i="68"/>
  <c r="K385" i="68"/>
  <c r="J385" i="68"/>
  <c r="K384" i="68"/>
  <c r="J384" i="68"/>
  <c r="K383" i="68"/>
  <c r="J383" i="68"/>
  <c r="K382" i="68"/>
  <c r="J382" i="68"/>
  <c r="K381" i="68"/>
  <c r="J381" i="68"/>
  <c r="K380" i="68"/>
  <c r="J380" i="68"/>
  <c r="K379" i="68"/>
  <c r="J379" i="68"/>
  <c r="K378" i="68"/>
  <c r="J378" i="68"/>
  <c r="K377" i="68"/>
  <c r="J377" i="68"/>
  <c r="K376" i="68"/>
  <c r="J376" i="68"/>
  <c r="K375" i="68"/>
  <c r="J375" i="68"/>
  <c r="K374" i="68"/>
  <c r="J374" i="68"/>
  <c r="K373" i="68"/>
  <c r="J373" i="68"/>
  <c r="K372" i="68"/>
  <c r="J372" i="68"/>
  <c r="K371" i="68"/>
  <c r="J371" i="68"/>
  <c r="K370" i="68"/>
  <c r="J370" i="68"/>
  <c r="K369" i="68"/>
  <c r="J369" i="68"/>
  <c r="K368" i="68"/>
  <c r="J368" i="68"/>
  <c r="K367" i="68"/>
  <c r="J367" i="68"/>
  <c r="K366" i="68"/>
  <c r="J366" i="68"/>
  <c r="K365" i="68"/>
  <c r="J365" i="68"/>
  <c r="K364" i="68"/>
  <c r="J364" i="68"/>
  <c r="K363" i="68"/>
  <c r="J363" i="68"/>
  <c r="K362" i="68"/>
  <c r="J362" i="68"/>
  <c r="K361" i="68"/>
  <c r="J361" i="68"/>
  <c r="K360" i="68"/>
  <c r="J360" i="68"/>
  <c r="K359" i="68"/>
  <c r="J359" i="68"/>
  <c r="K358" i="68"/>
  <c r="J358" i="68"/>
  <c r="K357" i="68"/>
  <c r="J357" i="68"/>
  <c r="K356" i="68"/>
  <c r="J356" i="68"/>
  <c r="K355" i="68"/>
  <c r="J355" i="68"/>
  <c r="K354" i="68"/>
  <c r="J354" i="68"/>
  <c r="K353" i="68"/>
  <c r="J353" i="68"/>
  <c r="K352" i="68"/>
  <c r="J352" i="68"/>
  <c r="K351" i="68"/>
  <c r="J351" i="68"/>
  <c r="K350" i="68"/>
  <c r="J350" i="68"/>
  <c r="K349" i="68"/>
  <c r="J349" i="68"/>
  <c r="K348" i="68"/>
  <c r="J348" i="68"/>
  <c r="K347" i="68"/>
  <c r="J347" i="68"/>
  <c r="K346" i="68"/>
  <c r="J346" i="68"/>
  <c r="K345" i="68"/>
  <c r="J345" i="68"/>
  <c r="K344" i="68"/>
  <c r="J344" i="68"/>
  <c r="K343" i="68"/>
  <c r="J343" i="68"/>
  <c r="K342" i="68"/>
  <c r="J342" i="68"/>
  <c r="K341" i="68"/>
  <c r="J341" i="68"/>
  <c r="K340" i="68"/>
  <c r="J340" i="68"/>
  <c r="K339" i="68"/>
  <c r="J339" i="68"/>
  <c r="K338" i="68"/>
  <c r="J338" i="68"/>
  <c r="K337" i="68"/>
  <c r="J337" i="68"/>
  <c r="K336" i="68"/>
  <c r="J336" i="68"/>
  <c r="K335" i="68"/>
  <c r="J335" i="68"/>
  <c r="K334" i="68"/>
  <c r="J334" i="68"/>
  <c r="K333" i="68"/>
  <c r="J333" i="68"/>
  <c r="K332" i="68"/>
  <c r="J332" i="68"/>
  <c r="K331" i="68"/>
  <c r="J331" i="68"/>
  <c r="K330" i="68"/>
  <c r="J330" i="68"/>
  <c r="K329" i="68"/>
  <c r="J329" i="68"/>
  <c r="K328" i="68"/>
  <c r="J328" i="68"/>
  <c r="K327" i="68"/>
  <c r="J327" i="68"/>
  <c r="K326" i="68"/>
  <c r="J326" i="68"/>
  <c r="K325" i="68"/>
  <c r="J325" i="68"/>
  <c r="K324" i="68"/>
  <c r="J324" i="68"/>
  <c r="K323" i="68"/>
  <c r="J323" i="68"/>
  <c r="K322" i="68"/>
  <c r="J322" i="68"/>
  <c r="K321" i="68"/>
  <c r="J321" i="68"/>
  <c r="K320" i="68"/>
  <c r="J320" i="68"/>
  <c r="K319" i="68"/>
  <c r="J319" i="68"/>
  <c r="K318" i="68"/>
  <c r="J318" i="68"/>
  <c r="K317" i="68"/>
  <c r="J317" i="68"/>
  <c r="K316" i="68"/>
  <c r="J316" i="68"/>
  <c r="K315" i="68"/>
  <c r="J315" i="68"/>
  <c r="K314" i="68"/>
  <c r="J314" i="68"/>
  <c r="K313" i="68"/>
  <c r="J313" i="68"/>
  <c r="K312" i="68"/>
  <c r="J312" i="68"/>
  <c r="K311" i="68"/>
  <c r="J311" i="68"/>
  <c r="K310" i="68"/>
  <c r="J310" i="68"/>
  <c r="K309" i="68"/>
  <c r="J309" i="68"/>
  <c r="K308" i="68"/>
  <c r="J308" i="68"/>
  <c r="K307" i="68"/>
  <c r="J307" i="68"/>
  <c r="K306" i="68"/>
  <c r="J306" i="68"/>
  <c r="K305" i="68"/>
  <c r="J305" i="68"/>
  <c r="K304" i="68"/>
  <c r="J304" i="68"/>
  <c r="K303" i="68"/>
  <c r="J303" i="68"/>
  <c r="K302" i="68"/>
  <c r="J302" i="68"/>
  <c r="K301" i="68"/>
  <c r="J301" i="68"/>
  <c r="K300" i="68"/>
  <c r="J300" i="68"/>
  <c r="K299" i="68"/>
  <c r="J299" i="68"/>
  <c r="K298" i="68"/>
  <c r="J298" i="68"/>
  <c r="K297" i="68"/>
  <c r="J297" i="68"/>
  <c r="K296" i="68"/>
  <c r="J296" i="68"/>
  <c r="K295" i="68"/>
  <c r="J295" i="68"/>
  <c r="K294" i="68"/>
  <c r="J294" i="68"/>
  <c r="K293" i="68"/>
  <c r="J293" i="68"/>
  <c r="K292" i="68"/>
  <c r="J292" i="68"/>
  <c r="K291" i="68"/>
  <c r="J291" i="68"/>
  <c r="K290" i="68"/>
  <c r="J290" i="68"/>
  <c r="K289" i="68"/>
  <c r="J289" i="68"/>
  <c r="K288" i="68"/>
  <c r="J288" i="68"/>
  <c r="K287" i="68"/>
  <c r="J287" i="68"/>
  <c r="K286" i="68"/>
  <c r="J286" i="68"/>
  <c r="K285" i="68"/>
  <c r="J285" i="68"/>
  <c r="K284" i="68"/>
  <c r="J284" i="68"/>
  <c r="K283" i="68"/>
  <c r="J283" i="68"/>
  <c r="K282" i="68"/>
  <c r="J282" i="68"/>
  <c r="K281" i="68"/>
  <c r="J281" i="68"/>
  <c r="K280" i="68"/>
  <c r="J280" i="68"/>
  <c r="K279" i="68"/>
  <c r="J279" i="68"/>
  <c r="K278" i="68"/>
  <c r="J278" i="68"/>
  <c r="K277" i="68"/>
  <c r="J277" i="68"/>
  <c r="K276" i="68"/>
  <c r="J276" i="68"/>
  <c r="K275" i="68"/>
  <c r="J275" i="68"/>
  <c r="K274" i="68"/>
  <c r="J274" i="68"/>
  <c r="K273" i="68"/>
  <c r="J273" i="68"/>
  <c r="K272" i="68"/>
  <c r="J272" i="68"/>
  <c r="K271" i="68"/>
  <c r="J271" i="68"/>
  <c r="K270" i="68"/>
  <c r="J270" i="68"/>
  <c r="K269" i="68"/>
  <c r="J269" i="68"/>
  <c r="K268" i="68"/>
  <c r="J268" i="68"/>
  <c r="K267" i="68"/>
  <c r="J267" i="68"/>
  <c r="K266" i="68"/>
  <c r="J266" i="68"/>
  <c r="K265" i="68"/>
  <c r="J265" i="68"/>
  <c r="K264" i="68"/>
  <c r="J264" i="68"/>
  <c r="K263" i="68"/>
  <c r="J263" i="68"/>
  <c r="K262" i="68"/>
  <c r="J262" i="68"/>
  <c r="K261" i="68"/>
  <c r="J261" i="68"/>
  <c r="K260" i="68"/>
  <c r="J260" i="68"/>
  <c r="K259" i="68"/>
  <c r="J259" i="68"/>
  <c r="K258" i="68"/>
  <c r="J258" i="68"/>
  <c r="K257" i="68"/>
  <c r="J257" i="68"/>
  <c r="K256" i="68"/>
  <c r="J256" i="68"/>
  <c r="K255" i="68"/>
  <c r="J255" i="68"/>
  <c r="K254" i="68"/>
  <c r="J254" i="68"/>
  <c r="K253" i="68"/>
  <c r="J253" i="68"/>
  <c r="K252" i="68"/>
  <c r="J252" i="68"/>
  <c r="K251" i="68"/>
  <c r="J251" i="68"/>
  <c r="K250" i="68"/>
  <c r="J250" i="68"/>
  <c r="K249" i="68"/>
  <c r="J249" i="68"/>
  <c r="K248" i="68"/>
  <c r="J248" i="68"/>
  <c r="K247" i="68"/>
  <c r="J247" i="68"/>
  <c r="K246" i="68"/>
  <c r="J246" i="68"/>
  <c r="K245" i="68"/>
  <c r="J245" i="68"/>
  <c r="K244" i="68"/>
  <c r="J244" i="68"/>
  <c r="K243" i="68"/>
  <c r="J243" i="68"/>
  <c r="K242" i="68"/>
  <c r="J242" i="68"/>
  <c r="K241" i="68"/>
  <c r="J241" i="68"/>
  <c r="K240" i="68"/>
  <c r="J240" i="68"/>
  <c r="K239" i="68"/>
  <c r="J239" i="68"/>
  <c r="K238" i="68"/>
  <c r="J238" i="68"/>
  <c r="K237" i="68"/>
  <c r="J237" i="68"/>
  <c r="K236" i="68"/>
  <c r="J236" i="68"/>
  <c r="K235" i="68"/>
  <c r="J235" i="68"/>
  <c r="K234" i="68"/>
  <c r="J234" i="68"/>
  <c r="K233" i="68"/>
  <c r="J233" i="68"/>
  <c r="K232" i="68"/>
  <c r="J232" i="68"/>
  <c r="K231" i="68"/>
  <c r="J231" i="68"/>
  <c r="K230" i="68"/>
  <c r="J230" i="68"/>
  <c r="K229" i="68"/>
  <c r="J229" i="68"/>
  <c r="K228" i="68"/>
  <c r="J228" i="68"/>
  <c r="K227" i="68"/>
  <c r="J227" i="68"/>
  <c r="K226" i="68"/>
  <c r="J226" i="68"/>
  <c r="K225" i="68"/>
  <c r="J225" i="68"/>
  <c r="K224" i="68"/>
  <c r="J224" i="68"/>
  <c r="K223" i="68"/>
  <c r="J223" i="68"/>
  <c r="K222" i="68"/>
  <c r="J222" i="68"/>
  <c r="K221" i="68"/>
  <c r="J221" i="68"/>
  <c r="K220" i="68"/>
  <c r="J220" i="68"/>
  <c r="K219" i="68"/>
  <c r="J219" i="68"/>
  <c r="K218" i="68"/>
  <c r="J218" i="68"/>
  <c r="K217" i="68"/>
  <c r="J217" i="68"/>
  <c r="K216" i="68"/>
  <c r="J216" i="68"/>
  <c r="K215" i="68"/>
  <c r="J215" i="68"/>
  <c r="K214" i="68"/>
  <c r="J214" i="68"/>
  <c r="K213" i="68"/>
  <c r="J213" i="68"/>
  <c r="K212" i="68"/>
  <c r="J212" i="68"/>
  <c r="K211" i="68"/>
  <c r="J211" i="68"/>
  <c r="K210" i="68"/>
  <c r="J210" i="68"/>
  <c r="K209" i="68"/>
  <c r="J209" i="68"/>
  <c r="K208" i="68"/>
  <c r="J208" i="68"/>
  <c r="K207" i="68"/>
  <c r="J207" i="68"/>
  <c r="K206" i="68"/>
  <c r="J206" i="68"/>
  <c r="K205" i="68"/>
  <c r="J205" i="68"/>
  <c r="K204" i="68"/>
  <c r="J204" i="68"/>
  <c r="K203" i="68"/>
  <c r="J203" i="68"/>
  <c r="K202" i="68"/>
  <c r="J202" i="68"/>
  <c r="K201" i="68"/>
  <c r="J201" i="68"/>
  <c r="K200" i="68"/>
  <c r="J200" i="68"/>
  <c r="K199" i="68"/>
  <c r="J199" i="68"/>
  <c r="K198" i="68"/>
  <c r="J198" i="68"/>
  <c r="K197" i="68"/>
  <c r="J197" i="68"/>
  <c r="K196" i="68"/>
  <c r="J196" i="68"/>
  <c r="K195" i="68"/>
  <c r="J195" i="68"/>
  <c r="K194" i="68"/>
  <c r="J194" i="68"/>
  <c r="K193" i="68"/>
  <c r="J193" i="68"/>
  <c r="K192" i="68"/>
  <c r="J192" i="68"/>
  <c r="K191" i="68"/>
  <c r="J191" i="68"/>
  <c r="K190" i="68"/>
  <c r="J190" i="68"/>
  <c r="K189" i="68"/>
  <c r="J189" i="68"/>
  <c r="K188" i="68"/>
  <c r="J188" i="68"/>
  <c r="K187" i="68"/>
  <c r="J187" i="68"/>
  <c r="K186" i="68"/>
  <c r="J186" i="68"/>
  <c r="K185" i="68"/>
  <c r="J185" i="68"/>
  <c r="K184" i="68"/>
  <c r="J184" i="68"/>
  <c r="K183" i="68"/>
  <c r="J183" i="68"/>
  <c r="K182" i="68"/>
  <c r="J182" i="68"/>
  <c r="K181" i="68"/>
  <c r="J181" i="68"/>
  <c r="K180" i="68"/>
  <c r="J180" i="68"/>
  <c r="K179" i="68"/>
  <c r="J179" i="68"/>
  <c r="K178" i="68"/>
  <c r="J178" i="68"/>
  <c r="K177" i="68"/>
  <c r="J177" i="68"/>
  <c r="K176" i="68"/>
  <c r="J176" i="68"/>
  <c r="K175" i="68"/>
  <c r="J175" i="68"/>
  <c r="K174" i="68"/>
  <c r="J174" i="68"/>
  <c r="K173" i="68"/>
  <c r="J173" i="68"/>
  <c r="K172" i="68"/>
  <c r="J172" i="68"/>
  <c r="K171" i="68"/>
  <c r="J171" i="68"/>
  <c r="K170" i="68"/>
  <c r="J170" i="68"/>
  <c r="K169" i="68"/>
  <c r="J169" i="68"/>
  <c r="K168" i="68"/>
  <c r="J168" i="68"/>
  <c r="K167" i="68"/>
  <c r="J167" i="68"/>
  <c r="K166" i="68"/>
  <c r="J166" i="68"/>
  <c r="K165" i="68"/>
  <c r="J165" i="68"/>
  <c r="K164" i="68"/>
  <c r="J164" i="68"/>
  <c r="K163" i="68"/>
  <c r="J163" i="68"/>
  <c r="K162" i="68"/>
  <c r="J162" i="68"/>
  <c r="K161" i="68"/>
  <c r="J161" i="68"/>
  <c r="K160" i="68"/>
  <c r="J160" i="68"/>
  <c r="K159" i="68"/>
  <c r="J159" i="68"/>
  <c r="K158" i="68"/>
  <c r="J158" i="68"/>
  <c r="K157" i="68"/>
  <c r="J157" i="68"/>
  <c r="K156" i="68"/>
  <c r="J156" i="68"/>
  <c r="K155" i="68"/>
  <c r="J155" i="68"/>
  <c r="K154" i="68"/>
  <c r="J154" i="68"/>
  <c r="K153" i="68"/>
  <c r="J153" i="68"/>
  <c r="K152" i="68"/>
  <c r="J152" i="68"/>
  <c r="K151" i="68"/>
  <c r="J151" i="68"/>
  <c r="K150" i="68"/>
  <c r="J150" i="68"/>
  <c r="K149" i="68"/>
  <c r="J149" i="68"/>
  <c r="K148" i="68"/>
  <c r="J148" i="68"/>
  <c r="K147" i="68"/>
  <c r="J147" i="68"/>
  <c r="K146" i="68"/>
  <c r="J146" i="68"/>
  <c r="K145" i="68"/>
  <c r="J145" i="68"/>
  <c r="K144" i="68"/>
  <c r="J144" i="68"/>
  <c r="K143" i="68"/>
  <c r="J143" i="68"/>
  <c r="K142" i="68"/>
  <c r="J142" i="68"/>
  <c r="K141" i="68"/>
  <c r="J141" i="68"/>
  <c r="K140" i="68"/>
  <c r="J140" i="68"/>
  <c r="K139" i="68"/>
  <c r="J139" i="68"/>
  <c r="K138" i="68"/>
  <c r="J138" i="68"/>
  <c r="K137" i="68"/>
  <c r="J137" i="68"/>
  <c r="K136" i="68"/>
  <c r="J136" i="68"/>
  <c r="K135" i="68"/>
  <c r="J135" i="68"/>
  <c r="K134" i="68"/>
  <c r="J134" i="68"/>
  <c r="K133" i="68"/>
  <c r="J133" i="68"/>
  <c r="K132" i="68"/>
  <c r="J132" i="68"/>
  <c r="K131" i="68"/>
  <c r="J131" i="68"/>
  <c r="K130" i="68"/>
  <c r="J130" i="68"/>
  <c r="K129" i="68"/>
  <c r="J129" i="68"/>
  <c r="K128" i="68"/>
  <c r="J128" i="68"/>
  <c r="K127" i="68"/>
  <c r="J127" i="68"/>
  <c r="K126" i="68"/>
  <c r="J126" i="68"/>
  <c r="K125" i="68"/>
  <c r="J125" i="68"/>
  <c r="K124" i="68"/>
  <c r="J124" i="68"/>
  <c r="K123" i="68"/>
  <c r="J123" i="68"/>
  <c r="K122" i="68"/>
  <c r="J122" i="68"/>
  <c r="K121" i="68"/>
  <c r="J121" i="68"/>
  <c r="K120" i="68"/>
  <c r="J120" i="68"/>
  <c r="K119" i="68"/>
  <c r="J119" i="68"/>
  <c r="K118" i="68"/>
  <c r="J118" i="68"/>
  <c r="K117" i="68"/>
  <c r="J117" i="68"/>
  <c r="K116" i="68"/>
  <c r="J116" i="68"/>
  <c r="K115" i="68"/>
  <c r="J115" i="68"/>
  <c r="K114" i="68"/>
  <c r="J114" i="68"/>
  <c r="K113" i="68"/>
  <c r="J113" i="68"/>
  <c r="K112" i="68"/>
  <c r="J112" i="68"/>
  <c r="K111" i="68"/>
  <c r="J111" i="68"/>
  <c r="K110" i="68"/>
  <c r="J110" i="68"/>
  <c r="K109" i="68"/>
  <c r="J109" i="68"/>
  <c r="K108" i="68"/>
  <c r="J108" i="68"/>
  <c r="K107" i="68"/>
  <c r="J107" i="68"/>
  <c r="K106" i="68"/>
  <c r="J106" i="68"/>
  <c r="K105" i="68"/>
  <c r="J105" i="68"/>
  <c r="K104" i="68"/>
  <c r="J104" i="68"/>
  <c r="K103" i="68"/>
  <c r="J103" i="68"/>
  <c r="K102" i="68"/>
  <c r="J102" i="68"/>
  <c r="K101" i="68"/>
  <c r="J101" i="68"/>
  <c r="K100" i="68"/>
  <c r="J100" i="68"/>
  <c r="K99" i="68"/>
  <c r="J99" i="68"/>
  <c r="K98" i="68"/>
  <c r="J98" i="68"/>
  <c r="K97" i="68"/>
  <c r="J97" i="68"/>
  <c r="K96" i="68"/>
  <c r="J96" i="68"/>
  <c r="K95" i="68"/>
  <c r="J95" i="68"/>
  <c r="K94" i="68"/>
  <c r="J94" i="68"/>
  <c r="K93" i="68"/>
  <c r="J93" i="68"/>
  <c r="K92" i="68"/>
  <c r="J92" i="68"/>
  <c r="K91" i="68"/>
  <c r="J91" i="68"/>
  <c r="K90" i="68"/>
  <c r="J90" i="68"/>
  <c r="K89" i="68"/>
  <c r="J89" i="68"/>
  <c r="K88" i="68"/>
  <c r="J88" i="68"/>
  <c r="K87" i="68"/>
  <c r="J87" i="68"/>
  <c r="K86" i="68"/>
  <c r="J86" i="68"/>
  <c r="K85" i="68"/>
  <c r="J85" i="68"/>
  <c r="K84" i="68"/>
  <c r="J84" i="68"/>
  <c r="K83" i="68"/>
  <c r="J83" i="68"/>
  <c r="K82" i="68"/>
  <c r="J82" i="68"/>
  <c r="K81" i="68"/>
  <c r="J81" i="68"/>
  <c r="K80" i="68"/>
  <c r="J80" i="68"/>
  <c r="K79" i="68"/>
  <c r="J79" i="68"/>
  <c r="K78" i="68"/>
  <c r="J78" i="68"/>
  <c r="K77" i="68"/>
  <c r="J77" i="68"/>
  <c r="K76" i="68"/>
  <c r="J76" i="68"/>
  <c r="K75" i="68"/>
  <c r="J75" i="68"/>
  <c r="K74" i="68"/>
  <c r="J74" i="68"/>
  <c r="K73" i="68"/>
  <c r="J73" i="68"/>
  <c r="K72" i="68"/>
  <c r="J72" i="68"/>
  <c r="K71" i="68"/>
  <c r="J71" i="68"/>
  <c r="K70" i="68"/>
  <c r="J70" i="68"/>
  <c r="K69" i="68"/>
  <c r="J69" i="68"/>
  <c r="K68" i="68"/>
  <c r="J68" i="68"/>
  <c r="K67" i="68"/>
  <c r="J67" i="68"/>
  <c r="K66" i="68"/>
  <c r="J66" i="68"/>
  <c r="K65" i="68"/>
  <c r="J65" i="68"/>
  <c r="K64" i="68"/>
  <c r="J64" i="68"/>
  <c r="K63" i="68"/>
  <c r="J63" i="68"/>
  <c r="K62" i="68"/>
  <c r="J62" i="68"/>
  <c r="K61" i="68"/>
  <c r="J61" i="68"/>
  <c r="K60" i="68"/>
  <c r="J60" i="68"/>
  <c r="K59" i="68"/>
  <c r="J59" i="68"/>
  <c r="K58" i="68"/>
  <c r="J58" i="68"/>
  <c r="K57" i="68"/>
  <c r="J57" i="68"/>
  <c r="K56" i="68"/>
  <c r="J56" i="68"/>
  <c r="K55" i="68"/>
  <c r="J55" i="68"/>
  <c r="K54" i="68"/>
  <c r="J54" i="68"/>
  <c r="K53" i="68"/>
  <c r="J53" i="68"/>
  <c r="K52" i="68"/>
  <c r="J52" i="68"/>
  <c r="K51" i="68"/>
  <c r="J51" i="68"/>
  <c r="K50" i="68"/>
  <c r="J50" i="68"/>
  <c r="K49" i="68"/>
  <c r="J49" i="68"/>
  <c r="K48" i="68"/>
  <c r="J48" i="68"/>
  <c r="K47" i="68"/>
  <c r="J47" i="68"/>
  <c r="K46" i="68"/>
  <c r="J46" i="68"/>
  <c r="K45" i="68"/>
  <c r="J45" i="68"/>
  <c r="K44" i="68"/>
  <c r="J44" i="68"/>
  <c r="K43" i="68"/>
  <c r="J43" i="68"/>
  <c r="K42" i="68"/>
  <c r="J42" i="68"/>
  <c r="K41" i="68"/>
  <c r="J41" i="68"/>
  <c r="K40" i="68"/>
  <c r="J40" i="68"/>
  <c r="K39" i="68"/>
  <c r="J39" i="68"/>
  <c r="K38" i="68"/>
  <c r="J38" i="68"/>
  <c r="K37" i="68"/>
  <c r="J37" i="68"/>
  <c r="K36" i="68"/>
  <c r="J36" i="68"/>
  <c r="K35" i="68"/>
  <c r="J35" i="68"/>
  <c r="K34" i="68"/>
  <c r="J34" i="68"/>
  <c r="K33" i="68"/>
  <c r="J33" i="68"/>
  <c r="K32" i="68"/>
  <c r="J32" i="68"/>
  <c r="K31" i="68"/>
  <c r="J31" i="68"/>
  <c r="K30" i="68"/>
  <c r="J30" i="68"/>
  <c r="K29" i="68"/>
  <c r="J29" i="68"/>
  <c r="K28" i="68"/>
  <c r="J28" i="68"/>
  <c r="K27" i="68"/>
  <c r="J27" i="68"/>
  <c r="K26" i="68"/>
  <c r="J26" i="68"/>
  <c r="K25" i="68"/>
  <c r="J25" i="68"/>
  <c r="K24" i="68"/>
  <c r="J24" i="68"/>
  <c r="K23" i="68"/>
  <c r="J23" i="68"/>
  <c r="K22" i="68"/>
  <c r="J22" i="68"/>
  <c r="K21" i="68"/>
  <c r="J21" i="68"/>
  <c r="K20" i="68"/>
  <c r="J20" i="68"/>
  <c r="K19" i="68"/>
  <c r="J19" i="68"/>
  <c r="K18" i="68"/>
  <c r="J18" i="68"/>
  <c r="K17" i="68"/>
  <c r="J17" i="68"/>
  <c r="K16" i="68"/>
  <c r="J16" i="68"/>
  <c r="K15" i="68"/>
  <c r="J15" i="68"/>
  <c r="K14" i="68"/>
  <c r="J14" i="68"/>
  <c r="K13" i="68"/>
  <c r="J13" i="68"/>
  <c r="K12" i="68"/>
  <c r="J12" i="68"/>
  <c r="K11" i="68"/>
  <c r="J11" i="68"/>
  <c r="K10" i="68"/>
  <c r="J10" i="68"/>
  <c r="K9" i="68"/>
  <c r="J9" i="68"/>
  <c r="K8" i="68"/>
  <c r="J8" i="68"/>
  <c r="K7" i="68"/>
  <c r="J7" i="68"/>
  <c r="K6" i="68"/>
  <c r="J6" i="68"/>
  <c r="K3" i="68"/>
  <c r="I3" i="68"/>
  <c r="H3" i="68"/>
  <c r="K498" i="60"/>
  <c r="J498" i="60"/>
  <c r="K497" i="60"/>
  <c r="J497" i="60"/>
  <c r="K496" i="60"/>
  <c r="J496" i="60"/>
  <c r="K495" i="60"/>
  <c r="J495" i="60"/>
  <c r="K494" i="60"/>
  <c r="J494" i="60"/>
  <c r="K493" i="60"/>
  <c r="J493" i="60"/>
  <c r="K492" i="60"/>
  <c r="J492" i="60"/>
  <c r="K491" i="60"/>
  <c r="J491" i="60"/>
  <c r="K490" i="60"/>
  <c r="J490" i="60"/>
  <c r="K489" i="60"/>
  <c r="J489" i="60"/>
  <c r="K488" i="60"/>
  <c r="J488" i="60"/>
  <c r="K487" i="60"/>
  <c r="J487" i="60"/>
  <c r="K486" i="60"/>
  <c r="J486" i="60"/>
  <c r="K485" i="60"/>
  <c r="J485" i="60"/>
  <c r="K484" i="60"/>
  <c r="J484" i="60"/>
  <c r="K483" i="60"/>
  <c r="J483" i="60"/>
  <c r="K482" i="60"/>
  <c r="J482" i="60"/>
  <c r="K481" i="60"/>
  <c r="J481" i="60"/>
  <c r="K480" i="60"/>
  <c r="J480" i="60"/>
  <c r="K479" i="60"/>
  <c r="J479" i="60"/>
  <c r="K478" i="60"/>
  <c r="J478" i="60"/>
  <c r="K477" i="60"/>
  <c r="J477" i="60"/>
  <c r="K476" i="60"/>
  <c r="J476" i="60"/>
  <c r="K475" i="60"/>
  <c r="J475" i="60"/>
  <c r="K474" i="60"/>
  <c r="J474" i="60"/>
  <c r="K473" i="60"/>
  <c r="J473" i="60"/>
  <c r="K472" i="60"/>
  <c r="J472" i="60"/>
  <c r="K471" i="60"/>
  <c r="J471" i="60"/>
  <c r="K470" i="60"/>
  <c r="J470" i="60"/>
  <c r="K469" i="60"/>
  <c r="J469" i="60"/>
  <c r="K468" i="60"/>
  <c r="J468" i="60"/>
  <c r="K467" i="60"/>
  <c r="J467" i="60"/>
  <c r="K466" i="60"/>
  <c r="J466" i="60"/>
  <c r="K465" i="60"/>
  <c r="J465" i="60"/>
  <c r="K464" i="60"/>
  <c r="J464" i="60"/>
  <c r="K463" i="60"/>
  <c r="J463" i="60"/>
  <c r="K462" i="60"/>
  <c r="J462" i="60"/>
  <c r="K461" i="60"/>
  <c r="J461" i="60"/>
  <c r="K460" i="60"/>
  <c r="J460" i="60"/>
  <c r="K459" i="60"/>
  <c r="J459" i="60"/>
  <c r="K458" i="60"/>
  <c r="J458" i="60"/>
  <c r="K457" i="60"/>
  <c r="J457" i="60"/>
  <c r="K456" i="60"/>
  <c r="J456" i="60"/>
  <c r="K455" i="60"/>
  <c r="J455" i="60"/>
  <c r="K454" i="60"/>
  <c r="J454" i="60"/>
  <c r="K453" i="60"/>
  <c r="J453" i="60"/>
  <c r="K452" i="60"/>
  <c r="J452" i="60"/>
  <c r="K451" i="60"/>
  <c r="J451" i="60"/>
  <c r="K450" i="60"/>
  <c r="J450" i="60"/>
  <c r="K449" i="60"/>
  <c r="J449" i="60"/>
  <c r="K448" i="60"/>
  <c r="J448" i="60"/>
  <c r="K447" i="60"/>
  <c r="J447" i="60"/>
  <c r="K446" i="60"/>
  <c r="J446" i="60"/>
  <c r="K445" i="60"/>
  <c r="J445" i="60"/>
  <c r="K444" i="60"/>
  <c r="J444" i="60"/>
  <c r="K443" i="60"/>
  <c r="J443" i="60"/>
  <c r="K442" i="60"/>
  <c r="J442" i="60"/>
  <c r="K441" i="60"/>
  <c r="J441" i="60"/>
  <c r="K440" i="60"/>
  <c r="J440" i="60"/>
  <c r="K439" i="60"/>
  <c r="J439" i="60"/>
  <c r="K438" i="60"/>
  <c r="J438" i="60"/>
  <c r="K437" i="60"/>
  <c r="J437" i="60"/>
  <c r="K436" i="60"/>
  <c r="J436" i="60"/>
  <c r="K435" i="60"/>
  <c r="J435" i="60"/>
  <c r="K434" i="60"/>
  <c r="J434" i="60"/>
  <c r="K433" i="60"/>
  <c r="J433" i="60"/>
  <c r="K432" i="60"/>
  <c r="J432" i="60"/>
  <c r="K431" i="60"/>
  <c r="J431" i="60"/>
  <c r="K430" i="60"/>
  <c r="J430" i="60"/>
  <c r="K429" i="60"/>
  <c r="J429" i="60"/>
  <c r="K428" i="60"/>
  <c r="J428" i="60"/>
  <c r="K427" i="60"/>
  <c r="J427" i="60"/>
  <c r="K426" i="60"/>
  <c r="J426" i="60"/>
  <c r="K425" i="60"/>
  <c r="J425" i="60"/>
  <c r="K424" i="60"/>
  <c r="J424" i="60"/>
  <c r="K423" i="60"/>
  <c r="J423" i="60"/>
  <c r="K422" i="60"/>
  <c r="J422" i="60"/>
  <c r="K421" i="60"/>
  <c r="J421" i="60"/>
  <c r="K420" i="60"/>
  <c r="J420" i="60"/>
  <c r="K419" i="60"/>
  <c r="J419" i="60"/>
  <c r="K418" i="60"/>
  <c r="J418" i="60"/>
  <c r="K417" i="60"/>
  <c r="J417" i="60"/>
  <c r="K416" i="60"/>
  <c r="J416" i="60"/>
  <c r="K415" i="60"/>
  <c r="J415" i="60"/>
  <c r="K414" i="60"/>
  <c r="J414" i="60"/>
  <c r="K413" i="60"/>
  <c r="J413" i="60"/>
  <c r="K412" i="60"/>
  <c r="J412" i="60"/>
  <c r="K411" i="60"/>
  <c r="J411" i="60"/>
  <c r="K410" i="60"/>
  <c r="J410" i="60"/>
  <c r="K409" i="60"/>
  <c r="J409" i="60"/>
  <c r="K408" i="60"/>
  <c r="J408" i="60"/>
  <c r="K407" i="60"/>
  <c r="J407" i="60"/>
  <c r="K406" i="60"/>
  <c r="J406" i="60"/>
  <c r="K405" i="60"/>
  <c r="J405" i="60"/>
  <c r="K404" i="60"/>
  <c r="J404" i="60"/>
  <c r="K403" i="60"/>
  <c r="J403" i="60"/>
  <c r="K402" i="60"/>
  <c r="J402" i="60"/>
  <c r="K401" i="60"/>
  <c r="J401" i="60"/>
  <c r="K400" i="60"/>
  <c r="J400" i="60"/>
  <c r="K399" i="60"/>
  <c r="J399" i="60"/>
  <c r="K398" i="60"/>
  <c r="J398" i="60"/>
  <c r="K397" i="60"/>
  <c r="J397" i="60"/>
  <c r="K396" i="60"/>
  <c r="J396" i="60"/>
  <c r="K395" i="60"/>
  <c r="J395" i="60"/>
  <c r="K394" i="60"/>
  <c r="J394" i="60"/>
  <c r="K393" i="60"/>
  <c r="J393" i="60"/>
  <c r="K392" i="60"/>
  <c r="J392" i="60"/>
  <c r="K391" i="60"/>
  <c r="J391" i="60"/>
  <c r="K390" i="60"/>
  <c r="J390" i="60"/>
  <c r="K389" i="60"/>
  <c r="J389" i="60"/>
  <c r="K388" i="60"/>
  <c r="J388" i="60"/>
  <c r="K387" i="60"/>
  <c r="J387" i="60"/>
  <c r="K386" i="60"/>
  <c r="J386" i="60"/>
  <c r="K385" i="60"/>
  <c r="J385" i="60"/>
  <c r="K384" i="60"/>
  <c r="J384" i="60"/>
  <c r="K383" i="60"/>
  <c r="J383" i="60"/>
  <c r="K382" i="60"/>
  <c r="J382" i="60"/>
  <c r="K381" i="60"/>
  <c r="J381" i="60"/>
  <c r="K380" i="60"/>
  <c r="J380" i="60"/>
  <c r="K379" i="60"/>
  <c r="J379" i="60"/>
  <c r="K378" i="60"/>
  <c r="J378" i="60"/>
  <c r="K377" i="60"/>
  <c r="J377" i="60"/>
  <c r="K376" i="60"/>
  <c r="J376" i="60"/>
  <c r="K375" i="60"/>
  <c r="J375" i="60"/>
  <c r="K374" i="60"/>
  <c r="J374" i="60"/>
  <c r="K373" i="60"/>
  <c r="J373" i="60"/>
  <c r="K372" i="60"/>
  <c r="J372" i="60"/>
  <c r="K371" i="60"/>
  <c r="J371" i="60"/>
  <c r="K370" i="60"/>
  <c r="J370" i="60"/>
  <c r="K369" i="60"/>
  <c r="J369" i="60"/>
  <c r="K368" i="60"/>
  <c r="J368" i="60"/>
  <c r="K367" i="60"/>
  <c r="J367" i="60"/>
  <c r="K366" i="60"/>
  <c r="J366" i="60"/>
  <c r="K365" i="60"/>
  <c r="J365" i="60"/>
  <c r="K364" i="60"/>
  <c r="J364" i="60"/>
  <c r="K363" i="60"/>
  <c r="J363" i="60"/>
  <c r="K362" i="60"/>
  <c r="J362" i="60"/>
  <c r="K361" i="60"/>
  <c r="J361" i="60"/>
  <c r="K360" i="60"/>
  <c r="J360" i="60"/>
  <c r="K359" i="60"/>
  <c r="J359" i="60"/>
  <c r="K358" i="60"/>
  <c r="J358" i="60"/>
  <c r="K357" i="60"/>
  <c r="J357" i="60"/>
  <c r="K356" i="60"/>
  <c r="J356" i="60"/>
  <c r="K355" i="60"/>
  <c r="J355" i="60"/>
  <c r="K354" i="60"/>
  <c r="J354" i="60"/>
  <c r="K353" i="60"/>
  <c r="J353" i="60"/>
  <c r="K352" i="60"/>
  <c r="J352" i="60"/>
  <c r="K351" i="60"/>
  <c r="J351" i="60"/>
  <c r="K350" i="60"/>
  <c r="J350" i="60"/>
  <c r="K349" i="60"/>
  <c r="J349" i="60"/>
  <c r="K348" i="60"/>
  <c r="J348" i="60"/>
  <c r="K347" i="60"/>
  <c r="J347" i="60"/>
  <c r="K346" i="60"/>
  <c r="J346" i="60"/>
  <c r="K345" i="60"/>
  <c r="J345" i="60"/>
  <c r="K344" i="60"/>
  <c r="J344" i="60"/>
  <c r="K343" i="60"/>
  <c r="J343" i="60"/>
  <c r="K342" i="60"/>
  <c r="J342" i="60"/>
  <c r="K341" i="60"/>
  <c r="J341" i="60"/>
  <c r="K340" i="60"/>
  <c r="J340" i="60"/>
  <c r="K339" i="60"/>
  <c r="J339" i="60"/>
  <c r="K338" i="60"/>
  <c r="J338" i="60"/>
  <c r="K337" i="60"/>
  <c r="J337" i="60"/>
  <c r="K336" i="60"/>
  <c r="J336" i="60"/>
  <c r="K335" i="60"/>
  <c r="J335" i="60"/>
  <c r="K334" i="60"/>
  <c r="J334" i="60"/>
  <c r="K333" i="60"/>
  <c r="J333" i="60"/>
  <c r="K332" i="60"/>
  <c r="J332" i="60"/>
  <c r="K331" i="60"/>
  <c r="J331" i="60"/>
  <c r="K330" i="60"/>
  <c r="J330" i="60"/>
  <c r="K329" i="60"/>
  <c r="J329" i="60"/>
  <c r="K328" i="60"/>
  <c r="J328" i="60"/>
  <c r="K327" i="60"/>
  <c r="J327" i="60"/>
  <c r="K326" i="60"/>
  <c r="J326" i="60"/>
  <c r="K325" i="60"/>
  <c r="J325" i="60"/>
  <c r="K324" i="60"/>
  <c r="J324" i="60"/>
  <c r="K323" i="60"/>
  <c r="J323" i="60"/>
  <c r="K322" i="60"/>
  <c r="J322" i="60"/>
  <c r="K321" i="60"/>
  <c r="J321" i="60"/>
  <c r="K320" i="60"/>
  <c r="J320" i="60"/>
  <c r="K319" i="60"/>
  <c r="J319" i="60"/>
  <c r="K318" i="60"/>
  <c r="J318" i="60"/>
  <c r="K317" i="60"/>
  <c r="J317" i="60"/>
  <c r="K316" i="60"/>
  <c r="J316" i="60"/>
  <c r="K315" i="60"/>
  <c r="J315" i="60"/>
  <c r="K314" i="60"/>
  <c r="J314" i="60"/>
  <c r="K313" i="60"/>
  <c r="J313" i="60"/>
  <c r="K312" i="60"/>
  <c r="J312" i="60"/>
  <c r="K311" i="60"/>
  <c r="J311" i="60"/>
  <c r="K310" i="60"/>
  <c r="J310" i="60"/>
  <c r="K309" i="60"/>
  <c r="J309" i="60"/>
  <c r="K308" i="60"/>
  <c r="J308" i="60"/>
  <c r="K307" i="60"/>
  <c r="J307" i="60"/>
  <c r="K306" i="60"/>
  <c r="J306" i="60"/>
  <c r="K305" i="60"/>
  <c r="J305" i="60"/>
  <c r="K304" i="60"/>
  <c r="J304" i="60"/>
  <c r="K303" i="60"/>
  <c r="J303" i="60"/>
  <c r="K302" i="60"/>
  <c r="J302" i="60"/>
  <c r="K301" i="60"/>
  <c r="J301" i="60"/>
  <c r="K300" i="60"/>
  <c r="J300" i="60"/>
  <c r="K299" i="60"/>
  <c r="J299" i="60"/>
  <c r="K298" i="60"/>
  <c r="J298" i="60"/>
  <c r="K297" i="60"/>
  <c r="J297" i="60"/>
  <c r="K296" i="60"/>
  <c r="J296" i="60"/>
  <c r="K295" i="60"/>
  <c r="J295" i="60"/>
  <c r="K294" i="60"/>
  <c r="J294" i="60"/>
  <c r="K293" i="60"/>
  <c r="J293" i="60"/>
  <c r="K292" i="60"/>
  <c r="J292" i="60"/>
  <c r="K291" i="60"/>
  <c r="J291" i="60"/>
  <c r="K290" i="60"/>
  <c r="J290" i="60"/>
  <c r="K289" i="60"/>
  <c r="J289" i="60"/>
  <c r="K288" i="60"/>
  <c r="J288" i="60"/>
  <c r="K287" i="60"/>
  <c r="J287" i="60"/>
  <c r="K286" i="60"/>
  <c r="J286" i="60"/>
  <c r="K285" i="60"/>
  <c r="J285" i="60"/>
  <c r="K284" i="60"/>
  <c r="J284" i="60"/>
  <c r="K283" i="60"/>
  <c r="J283" i="60"/>
  <c r="K282" i="60"/>
  <c r="J282" i="60"/>
  <c r="K281" i="60"/>
  <c r="J281" i="60"/>
  <c r="K280" i="60"/>
  <c r="J280" i="60"/>
  <c r="K279" i="60"/>
  <c r="J279" i="60"/>
  <c r="K278" i="60"/>
  <c r="J278" i="60"/>
  <c r="K277" i="60"/>
  <c r="J277" i="60"/>
  <c r="K276" i="60"/>
  <c r="J276" i="60"/>
  <c r="K275" i="60"/>
  <c r="J275" i="60"/>
  <c r="K274" i="60"/>
  <c r="J274" i="60"/>
  <c r="K273" i="60"/>
  <c r="J273" i="60"/>
  <c r="K272" i="60"/>
  <c r="J272" i="60"/>
  <c r="K271" i="60"/>
  <c r="J271" i="60"/>
  <c r="K270" i="60"/>
  <c r="J270" i="60"/>
  <c r="K269" i="60"/>
  <c r="J269" i="60"/>
  <c r="K268" i="60"/>
  <c r="J268" i="60"/>
  <c r="K267" i="60"/>
  <c r="J267" i="60"/>
  <c r="K266" i="60"/>
  <c r="J266" i="60"/>
  <c r="K265" i="60"/>
  <c r="J265" i="60"/>
  <c r="K264" i="60"/>
  <c r="J264" i="60"/>
  <c r="K263" i="60"/>
  <c r="J263" i="60"/>
  <c r="K262" i="60"/>
  <c r="J262" i="60"/>
  <c r="K261" i="60"/>
  <c r="J261" i="60"/>
  <c r="K260" i="60"/>
  <c r="J260" i="60"/>
  <c r="K259" i="60"/>
  <c r="J259" i="60"/>
  <c r="K258" i="60"/>
  <c r="J258" i="60"/>
  <c r="K257" i="60"/>
  <c r="J257" i="60"/>
  <c r="K256" i="60"/>
  <c r="J256" i="60"/>
  <c r="K255" i="60"/>
  <c r="J255" i="60"/>
  <c r="K254" i="60"/>
  <c r="J254" i="60"/>
  <c r="K253" i="60"/>
  <c r="J253" i="60"/>
  <c r="K252" i="60"/>
  <c r="J252" i="60"/>
  <c r="K251" i="60"/>
  <c r="J251" i="60"/>
  <c r="K250" i="60"/>
  <c r="J250" i="60"/>
  <c r="K249" i="60"/>
  <c r="J249" i="60"/>
  <c r="K248" i="60"/>
  <c r="J248" i="60"/>
  <c r="K247" i="60"/>
  <c r="J247" i="60"/>
  <c r="K246" i="60"/>
  <c r="J246" i="60"/>
  <c r="K245" i="60"/>
  <c r="J245" i="60"/>
  <c r="K244" i="60"/>
  <c r="J244" i="60"/>
  <c r="K243" i="60"/>
  <c r="J243" i="60"/>
  <c r="K242" i="60"/>
  <c r="J242" i="60"/>
  <c r="K241" i="60"/>
  <c r="J241" i="60"/>
  <c r="K240" i="60"/>
  <c r="J240" i="60"/>
  <c r="K239" i="60"/>
  <c r="J239" i="60"/>
  <c r="K238" i="60"/>
  <c r="J238" i="60"/>
  <c r="K237" i="60"/>
  <c r="J237" i="60"/>
  <c r="K236" i="60"/>
  <c r="J236" i="60"/>
  <c r="K235" i="60"/>
  <c r="J235" i="60"/>
  <c r="K234" i="60"/>
  <c r="J234" i="60"/>
  <c r="K233" i="60"/>
  <c r="J233" i="60"/>
  <c r="K232" i="60"/>
  <c r="J232" i="60"/>
  <c r="K231" i="60"/>
  <c r="J231" i="60"/>
  <c r="K230" i="60"/>
  <c r="J230" i="60"/>
  <c r="K229" i="60"/>
  <c r="J229" i="60"/>
  <c r="K228" i="60"/>
  <c r="J228" i="60"/>
  <c r="K227" i="60"/>
  <c r="J227" i="60"/>
  <c r="K226" i="60"/>
  <c r="J226" i="60"/>
  <c r="K225" i="60"/>
  <c r="J225" i="60"/>
  <c r="K224" i="60"/>
  <c r="J224" i="60"/>
  <c r="K223" i="60"/>
  <c r="J223" i="60"/>
  <c r="K222" i="60"/>
  <c r="J222" i="60"/>
  <c r="K221" i="60"/>
  <c r="J221" i="60"/>
  <c r="K220" i="60"/>
  <c r="J220" i="60"/>
  <c r="K219" i="60"/>
  <c r="J219" i="60"/>
  <c r="K218" i="60"/>
  <c r="J218" i="60"/>
  <c r="K217" i="60"/>
  <c r="J217" i="60"/>
  <c r="K216" i="60"/>
  <c r="J216" i="60"/>
  <c r="K215" i="60"/>
  <c r="J215" i="60"/>
  <c r="K214" i="60"/>
  <c r="J214" i="60"/>
  <c r="K213" i="60"/>
  <c r="J213" i="60"/>
  <c r="K212" i="60"/>
  <c r="J212" i="60"/>
  <c r="K211" i="60"/>
  <c r="J211" i="60"/>
  <c r="K210" i="60"/>
  <c r="J210" i="60"/>
  <c r="K209" i="60"/>
  <c r="J209" i="60"/>
  <c r="K208" i="60"/>
  <c r="J208" i="60"/>
  <c r="K207" i="60"/>
  <c r="J207" i="60"/>
  <c r="K206" i="60"/>
  <c r="J206" i="60"/>
  <c r="K205" i="60"/>
  <c r="J205" i="60"/>
  <c r="K204" i="60"/>
  <c r="J204" i="60"/>
  <c r="K203" i="60"/>
  <c r="J203" i="60"/>
  <c r="K202" i="60"/>
  <c r="J202" i="60"/>
  <c r="K201" i="60"/>
  <c r="J201" i="60"/>
  <c r="K200" i="60"/>
  <c r="J200" i="60"/>
  <c r="K199" i="60"/>
  <c r="J199" i="60"/>
  <c r="K198" i="60"/>
  <c r="J198" i="60"/>
  <c r="K197" i="60"/>
  <c r="J197" i="60"/>
  <c r="K196" i="60"/>
  <c r="J196" i="60"/>
  <c r="K195" i="60"/>
  <c r="J195" i="60"/>
  <c r="K194" i="60"/>
  <c r="J194" i="60"/>
  <c r="K193" i="60"/>
  <c r="J193" i="60"/>
  <c r="K192" i="60"/>
  <c r="J192" i="60"/>
  <c r="K191" i="60"/>
  <c r="J191" i="60"/>
  <c r="K190" i="60"/>
  <c r="J190" i="60"/>
  <c r="K189" i="60"/>
  <c r="J189" i="60"/>
  <c r="K188" i="60"/>
  <c r="J188" i="60"/>
  <c r="K187" i="60"/>
  <c r="J187" i="60"/>
  <c r="K186" i="60"/>
  <c r="J186" i="60"/>
  <c r="K185" i="60"/>
  <c r="J185" i="60"/>
  <c r="K184" i="60"/>
  <c r="J184" i="60"/>
  <c r="K183" i="60"/>
  <c r="J183" i="60"/>
  <c r="K182" i="60"/>
  <c r="J182" i="60"/>
  <c r="K181" i="60"/>
  <c r="J181" i="60"/>
  <c r="K180" i="60"/>
  <c r="J180" i="60"/>
  <c r="K179" i="60"/>
  <c r="J179" i="60"/>
  <c r="K178" i="60"/>
  <c r="J178" i="60"/>
  <c r="K177" i="60"/>
  <c r="J177" i="60"/>
  <c r="K176" i="60"/>
  <c r="J176" i="60"/>
  <c r="K175" i="60"/>
  <c r="J175" i="60"/>
  <c r="K174" i="60"/>
  <c r="J174" i="60"/>
  <c r="K173" i="60"/>
  <c r="J173" i="60"/>
  <c r="K172" i="60"/>
  <c r="J172" i="60"/>
  <c r="K171" i="60"/>
  <c r="J171" i="60"/>
  <c r="K170" i="60"/>
  <c r="J170" i="60"/>
  <c r="K169" i="60"/>
  <c r="J169" i="60"/>
  <c r="K168" i="60"/>
  <c r="J168" i="60"/>
  <c r="K167" i="60"/>
  <c r="J167" i="60"/>
  <c r="K166" i="60"/>
  <c r="J166" i="60"/>
  <c r="K165" i="60"/>
  <c r="J165" i="60"/>
  <c r="K164" i="60"/>
  <c r="J164" i="60"/>
  <c r="K163" i="60"/>
  <c r="J163" i="60"/>
  <c r="K162" i="60"/>
  <c r="J162" i="60"/>
  <c r="K161" i="60"/>
  <c r="J161" i="60"/>
  <c r="K160" i="60"/>
  <c r="J160" i="60"/>
  <c r="K159" i="60"/>
  <c r="J159" i="60"/>
  <c r="K158" i="60"/>
  <c r="J158" i="60"/>
  <c r="K157" i="60"/>
  <c r="J157" i="60"/>
  <c r="K156" i="60"/>
  <c r="J156" i="60"/>
  <c r="K155" i="60"/>
  <c r="J155" i="60"/>
  <c r="K154" i="60"/>
  <c r="J154" i="60"/>
  <c r="K153" i="60"/>
  <c r="J153" i="60"/>
  <c r="K152" i="60"/>
  <c r="J152" i="60"/>
  <c r="K151" i="60"/>
  <c r="J151" i="60"/>
  <c r="K150" i="60"/>
  <c r="J150" i="60"/>
  <c r="K149" i="60"/>
  <c r="J149" i="60"/>
  <c r="K148" i="60"/>
  <c r="J148" i="60"/>
  <c r="K147" i="60"/>
  <c r="J147" i="60"/>
  <c r="K146" i="60"/>
  <c r="J146" i="60"/>
  <c r="K145" i="60"/>
  <c r="J145" i="60"/>
  <c r="K144" i="60"/>
  <c r="J144" i="60"/>
  <c r="K143" i="60"/>
  <c r="J143" i="60"/>
  <c r="K142" i="60"/>
  <c r="J142" i="60"/>
  <c r="K141" i="60"/>
  <c r="J141" i="60"/>
  <c r="K140" i="60"/>
  <c r="J140" i="60"/>
  <c r="K139" i="60"/>
  <c r="J139" i="60"/>
  <c r="K138" i="60"/>
  <c r="J138" i="60"/>
  <c r="K137" i="60"/>
  <c r="J137" i="60"/>
  <c r="K136" i="60"/>
  <c r="J136" i="60"/>
  <c r="K135" i="60"/>
  <c r="J135" i="60"/>
  <c r="K134" i="60"/>
  <c r="J134" i="60"/>
  <c r="K133" i="60"/>
  <c r="J133" i="60"/>
  <c r="K132" i="60"/>
  <c r="J132" i="60"/>
  <c r="K131" i="60"/>
  <c r="J131" i="60"/>
  <c r="K130" i="60"/>
  <c r="J130" i="60"/>
  <c r="K129" i="60"/>
  <c r="J129" i="60"/>
  <c r="K128" i="60"/>
  <c r="J128" i="60"/>
  <c r="K127" i="60"/>
  <c r="J127" i="60"/>
  <c r="K126" i="60"/>
  <c r="J126" i="60"/>
  <c r="K125" i="60"/>
  <c r="J125" i="60"/>
  <c r="K124" i="60"/>
  <c r="J124" i="60"/>
  <c r="K123" i="60"/>
  <c r="J123" i="60"/>
  <c r="K122" i="60"/>
  <c r="J122" i="60"/>
  <c r="K121" i="60"/>
  <c r="J121" i="60"/>
  <c r="K120" i="60"/>
  <c r="J120" i="60"/>
  <c r="K119" i="60"/>
  <c r="J119" i="60"/>
  <c r="K118" i="60"/>
  <c r="J118" i="60"/>
  <c r="K117" i="60"/>
  <c r="J117" i="60"/>
  <c r="K116" i="60"/>
  <c r="J116" i="60"/>
  <c r="K115" i="60"/>
  <c r="J115" i="60"/>
  <c r="K114" i="60"/>
  <c r="J114" i="60"/>
  <c r="K113" i="60"/>
  <c r="J113" i="60"/>
  <c r="K112" i="60"/>
  <c r="J112" i="60"/>
  <c r="K111" i="60"/>
  <c r="J111" i="60"/>
  <c r="K110" i="60"/>
  <c r="J110" i="60"/>
  <c r="K109" i="60"/>
  <c r="J109" i="60"/>
  <c r="K108" i="60"/>
  <c r="J108" i="60"/>
  <c r="K107" i="60"/>
  <c r="J107" i="60"/>
  <c r="K106" i="60"/>
  <c r="J106" i="60"/>
  <c r="K105" i="60"/>
  <c r="J105" i="60"/>
  <c r="K104" i="60"/>
  <c r="J104" i="60"/>
  <c r="K103" i="60"/>
  <c r="J103" i="60"/>
  <c r="K102" i="60"/>
  <c r="J102" i="60"/>
  <c r="K101" i="60"/>
  <c r="J101" i="60"/>
  <c r="K100" i="60"/>
  <c r="J100" i="60"/>
  <c r="K99" i="60"/>
  <c r="J99" i="60"/>
  <c r="K98" i="60"/>
  <c r="J98" i="60"/>
  <c r="K97" i="60"/>
  <c r="J97" i="60"/>
  <c r="K96" i="60"/>
  <c r="J96" i="60"/>
  <c r="K95" i="60"/>
  <c r="J95" i="60"/>
  <c r="K94" i="60"/>
  <c r="J94" i="60"/>
  <c r="K93" i="60"/>
  <c r="J93" i="60"/>
  <c r="K92" i="60"/>
  <c r="J92" i="60"/>
  <c r="K91" i="60"/>
  <c r="J91" i="60"/>
  <c r="K90" i="60"/>
  <c r="J90" i="60"/>
  <c r="K89" i="60"/>
  <c r="J89" i="60"/>
  <c r="K88" i="60"/>
  <c r="J88" i="60"/>
  <c r="K87" i="60"/>
  <c r="J87" i="60"/>
  <c r="K86" i="60"/>
  <c r="J86" i="60"/>
  <c r="K85" i="60"/>
  <c r="J85" i="60"/>
  <c r="K84" i="60"/>
  <c r="J84" i="60"/>
  <c r="K83" i="60"/>
  <c r="J83" i="60"/>
  <c r="K82" i="60"/>
  <c r="J82" i="60"/>
  <c r="K81" i="60"/>
  <c r="J81" i="60"/>
  <c r="K80" i="60"/>
  <c r="J80" i="60"/>
  <c r="K79" i="60"/>
  <c r="J79" i="60"/>
  <c r="K78" i="60"/>
  <c r="J78" i="60"/>
  <c r="K77" i="60"/>
  <c r="J77" i="60"/>
  <c r="K76" i="60"/>
  <c r="J76" i="60"/>
  <c r="K75" i="60"/>
  <c r="J75" i="60"/>
  <c r="K74" i="60"/>
  <c r="J74" i="60"/>
  <c r="K73" i="60"/>
  <c r="J73" i="60"/>
  <c r="K72" i="60"/>
  <c r="J72" i="60"/>
  <c r="K71" i="60"/>
  <c r="J71" i="60"/>
  <c r="K70" i="60"/>
  <c r="J70" i="60"/>
  <c r="K69" i="60"/>
  <c r="J69" i="60"/>
  <c r="K68" i="60"/>
  <c r="J68" i="60"/>
  <c r="K67" i="60"/>
  <c r="J67" i="60"/>
  <c r="K66" i="60"/>
  <c r="J66" i="60"/>
  <c r="K65" i="60"/>
  <c r="J65" i="60"/>
  <c r="K64" i="60"/>
  <c r="J64" i="60"/>
  <c r="K63" i="60"/>
  <c r="J63" i="60"/>
  <c r="K62" i="60"/>
  <c r="J62" i="60"/>
  <c r="K61" i="60"/>
  <c r="J61" i="60"/>
  <c r="K60" i="60"/>
  <c r="J60" i="60"/>
  <c r="K59" i="60"/>
  <c r="J59" i="60"/>
  <c r="K58" i="60"/>
  <c r="J58" i="60"/>
  <c r="K57" i="60"/>
  <c r="J57" i="60"/>
  <c r="K56" i="60"/>
  <c r="J56" i="60"/>
  <c r="K55" i="60"/>
  <c r="J55" i="60"/>
  <c r="K54" i="60"/>
  <c r="J54" i="60"/>
  <c r="K53" i="60"/>
  <c r="J53" i="60"/>
  <c r="K52" i="60"/>
  <c r="J52" i="60"/>
  <c r="K51" i="60"/>
  <c r="J51" i="60"/>
  <c r="K50" i="60"/>
  <c r="J50" i="60"/>
  <c r="K49" i="60"/>
  <c r="J49" i="60"/>
  <c r="K48" i="60"/>
  <c r="J48" i="60"/>
  <c r="K47" i="60"/>
  <c r="J47" i="60"/>
  <c r="K46" i="60"/>
  <c r="J46" i="60"/>
  <c r="K45" i="60"/>
  <c r="J45" i="60"/>
  <c r="K44" i="60"/>
  <c r="J44" i="60"/>
  <c r="K43" i="60"/>
  <c r="J43" i="60"/>
  <c r="K42" i="60"/>
  <c r="J42" i="60"/>
  <c r="K41" i="60"/>
  <c r="J41" i="60"/>
  <c r="K40" i="60"/>
  <c r="J40" i="60"/>
  <c r="K39" i="60"/>
  <c r="J39" i="60"/>
  <c r="K38" i="60"/>
  <c r="J38" i="60"/>
  <c r="K37" i="60"/>
  <c r="J37" i="60"/>
  <c r="K36" i="60"/>
  <c r="J36" i="60"/>
  <c r="K35" i="60"/>
  <c r="J35" i="60"/>
  <c r="K34" i="60"/>
  <c r="J34" i="60"/>
  <c r="K33" i="60"/>
  <c r="J33" i="60"/>
  <c r="K32" i="60"/>
  <c r="J32" i="60"/>
  <c r="K31" i="60"/>
  <c r="J31" i="60"/>
  <c r="K30" i="60"/>
  <c r="J30" i="60"/>
  <c r="K29" i="60"/>
  <c r="J29" i="60"/>
  <c r="K28" i="60"/>
  <c r="J28" i="60"/>
  <c r="K27" i="60"/>
  <c r="J27" i="60"/>
  <c r="K26" i="60"/>
  <c r="J26" i="60"/>
  <c r="K25" i="60"/>
  <c r="J25" i="60"/>
  <c r="K24" i="60"/>
  <c r="J24" i="60"/>
  <c r="K23" i="60"/>
  <c r="J23" i="60"/>
  <c r="K22" i="60"/>
  <c r="J22" i="60"/>
  <c r="K21" i="60"/>
  <c r="J21" i="60"/>
  <c r="K20" i="60"/>
  <c r="J20" i="60"/>
  <c r="K19" i="60"/>
  <c r="J19" i="60"/>
  <c r="K18" i="60"/>
  <c r="J18" i="60"/>
  <c r="K17" i="60"/>
  <c r="J17" i="60"/>
  <c r="K16" i="60"/>
  <c r="J16" i="60"/>
  <c r="K15" i="60"/>
  <c r="J15" i="60"/>
  <c r="K14" i="60"/>
  <c r="J14" i="60"/>
  <c r="K13" i="60"/>
  <c r="J13" i="60"/>
  <c r="K12" i="60"/>
  <c r="J12" i="60"/>
  <c r="K11" i="60"/>
  <c r="J11" i="60"/>
  <c r="K10" i="60"/>
  <c r="J10" i="60"/>
  <c r="K9" i="60"/>
  <c r="J9" i="60"/>
  <c r="K8" i="60"/>
  <c r="J8" i="60"/>
  <c r="K7" i="60"/>
  <c r="J7" i="60"/>
  <c r="K6" i="60"/>
  <c r="J6" i="60"/>
  <c r="K5" i="60"/>
  <c r="K3" i="60"/>
  <c r="I3" i="60"/>
  <c r="H3" i="60"/>
  <c r="K516" i="48"/>
  <c r="J516" i="48"/>
  <c r="K515" i="48"/>
  <c r="J515" i="48"/>
  <c r="K514" i="48"/>
  <c r="J514" i="48"/>
  <c r="K513" i="48"/>
  <c r="J513" i="48"/>
  <c r="K512" i="48"/>
  <c r="J512" i="48"/>
  <c r="K511" i="48"/>
  <c r="J511" i="48"/>
  <c r="K510" i="48"/>
  <c r="J510" i="48"/>
  <c r="K509" i="48"/>
  <c r="J509" i="48"/>
  <c r="K508" i="48"/>
  <c r="J508" i="48"/>
  <c r="K507" i="48"/>
  <c r="J507" i="48"/>
  <c r="K506" i="48"/>
  <c r="J506" i="48"/>
  <c r="K505" i="48"/>
  <c r="J505" i="48"/>
  <c r="K504" i="48"/>
  <c r="J504" i="48"/>
  <c r="K503" i="48"/>
  <c r="J503" i="48"/>
  <c r="K502" i="48"/>
  <c r="J502" i="48"/>
  <c r="K501" i="48"/>
  <c r="J501" i="48"/>
  <c r="K500" i="48"/>
  <c r="J500" i="48"/>
  <c r="K499" i="48"/>
  <c r="J499" i="48"/>
  <c r="K498" i="48"/>
  <c r="J498" i="48"/>
  <c r="K497" i="48"/>
  <c r="J497" i="48"/>
  <c r="K496" i="48"/>
  <c r="J496" i="48"/>
  <c r="K495" i="48"/>
  <c r="J495" i="48"/>
  <c r="K494" i="48"/>
  <c r="J494" i="48"/>
  <c r="K493" i="48"/>
  <c r="J493" i="48"/>
  <c r="K492" i="48"/>
  <c r="J492" i="48"/>
  <c r="K491" i="48"/>
  <c r="J491" i="48"/>
  <c r="K490" i="48"/>
  <c r="J490" i="48"/>
  <c r="K489" i="48"/>
  <c r="J489" i="48"/>
  <c r="K488" i="48"/>
  <c r="J488" i="48"/>
  <c r="K487" i="48"/>
  <c r="J487" i="48"/>
  <c r="K486" i="48"/>
  <c r="J486" i="48"/>
  <c r="K485" i="48"/>
  <c r="J485" i="48"/>
  <c r="K484" i="48"/>
  <c r="J484" i="48"/>
  <c r="K483" i="48"/>
  <c r="J483" i="48"/>
  <c r="K482" i="48"/>
  <c r="J482" i="48"/>
  <c r="K481" i="48"/>
  <c r="J481" i="48"/>
  <c r="K480" i="48"/>
  <c r="J480" i="48"/>
  <c r="K479" i="48"/>
  <c r="J479" i="48"/>
  <c r="K478" i="48"/>
  <c r="J478" i="48"/>
  <c r="K477" i="48"/>
  <c r="J477" i="48"/>
  <c r="K476" i="48"/>
  <c r="J476" i="48"/>
  <c r="K475" i="48"/>
  <c r="J475" i="48"/>
  <c r="K474" i="48"/>
  <c r="J474" i="48"/>
  <c r="K473" i="48"/>
  <c r="J473" i="48"/>
  <c r="K472" i="48"/>
  <c r="J472" i="48"/>
  <c r="K471" i="48"/>
  <c r="J471" i="48"/>
  <c r="K470" i="48"/>
  <c r="J470" i="48"/>
  <c r="K469" i="48"/>
  <c r="J469" i="48"/>
  <c r="K468" i="48"/>
  <c r="J468" i="48"/>
  <c r="K467" i="48"/>
  <c r="J467" i="48"/>
  <c r="K466" i="48"/>
  <c r="J466" i="48"/>
  <c r="K465" i="48"/>
  <c r="J465" i="48"/>
  <c r="K464" i="48"/>
  <c r="J464" i="48"/>
  <c r="K463" i="48"/>
  <c r="J463" i="48"/>
  <c r="K462" i="48"/>
  <c r="J462" i="48"/>
  <c r="K461" i="48"/>
  <c r="J461" i="48"/>
  <c r="K460" i="48"/>
  <c r="J460" i="48"/>
  <c r="K459" i="48"/>
  <c r="J459" i="48"/>
  <c r="K458" i="48"/>
  <c r="J458" i="48"/>
  <c r="K457" i="48"/>
  <c r="J457" i="48"/>
  <c r="K456" i="48"/>
  <c r="J456" i="48"/>
  <c r="K455" i="48"/>
  <c r="J455" i="48"/>
  <c r="K454" i="48"/>
  <c r="J454" i="48"/>
  <c r="K453" i="48"/>
  <c r="J453" i="48"/>
  <c r="K452" i="48"/>
  <c r="J452" i="48"/>
  <c r="K451" i="48"/>
  <c r="J451" i="48"/>
  <c r="K450" i="48"/>
  <c r="J450" i="48"/>
  <c r="K449" i="48"/>
  <c r="J449" i="48"/>
  <c r="K448" i="48"/>
  <c r="J448" i="48"/>
  <c r="K447" i="48"/>
  <c r="J447" i="48"/>
  <c r="K446" i="48"/>
  <c r="J446" i="48"/>
  <c r="K445" i="48"/>
  <c r="J445" i="48"/>
  <c r="K444" i="48"/>
  <c r="J444" i="48"/>
  <c r="K443" i="48"/>
  <c r="J443" i="48"/>
  <c r="K442" i="48"/>
  <c r="J442" i="48"/>
  <c r="K441" i="48"/>
  <c r="J441" i="48"/>
  <c r="K440" i="48"/>
  <c r="J440" i="48"/>
  <c r="K439" i="48"/>
  <c r="J439" i="48"/>
  <c r="K438" i="48"/>
  <c r="J438" i="48"/>
  <c r="K437" i="48"/>
  <c r="J437" i="48"/>
  <c r="K436" i="48"/>
  <c r="J436" i="48"/>
  <c r="K435" i="48"/>
  <c r="J435" i="48"/>
  <c r="K434" i="48"/>
  <c r="J434" i="48"/>
  <c r="K433" i="48"/>
  <c r="J433" i="48"/>
  <c r="K432" i="48"/>
  <c r="J432" i="48"/>
  <c r="K431" i="48"/>
  <c r="J431" i="48"/>
  <c r="K430" i="48"/>
  <c r="J430" i="48"/>
  <c r="K429" i="48"/>
  <c r="J429" i="48"/>
  <c r="K428" i="48"/>
  <c r="J428" i="48"/>
  <c r="K427" i="48"/>
  <c r="J427" i="48"/>
  <c r="K426" i="48"/>
  <c r="J426" i="48"/>
  <c r="K425" i="48"/>
  <c r="J425" i="48"/>
  <c r="K424" i="48"/>
  <c r="J424" i="48"/>
  <c r="K423" i="48"/>
  <c r="J423" i="48"/>
  <c r="K422" i="48"/>
  <c r="J422" i="48"/>
  <c r="K421" i="48"/>
  <c r="J421" i="48"/>
  <c r="K420" i="48"/>
  <c r="J420" i="48"/>
  <c r="K419" i="48"/>
  <c r="J419" i="48"/>
  <c r="K418" i="48"/>
  <c r="J418" i="48"/>
  <c r="K417" i="48"/>
  <c r="J417" i="48"/>
  <c r="K416" i="48"/>
  <c r="J416" i="48"/>
  <c r="K415" i="48"/>
  <c r="J415" i="48"/>
  <c r="K414" i="48"/>
  <c r="J414" i="48"/>
  <c r="K413" i="48"/>
  <c r="J413" i="48"/>
  <c r="K412" i="48"/>
  <c r="J412" i="48"/>
  <c r="K411" i="48"/>
  <c r="J411" i="48"/>
  <c r="K410" i="48"/>
  <c r="J410" i="48"/>
  <c r="K409" i="48"/>
  <c r="J409" i="48"/>
  <c r="K408" i="48"/>
  <c r="J408" i="48"/>
  <c r="K407" i="48"/>
  <c r="J407" i="48"/>
  <c r="K406" i="48"/>
  <c r="J406" i="48"/>
  <c r="K405" i="48"/>
  <c r="J405" i="48"/>
  <c r="K404" i="48"/>
  <c r="J404" i="48"/>
  <c r="K403" i="48"/>
  <c r="J403" i="48"/>
  <c r="K402" i="48"/>
  <c r="J402" i="48"/>
  <c r="K401" i="48"/>
  <c r="J401" i="48"/>
  <c r="K400" i="48"/>
  <c r="J400" i="48"/>
  <c r="K399" i="48"/>
  <c r="J399" i="48"/>
  <c r="K398" i="48"/>
  <c r="J398" i="48"/>
  <c r="K397" i="48"/>
  <c r="J397" i="48"/>
  <c r="K396" i="48"/>
  <c r="J396" i="48"/>
  <c r="K395" i="48"/>
  <c r="J395" i="48"/>
  <c r="K394" i="48"/>
  <c r="J394" i="48"/>
  <c r="K393" i="48"/>
  <c r="J393" i="48"/>
  <c r="K392" i="48"/>
  <c r="J392" i="48"/>
  <c r="K391" i="48"/>
  <c r="J391" i="48"/>
  <c r="K390" i="48"/>
  <c r="J390" i="48"/>
  <c r="K389" i="48"/>
  <c r="J389" i="48"/>
  <c r="K388" i="48"/>
  <c r="J388" i="48"/>
  <c r="K387" i="48"/>
  <c r="J387" i="48"/>
  <c r="K386" i="48"/>
  <c r="J386" i="48"/>
  <c r="K385" i="48"/>
  <c r="J385" i="48"/>
  <c r="K384" i="48"/>
  <c r="J384" i="48"/>
  <c r="K383" i="48"/>
  <c r="J383" i="48"/>
  <c r="K382" i="48"/>
  <c r="J382" i="48"/>
  <c r="K381" i="48"/>
  <c r="J381" i="48"/>
  <c r="K380" i="48"/>
  <c r="J380" i="48"/>
  <c r="K379" i="48"/>
  <c r="J379" i="48"/>
  <c r="K378" i="48"/>
  <c r="J378" i="48"/>
  <c r="K377" i="48"/>
  <c r="J377" i="48"/>
  <c r="K376" i="48"/>
  <c r="J376" i="48"/>
  <c r="K375" i="48"/>
  <c r="J375" i="48"/>
  <c r="K374" i="48"/>
  <c r="J374" i="48"/>
  <c r="K373" i="48"/>
  <c r="J373" i="48"/>
  <c r="K372" i="48"/>
  <c r="J372" i="48"/>
  <c r="K371" i="48"/>
  <c r="J371" i="48"/>
  <c r="K370" i="48"/>
  <c r="J370" i="48"/>
  <c r="K369" i="48"/>
  <c r="J369" i="48"/>
  <c r="K368" i="48"/>
  <c r="J368" i="48"/>
  <c r="K367" i="48"/>
  <c r="J367" i="48"/>
  <c r="K366" i="48"/>
  <c r="J366" i="48"/>
  <c r="K365" i="48"/>
  <c r="J365" i="48"/>
  <c r="K364" i="48"/>
  <c r="J364" i="48"/>
  <c r="K363" i="48"/>
  <c r="J363" i="48"/>
  <c r="K362" i="48"/>
  <c r="J362" i="48"/>
  <c r="K361" i="48"/>
  <c r="J361" i="48"/>
  <c r="K360" i="48"/>
  <c r="J360" i="48"/>
  <c r="K359" i="48"/>
  <c r="J359" i="48"/>
  <c r="K358" i="48"/>
  <c r="J358" i="48"/>
  <c r="K357" i="48"/>
  <c r="J357" i="48"/>
  <c r="K356" i="48"/>
  <c r="J356" i="48"/>
  <c r="K355" i="48"/>
  <c r="J355" i="48"/>
  <c r="K354" i="48"/>
  <c r="J354" i="48"/>
  <c r="K353" i="48"/>
  <c r="J353" i="48"/>
  <c r="K352" i="48"/>
  <c r="J352" i="48"/>
  <c r="K351" i="48"/>
  <c r="J351" i="48"/>
  <c r="K350" i="48"/>
  <c r="J350" i="48"/>
  <c r="K349" i="48"/>
  <c r="J349" i="48"/>
  <c r="K348" i="48"/>
  <c r="J348" i="48"/>
  <c r="K347" i="48"/>
  <c r="J347" i="48"/>
  <c r="K346" i="48"/>
  <c r="J346" i="48"/>
  <c r="K345" i="48"/>
  <c r="J345" i="48"/>
  <c r="K344" i="48"/>
  <c r="J344" i="48"/>
  <c r="K343" i="48"/>
  <c r="J343" i="48"/>
  <c r="K342" i="48"/>
  <c r="J342" i="48"/>
  <c r="K341" i="48"/>
  <c r="J341" i="48"/>
  <c r="K340" i="48"/>
  <c r="J340" i="48"/>
  <c r="K339" i="48"/>
  <c r="J339" i="48"/>
  <c r="K338" i="48"/>
  <c r="J338" i="48"/>
  <c r="K337" i="48"/>
  <c r="J337" i="48"/>
  <c r="K336" i="48"/>
  <c r="J336" i="48"/>
  <c r="K335" i="48"/>
  <c r="J335" i="48"/>
  <c r="K334" i="48"/>
  <c r="J334" i="48"/>
  <c r="K333" i="48"/>
  <c r="J333" i="48"/>
  <c r="K332" i="48"/>
  <c r="J332" i="48"/>
  <c r="K331" i="48"/>
  <c r="J331" i="48"/>
  <c r="K330" i="48"/>
  <c r="J330" i="48"/>
  <c r="K329" i="48"/>
  <c r="J329" i="48"/>
  <c r="K328" i="48"/>
  <c r="J328" i="48"/>
  <c r="K327" i="48"/>
  <c r="J327" i="48"/>
  <c r="K326" i="48"/>
  <c r="J326" i="48"/>
  <c r="K325" i="48"/>
  <c r="J325" i="48"/>
  <c r="K324" i="48"/>
  <c r="J324" i="48"/>
  <c r="K323" i="48"/>
  <c r="J323" i="48"/>
  <c r="K322" i="48"/>
  <c r="J322" i="48"/>
  <c r="K321" i="48"/>
  <c r="J321" i="48"/>
  <c r="K320" i="48"/>
  <c r="J320" i="48"/>
  <c r="K319" i="48"/>
  <c r="J319" i="48"/>
  <c r="K318" i="48"/>
  <c r="J318" i="48"/>
  <c r="K317" i="48"/>
  <c r="J317" i="48"/>
  <c r="K316" i="48"/>
  <c r="J316" i="48"/>
  <c r="K315" i="48"/>
  <c r="J315" i="48"/>
  <c r="K314" i="48"/>
  <c r="J314" i="48"/>
  <c r="K313" i="48"/>
  <c r="J313" i="48"/>
  <c r="K312" i="48"/>
  <c r="J312" i="48"/>
  <c r="K311" i="48"/>
  <c r="J311" i="48"/>
  <c r="K310" i="48"/>
  <c r="J310" i="48"/>
  <c r="K309" i="48"/>
  <c r="J309" i="48"/>
  <c r="K308" i="48"/>
  <c r="J308" i="48"/>
  <c r="K307" i="48"/>
  <c r="J307" i="48"/>
  <c r="K306" i="48"/>
  <c r="J306" i="48"/>
  <c r="K305" i="48"/>
  <c r="J305" i="48"/>
  <c r="K304" i="48"/>
  <c r="J304" i="48"/>
  <c r="K303" i="48"/>
  <c r="J303" i="48"/>
  <c r="K302" i="48"/>
  <c r="J302" i="48"/>
  <c r="K301" i="48"/>
  <c r="J301" i="48"/>
  <c r="K300" i="48"/>
  <c r="J300" i="48"/>
  <c r="K299" i="48"/>
  <c r="J299" i="48"/>
  <c r="K298" i="48"/>
  <c r="J298" i="48"/>
  <c r="K297" i="48"/>
  <c r="J297" i="48"/>
  <c r="K296" i="48"/>
  <c r="J296" i="48"/>
  <c r="K295" i="48"/>
  <c r="J295" i="48"/>
  <c r="K294" i="48"/>
  <c r="J294" i="48"/>
  <c r="K293" i="48"/>
  <c r="J293" i="48"/>
  <c r="K292" i="48"/>
  <c r="J292" i="48"/>
  <c r="K291" i="48"/>
  <c r="J291" i="48"/>
  <c r="K290" i="48"/>
  <c r="J290" i="48"/>
  <c r="K289" i="48"/>
  <c r="J289" i="48"/>
  <c r="K288" i="48"/>
  <c r="J288" i="48"/>
  <c r="K287" i="48"/>
  <c r="J287" i="48"/>
  <c r="K286" i="48"/>
  <c r="J286" i="48"/>
  <c r="K285" i="48"/>
  <c r="J285" i="48"/>
  <c r="K284" i="48"/>
  <c r="J284" i="48"/>
  <c r="K283" i="48"/>
  <c r="J283" i="48"/>
  <c r="K282" i="48"/>
  <c r="J282" i="48"/>
  <c r="K281" i="48"/>
  <c r="J281" i="48"/>
  <c r="K280" i="48"/>
  <c r="J280" i="48"/>
  <c r="K279" i="48"/>
  <c r="J279" i="48"/>
  <c r="K278" i="48"/>
  <c r="J278" i="48"/>
  <c r="K277" i="48"/>
  <c r="J277" i="48"/>
  <c r="K276" i="48"/>
  <c r="J276" i="48"/>
  <c r="K275" i="48"/>
  <c r="J275" i="48"/>
  <c r="K274" i="48"/>
  <c r="J274" i="48"/>
  <c r="K273" i="48"/>
  <c r="J273" i="48"/>
  <c r="K272" i="48"/>
  <c r="J272" i="48"/>
  <c r="K271" i="48"/>
  <c r="J271" i="48"/>
  <c r="K270" i="48"/>
  <c r="J270" i="48"/>
  <c r="K269" i="48"/>
  <c r="J269" i="48"/>
  <c r="K268" i="48"/>
  <c r="J268" i="48"/>
  <c r="K267" i="48"/>
  <c r="J267" i="48"/>
  <c r="K266" i="48"/>
  <c r="J266" i="48"/>
  <c r="K265" i="48"/>
  <c r="J265" i="48"/>
  <c r="K264" i="48"/>
  <c r="J264" i="48"/>
  <c r="K263" i="48"/>
  <c r="J263" i="48"/>
  <c r="K262" i="48"/>
  <c r="J262" i="48"/>
  <c r="K261" i="48"/>
  <c r="J261" i="48"/>
  <c r="K260" i="48"/>
  <c r="J260" i="48"/>
  <c r="K259" i="48"/>
  <c r="J259" i="48"/>
  <c r="K258" i="48"/>
  <c r="J258" i="48"/>
  <c r="K257" i="48"/>
  <c r="J257" i="48"/>
  <c r="K256" i="48"/>
  <c r="J256" i="48"/>
  <c r="K255" i="48"/>
  <c r="J255" i="48"/>
  <c r="K254" i="48"/>
  <c r="J254" i="48"/>
  <c r="K253" i="48"/>
  <c r="J253" i="48"/>
  <c r="K252" i="48"/>
  <c r="J252" i="48"/>
  <c r="K251" i="48"/>
  <c r="J251" i="48"/>
  <c r="K250" i="48"/>
  <c r="J250" i="48"/>
  <c r="K249" i="48"/>
  <c r="J249" i="48"/>
  <c r="K248" i="48"/>
  <c r="J248" i="48"/>
  <c r="K247" i="48"/>
  <c r="J247" i="48"/>
  <c r="K246" i="48"/>
  <c r="J246" i="48"/>
  <c r="K245" i="48"/>
  <c r="J245" i="48"/>
  <c r="K244" i="48"/>
  <c r="J244" i="48"/>
  <c r="K243" i="48"/>
  <c r="J243" i="48"/>
  <c r="K242" i="48"/>
  <c r="J242" i="48"/>
  <c r="K241" i="48"/>
  <c r="J241" i="48"/>
  <c r="K240" i="48"/>
  <c r="J240" i="48"/>
  <c r="K239" i="48"/>
  <c r="J239" i="48"/>
  <c r="K238" i="48"/>
  <c r="J238" i="48"/>
  <c r="K237" i="48"/>
  <c r="J237" i="48"/>
  <c r="K236" i="48"/>
  <c r="J236" i="48"/>
  <c r="K235" i="48"/>
  <c r="J235" i="48"/>
  <c r="K234" i="48"/>
  <c r="J234" i="48"/>
  <c r="K233" i="48"/>
  <c r="J233" i="48"/>
  <c r="K232" i="48"/>
  <c r="J232" i="48"/>
  <c r="K231" i="48"/>
  <c r="J231" i="48"/>
  <c r="K230" i="48"/>
  <c r="J230" i="48"/>
  <c r="K229" i="48"/>
  <c r="J229" i="48"/>
  <c r="K228" i="48"/>
  <c r="J228" i="48"/>
  <c r="K227" i="48"/>
  <c r="J227" i="48"/>
  <c r="K226" i="48"/>
  <c r="J226" i="48"/>
  <c r="K225" i="48"/>
  <c r="J225" i="48"/>
  <c r="K224" i="48"/>
  <c r="J224" i="48"/>
  <c r="K223" i="48"/>
  <c r="J223" i="48"/>
  <c r="K222" i="48"/>
  <c r="J222" i="48"/>
  <c r="K221" i="48"/>
  <c r="J221" i="48"/>
  <c r="K220" i="48"/>
  <c r="J220" i="48"/>
  <c r="K219" i="48"/>
  <c r="J219" i="48"/>
  <c r="K218" i="48"/>
  <c r="J218" i="48"/>
  <c r="K217" i="48"/>
  <c r="J217" i="48"/>
  <c r="K216" i="48"/>
  <c r="J216" i="48"/>
  <c r="K215" i="48"/>
  <c r="J215" i="48"/>
  <c r="K214" i="48"/>
  <c r="J214" i="48"/>
  <c r="K213" i="48"/>
  <c r="J213" i="48"/>
  <c r="K212" i="48"/>
  <c r="J212" i="48"/>
  <c r="K211" i="48"/>
  <c r="J211" i="48"/>
  <c r="K210" i="48"/>
  <c r="J210" i="48"/>
  <c r="K209" i="48"/>
  <c r="J209" i="48"/>
  <c r="K208" i="48"/>
  <c r="J208" i="48"/>
  <c r="K207" i="48"/>
  <c r="J207" i="48"/>
  <c r="K206" i="48"/>
  <c r="J206" i="48"/>
  <c r="K205" i="48"/>
  <c r="J205" i="48"/>
  <c r="K204" i="48"/>
  <c r="J204" i="48"/>
  <c r="K203" i="48"/>
  <c r="J203" i="48"/>
  <c r="K202" i="48"/>
  <c r="J202" i="48"/>
  <c r="K201" i="48"/>
  <c r="J201" i="48"/>
  <c r="K200" i="48"/>
  <c r="J200" i="48"/>
  <c r="K199" i="48"/>
  <c r="J199" i="48"/>
  <c r="K198" i="48"/>
  <c r="J198" i="48"/>
  <c r="K197" i="48"/>
  <c r="J197" i="48"/>
  <c r="K196" i="48"/>
  <c r="J196" i="48"/>
  <c r="K195" i="48"/>
  <c r="J195" i="48"/>
  <c r="K194" i="48"/>
  <c r="J194" i="48"/>
  <c r="K193" i="48"/>
  <c r="J193" i="48"/>
  <c r="K192" i="48"/>
  <c r="J192" i="48"/>
  <c r="K191" i="48"/>
  <c r="J191" i="48"/>
  <c r="K190" i="48"/>
  <c r="J190" i="48"/>
  <c r="K189" i="48"/>
  <c r="J189" i="48"/>
  <c r="K188" i="48"/>
  <c r="J188" i="48"/>
  <c r="K187" i="48"/>
  <c r="J187" i="48"/>
  <c r="K186" i="48"/>
  <c r="J186" i="48"/>
  <c r="K185" i="48"/>
  <c r="J185" i="48"/>
  <c r="K184" i="48"/>
  <c r="J184" i="48"/>
  <c r="K183" i="48"/>
  <c r="J183" i="48"/>
  <c r="K182" i="48"/>
  <c r="J182" i="48"/>
  <c r="K181" i="48"/>
  <c r="J181" i="48"/>
  <c r="K180" i="48"/>
  <c r="J180" i="48"/>
  <c r="K179" i="48"/>
  <c r="J179" i="48"/>
  <c r="K178" i="48"/>
  <c r="J178" i="48"/>
  <c r="K177" i="48"/>
  <c r="J177" i="48"/>
  <c r="K176" i="48"/>
  <c r="J176" i="48"/>
  <c r="K175" i="48"/>
  <c r="J175" i="48"/>
  <c r="K174" i="48"/>
  <c r="J174" i="48"/>
  <c r="K173" i="48"/>
  <c r="J173" i="48"/>
  <c r="K172" i="48"/>
  <c r="J172" i="48"/>
  <c r="K171" i="48"/>
  <c r="J171" i="48"/>
  <c r="K170" i="48"/>
  <c r="J170" i="48"/>
  <c r="K169" i="48"/>
  <c r="J169" i="48"/>
  <c r="K168" i="48"/>
  <c r="J168" i="48"/>
  <c r="K167" i="48"/>
  <c r="J167" i="48"/>
  <c r="K166" i="48"/>
  <c r="J166" i="48"/>
  <c r="K165" i="48"/>
  <c r="J165" i="48"/>
  <c r="K164" i="48"/>
  <c r="J164" i="48"/>
  <c r="K163" i="48"/>
  <c r="J163" i="48"/>
  <c r="K162" i="48"/>
  <c r="J162" i="48"/>
  <c r="K161" i="48"/>
  <c r="J161" i="48"/>
  <c r="K160" i="48"/>
  <c r="J160" i="48"/>
  <c r="K159" i="48"/>
  <c r="J159" i="48"/>
  <c r="K158" i="48"/>
  <c r="J158" i="48"/>
  <c r="K157" i="48"/>
  <c r="J157" i="48"/>
  <c r="K156" i="48"/>
  <c r="J156" i="48"/>
  <c r="K155" i="48"/>
  <c r="J155" i="48"/>
  <c r="K154" i="48"/>
  <c r="J154" i="48"/>
  <c r="K153" i="48"/>
  <c r="J153" i="48"/>
  <c r="K152" i="48"/>
  <c r="J152" i="48"/>
  <c r="K151" i="48"/>
  <c r="J151" i="48"/>
  <c r="K150" i="48"/>
  <c r="J150" i="48"/>
  <c r="K149" i="48"/>
  <c r="J149" i="48"/>
  <c r="K148" i="48"/>
  <c r="J148" i="48"/>
  <c r="K147" i="48"/>
  <c r="J147" i="48"/>
  <c r="K146" i="48"/>
  <c r="J146" i="48"/>
  <c r="K145" i="48"/>
  <c r="J145" i="48"/>
  <c r="K144" i="48"/>
  <c r="J144" i="48"/>
  <c r="K143" i="48"/>
  <c r="J143" i="48"/>
  <c r="K142" i="48"/>
  <c r="J142" i="48"/>
  <c r="K141" i="48"/>
  <c r="J141" i="48"/>
  <c r="K140" i="48"/>
  <c r="J140" i="48"/>
  <c r="K139" i="48"/>
  <c r="J139" i="48"/>
  <c r="K138" i="48"/>
  <c r="J138" i="48"/>
  <c r="K137" i="48"/>
  <c r="J137" i="48"/>
  <c r="K136" i="48"/>
  <c r="J136" i="48"/>
  <c r="K135" i="48"/>
  <c r="J135" i="48"/>
  <c r="K134" i="48"/>
  <c r="J134" i="48"/>
  <c r="K133" i="48"/>
  <c r="J133" i="48"/>
  <c r="K132" i="48"/>
  <c r="J132" i="48"/>
  <c r="K131" i="48"/>
  <c r="J131" i="48"/>
  <c r="K130" i="48"/>
  <c r="J130" i="48"/>
  <c r="K129" i="48"/>
  <c r="J129" i="48"/>
  <c r="K128" i="48"/>
  <c r="J128" i="48"/>
  <c r="K127" i="48"/>
  <c r="J127" i="48"/>
  <c r="K126" i="48"/>
  <c r="J126" i="48"/>
  <c r="K125" i="48"/>
  <c r="J125" i="48"/>
  <c r="K124" i="48"/>
  <c r="J124" i="48"/>
  <c r="K123" i="48"/>
  <c r="J123" i="48"/>
  <c r="K122" i="48"/>
  <c r="J122" i="48"/>
  <c r="K121" i="48"/>
  <c r="J121" i="48"/>
  <c r="K120" i="48"/>
  <c r="J120" i="48"/>
  <c r="K119" i="48"/>
  <c r="J119" i="48"/>
  <c r="K118" i="48"/>
  <c r="J118" i="48"/>
  <c r="K117" i="48"/>
  <c r="J117" i="48"/>
  <c r="K116" i="48"/>
  <c r="J116" i="48"/>
  <c r="K115" i="48"/>
  <c r="J115" i="48"/>
  <c r="K114" i="48"/>
  <c r="J114" i="48"/>
  <c r="K113" i="48"/>
  <c r="J113" i="48"/>
  <c r="K112" i="48"/>
  <c r="J112" i="48"/>
  <c r="K111" i="48"/>
  <c r="J111" i="48"/>
  <c r="K110" i="48"/>
  <c r="J110" i="48"/>
  <c r="K109" i="48"/>
  <c r="J109" i="48"/>
  <c r="K108" i="48"/>
  <c r="J108" i="48"/>
  <c r="K107" i="48"/>
  <c r="J107" i="48"/>
  <c r="K106" i="48"/>
  <c r="J106" i="48"/>
  <c r="K105" i="48"/>
  <c r="J105" i="48"/>
  <c r="K104" i="48"/>
  <c r="J104" i="48"/>
  <c r="K103" i="48"/>
  <c r="J103" i="48"/>
  <c r="K102" i="48"/>
  <c r="J102" i="48"/>
  <c r="K101" i="48"/>
  <c r="J101" i="48"/>
  <c r="K100" i="48"/>
  <c r="J100" i="48"/>
  <c r="K99" i="48"/>
  <c r="J99" i="48"/>
  <c r="K98" i="48"/>
  <c r="J98" i="48"/>
  <c r="K97" i="48"/>
  <c r="J97" i="48"/>
  <c r="K96" i="48"/>
  <c r="J96" i="48"/>
  <c r="K95" i="48"/>
  <c r="J95" i="48"/>
  <c r="K94" i="48"/>
  <c r="J94" i="48"/>
  <c r="K93" i="48"/>
  <c r="J93" i="48"/>
  <c r="K92" i="48"/>
  <c r="J92" i="48"/>
  <c r="K91" i="48"/>
  <c r="J91" i="48"/>
  <c r="K90" i="48"/>
  <c r="J90" i="48"/>
  <c r="K89" i="48"/>
  <c r="J89" i="48"/>
  <c r="K88" i="48"/>
  <c r="J88" i="48"/>
  <c r="K87" i="48"/>
  <c r="J87" i="48"/>
  <c r="K86" i="48"/>
  <c r="J86" i="48"/>
  <c r="K85" i="48"/>
  <c r="J85" i="48"/>
  <c r="K84" i="48"/>
  <c r="J84" i="48"/>
  <c r="K83" i="48"/>
  <c r="J83" i="48"/>
  <c r="K82" i="48"/>
  <c r="J82" i="48"/>
  <c r="K81" i="48"/>
  <c r="J81" i="48"/>
  <c r="K80" i="48"/>
  <c r="J80" i="48"/>
  <c r="K79" i="48"/>
  <c r="J79" i="48"/>
  <c r="K78" i="48"/>
  <c r="J78" i="48"/>
  <c r="K77" i="48"/>
  <c r="J77" i="48"/>
  <c r="K76" i="48"/>
  <c r="J76" i="48"/>
  <c r="K75" i="48"/>
  <c r="J75" i="48"/>
  <c r="K74" i="48"/>
  <c r="J74" i="48"/>
  <c r="K73" i="48"/>
  <c r="J73" i="48"/>
  <c r="K72" i="48"/>
  <c r="J72" i="48"/>
  <c r="K71" i="48"/>
  <c r="J71" i="48"/>
  <c r="K70" i="48"/>
  <c r="J70" i="48"/>
  <c r="K69" i="48"/>
  <c r="J69" i="48"/>
  <c r="K68" i="48"/>
  <c r="J68" i="48"/>
  <c r="K67" i="48"/>
  <c r="J67" i="48"/>
  <c r="K66" i="48"/>
  <c r="J66" i="48"/>
  <c r="K65" i="48"/>
  <c r="J65" i="48"/>
  <c r="K64" i="48"/>
  <c r="J64" i="48"/>
  <c r="K63" i="48"/>
  <c r="J63" i="48"/>
  <c r="K62" i="48"/>
  <c r="J62" i="48"/>
  <c r="K61" i="48"/>
  <c r="J61" i="48"/>
  <c r="K60" i="48"/>
  <c r="J60" i="48"/>
  <c r="K59" i="48"/>
  <c r="J59" i="48"/>
  <c r="K58" i="48"/>
  <c r="J58" i="48"/>
  <c r="K57" i="48"/>
  <c r="J57" i="48"/>
  <c r="K56" i="48"/>
  <c r="J56" i="48"/>
  <c r="K55" i="48"/>
  <c r="J55" i="48"/>
  <c r="K54" i="48"/>
  <c r="J54" i="48"/>
  <c r="K53" i="48"/>
  <c r="J53" i="48"/>
  <c r="K52" i="48"/>
  <c r="J52" i="48"/>
  <c r="K51" i="48"/>
  <c r="J51" i="48"/>
  <c r="K50" i="48"/>
  <c r="J50" i="48"/>
  <c r="K49" i="48"/>
  <c r="J49" i="48"/>
  <c r="K48" i="48"/>
  <c r="J48" i="48"/>
  <c r="K47" i="48"/>
  <c r="J47" i="48"/>
  <c r="K46" i="48"/>
  <c r="J46" i="48"/>
  <c r="K45" i="48"/>
  <c r="J45" i="48"/>
  <c r="K44" i="48"/>
  <c r="J44" i="48"/>
  <c r="K43" i="48"/>
  <c r="J43" i="48"/>
  <c r="K42" i="48"/>
  <c r="J42" i="48"/>
  <c r="K41" i="48"/>
  <c r="J41" i="48"/>
  <c r="K40" i="48"/>
  <c r="J40" i="48"/>
  <c r="K39" i="48"/>
  <c r="J39" i="48"/>
  <c r="K38" i="48"/>
  <c r="J38" i="48"/>
  <c r="K37" i="48"/>
  <c r="J37" i="48"/>
  <c r="K36" i="48"/>
  <c r="J36" i="48"/>
  <c r="K35" i="48"/>
  <c r="J35" i="48"/>
  <c r="K34" i="48"/>
  <c r="J34" i="48"/>
  <c r="K33" i="48"/>
  <c r="J33" i="48"/>
  <c r="K32" i="48"/>
  <c r="J32" i="48"/>
  <c r="K31" i="48"/>
  <c r="J31" i="48"/>
  <c r="K30" i="48"/>
  <c r="J30" i="48"/>
  <c r="K29" i="48"/>
  <c r="J29" i="48"/>
  <c r="K28" i="48"/>
  <c r="J28" i="48"/>
  <c r="K27" i="48"/>
  <c r="J27" i="48"/>
  <c r="K26" i="48"/>
  <c r="J26" i="48"/>
  <c r="K25" i="48"/>
  <c r="J25" i="48"/>
  <c r="K24" i="48"/>
  <c r="J24" i="48"/>
  <c r="K23" i="48"/>
  <c r="J23" i="48"/>
  <c r="K22" i="48"/>
  <c r="J22" i="48"/>
  <c r="K21" i="48"/>
  <c r="J21" i="48"/>
  <c r="K20" i="48"/>
  <c r="J20" i="48"/>
  <c r="K19" i="48"/>
  <c r="J19" i="48"/>
  <c r="K18" i="48"/>
  <c r="J18" i="48"/>
  <c r="K17" i="48"/>
  <c r="J17" i="48"/>
  <c r="K16" i="48"/>
  <c r="J16" i="48"/>
  <c r="K15" i="48"/>
  <c r="J15" i="48"/>
  <c r="K14" i="48"/>
  <c r="J14" i="48"/>
  <c r="K13" i="48"/>
  <c r="J13" i="48"/>
  <c r="K12" i="48"/>
  <c r="J12" i="48"/>
  <c r="K11" i="48"/>
  <c r="J11" i="48"/>
  <c r="K10" i="48"/>
  <c r="J10" i="48"/>
  <c r="K9" i="48"/>
  <c r="J9" i="48"/>
  <c r="K8" i="48"/>
  <c r="J8" i="48"/>
  <c r="K7" i="48"/>
  <c r="J7" i="48"/>
  <c r="K6" i="48"/>
  <c r="J6" i="48"/>
  <c r="K3" i="48"/>
  <c r="I3" i="48"/>
  <c r="H3" i="48"/>
  <c r="K498" i="67"/>
  <c r="J498" i="67"/>
  <c r="K497" i="67"/>
  <c r="J497" i="67"/>
  <c r="K496" i="67"/>
  <c r="J496" i="67"/>
  <c r="K495" i="67"/>
  <c r="J495" i="67"/>
  <c r="K494" i="67"/>
  <c r="J494" i="67"/>
  <c r="K493" i="67"/>
  <c r="J493" i="67"/>
  <c r="K492" i="67"/>
  <c r="J492" i="67"/>
  <c r="K491" i="67"/>
  <c r="J491" i="67"/>
  <c r="K490" i="67"/>
  <c r="J490" i="67"/>
  <c r="K489" i="67"/>
  <c r="J489" i="67"/>
  <c r="K488" i="67"/>
  <c r="J488" i="67"/>
  <c r="K487" i="67"/>
  <c r="J487" i="67"/>
  <c r="K486" i="67"/>
  <c r="J486" i="67"/>
  <c r="K485" i="67"/>
  <c r="J485" i="67"/>
  <c r="K484" i="67"/>
  <c r="J484" i="67"/>
  <c r="K483" i="67"/>
  <c r="J483" i="67"/>
  <c r="K482" i="67"/>
  <c r="J482" i="67"/>
  <c r="K481" i="67"/>
  <c r="J481" i="67"/>
  <c r="K480" i="67"/>
  <c r="J480" i="67"/>
  <c r="K479" i="67"/>
  <c r="J479" i="67"/>
  <c r="K478" i="67"/>
  <c r="J478" i="67"/>
  <c r="K477" i="67"/>
  <c r="J477" i="67"/>
  <c r="K476" i="67"/>
  <c r="J476" i="67"/>
  <c r="K475" i="67"/>
  <c r="J475" i="67"/>
  <c r="K474" i="67"/>
  <c r="J474" i="67"/>
  <c r="K473" i="67"/>
  <c r="J473" i="67"/>
  <c r="K472" i="67"/>
  <c r="J472" i="67"/>
  <c r="K471" i="67"/>
  <c r="J471" i="67"/>
  <c r="K470" i="67"/>
  <c r="J470" i="67"/>
  <c r="K469" i="67"/>
  <c r="J469" i="67"/>
  <c r="K468" i="67"/>
  <c r="J468" i="67"/>
  <c r="K467" i="67"/>
  <c r="J467" i="67"/>
  <c r="K466" i="67"/>
  <c r="J466" i="67"/>
  <c r="K465" i="67"/>
  <c r="J465" i="67"/>
  <c r="K464" i="67"/>
  <c r="J464" i="67"/>
  <c r="K463" i="67"/>
  <c r="J463" i="67"/>
  <c r="K462" i="67"/>
  <c r="J462" i="67"/>
  <c r="K461" i="67"/>
  <c r="J461" i="67"/>
  <c r="K460" i="67"/>
  <c r="J460" i="67"/>
  <c r="K459" i="67"/>
  <c r="J459" i="67"/>
  <c r="K458" i="67"/>
  <c r="J458" i="67"/>
  <c r="K457" i="67"/>
  <c r="J457" i="67"/>
  <c r="K456" i="67"/>
  <c r="J456" i="67"/>
  <c r="K455" i="67"/>
  <c r="J455" i="67"/>
  <c r="K454" i="67"/>
  <c r="J454" i="67"/>
  <c r="K453" i="67"/>
  <c r="J453" i="67"/>
  <c r="K452" i="67"/>
  <c r="J452" i="67"/>
  <c r="K451" i="67"/>
  <c r="J451" i="67"/>
  <c r="K450" i="67"/>
  <c r="J450" i="67"/>
  <c r="K449" i="67"/>
  <c r="J449" i="67"/>
  <c r="K448" i="67"/>
  <c r="J448" i="67"/>
  <c r="K447" i="67"/>
  <c r="J447" i="67"/>
  <c r="K446" i="67"/>
  <c r="J446" i="67"/>
  <c r="K445" i="67"/>
  <c r="J445" i="67"/>
  <c r="K444" i="67"/>
  <c r="J444" i="67"/>
  <c r="K443" i="67"/>
  <c r="J443" i="67"/>
  <c r="K442" i="67"/>
  <c r="J442" i="67"/>
  <c r="K441" i="67"/>
  <c r="J441" i="67"/>
  <c r="K440" i="67"/>
  <c r="J440" i="67"/>
  <c r="K439" i="67"/>
  <c r="J439" i="67"/>
  <c r="K438" i="67"/>
  <c r="J438" i="67"/>
  <c r="K437" i="67"/>
  <c r="J437" i="67"/>
  <c r="K436" i="67"/>
  <c r="J436" i="67"/>
  <c r="K435" i="67"/>
  <c r="J435" i="67"/>
  <c r="K434" i="67"/>
  <c r="J434" i="67"/>
  <c r="K433" i="67"/>
  <c r="J433" i="67"/>
  <c r="K432" i="67"/>
  <c r="J432" i="67"/>
  <c r="K431" i="67"/>
  <c r="J431" i="67"/>
  <c r="K430" i="67"/>
  <c r="J430" i="67"/>
  <c r="K429" i="67"/>
  <c r="J429" i="67"/>
  <c r="K428" i="67"/>
  <c r="J428" i="67"/>
  <c r="K427" i="67"/>
  <c r="J427" i="67"/>
  <c r="K426" i="67"/>
  <c r="J426" i="67"/>
  <c r="K425" i="67"/>
  <c r="J425" i="67"/>
  <c r="K424" i="67"/>
  <c r="J424" i="67"/>
  <c r="K423" i="67"/>
  <c r="J423" i="67"/>
  <c r="K422" i="67"/>
  <c r="J422" i="67"/>
  <c r="K421" i="67"/>
  <c r="J421" i="67"/>
  <c r="K420" i="67"/>
  <c r="J420" i="67"/>
  <c r="K419" i="67"/>
  <c r="J419" i="67"/>
  <c r="K418" i="67"/>
  <c r="J418" i="67"/>
  <c r="K417" i="67"/>
  <c r="J417" i="67"/>
  <c r="K416" i="67"/>
  <c r="J416" i="67"/>
  <c r="K415" i="67"/>
  <c r="J415" i="67"/>
  <c r="K414" i="67"/>
  <c r="J414" i="67"/>
  <c r="K413" i="67"/>
  <c r="J413" i="67"/>
  <c r="K412" i="67"/>
  <c r="J412" i="67"/>
  <c r="K411" i="67"/>
  <c r="J411" i="67"/>
  <c r="K410" i="67"/>
  <c r="J410" i="67"/>
  <c r="K409" i="67"/>
  <c r="J409" i="67"/>
  <c r="K408" i="67"/>
  <c r="J408" i="67"/>
  <c r="K407" i="67"/>
  <c r="J407" i="67"/>
  <c r="K406" i="67"/>
  <c r="J406" i="67"/>
  <c r="K405" i="67"/>
  <c r="J405" i="67"/>
  <c r="K404" i="67"/>
  <c r="J404" i="67"/>
  <c r="K403" i="67"/>
  <c r="J403" i="67"/>
  <c r="K402" i="67"/>
  <c r="J402" i="67"/>
  <c r="K401" i="67"/>
  <c r="J401" i="67"/>
  <c r="K400" i="67"/>
  <c r="J400" i="67"/>
  <c r="K399" i="67"/>
  <c r="J399" i="67"/>
  <c r="K398" i="67"/>
  <c r="J398" i="67"/>
  <c r="K397" i="67"/>
  <c r="J397" i="67"/>
  <c r="K396" i="67"/>
  <c r="J396" i="67"/>
  <c r="K395" i="67"/>
  <c r="J395" i="67"/>
  <c r="K394" i="67"/>
  <c r="J394" i="67"/>
  <c r="K393" i="67"/>
  <c r="J393" i="67"/>
  <c r="K392" i="67"/>
  <c r="J392" i="67"/>
  <c r="K391" i="67"/>
  <c r="J391" i="67"/>
  <c r="K390" i="67"/>
  <c r="J390" i="67"/>
  <c r="K389" i="67"/>
  <c r="J389" i="67"/>
  <c r="K388" i="67"/>
  <c r="J388" i="67"/>
  <c r="K387" i="67"/>
  <c r="J387" i="67"/>
  <c r="K386" i="67"/>
  <c r="J386" i="67"/>
  <c r="K385" i="67"/>
  <c r="J385" i="67"/>
  <c r="K384" i="67"/>
  <c r="J384" i="67"/>
  <c r="K383" i="67"/>
  <c r="J383" i="67"/>
  <c r="K382" i="67"/>
  <c r="J382" i="67"/>
  <c r="K381" i="67"/>
  <c r="J381" i="67"/>
  <c r="K380" i="67"/>
  <c r="J380" i="67"/>
  <c r="K379" i="67"/>
  <c r="J379" i="67"/>
  <c r="K378" i="67"/>
  <c r="J378" i="67"/>
  <c r="K377" i="67"/>
  <c r="J377" i="67"/>
  <c r="K376" i="67"/>
  <c r="J376" i="67"/>
  <c r="K375" i="67"/>
  <c r="J375" i="67"/>
  <c r="K374" i="67"/>
  <c r="J374" i="67"/>
  <c r="K373" i="67"/>
  <c r="J373" i="67"/>
  <c r="K372" i="67"/>
  <c r="J372" i="67"/>
  <c r="K371" i="67"/>
  <c r="J371" i="67"/>
  <c r="K370" i="67"/>
  <c r="J370" i="67"/>
  <c r="K369" i="67"/>
  <c r="J369" i="67"/>
  <c r="K368" i="67"/>
  <c r="J368" i="67"/>
  <c r="K367" i="67"/>
  <c r="J367" i="67"/>
  <c r="K366" i="67"/>
  <c r="J366" i="67"/>
  <c r="K365" i="67"/>
  <c r="J365" i="67"/>
  <c r="K364" i="67"/>
  <c r="J364" i="67"/>
  <c r="K363" i="67"/>
  <c r="J363" i="67"/>
  <c r="K362" i="67"/>
  <c r="J362" i="67"/>
  <c r="K361" i="67"/>
  <c r="J361" i="67"/>
  <c r="K360" i="67"/>
  <c r="J360" i="67"/>
  <c r="K359" i="67"/>
  <c r="J359" i="67"/>
  <c r="K358" i="67"/>
  <c r="J358" i="67"/>
  <c r="K357" i="67"/>
  <c r="J357" i="67"/>
  <c r="K356" i="67"/>
  <c r="J356" i="67"/>
  <c r="K355" i="67"/>
  <c r="J355" i="67"/>
  <c r="K354" i="67"/>
  <c r="J354" i="67"/>
  <c r="K353" i="67"/>
  <c r="J353" i="67"/>
  <c r="K352" i="67"/>
  <c r="J352" i="67"/>
  <c r="K351" i="67"/>
  <c r="J351" i="67"/>
  <c r="K350" i="67"/>
  <c r="J350" i="67"/>
  <c r="K349" i="67"/>
  <c r="J349" i="67"/>
  <c r="K348" i="67"/>
  <c r="J348" i="67"/>
  <c r="K347" i="67"/>
  <c r="J347" i="67"/>
  <c r="K346" i="67"/>
  <c r="J346" i="67"/>
  <c r="K345" i="67"/>
  <c r="J345" i="67"/>
  <c r="K344" i="67"/>
  <c r="J344" i="67"/>
  <c r="K343" i="67"/>
  <c r="J343" i="67"/>
  <c r="K342" i="67"/>
  <c r="J342" i="67"/>
  <c r="K341" i="67"/>
  <c r="J341" i="67"/>
  <c r="K340" i="67"/>
  <c r="J340" i="67"/>
  <c r="K339" i="67"/>
  <c r="J339" i="67"/>
  <c r="K338" i="67"/>
  <c r="J338" i="67"/>
  <c r="K337" i="67"/>
  <c r="J337" i="67"/>
  <c r="K336" i="67"/>
  <c r="J336" i="67"/>
  <c r="K335" i="67"/>
  <c r="J335" i="67"/>
  <c r="K334" i="67"/>
  <c r="J334" i="67"/>
  <c r="K333" i="67"/>
  <c r="J333" i="67"/>
  <c r="K332" i="67"/>
  <c r="J332" i="67"/>
  <c r="K331" i="67"/>
  <c r="J331" i="67"/>
  <c r="K330" i="67"/>
  <c r="J330" i="67"/>
  <c r="K329" i="67"/>
  <c r="J329" i="67"/>
  <c r="K328" i="67"/>
  <c r="J328" i="67"/>
  <c r="K327" i="67"/>
  <c r="J327" i="67"/>
  <c r="K326" i="67"/>
  <c r="J326" i="67"/>
  <c r="K325" i="67"/>
  <c r="J325" i="67"/>
  <c r="K324" i="67"/>
  <c r="J324" i="67"/>
  <c r="K323" i="67"/>
  <c r="J323" i="67"/>
  <c r="K322" i="67"/>
  <c r="J322" i="67"/>
  <c r="K321" i="67"/>
  <c r="J321" i="67"/>
  <c r="K320" i="67"/>
  <c r="J320" i="67"/>
  <c r="K319" i="67"/>
  <c r="J319" i="67"/>
  <c r="K318" i="67"/>
  <c r="J318" i="67"/>
  <c r="K317" i="67"/>
  <c r="J317" i="67"/>
  <c r="K316" i="67"/>
  <c r="J316" i="67"/>
  <c r="K315" i="67"/>
  <c r="J315" i="67"/>
  <c r="K314" i="67"/>
  <c r="J314" i="67"/>
  <c r="K313" i="67"/>
  <c r="J313" i="67"/>
  <c r="K312" i="67"/>
  <c r="J312" i="67"/>
  <c r="K311" i="67"/>
  <c r="J311" i="67"/>
  <c r="K310" i="67"/>
  <c r="J310" i="67"/>
  <c r="K309" i="67"/>
  <c r="J309" i="67"/>
  <c r="K308" i="67"/>
  <c r="J308" i="67"/>
  <c r="K307" i="67"/>
  <c r="J307" i="67"/>
  <c r="K306" i="67"/>
  <c r="J306" i="67"/>
  <c r="K305" i="67"/>
  <c r="J305" i="67"/>
  <c r="K304" i="67"/>
  <c r="J304" i="67"/>
  <c r="K303" i="67"/>
  <c r="J303" i="67"/>
  <c r="K302" i="67"/>
  <c r="J302" i="67"/>
  <c r="K301" i="67"/>
  <c r="J301" i="67"/>
  <c r="K300" i="67"/>
  <c r="J300" i="67"/>
  <c r="K299" i="67"/>
  <c r="J299" i="67"/>
  <c r="K298" i="67"/>
  <c r="J298" i="67"/>
  <c r="K297" i="67"/>
  <c r="J297" i="67"/>
  <c r="K296" i="67"/>
  <c r="J296" i="67"/>
  <c r="K295" i="67"/>
  <c r="J295" i="67"/>
  <c r="K294" i="67"/>
  <c r="J294" i="67"/>
  <c r="K293" i="67"/>
  <c r="J293" i="67"/>
  <c r="K292" i="67"/>
  <c r="J292" i="67"/>
  <c r="K291" i="67"/>
  <c r="J291" i="67"/>
  <c r="K290" i="67"/>
  <c r="J290" i="67"/>
  <c r="K289" i="67"/>
  <c r="J289" i="67"/>
  <c r="K288" i="67"/>
  <c r="J288" i="67"/>
  <c r="K287" i="67"/>
  <c r="J287" i="67"/>
  <c r="K286" i="67"/>
  <c r="J286" i="67"/>
  <c r="K285" i="67"/>
  <c r="J285" i="67"/>
  <c r="K284" i="67"/>
  <c r="J284" i="67"/>
  <c r="K283" i="67"/>
  <c r="J283" i="67"/>
  <c r="K282" i="67"/>
  <c r="J282" i="67"/>
  <c r="K281" i="67"/>
  <c r="J281" i="67"/>
  <c r="K280" i="67"/>
  <c r="J280" i="67"/>
  <c r="K279" i="67"/>
  <c r="J279" i="67"/>
  <c r="K278" i="67"/>
  <c r="J278" i="67"/>
  <c r="K277" i="67"/>
  <c r="J277" i="67"/>
  <c r="K276" i="67"/>
  <c r="J276" i="67"/>
  <c r="K275" i="67"/>
  <c r="J275" i="67"/>
  <c r="K274" i="67"/>
  <c r="J274" i="67"/>
  <c r="K273" i="67"/>
  <c r="J273" i="67"/>
  <c r="K272" i="67"/>
  <c r="J272" i="67"/>
  <c r="K271" i="67"/>
  <c r="J271" i="67"/>
  <c r="K270" i="67"/>
  <c r="J270" i="67"/>
  <c r="K269" i="67"/>
  <c r="J269" i="67"/>
  <c r="K268" i="67"/>
  <c r="J268" i="67"/>
  <c r="K267" i="67"/>
  <c r="J267" i="67"/>
  <c r="K266" i="67"/>
  <c r="J266" i="67"/>
  <c r="K265" i="67"/>
  <c r="J265" i="67"/>
  <c r="K264" i="67"/>
  <c r="J264" i="67"/>
  <c r="K263" i="67"/>
  <c r="J263" i="67"/>
  <c r="K262" i="67"/>
  <c r="J262" i="67"/>
  <c r="K261" i="67"/>
  <c r="J261" i="67"/>
  <c r="K260" i="67"/>
  <c r="J260" i="67"/>
  <c r="K259" i="67"/>
  <c r="J259" i="67"/>
  <c r="K258" i="67"/>
  <c r="J258" i="67"/>
  <c r="K257" i="67"/>
  <c r="J257" i="67"/>
  <c r="K256" i="67"/>
  <c r="J256" i="67"/>
  <c r="K255" i="67"/>
  <c r="J255" i="67"/>
  <c r="K254" i="67"/>
  <c r="J254" i="67"/>
  <c r="K253" i="67"/>
  <c r="J253" i="67"/>
  <c r="K252" i="67"/>
  <c r="J252" i="67"/>
  <c r="K251" i="67"/>
  <c r="J251" i="67"/>
  <c r="K250" i="67"/>
  <c r="J250" i="67"/>
  <c r="K249" i="67"/>
  <c r="J249" i="67"/>
  <c r="K248" i="67"/>
  <c r="J248" i="67"/>
  <c r="K247" i="67"/>
  <c r="J247" i="67"/>
  <c r="K246" i="67"/>
  <c r="J246" i="67"/>
  <c r="K245" i="67"/>
  <c r="J245" i="67"/>
  <c r="K244" i="67"/>
  <c r="J244" i="67"/>
  <c r="K243" i="67"/>
  <c r="J243" i="67"/>
  <c r="K242" i="67"/>
  <c r="J242" i="67"/>
  <c r="K241" i="67"/>
  <c r="J241" i="67"/>
  <c r="K240" i="67"/>
  <c r="J240" i="67"/>
  <c r="K239" i="67"/>
  <c r="J239" i="67"/>
  <c r="K238" i="67"/>
  <c r="J238" i="67"/>
  <c r="K237" i="67"/>
  <c r="J237" i="67"/>
  <c r="K236" i="67"/>
  <c r="J236" i="67"/>
  <c r="K235" i="67"/>
  <c r="J235" i="67"/>
  <c r="K234" i="67"/>
  <c r="J234" i="67"/>
  <c r="K233" i="67"/>
  <c r="J233" i="67"/>
  <c r="K232" i="67"/>
  <c r="J232" i="67"/>
  <c r="K231" i="67"/>
  <c r="J231" i="67"/>
  <c r="K230" i="67"/>
  <c r="J230" i="67"/>
  <c r="K229" i="67"/>
  <c r="J229" i="67"/>
  <c r="K228" i="67"/>
  <c r="J228" i="67"/>
  <c r="K227" i="67"/>
  <c r="J227" i="67"/>
  <c r="K226" i="67"/>
  <c r="J226" i="67"/>
  <c r="K225" i="67"/>
  <c r="J225" i="67"/>
  <c r="K224" i="67"/>
  <c r="J224" i="67"/>
  <c r="K223" i="67"/>
  <c r="J223" i="67"/>
  <c r="K222" i="67"/>
  <c r="J222" i="67"/>
  <c r="K221" i="67"/>
  <c r="J221" i="67"/>
  <c r="K220" i="67"/>
  <c r="J220" i="67"/>
  <c r="K219" i="67"/>
  <c r="J219" i="67"/>
  <c r="K218" i="67"/>
  <c r="J218" i="67"/>
  <c r="K217" i="67"/>
  <c r="J217" i="67"/>
  <c r="K216" i="67"/>
  <c r="J216" i="67"/>
  <c r="K215" i="67"/>
  <c r="J215" i="67"/>
  <c r="K214" i="67"/>
  <c r="J214" i="67"/>
  <c r="K213" i="67"/>
  <c r="J213" i="67"/>
  <c r="K212" i="67"/>
  <c r="J212" i="67"/>
  <c r="K211" i="67"/>
  <c r="J211" i="67"/>
  <c r="K210" i="67"/>
  <c r="J210" i="67"/>
  <c r="K209" i="67"/>
  <c r="J209" i="67"/>
  <c r="K208" i="67"/>
  <c r="J208" i="67"/>
  <c r="K207" i="67"/>
  <c r="J207" i="67"/>
  <c r="K206" i="67"/>
  <c r="J206" i="67"/>
  <c r="K205" i="67"/>
  <c r="J205" i="67"/>
  <c r="K204" i="67"/>
  <c r="J204" i="67"/>
  <c r="K203" i="67"/>
  <c r="J203" i="67"/>
  <c r="K202" i="67"/>
  <c r="J202" i="67"/>
  <c r="K201" i="67"/>
  <c r="J201" i="67"/>
  <c r="K200" i="67"/>
  <c r="J200" i="67"/>
  <c r="K199" i="67"/>
  <c r="J199" i="67"/>
  <c r="K198" i="67"/>
  <c r="J198" i="67"/>
  <c r="K197" i="67"/>
  <c r="J197" i="67"/>
  <c r="K196" i="67"/>
  <c r="J196" i="67"/>
  <c r="K195" i="67"/>
  <c r="J195" i="67"/>
  <c r="K194" i="67"/>
  <c r="J194" i="67"/>
  <c r="K193" i="67"/>
  <c r="J193" i="67"/>
  <c r="K192" i="67"/>
  <c r="J192" i="67"/>
  <c r="K191" i="67"/>
  <c r="J191" i="67"/>
  <c r="K190" i="67"/>
  <c r="J190" i="67"/>
  <c r="K189" i="67"/>
  <c r="J189" i="67"/>
  <c r="K188" i="67"/>
  <c r="J188" i="67"/>
  <c r="K187" i="67"/>
  <c r="J187" i="67"/>
  <c r="K186" i="67"/>
  <c r="J186" i="67"/>
  <c r="K185" i="67"/>
  <c r="J185" i="67"/>
  <c r="K184" i="67"/>
  <c r="J184" i="67"/>
  <c r="K183" i="67"/>
  <c r="J183" i="67"/>
  <c r="K182" i="67"/>
  <c r="J182" i="67"/>
  <c r="K181" i="67"/>
  <c r="J181" i="67"/>
  <c r="K180" i="67"/>
  <c r="J180" i="67"/>
  <c r="K179" i="67"/>
  <c r="J179" i="67"/>
  <c r="K178" i="67"/>
  <c r="J178" i="67"/>
  <c r="K177" i="67"/>
  <c r="J177" i="67"/>
  <c r="K176" i="67"/>
  <c r="J176" i="67"/>
  <c r="K175" i="67"/>
  <c r="J175" i="67"/>
  <c r="K174" i="67"/>
  <c r="J174" i="67"/>
  <c r="K173" i="67"/>
  <c r="J173" i="67"/>
  <c r="K172" i="67"/>
  <c r="J172" i="67"/>
  <c r="K171" i="67"/>
  <c r="J171" i="67"/>
  <c r="K170" i="67"/>
  <c r="J170" i="67"/>
  <c r="K169" i="67"/>
  <c r="J169" i="67"/>
  <c r="K168" i="67"/>
  <c r="J168" i="67"/>
  <c r="K167" i="67"/>
  <c r="J167" i="67"/>
  <c r="K166" i="67"/>
  <c r="J166" i="67"/>
  <c r="K165" i="67"/>
  <c r="J165" i="67"/>
  <c r="K164" i="67"/>
  <c r="J164" i="67"/>
  <c r="K163" i="67"/>
  <c r="J163" i="67"/>
  <c r="K162" i="67"/>
  <c r="J162" i="67"/>
  <c r="K161" i="67"/>
  <c r="J161" i="67"/>
  <c r="K160" i="67"/>
  <c r="J160" i="67"/>
  <c r="K159" i="67"/>
  <c r="J159" i="67"/>
  <c r="K158" i="67"/>
  <c r="J158" i="67"/>
  <c r="K157" i="67"/>
  <c r="J157" i="67"/>
  <c r="K156" i="67"/>
  <c r="J156" i="67"/>
  <c r="K155" i="67"/>
  <c r="J155" i="67"/>
  <c r="K154" i="67"/>
  <c r="J154" i="67"/>
  <c r="K153" i="67"/>
  <c r="J153" i="67"/>
  <c r="K152" i="67"/>
  <c r="J152" i="67"/>
  <c r="K151" i="67"/>
  <c r="J151" i="67"/>
  <c r="K150" i="67"/>
  <c r="J150" i="67"/>
  <c r="K149" i="67"/>
  <c r="J149" i="67"/>
  <c r="K148" i="67"/>
  <c r="J148" i="67"/>
  <c r="K147" i="67"/>
  <c r="J147" i="67"/>
  <c r="K146" i="67"/>
  <c r="J146" i="67"/>
  <c r="K145" i="67"/>
  <c r="J145" i="67"/>
  <c r="K144" i="67"/>
  <c r="J144" i="67"/>
  <c r="K143" i="67"/>
  <c r="J143" i="67"/>
  <c r="K142" i="67"/>
  <c r="J142" i="67"/>
  <c r="K141" i="67"/>
  <c r="J141" i="67"/>
  <c r="K140" i="67"/>
  <c r="J140" i="67"/>
  <c r="K139" i="67"/>
  <c r="J139" i="67"/>
  <c r="K138" i="67"/>
  <c r="J138" i="67"/>
  <c r="K137" i="67"/>
  <c r="J137" i="67"/>
  <c r="K136" i="67"/>
  <c r="J136" i="67"/>
  <c r="K135" i="67"/>
  <c r="J135" i="67"/>
  <c r="K134" i="67"/>
  <c r="J134" i="67"/>
  <c r="K133" i="67"/>
  <c r="J133" i="67"/>
  <c r="K132" i="67"/>
  <c r="J132" i="67"/>
  <c r="K131" i="67"/>
  <c r="J131" i="67"/>
  <c r="K130" i="67"/>
  <c r="J130" i="67"/>
  <c r="K129" i="67"/>
  <c r="J129" i="67"/>
  <c r="K128" i="67"/>
  <c r="J128" i="67"/>
  <c r="K127" i="67"/>
  <c r="J127" i="67"/>
  <c r="K126" i="67"/>
  <c r="J126" i="67"/>
  <c r="K125" i="67"/>
  <c r="J125" i="67"/>
  <c r="K124" i="67"/>
  <c r="J124" i="67"/>
  <c r="K123" i="67"/>
  <c r="J123" i="67"/>
  <c r="K122" i="67"/>
  <c r="J122" i="67"/>
  <c r="K121" i="67"/>
  <c r="J121" i="67"/>
  <c r="K120" i="67"/>
  <c r="J120" i="67"/>
  <c r="K119" i="67"/>
  <c r="J119" i="67"/>
  <c r="K118" i="67"/>
  <c r="J118" i="67"/>
  <c r="K117" i="67"/>
  <c r="J117" i="67"/>
  <c r="K116" i="67"/>
  <c r="J116" i="67"/>
  <c r="K115" i="67"/>
  <c r="J115" i="67"/>
  <c r="K114" i="67"/>
  <c r="J114" i="67"/>
  <c r="K113" i="67"/>
  <c r="J113" i="67"/>
  <c r="K112" i="67"/>
  <c r="J112" i="67"/>
  <c r="K111" i="67"/>
  <c r="J111" i="67"/>
  <c r="K110" i="67"/>
  <c r="J110" i="67"/>
  <c r="K109" i="67"/>
  <c r="J109" i="67"/>
  <c r="K108" i="67"/>
  <c r="J108" i="67"/>
  <c r="K107" i="67"/>
  <c r="J107" i="67"/>
  <c r="K106" i="67"/>
  <c r="J106" i="67"/>
  <c r="K105" i="67"/>
  <c r="J105" i="67"/>
  <c r="K104" i="67"/>
  <c r="J104" i="67"/>
  <c r="K103" i="67"/>
  <c r="J103" i="67"/>
  <c r="K102" i="67"/>
  <c r="J102" i="67"/>
  <c r="K101" i="67"/>
  <c r="J101" i="67"/>
  <c r="K100" i="67"/>
  <c r="J100" i="67"/>
  <c r="K99" i="67"/>
  <c r="J99" i="67"/>
  <c r="K98" i="67"/>
  <c r="J98" i="67"/>
  <c r="K97" i="67"/>
  <c r="J97" i="67"/>
  <c r="K96" i="67"/>
  <c r="J96" i="67"/>
  <c r="K95" i="67"/>
  <c r="J95" i="67"/>
  <c r="K94" i="67"/>
  <c r="J94" i="67"/>
  <c r="K93" i="67"/>
  <c r="J93" i="67"/>
  <c r="K92" i="67"/>
  <c r="J92" i="67"/>
  <c r="K91" i="67"/>
  <c r="J91" i="67"/>
  <c r="K90" i="67"/>
  <c r="J90" i="67"/>
  <c r="K89" i="67"/>
  <c r="J89" i="67"/>
  <c r="K88" i="67"/>
  <c r="J88" i="67"/>
  <c r="K87" i="67"/>
  <c r="J87" i="67"/>
  <c r="K86" i="67"/>
  <c r="J86" i="67"/>
  <c r="K85" i="67"/>
  <c r="J85" i="67"/>
  <c r="K84" i="67"/>
  <c r="J84" i="67"/>
  <c r="K83" i="67"/>
  <c r="J83" i="67"/>
  <c r="K82" i="67"/>
  <c r="J82" i="67"/>
  <c r="K81" i="67"/>
  <c r="J81" i="67"/>
  <c r="K80" i="67"/>
  <c r="J80" i="67"/>
  <c r="K79" i="67"/>
  <c r="J79" i="67"/>
  <c r="K78" i="67"/>
  <c r="J78" i="67"/>
  <c r="K77" i="67"/>
  <c r="J77" i="67"/>
  <c r="K76" i="67"/>
  <c r="J76" i="67"/>
  <c r="K75" i="67"/>
  <c r="J75" i="67"/>
  <c r="K74" i="67"/>
  <c r="J74" i="67"/>
  <c r="K73" i="67"/>
  <c r="J73" i="67"/>
  <c r="K72" i="67"/>
  <c r="J72" i="67"/>
  <c r="K71" i="67"/>
  <c r="J71" i="67"/>
  <c r="K70" i="67"/>
  <c r="J70" i="67"/>
  <c r="K69" i="67"/>
  <c r="J69" i="67"/>
  <c r="K68" i="67"/>
  <c r="J68" i="67"/>
  <c r="K67" i="67"/>
  <c r="J67" i="67"/>
  <c r="K66" i="67"/>
  <c r="J66" i="67"/>
  <c r="K65" i="67"/>
  <c r="J65" i="67"/>
  <c r="K64" i="67"/>
  <c r="J64" i="67"/>
  <c r="K63" i="67"/>
  <c r="J63" i="67"/>
  <c r="K62" i="67"/>
  <c r="J62" i="67"/>
  <c r="K61" i="67"/>
  <c r="J61" i="67"/>
  <c r="K60" i="67"/>
  <c r="J60" i="67"/>
  <c r="K59" i="67"/>
  <c r="J59" i="67"/>
  <c r="K58" i="67"/>
  <c r="J58" i="67"/>
  <c r="K57" i="67"/>
  <c r="J57" i="67"/>
  <c r="K56" i="67"/>
  <c r="J56" i="67"/>
  <c r="K55" i="67"/>
  <c r="J55" i="67"/>
  <c r="K54" i="67"/>
  <c r="J54" i="67"/>
  <c r="K53" i="67"/>
  <c r="J53" i="67"/>
  <c r="K52" i="67"/>
  <c r="J52" i="67"/>
  <c r="K51" i="67"/>
  <c r="J51" i="67"/>
  <c r="K50" i="67"/>
  <c r="J50" i="67"/>
  <c r="K49" i="67"/>
  <c r="J49" i="67"/>
  <c r="K48" i="67"/>
  <c r="J48" i="67"/>
  <c r="K47" i="67"/>
  <c r="J47" i="67"/>
  <c r="K46" i="67"/>
  <c r="J46" i="67"/>
  <c r="K45" i="67"/>
  <c r="J45" i="67"/>
  <c r="K44" i="67"/>
  <c r="J44" i="67"/>
  <c r="K43" i="67"/>
  <c r="J43" i="67"/>
  <c r="K42" i="67"/>
  <c r="J42" i="67"/>
  <c r="K41" i="67"/>
  <c r="J41" i="67"/>
  <c r="K40" i="67"/>
  <c r="J40" i="67"/>
  <c r="K39" i="67"/>
  <c r="J39" i="67"/>
  <c r="K38" i="67"/>
  <c r="J38" i="67"/>
  <c r="K37" i="67"/>
  <c r="J37" i="67"/>
  <c r="K36" i="67"/>
  <c r="J36" i="67"/>
  <c r="K35" i="67"/>
  <c r="J35" i="67"/>
  <c r="K34" i="67"/>
  <c r="J34" i="67"/>
  <c r="K33" i="67"/>
  <c r="J33" i="67"/>
  <c r="K32" i="67"/>
  <c r="J32" i="67"/>
  <c r="K31" i="67"/>
  <c r="J31" i="67"/>
  <c r="K30" i="67"/>
  <c r="J30" i="67"/>
  <c r="K29" i="67"/>
  <c r="J29" i="67"/>
  <c r="K28" i="67"/>
  <c r="J28" i="67"/>
  <c r="K27" i="67"/>
  <c r="J27" i="67"/>
  <c r="K26" i="67"/>
  <c r="J26" i="67"/>
  <c r="K25" i="67"/>
  <c r="J25" i="67"/>
  <c r="K24" i="67"/>
  <c r="J24" i="67"/>
  <c r="K23" i="67"/>
  <c r="J23" i="67"/>
  <c r="K22" i="67"/>
  <c r="J22" i="67"/>
  <c r="K21" i="67"/>
  <c r="J21" i="67"/>
  <c r="K20" i="67"/>
  <c r="J20" i="67"/>
  <c r="K19" i="67"/>
  <c r="J19" i="67"/>
  <c r="K18" i="67"/>
  <c r="J18" i="67"/>
  <c r="K17" i="67"/>
  <c r="J17" i="67"/>
  <c r="K16" i="67"/>
  <c r="J16" i="67"/>
  <c r="K15" i="67"/>
  <c r="J15" i="67"/>
  <c r="K14" i="67"/>
  <c r="J14" i="67"/>
  <c r="K13" i="67"/>
  <c r="J13" i="67"/>
  <c r="K12" i="67"/>
  <c r="J12" i="67"/>
  <c r="K11" i="67"/>
  <c r="J11" i="67"/>
  <c r="K10" i="67"/>
  <c r="J10" i="67"/>
  <c r="K9" i="67"/>
  <c r="J9" i="67"/>
  <c r="K8" i="67"/>
  <c r="J8" i="67"/>
  <c r="K7" i="67"/>
  <c r="J7" i="67"/>
  <c r="K6" i="67"/>
  <c r="J6" i="67"/>
  <c r="K3" i="67"/>
  <c r="I3" i="67"/>
  <c r="H3" i="67"/>
  <c r="K498" i="63"/>
  <c r="J498" i="63"/>
  <c r="K497" i="63"/>
  <c r="J497" i="63"/>
  <c r="K496" i="63"/>
  <c r="J496" i="63"/>
  <c r="K495" i="63"/>
  <c r="J495" i="63"/>
  <c r="K494" i="63"/>
  <c r="J494" i="63"/>
  <c r="K493" i="63"/>
  <c r="J493" i="63"/>
  <c r="K492" i="63"/>
  <c r="J492" i="63"/>
  <c r="K491" i="63"/>
  <c r="J491" i="63"/>
  <c r="K490" i="63"/>
  <c r="J490" i="63"/>
  <c r="K489" i="63"/>
  <c r="J489" i="63"/>
  <c r="K488" i="63"/>
  <c r="J488" i="63"/>
  <c r="K487" i="63"/>
  <c r="J487" i="63"/>
  <c r="K486" i="63"/>
  <c r="J486" i="63"/>
  <c r="K485" i="63"/>
  <c r="J485" i="63"/>
  <c r="K484" i="63"/>
  <c r="J484" i="63"/>
  <c r="K483" i="63"/>
  <c r="J483" i="63"/>
  <c r="K482" i="63"/>
  <c r="J482" i="63"/>
  <c r="K481" i="63"/>
  <c r="J481" i="63"/>
  <c r="K480" i="63"/>
  <c r="J480" i="63"/>
  <c r="K479" i="63"/>
  <c r="J479" i="63"/>
  <c r="K478" i="63"/>
  <c r="J478" i="63"/>
  <c r="K477" i="63"/>
  <c r="J477" i="63"/>
  <c r="K476" i="63"/>
  <c r="J476" i="63"/>
  <c r="K475" i="63"/>
  <c r="J475" i="63"/>
  <c r="K474" i="63"/>
  <c r="J474" i="63"/>
  <c r="K473" i="63"/>
  <c r="J473" i="63"/>
  <c r="K472" i="63"/>
  <c r="J472" i="63"/>
  <c r="K471" i="63"/>
  <c r="J471" i="63"/>
  <c r="K470" i="63"/>
  <c r="J470" i="63"/>
  <c r="K469" i="63"/>
  <c r="J469" i="63"/>
  <c r="K468" i="63"/>
  <c r="J468" i="63"/>
  <c r="K467" i="63"/>
  <c r="J467" i="63"/>
  <c r="K466" i="63"/>
  <c r="J466" i="63"/>
  <c r="K465" i="63"/>
  <c r="J465" i="63"/>
  <c r="K464" i="63"/>
  <c r="J464" i="63"/>
  <c r="K463" i="63"/>
  <c r="J463" i="63"/>
  <c r="K462" i="63"/>
  <c r="J462" i="63"/>
  <c r="K461" i="63"/>
  <c r="J461" i="63"/>
  <c r="K460" i="63"/>
  <c r="J460" i="63"/>
  <c r="K459" i="63"/>
  <c r="J459" i="63"/>
  <c r="K458" i="63"/>
  <c r="J458" i="63"/>
  <c r="K457" i="63"/>
  <c r="J457" i="63"/>
  <c r="K456" i="63"/>
  <c r="J456" i="63"/>
  <c r="K455" i="63"/>
  <c r="J455" i="63"/>
  <c r="K454" i="63"/>
  <c r="J454" i="63"/>
  <c r="K453" i="63"/>
  <c r="J453" i="63"/>
  <c r="K452" i="63"/>
  <c r="J452" i="63"/>
  <c r="K451" i="63"/>
  <c r="J451" i="63"/>
  <c r="K450" i="63"/>
  <c r="J450" i="63"/>
  <c r="K449" i="63"/>
  <c r="J449" i="63"/>
  <c r="K448" i="63"/>
  <c r="J448" i="63"/>
  <c r="K447" i="63"/>
  <c r="J447" i="63"/>
  <c r="K446" i="63"/>
  <c r="J446" i="63"/>
  <c r="K445" i="63"/>
  <c r="J445" i="63"/>
  <c r="K444" i="63"/>
  <c r="J444" i="63"/>
  <c r="K443" i="63"/>
  <c r="J443" i="63"/>
  <c r="K442" i="63"/>
  <c r="J442" i="63"/>
  <c r="K441" i="63"/>
  <c r="J441" i="63"/>
  <c r="K440" i="63"/>
  <c r="J440" i="63"/>
  <c r="K439" i="63"/>
  <c r="J439" i="63"/>
  <c r="K438" i="63"/>
  <c r="J438" i="63"/>
  <c r="K437" i="63"/>
  <c r="J437" i="63"/>
  <c r="K436" i="63"/>
  <c r="J436" i="63"/>
  <c r="K435" i="63"/>
  <c r="J435" i="63"/>
  <c r="K434" i="63"/>
  <c r="J434" i="63"/>
  <c r="K433" i="63"/>
  <c r="J433" i="63"/>
  <c r="K432" i="63"/>
  <c r="J432" i="63"/>
  <c r="K431" i="63"/>
  <c r="J431" i="63"/>
  <c r="K430" i="63"/>
  <c r="J430" i="63"/>
  <c r="K429" i="63"/>
  <c r="J429" i="63"/>
  <c r="K428" i="63"/>
  <c r="J428" i="63"/>
  <c r="K427" i="63"/>
  <c r="J427" i="63"/>
  <c r="K426" i="63"/>
  <c r="J426" i="63"/>
  <c r="K425" i="63"/>
  <c r="J425" i="63"/>
  <c r="K424" i="63"/>
  <c r="J424" i="63"/>
  <c r="K423" i="63"/>
  <c r="J423" i="63"/>
  <c r="K422" i="63"/>
  <c r="J422" i="63"/>
  <c r="K421" i="63"/>
  <c r="J421" i="63"/>
  <c r="K420" i="63"/>
  <c r="J420" i="63"/>
  <c r="K419" i="63"/>
  <c r="J419" i="63"/>
  <c r="K418" i="63"/>
  <c r="J418" i="63"/>
  <c r="K417" i="63"/>
  <c r="J417" i="63"/>
  <c r="K416" i="63"/>
  <c r="J416" i="63"/>
  <c r="K415" i="63"/>
  <c r="J415" i="63"/>
  <c r="K414" i="63"/>
  <c r="J414" i="63"/>
  <c r="K413" i="63"/>
  <c r="J413" i="63"/>
  <c r="K412" i="63"/>
  <c r="J412" i="63"/>
  <c r="K411" i="63"/>
  <c r="J411" i="63"/>
  <c r="K410" i="63"/>
  <c r="J410" i="63"/>
  <c r="K409" i="63"/>
  <c r="J409" i="63"/>
  <c r="K408" i="63"/>
  <c r="J408" i="63"/>
  <c r="K407" i="63"/>
  <c r="J407" i="63"/>
  <c r="K406" i="63"/>
  <c r="J406" i="63"/>
  <c r="K405" i="63"/>
  <c r="J405" i="63"/>
  <c r="K404" i="63"/>
  <c r="J404" i="63"/>
  <c r="K403" i="63"/>
  <c r="J403" i="63"/>
  <c r="K402" i="63"/>
  <c r="J402" i="63"/>
  <c r="K401" i="63"/>
  <c r="J401" i="63"/>
  <c r="K400" i="63"/>
  <c r="J400" i="63"/>
  <c r="K399" i="63"/>
  <c r="J399" i="63"/>
  <c r="K398" i="63"/>
  <c r="J398" i="63"/>
  <c r="K397" i="63"/>
  <c r="J397" i="63"/>
  <c r="K396" i="63"/>
  <c r="J396" i="63"/>
  <c r="K395" i="63"/>
  <c r="J395" i="63"/>
  <c r="K394" i="63"/>
  <c r="J394" i="63"/>
  <c r="K393" i="63"/>
  <c r="J393" i="63"/>
  <c r="K392" i="63"/>
  <c r="J392" i="63"/>
  <c r="K391" i="63"/>
  <c r="J391" i="63"/>
  <c r="K390" i="63"/>
  <c r="J390" i="63"/>
  <c r="K389" i="63"/>
  <c r="J389" i="63"/>
  <c r="K388" i="63"/>
  <c r="J388" i="63"/>
  <c r="K387" i="63"/>
  <c r="J387" i="63"/>
  <c r="K386" i="63"/>
  <c r="J386" i="63"/>
  <c r="K385" i="63"/>
  <c r="J385" i="63"/>
  <c r="K384" i="63"/>
  <c r="J384" i="63"/>
  <c r="K383" i="63"/>
  <c r="J383" i="63"/>
  <c r="K382" i="63"/>
  <c r="J382" i="63"/>
  <c r="K381" i="63"/>
  <c r="J381" i="63"/>
  <c r="K380" i="63"/>
  <c r="J380" i="63"/>
  <c r="K379" i="63"/>
  <c r="J379" i="63"/>
  <c r="K378" i="63"/>
  <c r="J378" i="63"/>
  <c r="K377" i="63"/>
  <c r="J377" i="63"/>
  <c r="K376" i="63"/>
  <c r="J376" i="63"/>
  <c r="K375" i="63"/>
  <c r="J375" i="63"/>
  <c r="K374" i="63"/>
  <c r="J374" i="63"/>
  <c r="K373" i="63"/>
  <c r="J373" i="63"/>
  <c r="K372" i="63"/>
  <c r="J372" i="63"/>
  <c r="K371" i="63"/>
  <c r="J371" i="63"/>
  <c r="K370" i="63"/>
  <c r="J370" i="63"/>
  <c r="K369" i="63"/>
  <c r="J369" i="63"/>
  <c r="K368" i="63"/>
  <c r="J368" i="63"/>
  <c r="K367" i="63"/>
  <c r="J367" i="63"/>
  <c r="K366" i="63"/>
  <c r="J366" i="63"/>
  <c r="K365" i="63"/>
  <c r="J365" i="63"/>
  <c r="K364" i="63"/>
  <c r="J364" i="63"/>
  <c r="K363" i="63"/>
  <c r="J363" i="63"/>
  <c r="K362" i="63"/>
  <c r="J362" i="63"/>
  <c r="K361" i="63"/>
  <c r="J361" i="63"/>
  <c r="K360" i="63"/>
  <c r="J360" i="63"/>
  <c r="K359" i="63"/>
  <c r="J359" i="63"/>
  <c r="K358" i="63"/>
  <c r="J358" i="63"/>
  <c r="K357" i="63"/>
  <c r="J357" i="63"/>
  <c r="K356" i="63"/>
  <c r="J356" i="63"/>
  <c r="K355" i="63"/>
  <c r="J355" i="63"/>
  <c r="K354" i="63"/>
  <c r="J354" i="63"/>
  <c r="K353" i="63"/>
  <c r="J353" i="63"/>
  <c r="K352" i="63"/>
  <c r="J352" i="63"/>
  <c r="K351" i="63"/>
  <c r="J351" i="63"/>
  <c r="K350" i="63"/>
  <c r="J350" i="63"/>
  <c r="K349" i="63"/>
  <c r="J349" i="63"/>
  <c r="K348" i="63"/>
  <c r="J348" i="63"/>
  <c r="K347" i="63"/>
  <c r="J347" i="63"/>
  <c r="K346" i="63"/>
  <c r="J346" i="63"/>
  <c r="K345" i="63"/>
  <c r="J345" i="63"/>
  <c r="K344" i="63"/>
  <c r="J344" i="63"/>
  <c r="K343" i="63"/>
  <c r="J343" i="63"/>
  <c r="K342" i="63"/>
  <c r="J342" i="63"/>
  <c r="K341" i="63"/>
  <c r="J341" i="63"/>
  <c r="K340" i="63"/>
  <c r="J340" i="63"/>
  <c r="K339" i="63"/>
  <c r="J339" i="63"/>
  <c r="K338" i="63"/>
  <c r="J338" i="63"/>
  <c r="K337" i="63"/>
  <c r="J337" i="63"/>
  <c r="K336" i="63"/>
  <c r="J336" i="63"/>
  <c r="K335" i="63"/>
  <c r="J335" i="63"/>
  <c r="K334" i="63"/>
  <c r="J334" i="63"/>
  <c r="K333" i="63"/>
  <c r="J333" i="63"/>
  <c r="K332" i="63"/>
  <c r="J332" i="63"/>
  <c r="K331" i="63"/>
  <c r="J331" i="63"/>
  <c r="K330" i="63"/>
  <c r="J330" i="63"/>
  <c r="K329" i="63"/>
  <c r="J329" i="63"/>
  <c r="K328" i="63"/>
  <c r="J328" i="63"/>
  <c r="K327" i="63"/>
  <c r="J327" i="63"/>
  <c r="K326" i="63"/>
  <c r="J326" i="63"/>
  <c r="K325" i="63"/>
  <c r="J325" i="63"/>
  <c r="K324" i="63"/>
  <c r="J324" i="63"/>
  <c r="K323" i="63"/>
  <c r="J323" i="63"/>
  <c r="K322" i="63"/>
  <c r="J322" i="63"/>
  <c r="K321" i="63"/>
  <c r="J321" i="63"/>
  <c r="K320" i="63"/>
  <c r="J320" i="63"/>
  <c r="K319" i="63"/>
  <c r="J319" i="63"/>
  <c r="K318" i="63"/>
  <c r="J318" i="63"/>
  <c r="K317" i="63"/>
  <c r="J317" i="63"/>
  <c r="K316" i="63"/>
  <c r="J316" i="63"/>
  <c r="K315" i="63"/>
  <c r="J315" i="63"/>
  <c r="K314" i="63"/>
  <c r="J314" i="63"/>
  <c r="K313" i="63"/>
  <c r="J313" i="63"/>
  <c r="K312" i="63"/>
  <c r="J312" i="63"/>
  <c r="K311" i="63"/>
  <c r="J311" i="63"/>
  <c r="K310" i="63"/>
  <c r="J310" i="63"/>
  <c r="K309" i="63"/>
  <c r="J309" i="63"/>
  <c r="K308" i="63"/>
  <c r="J308" i="63"/>
  <c r="K307" i="63"/>
  <c r="J307" i="63"/>
  <c r="K306" i="63"/>
  <c r="J306" i="63"/>
  <c r="K305" i="63"/>
  <c r="J305" i="63"/>
  <c r="K304" i="63"/>
  <c r="J304" i="63"/>
  <c r="K303" i="63"/>
  <c r="J303" i="63"/>
  <c r="K302" i="63"/>
  <c r="J302" i="63"/>
  <c r="K301" i="63"/>
  <c r="J301" i="63"/>
  <c r="K300" i="63"/>
  <c r="J300" i="63"/>
  <c r="K299" i="63"/>
  <c r="J299" i="63"/>
  <c r="K298" i="63"/>
  <c r="J298" i="63"/>
  <c r="K297" i="63"/>
  <c r="J297" i="63"/>
  <c r="K296" i="63"/>
  <c r="J296" i="63"/>
  <c r="K295" i="63"/>
  <c r="J295" i="63"/>
  <c r="K294" i="63"/>
  <c r="J294" i="63"/>
  <c r="K293" i="63"/>
  <c r="J293" i="63"/>
  <c r="K292" i="63"/>
  <c r="J292" i="63"/>
  <c r="K291" i="63"/>
  <c r="J291" i="63"/>
  <c r="K290" i="63"/>
  <c r="J290" i="63"/>
  <c r="K289" i="63"/>
  <c r="J289" i="63"/>
  <c r="K288" i="63"/>
  <c r="J288" i="63"/>
  <c r="K287" i="63"/>
  <c r="J287" i="63"/>
  <c r="K286" i="63"/>
  <c r="J286" i="63"/>
  <c r="K285" i="63"/>
  <c r="J285" i="63"/>
  <c r="K284" i="63"/>
  <c r="J284" i="63"/>
  <c r="K283" i="63"/>
  <c r="J283" i="63"/>
  <c r="K282" i="63"/>
  <c r="J282" i="63"/>
  <c r="K281" i="63"/>
  <c r="J281" i="63"/>
  <c r="K280" i="63"/>
  <c r="J280" i="63"/>
  <c r="K279" i="63"/>
  <c r="J279" i="63"/>
  <c r="K278" i="63"/>
  <c r="J278" i="63"/>
  <c r="K277" i="63"/>
  <c r="J277" i="63"/>
  <c r="K276" i="63"/>
  <c r="J276" i="63"/>
  <c r="K275" i="63"/>
  <c r="J275" i="63"/>
  <c r="K274" i="63"/>
  <c r="J274" i="63"/>
  <c r="K273" i="63"/>
  <c r="J273" i="63"/>
  <c r="K272" i="63"/>
  <c r="J272" i="63"/>
  <c r="K271" i="63"/>
  <c r="J271" i="63"/>
  <c r="K270" i="63"/>
  <c r="J270" i="63"/>
  <c r="K269" i="63"/>
  <c r="J269" i="63"/>
  <c r="K268" i="63"/>
  <c r="J268" i="63"/>
  <c r="K267" i="63"/>
  <c r="J267" i="63"/>
  <c r="K266" i="63"/>
  <c r="J266" i="63"/>
  <c r="K265" i="63"/>
  <c r="J265" i="63"/>
  <c r="K264" i="63"/>
  <c r="J264" i="63"/>
  <c r="K263" i="63"/>
  <c r="J263" i="63"/>
  <c r="K262" i="63"/>
  <c r="J262" i="63"/>
  <c r="K261" i="63"/>
  <c r="J261" i="63"/>
  <c r="K260" i="63"/>
  <c r="J260" i="63"/>
  <c r="K259" i="63"/>
  <c r="J259" i="63"/>
  <c r="K258" i="63"/>
  <c r="J258" i="63"/>
  <c r="K257" i="63"/>
  <c r="J257" i="63"/>
  <c r="K256" i="63"/>
  <c r="J256" i="63"/>
  <c r="K255" i="63"/>
  <c r="J255" i="63"/>
  <c r="K254" i="63"/>
  <c r="J254" i="63"/>
  <c r="K253" i="63"/>
  <c r="J253" i="63"/>
  <c r="K252" i="63"/>
  <c r="J252" i="63"/>
  <c r="K251" i="63"/>
  <c r="J251" i="63"/>
  <c r="K250" i="63"/>
  <c r="J250" i="63"/>
  <c r="K249" i="63"/>
  <c r="J249" i="63"/>
  <c r="K248" i="63"/>
  <c r="J248" i="63"/>
  <c r="K247" i="63"/>
  <c r="J247" i="63"/>
  <c r="K246" i="63"/>
  <c r="J246" i="63"/>
  <c r="K245" i="63"/>
  <c r="J245" i="63"/>
  <c r="K244" i="63"/>
  <c r="J244" i="63"/>
  <c r="K243" i="63"/>
  <c r="J243" i="63"/>
  <c r="K242" i="63"/>
  <c r="J242" i="63"/>
  <c r="K241" i="63"/>
  <c r="J241" i="63"/>
  <c r="K240" i="63"/>
  <c r="J240" i="63"/>
  <c r="K239" i="63"/>
  <c r="J239" i="63"/>
  <c r="K238" i="63"/>
  <c r="J238" i="63"/>
  <c r="K237" i="63"/>
  <c r="J237" i="63"/>
  <c r="K236" i="63"/>
  <c r="J236" i="63"/>
  <c r="K235" i="63"/>
  <c r="J235" i="63"/>
  <c r="K234" i="63"/>
  <c r="J234" i="63"/>
  <c r="K233" i="63"/>
  <c r="J233" i="63"/>
  <c r="K232" i="63"/>
  <c r="J232" i="63"/>
  <c r="K231" i="63"/>
  <c r="J231" i="63"/>
  <c r="K230" i="63"/>
  <c r="J230" i="63"/>
  <c r="K229" i="63"/>
  <c r="J229" i="63"/>
  <c r="K228" i="63"/>
  <c r="J228" i="63"/>
  <c r="K227" i="63"/>
  <c r="J227" i="63"/>
  <c r="K226" i="63"/>
  <c r="J226" i="63"/>
  <c r="K225" i="63"/>
  <c r="J225" i="63"/>
  <c r="K224" i="63"/>
  <c r="J224" i="63"/>
  <c r="K223" i="63"/>
  <c r="J223" i="63"/>
  <c r="K222" i="63"/>
  <c r="J222" i="63"/>
  <c r="K221" i="63"/>
  <c r="J221" i="63"/>
  <c r="K220" i="63"/>
  <c r="J220" i="63"/>
  <c r="K219" i="63"/>
  <c r="J219" i="63"/>
  <c r="K218" i="63"/>
  <c r="J218" i="63"/>
  <c r="K217" i="63"/>
  <c r="J217" i="63"/>
  <c r="K216" i="63"/>
  <c r="J216" i="63"/>
  <c r="K215" i="63"/>
  <c r="J215" i="63"/>
  <c r="K214" i="63"/>
  <c r="J214" i="63"/>
  <c r="K213" i="63"/>
  <c r="J213" i="63"/>
  <c r="K212" i="63"/>
  <c r="J212" i="63"/>
  <c r="K211" i="63"/>
  <c r="J211" i="63"/>
  <c r="K210" i="63"/>
  <c r="J210" i="63"/>
  <c r="K209" i="63"/>
  <c r="J209" i="63"/>
  <c r="K208" i="63"/>
  <c r="J208" i="63"/>
  <c r="K207" i="63"/>
  <c r="J207" i="63"/>
  <c r="K206" i="63"/>
  <c r="J206" i="63"/>
  <c r="K205" i="63"/>
  <c r="J205" i="63"/>
  <c r="K204" i="63"/>
  <c r="J204" i="63"/>
  <c r="K203" i="63"/>
  <c r="J203" i="63"/>
  <c r="K202" i="63"/>
  <c r="J202" i="63"/>
  <c r="K201" i="63"/>
  <c r="J201" i="63"/>
  <c r="K200" i="63"/>
  <c r="J200" i="63"/>
  <c r="K199" i="63"/>
  <c r="J199" i="63"/>
  <c r="K198" i="63"/>
  <c r="J198" i="63"/>
  <c r="K197" i="63"/>
  <c r="J197" i="63"/>
  <c r="K196" i="63"/>
  <c r="J196" i="63"/>
  <c r="K195" i="63"/>
  <c r="J195" i="63"/>
  <c r="K194" i="63"/>
  <c r="J194" i="63"/>
  <c r="K193" i="63"/>
  <c r="J193" i="63"/>
  <c r="K192" i="63"/>
  <c r="J192" i="63"/>
  <c r="K191" i="63"/>
  <c r="J191" i="63"/>
  <c r="K190" i="63"/>
  <c r="J190" i="63"/>
  <c r="K189" i="63"/>
  <c r="J189" i="63"/>
  <c r="K188" i="63"/>
  <c r="J188" i="63"/>
  <c r="K187" i="63"/>
  <c r="J187" i="63"/>
  <c r="K186" i="63"/>
  <c r="J186" i="63"/>
  <c r="K185" i="63"/>
  <c r="J185" i="63"/>
  <c r="K184" i="63"/>
  <c r="J184" i="63"/>
  <c r="K183" i="63"/>
  <c r="J183" i="63"/>
  <c r="K182" i="63"/>
  <c r="J182" i="63"/>
  <c r="K181" i="63"/>
  <c r="J181" i="63"/>
  <c r="K180" i="63"/>
  <c r="J180" i="63"/>
  <c r="K179" i="63"/>
  <c r="J179" i="63"/>
  <c r="K178" i="63"/>
  <c r="J178" i="63"/>
  <c r="K177" i="63"/>
  <c r="J177" i="63"/>
  <c r="K176" i="63"/>
  <c r="J176" i="63"/>
  <c r="K175" i="63"/>
  <c r="J175" i="63"/>
  <c r="K174" i="63"/>
  <c r="J174" i="63"/>
  <c r="K173" i="63"/>
  <c r="J173" i="63"/>
  <c r="K172" i="63"/>
  <c r="J172" i="63"/>
  <c r="K171" i="63"/>
  <c r="J171" i="63"/>
  <c r="K170" i="63"/>
  <c r="J170" i="63"/>
  <c r="K169" i="63"/>
  <c r="J169" i="63"/>
  <c r="K168" i="63"/>
  <c r="J168" i="63"/>
  <c r="K167" i="63"/>
  <c r="J167" i="63"/>
  <c r="K166" i="63"/>
  <c r="J166" i="63"/>
  <c r="K165" i="63"/>
  <c r="J165" i="63"/>
  <c r="K164" i="63"/>
  <c r="J164" i="63"/>
  <c r="K163" i="63"/>
  <c r="J163" i="63"/>
  <c r="K162" i="63"/>
  <c r="J162" i="63"/>
  <c r="K161" i="63"/>
  <c r="J161" i="63"/>
  <c r="K160" i="63"/>
  <c r="J160" i="63"/>
  <c r="K159" i="63"/>
  <c r="J159" i="63"/>
  <c r="K158" i="63"/>
  <c r="J158" i="63"/>
  <c r="K157" i="63"/>
  <c r="J157" i="63"/>
  <c r="K156" i="63"/>
  <c r="J156" i="63"/>
  <c r="K155" i="63"/>
  <c r="J155" i="63"/>
  <c r="K154" i="63"/>
  <c r="J154" i="63"/>
  <c r="K153" i="63"/>
  <c r="J153" i="63"/>
  <c r="K152" i="63"/>
  <c r="J152" i="63"/>
  <c r="K151" i="63"/>
  <c r="J151" i="63"/>
  <c r="K150" i="63"/>
  <c r="J150" i="63"/>
  <c r="K149" i="63"/>
  <c r="J149" i="63"/>
  <c r="K148" i="63"/>
  <c r="J148" i="63"/>
  <c r="K147" i="63"/>
  <c r="J147" i="63"/>
  <c r="K146" i="63"/>
  <c r="J146" i="63"/>
  <c r="K145" i="63"/>
  <c r="J145" i="63"/>
  <c r="K144" i="63"/>
  <c r="J144" i="63"/>
  <c r="K143" i="63"/>
  <c r="J143" i="63"/>
  <c r="K142" i="63"/>
  <c r="J142" i="63"/>
  <c r="K141" i="63"/>
  <c r="J141" i="63"/>
  <c r="K140" i="63"/>
  <c r="J140" i="63"/>
  <c r="K139" i="63"/>
  <c r="J139" i="63"/>
  <c r="K138" i="63"/>
  <c r="J138" i="63"/>
  <c r="K137" i="63"/>
  <c r="J137" i="63"/>
  <c r="K136" i="63"/>
  <c r="J136" i="63"/>
  <c r="K135" i="63"/>
  <c r="J135" i="63"/>
  <c r="K134" i="63"/>
  <c r="J134" i="63"/>
  <c r="K133" i="63"/>
  <c r="J133" i="63"/>
  <c r="K132" i="63"/>
  <c r="J132" i="63"/>
  <c r="K131" i="63"/>
  <c r="J131" i="63"/>
  <c r="K130" i="63"/>
  <c r="J130" i="63"/>
  <c r="K129" i="63"/>
  <c r="J129" i="63"/>
  <c r="K128" i="63"/>
  <c r="J128" i="63"/>
  <c r="K127" i="63"/>
  <c r="J127" i="63"/>
  <c r="K126" i="63"/>
  <c r="J126" i="63"/>
  <c r="K125" i="63"/>
  <c r="J125" i="63"/>
  <c r="K124" i="63"/>
  <c r="J124" i="63"/>
  <c r="K123" i="63"/>
  <c r="J123" i="63"/>
  <c r="K122" i="63"/>
  <c r="J122" i="63"/>
  <c r="K121" i="63"/>
  <c r="J121" i="63"/>
  <c r="K120" i="63"/>
  <c r="J120" i="63"/>
  <c r="K119" i="63"/>
  <c r="J119" i="63"/>
  <c r="K118" i="63"/>
  <c r="J118" i="63"/>
  <c r="K117" i="63"/>
  <c r="J117" i="63"/>
  <c r="K116" i="63"/>
  <c r="J116" i="63"/>
  <c r="K115" i="63"/>
  <c r="J115" i="63"/>
  <c r="K114" i="63"/>
  <c r="J114" i="63"/>
  <c r="K113" i="63"/>
  <c r="J113" i="63"/>
  <c r="K112" i="63"/>
  <c r="J112" i="63"/>
  <c r="K111" i="63"/>
  <c r="J111" i="63"/>
  <c r="K110" i="63"/>
  <c r="J110" i="63"/>
  <c r="K109" i="63"/>
  <c r="J109" i="63"/>
  <c r="K108" i="63"/>
  <c r="J108" i="63"/>
  <c r="K107" i="63"/>
  <c r="J107" i="63"/>
  <c r="K106" i="63"/>
  <c r="J106" i="63"/>
  <c r="K105" i="63"/>
  <c r="J105" i="63"/>
  <c r="K104" i="63"/>
  <c r="J104" i="63"/>
  <c r="K103" i="63"/>
  <c r="J103" i="63"/>
  <c r="K102" i="63"/>
  <c r="J102" i="63"/>
  <c r="K101" i="63"/>
  <c r="J101" i="63"/>
  <c r="K100" i="63"/>
  <c r="J100" i="63"/>
  <c r="K99" i="63"/>
  <c r="J99" i="63"/>
  <c r="K98" i="63"/>
  <c r="J98" i="63"/>
  <c r="K97" i="63"/>
  <c r="J97" i="63"/>
  <c r="K96" i="63"/>
  <c r="J96" i="63"/>
  <c r="K95" i="63"/>
  <c r="J95" i="63"/>
  <c r="K94" i="63"/>
  <c r="J94" i="63"/>
  <c r="K93" i="63"/>
  <c r="J93" i="63"/>
  <c r="K92" i="63"/>
  <c r="J92" i="63"/>
  <c r="K91" i="63"/>
  <c r="J91" i="63"/>
  <c r="K90" i="63"/>
  <c r="J90" i="63"/>
  <c r="K89" i="63"/>
  <c r="J89" i="63"/>
  <c r="K88" i="63"/>
  <c r="J88" i="63"/>
  <c r="K87" i="63"/>
  <c r="J87" i="63"/>
  <c r="K86" i="63"/>
  <c r="J86" i="63"/>
  <c r="K85" i="63"/>
  <c r="J85" i="63"/>
  <c r="K84" i="63"/>
  <c r="J84" i="63"/>
  <c r="K83" i="63"/>
  <c r="J83" i="63"/>
  <c r="K82" i="63"/>
  <c r="J82" i="63"/>
  <c r="K81" i="63"/>
  <c r="J81" i="63"/>
  <c r="K80" i="63"/>
  <c r="J80" i="63"/>
  <c r="K79" i="63"/>
  <c r="J79" i="63"/>
  <c r="K78" i="63"/>
  <c r="J78" i="63"/>
  <c r="K77" i="63"/>
  <c r="J77" i="63"/>
  <c r="K76" i="63"/>
  <c r="J76" i="63"/>
  <c r="K75" i="63"/>
  <c r="J75" i="63"/>
  <c r="K74" i="63"/>
  <c r="J74" i="63"/>
  <c r="K73" i="63"/>
  <c r="J73" i="63"/>
  <c r="K72" i="63"/>
  <c r="J72" i="63"/>
  <c r="K71" i="63"/>
  <c r="J71" i="63"/>
  <c r="K70" i="63"/>
  <c r="J70" i="63"/>
  <c r="K69" i="63"/>
  <c r="J69" i="63"/>
  <c r="K68" i="63"/>
  <c r="J68" i="63"/>
  <c r="K67" i="63"/>
  <c r="J67" i="63"/>
  <c r="K66" i="63"/>
  <c r="J66" i="63"/>
  <c r="K65" i="63"/>
  <c r="J65" i="63"/>
  <c r="K64" i="63"/>
  <c r="J64" i="63"/>
  <c r="K63" i="63"/>
  <c r="J63" i="63"/>
  <c r="K62" i="63"/>
  <c r="J62" i="63"/>
  <c r="K61" i="63"/>
  <c r="J61" i="63"/>
  <c r="K60" i="63"/>
  <c r="J60" i="63"/>
  <c r="K59" i="63"/>
  <c r="J59" i="63"/>
  <c r="K58" i="63"/>
  <c r="J58" i="63"/>
  <c r="K57" i="63"/>
  <c r="J57" i="63"/>
  <c r="K56" i="63"/>
  <c r="J56" i="63"/>
  <c r="K55" i="63"/>
  <c r="J55" i="63"/>
  <c r="K54" i="63"/>
  <c r="J54" i="63"/>
  <c r="K53" i="63"/>
  <c r="J53" i="63"/>
  <c r="K52" i="63"/>
  <c r="J52" i="63"/>
  <c r="K51" i="63"/>
  <c r="J51" i="63"/>
  <c r="K50" i="63"/>
  <c r="J50" i="63"/>
  <c r="K49" i="63"/>
  <c r="J49" i="63"/>
  <c r="K48" i="63"/>
  <c r="J48" i="63"/>
  <c r="K47" i="63"/>
  <c r="J47" i="63"/>
  <c r="K46" i="63"/>
  <c r="J46" i="63"/>
  <c r="K45" i="63"/>
  <c r="J45" i="63"/>
  <c r="K44" i="63"/>
  <c r="J44" i="63"/>
  <c r="K43" i="63"/>
  <c r="J43" i="63"/>
  <c r="K42" i="63"/>
  <c r="J42" i="63"/>
  <c r="K41" i="63"/>
  <c r="J41" i="63"/>
  <c r="K40" i="63"/>
  <c r="J40" i="63"/>
  <c r="K39" i="63"/>
  <c r="J39" i="63"/>
  <c r="K38" i="63"/>
  <c r="J38" i="63"/>
  <c r="K37" i="63"/>
  <c r="J37" i="63"/>
  <c r="K36" i="63"/>
  <c r="J36" i="63"/>
  <c r="K35" i="63"/>
  <c r="J35" i="63"/>
  <c r="K34" i="63"/>
  <c r="J34" i="63"/>
  <c r="K33" i="63"/>
  <c r="J33" i="63"/>
  <c r="K32" i="63"/>
  <c r="J32" i="63"/>
  <c r="K31" i="63"/>
  <c r="J31" i="63"/>
  <c r="K30" i="63"/>
  <c r="J30" i="63"/>
  <c r="K29" i="63"/>
  <c r="J29" i="63"/>
  <c r="K28" i="63"/>
  <c r="J28" i="63"/>
  <c r="K27" i="63"/>
  <c r="J27" i="63"/>
  <c r="K26" i="63"/>
  <c r="J26" i="63"/>
  <c r="K25" i="63"/>
  <c r="J25" i="63"/>
  <c r="K24" i="63"/>
  <c r="J24" i="63"/>
  <c r="K23" i="63"/>
  <c r="J23" i="63"/>
  <c r="K22" i="63"/>
  <c r="J22" i="63"/>
  <c r="K21" i="63"/>
  <c r="J21" i="63"/>
  <c r="K20" i="63"/>
  <c r="J20" i="63"/>
  <c r="K19" i="63"/>
  <c r="J19" i="63"/>
  <c r="K18" i="63"/>
  <c r="J18" i="63"/>
  <c r="K17" i="63"/>
  <c r="J17" i="63"/>
  <c r="K16" i="63"/>
  <c r="J16" i="63"/>
  <c r="K15" i="63"/>
  <c r="J15" i="63"/>
  <c r="K14" i="63"/>
  <c r="J14" i="63"/>
  <c r="K13" i="63"/>
  <c r="J13" i="63"/>
  <c r="K12" i="63"/>
  <c r="J12" i="63"/>
  <c r="K11" i="63"/>
  <c r="J11" i="63"/>
  <c r="K10" i="63"/>
  <c r="J10" i="63"/>
  <c r="K9" i="63"/>
  <c r="J9" i="63"/>
  <c r="K8" i="63"/>
  <c r="J8" i="63"/>
  <c r="K7" i="63"/>
  <c r="J7" i="63"/>
  <c r="K6" i="63"/>
  <c r="J6" i="63"/>
  <c r="K5" i="63"/>
  <c r="K3" i="63"/>
  <c r="I3" i="63"/>
  <c r="H3" i="63"/>
  <c r="K498" i="57"/>
  <c r="J498" i="57"/>
  <c r="K497" i="57"/>
  <c r="J497" i="57"/>
  <c r="K496" i="57"/>
  <c r="J496" i="57"/>
  <c r="K495" i="57"/>
  <c r="J495" i="57"/>
  <c r="K494" i="57"/>
  <c r="J494" i="57"/>
  <c r="K493" i="57"/>
  <c r="J493" i="57"/>
  <c r="K492" i="57"/>
  <c r="J492" i="57"/>
  <c r="K491" i="57"/>
  <c r="J491" i="57"/>
  <c r="K490" i="57"/>
  <c r="J490" i="57"/>
  <c r="K489" i="57"/>
  <c r="J489" i="57"/>
  <c r="K488" i="57"/>
  <c r="J488" i="57"/>
  <c r="K487" i="57"/>
  <c r="J487" i="57"/>
  <c r="K486" i="57"/>
  <c r="J486" i="57"/>
  <c r="K485" i="57"/>
  <c r="J485" i="57"/>
  <c r="K484" i="57"/>
  <c r="J484" i="57"/>
  <c r="K483" i="57"/>
  <c r="J483" i="57"/>
  <c r="K482" i="57"/>
  <c r="J482" i="57"/>
  <c r="K481" i="57"/>
  <c r="J481" i="57"/>
  <c r="K480" i="57"/>
  <c r="J480" i="57"/>
  <c r="K479" i="57"/>
  <c r="J479" i="57"/>
  <c r="K478" i="57"/>
  <c r="J478" i="57"/>
  <c r="K477" i="57"/>
  <c r="J477" i="57"/>
  <c r="K476" i="57"/>
  <c r="J476" i="57"/>
  <c r="K475" i="57"/>
  <c r="J475" i="57"/>
  <c r="K474" i="57"/>
  <c r="J474" i="57"/>
  <c r="K473" i="57"/>
  <c r="J473" i="57"/>
  <c r="K472" i="57"/>
  <c r="J472" i="57"/>
  <c r="K471" i="57"/>
  <c r="J471" i="57"/>
  <c r="K470" i="57"/>
  <c r="J470" i="57"/>
  <c r="K469" i="57"/>
  <c r="J469" i="57"/>
  <c r="K468" i="57"/>
  <c r="J468" i="57"/>
  <c r="K467" i="57"/>
  <c r="J467" i="57"/>
  <c r="K466" i="57"/>
  <c r="J466" i="57"/>
  <c r="K465" i="57"/>
  <c r="J465" i="57"/>
  <c r="K464" i="57"/>
  <c r="J464" i="57"/>
  <c r="K463" i="57"/>
  <c r="J463" i="57"/>
  <c r="K462" i="57"/>
  <c r="J462" i="57"/>
  <c r="K461" i="57"/>
  <c r="J461" i="57"/>
  <c r="K460" i="57"/>
  <c r="J460" i="57"/>
  <c r="K459" i="57"/>
  <c r="J459" i="57"/>
  <c r="K458" i="57"/>
  <c r="J458" i="57"/>
  <c r="K457" i="57"/>
  <c r="J457" i="57"/>
  <c r="K456" i="57"/>
  <c r="J456" i="57"/>
  <c r="K455" i="57"/>
  <c r="J455" i="57"/>
  <c r="K454" i="57"/>
  <c r="J454" i="57"/>
  <c r="K453" i="57"/>
  <c r="J453" i="57"/>
  <c r="K452" i="57"/>
  <c r="J452" i="57"/>
  <c r="K451" i="57"/>
  <c r="J451" i="57"/>
  <c r="K450" i="57"/>
  <c r="J450" i="57"/>
  <c r="K449" i="57"/>
  <c r="J449" i="57"/>
  <c r="K448" i="57"/>
  <c r="J448" i="57"/>
  <c r="K447" i="57"/>
  <c r="J447" i="57"/>
  <c r="K446" i="57"/>
  <c r="J446" i="57"/>
  <c r="K445" i="57"/>
  <c r="J445" i="57"/>
  <c r="K444" i="57"/>
  <c r="J444" i="57"/>
  <c r="K443" i="57"/>
  <c r="J443" i="57"/>
  <c r="K442" i="57"/>
  <c r="J442" i="57"/>
  <c r="K441" i="57"/>
  <c r="J441" i="57"/>
  <c r="K440" i="57"/>
  <c r="J440" i="57"/>
  <c r="K439" i="57"/>
  <c r="J439" i="57"/>
  <c r="K438" i="57"/>
  <c r="J438" i="57"/>
  <c r="K437" i="57"/>
  <c r="J437" i="57"/>
  <c r="K436" i="57"/>
  <c r="J436" i="57"/>
  <c r="K435" i="57"/>
  <c r="J435" i="57"/>
  <c r="K434" i="57"/>
  <c r="J434" i="57"/>
  <c r="K433" i="57"/>
  <c r="J433" i="57"/>
  <c r="K432" i="57"/>
  <c r="J432" i="57"/>
  <c r="K431" i="57"/>
  <c r="J431" i="57"/>
  <c r="K430" i="57"/>
  <c r="J430" i="57"/>
  <c r="K429" i="57"/>
  <c r="J429" i="57"/>
  <c r="K428" i="57"/>
  <c r="J428" i="57"/>
  <c r="K427" i="57"/>
  <c r="J427" i="57"/>
  <c r="K426" i="57"/>
  <c r="J426" i="57"/>
  <c r="K425" i="57"/>
  <c r="J425" i="57"/>
  <c r="K424" i="57"/>
  <c r="J424" i="57"/>
  <c r="K423" i="57"/>
  <c r="J423" i="57"/>
  <c r="K422" i="57"/>
  <c r="J422" i="57"/>
  <c r="K421" i="57"/>
  <c r="J421" i="57"/>
  <c r="K420" i="57"/>
  <c r="J420" i="57"/>
  <c r="K419" i="57"/>
  <c r="J419" i="57"/>
  <c r="K418" i="57"/>
  <c r="J418" i="57"/>
  <c r="K417" i="57"/>
  <c r="J417" i="57"/>
  <c r="K416" i="57"/>
  <c r="J416" i="57"/>
  <c r="K415" i="57"/>
  <c r="J415" i="57"/>
  <c r="K414" i="57"/>
  <c r="J414" i="57"/>
  <c r="K413" i="57"/>
  <c r="J413" i="57"/>
  <c r="K412" i="57"/>
  <c r="J412" i="57"/>
  <c r="K411" i="57"/>
  <c r="J411" i="57"/>
  <c r="K410" i="57"/>
  <c r="J410" i="57"/>
  <c r="K409" i="57"/>
  <c r="J409" i="57"/>
  <c r="K408" i="57"/>
  <c r="J408" i="57"/>
  <c r="K407" i="57"/>
  <c r="J407" i="57"/>
  <c r="K406" i="57"/>
  <c r="J406" i="57"/>
  <c r="K405" i="57"/>
  <c r="J405" i="57"/>
  <c r="K404" i="57"/>
  <c r="J404" i="57"/>
  <c r="K403" i="57"/>
  <c r="J403" i="57"/>
  <c r="K402" i="57"/>
  <c r="J402" i="57"/>
  <c r="K401" i="57"/>
  <c r="J401" i="57"/>
  <c r="K400" i="57"/>
  <c r="J400" i="57"/>
  <c r="K399" i="57"/>
  <c r="J399" i="57"/>
  <c r="K398" i="57"/>
  <c r="J398" i="57"/>
  <c r="K397" i="57"/>
  <c r="J397" i="57"/>
  <c r="K396" i="57"/>
  <c r="J396" i="57"/>
  <c r="K395" i="57"/>
  <c r="J395" i="57"/>
  <c r="K394" i="57"/>
  <c r="J394" i="57"/>
  <c r="K393" i="57"/>
  <c r="J393" i="57"/>
  <c r="K392" i="57"/>
  <c r="J392" i="57"/>
  <c r="K391" i="57"/>
  <c r="J391" i="57"/>
  <c r="K390" i="57"/>
  <c r="J390" i="57"/>
  <c r="K389" i="57"/>
  <c r="J389" i="57"/>
  <c r="K388" i="57"/>
  <c r="J388" i="57"/>
  <c r="K387" i="57"/>
  <c r="J387" i="57"/>
  <c r="K386" i="57"/>
  <c r="J386" i="57"/>
  <c r="K385" i="57"/>
  <c r="J385" i="57"/>
  <c r="K384" i="57"/>
  <c r="J384" i="57"/>
  <c r="K383" i="57"/>
  <c r="J383" i="57"/>
  <c r="K382" i="57"/>
  <c r="J382" i="57"/>
  <c r="K381" i="57"/>
  <c r="J381" i="57"/>
  <c r="K380" i="57"/>
  <c r="J380" i="57"/>
  <c r="K379" i="57"/>
  <c r="J379" i="57"/>
  <c r="K378" i="57"/>
  <c r="J378" i="57"/>
  <c r="K377" i="57"/>
  <c r="J377" i="57"/>
  <c r="K376" i="57"/>
  <c r="J376" i="57"/>
  <c r="K375" i="57"/>
  <c r="J375" i="57"/>
  <c r="K374" i="57"/>
  <c r="J374" i="57"/>
  <c r="K373" i="57"/>
  <c r="J373" i="57"/>
  <c r="K372" i="57"/>
  <c r="J372" i="57"/>
  <c r="K371" i="57"/>
  <c r="J371" i="57"/>
  <c r="K370" i="57"/>
  <c r="J370" i="57"/>
  <c r="K369" i="57"/>
  <c r="J369" i="57"/>
  <c r="K368" i="57"/>
  <c r="J368" i="57"/>
  <c r="K367" i="57"/>
  <c r="J367" i="57"/>
  <c r="K366" i="57"/>
  <c r="J366" i="57"/>
  <c r="K365" i="57"/>
  <c r="J365" i="57"/>
  <c r="K364" i="57"/>
  <c r="J364" i="57"/>
  <c r="K363" i="57"/>
  <c r="J363" i="57"/>
  <c r="K362" i="57"/>
  <c r="J362" i="57"/>
  <c r="K361" i="57"/>
  <c r="J361" i="57"/>
  <c r="K360" i="57"/>
  <c r="J360" i="57"/>
  <c r="K359" i="57"/>
  <c r="J359" i="57"/>
  <c r="K358" i="57"/>
  <c r="J358" i="57"/>
  <c r="K357" i="57"/>
  <c r="J357" i="57"/>
  <c r="K356" i="57"/>
  <c r="J356" i="57"/>
  <c r="K355" i="57"/>
  <c r="J355" i="57"/>
  <c r="K354" i="57"/>
  <c r="J354" i="57"/>
  <c r="K353" i="57"/>
  <c r="J353" i="57"/>
  <c r="K352" i="57"/>
  <c r="J352" i="57"/>
  <c r="K351" i="57"/>
  <c r="J351" i="57"/>
  <c r="K350" i="57"/>
  <c r="J350" i="57"/>
  <c r="K349" i="57"/>
  <c r="J349" i="57"/>
  <c r="K348" i="57"/>
  <c r="J348" i="57"/>
  <c r="K347" i="57"/>
  <c r="J347" i="57"/>
  <c r="K346" i="57"/>
  <c r="J346" i="57"/>
  <c r="K345" i="57"/>
  <c r="J345" i="57"/>
  <c r="K344" i="57"/>
  <c r="J344" i="57"/>
  <c r="K343" i="57"/>
  <c r="J343" i="57"/>
  <c r="K342" i="57"/>
  <c r="J342" i="57"/>
  <c r="K341" i="57"/>
  <c r="J341" i="57"/>
  <c r="K340" i="57"/>
  <c r="J340" i="57"/>
  <c r="K339" i="57"/>
  <c r="J339" i="57"/>
  <c r="K338" i="57"/>
  <c r="J338" i="57"/>
  <c r="K337" i="57"/>
  <c r="J337" i="57"/>
  <c r="K336" i="57"/>
  <c r="J336" i="57"/>
  <c r="K335" i="57"/>
  <c r="J335" i="57"/>
  <c r="K334" i="57"/>
  <c r="J334" i="57"/>
  <c r="K333" i="57"/>
  <c r="J333" i="57"/>
  <c r="K332" i="57"/>
  <c r="J332" i="57"/>
  <c r="K331" i="57"/>
  <c r="J331" i="57"/>
  <c r="K330" i="57"/>
  <c r="J330" i="57"/>
  <c r="K329" i="57"/>
  <c r="J329" i="57"/>
  <c r="K328" i="57"/>
  <c r="J328" i="57"/>
  <c r="K327" i="57"/>
  <c r="J327" i="57"/>
  <c r="K326" i="57"/>
  <c r="J326" i="57"/>
  <c r="K325" i="57"/>
  <c r="J325" i="57"/>
  <c r="K324" i="57"/>
  <c r="J324" i="57"/>
  <c r="K323" i="57"/>
  <c r="J323" i="57"/>
  <c r="K322" i="57"/>
  <c r="J322" i="57"/>
  <c r="K321" i="57"/>
  <c r="J321" i="57"/>
  <c r="K320" i="57"/>
  <c r="J320" i="57"/>
  <c r="K319" i="57"/>
  <c r="J319" i="57"/>
  <c r="K318" i="57"/>
  <c r="J318" i="57"/>
  <c r="K317" i="57"/>
  <c r="J317" i="57"/>
  <c r="K316" i="57"/>
  <c r="J316" i="57"/>
  <c r="K315" i="57"/>
  <c r="J315" i="57"/>
  <c r="K314" i="57"/>
  <c r="J314" i="57"/>
  <c r="K313" i="57"/>
  <c r="J313" i="57"/>
  <c r="K312" i="57"/>
  <c r="J312" i="57"/>
  <c r="K311" i="57"/>
  <c r="J311" i="57"/>
  <c r="K310" i="57"/>
  <c r="J310" i="57"/>
  <c r="K309" i="57"/>
  <c r="J309" i="57"/>
  <c r="K308" i="57"/>
  <c r="J308" i="57"/>
  <c r="K307" i="57"/>
  <c r="J307" i="57"/>
  <c r="K306" i="57"/>
  <c r="J306" i="57"/>
  <c r="K305" i="57"/>
  <c r="J305" i="57"/>
  <c r="K304" i="57"/>
  <c r="J304" i="57"/>
  <c r="K303" i="57"/>
  <c r="J303" i="57"/>
  <c r="K302" i="57"/>
  <c r="J302" i="57"/>
  <c r="K301" i="57"/>
  <c r="J301" i="57"/>
  <c r="K300" i="57"/>
  <c r="J300" i="57"/>
  <c r="K299" i="57"/>
  <c r="J299" i="57"/>
  <c r="K298" i="57"/>
  <c r="J298" i="57"/>
  <c r="K297" i="57"/>
  <c r="J297" i="57"/>
  <c r="K296" i="57"/>
  <c r="J296" i="57"/>
  <c r="K295" i="57"/>
  <c r="J295" i="57"/>
  <c r="K294" i="57"/>
  <c r="J294" i="57"/>
  <c r="K293" i="57"/>
  <c r="J293" i="57"/>
  <c r="K292" i="57"/>
  <c r="J292" i="57"/>
  <c r="K291" i="57"/>
  <c r="J291" i="57"/>
  <c r="K290" i="57"/>
  <c r="J290" i="57"/>
  <c r="K289" i="57"/>
  <c r="J289" i="57"/>
  <c r="K288" i="57"/>
  <c r="J288" i="57"/>
  <c r="K287" i="57"/>
  <c r="J287" i="57"/>
  <c r="K286" i="57"/>
  <c r="J286" i="57"/>
  <c r="K285" i="57"/>
  <c r="J285" i="57"/>
  <c r="K284" i="57"/>
  <c r="J284" i="57"/>
  <c r="K283" i="57"/>
  <c r="J283" i="57"/>
  <c r="K282" i="57"/>
  <c r="J282" i="57"/>
  <c r="K281" i="57"/>
  <c r="J281" i="57"/>
  <c r="K280" i="57"/>
  <c r="J280" i="57"/>
  <c r="K279" i="57"/>
  <c r="J279" i="57"/>
  <c r="K278" i="57"/>
  <c r="J278" i="57"/>
  <c r="K277" i="57"/>
  <c r="J277" i="57"/>
  <c r="K276" i="57"/>
  <c r="J276" i="57"/>
  <c r="K275" i="57"/>
  <c r="J275" i="57"/>
  <c r="K274" i="57"/>
  <c r="J274" i="57"/>
  <c r="K273" i="57"/>
  <c r="J273" i="57"/>
  <c r="K272" i="57"/>
  <c r="J272" i="57"/>
  <c r="K271" i="57"/>
  <c r="J271" i="57"/>
  <c r="K270" i="57"/>
  <c r="J270" i="57"/>
  <c r="K269" i="57"/>
  <c r="J269" i="57"/>
  <c r="K268" i="57"/>
  <c r="J268" i="57"/>
  <c r="K267" i="57"/>
  <c r="J267" i="57"/>
  <c r="K266" i="57"/>
  <c r="J266" i="57"/>
  <c r="K265" i="57"/>
  <c r="J265" i="57"/>
  <c r="K264" i="57"/>
  <c r="J264" i="57"/>
  <c r="K263" i="57"/>
  <c r="J263" i="57"/>
  <c r="K262" i="57"/>
  <c r="J262" i="57"/>
  <c r="K261" i="57"/>
  <c r="J261" i="57"/>
  <c r="K260" i="57"/>
  <c r="J260" i="57"/>
  <c r="K259" i="57"/>
  <c r="J259" i="57"/>
  <c r="K258" i="57"/>
  <c r="J258" i="57"/>
  <c r="K257" i="57"/>
  <c r="J257" i="57"/>
  <c r="K256" i="57"/>
  <c r="J256" i="57"/>
  <c r="K255" i="57"/>
  <c r="J255" i="57"/>
  <c r="K254" i="57"/>
  <c r="J254" i="57"/>
  <c r="K253" i="57"/>
  <c r="J253" i="57"/>
  <c r="K252" i="57"/>
  <c r="J252" i="57"/>
  <c r="K251" i="57"/>
  <c r="J251" i="57"/>
  <c r="K250" i="57"/>
  <c r="J250" i="57"/>
  <c r="K249" i="57"/>
  <c r="J249" i="57"/>
  <c r="K248" i="57"/>
  <c r="J248" i="57"/>
  <c r="K247" i="57"/>
  <c r="J247" i="57"/>
  <c r="K246" i="57"/>
  <c r="J246" i="57"/>
  <c r="K245" i="57"/>
  <c r="J245" i="57"/>
  <c r="K244" i="57"/>
  <c r="J244" i="57"/>
  <c r="K243" i="57"/>
  <c r="J243" i="57"/>
  <c r="K242" i="57"/>
  <c r="J242" i="57"/>
  <c r="K241" i="57"/>
  <c r="J241" i="57"/>
  <c r="K240" i="57"/>
  <c r="J240" i="57"/>
  <c r="K239" i="57"/>
  <c r="J239" i="57"/>
  <c r="K238" i="57"/>
  <c r="J238" i="57"/>
  <c r="K237" i="57"/>
  <c r="J237" i="57"/>
  <c r="K236" i="57"/>
  <c r="J236" i="57"/>
  <c r="K235" i="57"/>
  <c r="J235" i="57"/>
  <c r="K234" i="57"/>
  <c r="J234" i="57"/>
  <c r="K233" i="57"/>
  <c r="J233" i="57"/>
  <c r="K232" i="57"/>
  <c r="J232" i="57"/>
  <c r="K231" i="57"/>
  <c r="J231" i="57"/>
  <c r="K230" i="57"/>
  <c r="J230" i="57"/>
  <c r="K229" i="57"/>
  <c r="J229" i="57"/>
  <c r="K228" i="57"/>
  <c r="J228" i="57"/>
  <c r="K227" i="57"/>
  <c r="J227" i="57"/>
  <c r="K226" i="57"/>
  <c r="J226" i="57"/>
  <c r="K225" i="57"/>
  <c r="J225" i="57"/>
  <c r="K224" i="57"/>
  <c r="J224" i="57"/>
  <c r="K223" i="57"/>
  <c r="J223" i="57"/>
  <c r="K222" i="57"/>
  <c r="J222" i="57"/>
  <c r="K221" i="57"/>
  <c r="J221" i="57"/>
  <c r="K220" i="57"/>
  <c r="J220" i="57"/>
  <c r="K219" i="57"/>
  <c r="J219" i="57"/>
  <c r="K218" i="57"/>
  <c r="J218" i="57"/>
  <c r="K217" i="57"/>
  <c r="J217" i="57"/>
  <c r="K216" i="57"/>
  <c r="J216" i="57"/>
  <c r="K215" i="57"/>
  <c r="J215" i="57"/>
  <c r="K214" i="57"/>
  <c r="J214" i="57"/>
  <c r="K213" i="57"/>
  <c r="J213" i="57"/>
  <c r="K212" i="57"/>
  <c r="J212" i="57"/>
  <c r="K211" i="57"/>
  <c r="J211" i="57"/>
  <c r="K210" i="57"/>
  <c r="J210" i="57"/>
  <c r="K209" i="57"/>
  <c r="J209" i="57"/>
  <c r="K208" i="57"/>
  <c r="J208" i="57"/>
  <c r="K207" i="57"/>
  <c r="J207" i="57"/>
  <c r="K206" i="57"/>
  <c r="J206" i="57"/>
  <c r="K205" i="57"/>
  <c r="J205" i="57"/>
  <c r="K204" i="57"/>
  <c r="J204" i="57"/>
  <c r="K203" i="57"/>
  <c r="J203" i="57"/>
  <c r="K202" i="57"/>
  <c r="J202" i="57"/>
  <c r="K201" i="57"/>
  <c r="J201" i="57"/>
  <c r="K200" i="57"/>
  <c r="J200" i="57"/>
  <c r="K199" i="57"/>
  <c r="J199" i="57"/>
  <c r="K198" i="57"/>
  <c r="J198" i="57"/>
  <c r="K197" i="57"/>
  <c r="J197" i="57"/>
  <c r="K196" i="57"/>
  <c r="J196" i="57"/>
  <c r="K195" i="57"/>
  <c r="J195" i="57"/>
  <c r="K194" i="57"/>
  <c r="J194" i="57"/>
  <c r="K193" i="57"/>
  <c r="J193" i="57"/>
  <c r="K192" i="57"/>
  <c r="J192" i="57"/>
  <c r="K191" i="57"/>
  <c r="J191" i="57"/>
  <c r="K190" i="57"/>
  <c r="J190" i="57"/>
  <c r="K189" i="57"/>
  <c r="J189" i="57"/>
  <c r="K188" i="57"/>
  <c r="J188" i="57"/>
  <c r="K187" i="57"/>
  <c r="J187" i="57"/>
  <c r="K186" i="57"/>
  <c r="J186" i="57"/>
  <c r="K185" i="57"/>
  <c r="J185" i="57"/>
  <c r="K184" i="57"/>
  <c r="J184" i="57"/>
  <c r="K183" i="57"/>
  <c r="J183" i="57"/>
  <c r="K182" i="57"/>
  <c r="J182" i="57"/>
  <c r="K181" i="57"/>
  <c r="J181" i="57"/>
  <c r="K180" i="57"/>
  <c r="J180" i="57"/>
  <c r="K179" i="57"/>
  <c r="J179" i="57"/>
  <c r="K178" i="57"/>
  <c r="J178" i="57"/>
  <c r="K177" i="57"/>
  <c r="J177" i="57"/>
  <c r="K176" i="57"/>
  <c r="J176" i="57"/>
  <c r="K175" i="57"/>
  <c r="J175" i="57"/>
  <c r="K174" i="57"/>
  <c r="J174" i="57"/>
  <c r="K173" i="57"/>
  <c r="J173" i="57"/>
  <c r="K172" i="57"/>
  <c r="J172" i="57"/>
  <c r="K171" i="57"/>
  <c r="J171" i="57"/>
  <c r="K170" i="57"/>
  <c r="J170" i="57"/>
  <c r="K169" i="57"/>
  <c r="J169" i="57"/>
  <c r="K168" i="57"/>
  <c r="J168" i="57"/>
  <c r="K167" i="57"/>
  <c r="J167" i="57"/>
  <c r="K166" i="57"/>
  <c r="J166" i="57"/>
  <c r="K165" i="57"/>
  <c r="J165" i="57"/>
  <c r="K164" i="57"/>
  <c r="J164" i="57"/>
  <c r="K163" i="57"/>
  <c r="J163" i="57"/>
  <c r="K162" i="57"/>
  <c r="J162" i="57"/>
  <c r="K161" i="57"/>
  <c r="J161" i="57"/>
  <c r="K160" i="57"/>
  <c r="J160" i="57"/>
  <c r="K159" i="57"/>
  <c r="J159" i="57"/>
  <c r="K158" i="57"/>
  <c r="J158" i="57"/>
  <c r="K157" i="57"/>
  <c r="J157" i="57"/>
  <c r="K156" i="57"/>
  <c r="J156" i="57"/>
  <c r="K155" i="57"/>
  <c r="J155" i="57"/>
  <c r="K154" i="57"/>
  <c r="J154" i="57"/>
  <c r="K153" i="57"/>
  <c r="J153" i="57"/>
  <c r="K152" i="57"/>
  <c r="J152" i="57"/>
  <c r="K151" i="57"/>
  <c r="J151" i="57"/>
  <c r="K150" i="57"/>
  <c r="J150" i="57"/>
  <c r="K149" i="57"/>
  <c r="J149" i="57"/>
  <c r="K148" i="57"/>
  <c r="J148" i="57"/>
  <c r="K147" i="57"/>
  <c r="J147" i="57"/>
  <c r="K146" i="57"/>
  <c r="J146" i="57"/>
  <c r="K145" i="57"/>
  <c r="J145" i="57"/>
  <c r="K144" i="57"/>
  <c r="J144" i="57"/>
  <c r="K143" i="57"/>
  <c r="J143" i="57"/>
  <c r="K142" i="57"/>
  <c r="J142" i="57"/>
  <c r="K141" i="57"/>
  <c r="J141" i="57"/>
  <c r="K140" i="57"/>
  <c r="J140" i="57"/>
  <c r="K139" i="57"/>
  <c r="J139" i="57"/>
  <c r="K138" i="57"/>
  <c r="J138" i="57"/>
  <c r="K137" i="57"/>
  <c r="J137" i="57"/>
  <c r="K136" i="57"/>
  <c r="J136" i="57"/>
  <c r="K135" i="57"/>
  <c r="J135" i="57"/>
  <c r="K134" i="57"/>
  <c r="J134" i="57"/>
  <c r="K133" i="57"/>
  <c r="J133" i="57"/>
  <c r="K132" i="57"/>
  <c r="J132" i="57"/>
  <c r="K131" i="57"/>
  <c r="J131" i="57"/>
  <c r="K130" i="57"/>
  <c r="J130" i="57"/>
  <c r="K129" i="57"/>
  <c r="J129" i="57"/>
  <c r="K128" i="57"/>
  <c r="J128" i="57"/>
  <c r="K127" i="57"/>
  <c r="J127" i="57"/>
  <c r="K126" i="57"/>
  <c r="J126" i="57"/>
  <c r="K125" i="57"/>
  <c r="J125" i="57"/>
  <c r="K124" i="57"/>
  <c r="J124" i="57"/>
  <c r="K123" i="57"/>
  <c r="J123" i="57"/>
  <c r="K122" i="57"/>
  <c r="J122" i="57"/>
  <c r="K121" i="57"/>
  <c r="J121" i="57"/>
  <c r="K120" i="57"/>
  <c r="J120" i="57"/>
  <c r="K119" i="57"/>
  <c r="J119" i="57"/>
  <c r="K118" i="57"/>
  <c r="J118" i="57"/>
  <c r="K117" i="57"/>
  <c r="J117" i="57"/>
  <c r="K116" i="57"/>
  <c r="J116" i="57"/>
  <c r="K115" i="57"/>
  <c r="J115" i="57"/>
  <c r="K114" i="57"/>
  <c r="J114" i="57"/>
  <c r="K113" i="57"/>
  <c r="J113" i="57"/>
  <c r="K112" i="57"/>
  <c r="J112" i="57"/>
  <c r="K111" i="57"/>
  <c r="J111" i="57"/>
  <c r="K110" i="57"/>
  <c r="J110" i="57"/>
  <c r="K109" i="57"/>
  <c r="J109" i="57"/>
  <c r="K108" i="57"/>
  <c r="J108" i="57"/>
  <c r="K107" i="57"/>
  <c r="J107" i="57"/>
  <c r="K106" i="57"/>
  <c r="J106" i="57"/>
  <c r="K105" i="57"/>
  <c r="J105" i="57"/>
  <c r="K104" i="57"/>
  <c r="J104" i="57"/>
  <c r="K103" i="57"/>
  <c r="J103" i="57"/>
  <c r="K102" i="57"/>
  <c r="J102" i="57"/>
  <c r="K101" i="57"/>
  <c r="J101" i="57"/>
  <c r="K100" i="57"/>
  <c r="J100" i="57"/>
  <c r="K99" i="57"/>
  <c r="J99" i="57"/>
  <c r="K98" i="57"/>
  <c r="J98" i="57"/>
  <c r="K97" i="57"/>
  <c r="J97" i="57"/>
  <c r="K96" i="57"/>
  <c r="J96" i="57"/>
  <c r="K95" i="57"/>
  <c r="J95" i="57"/>
  <c r="K94" i="57"/>
  <c r="J94" i="57"/>
  <c r="K93" i="57"/>
  <c r="J93" i="57"/>
  <c r="K92" i="57"/>
  <c r="J92" i="57"/>
  <c r="K91" i="57"/>
  <c r="J91" i="57"/>
  <c r="K90" i="57"/>
  <c r="J90" i="57"/>
  <c r="K89" i="57"/>
  <c r="J89" i="57"/>
  <c r="K88" i="57"/>
  <c r="J88" i="57"/>
  <c r="K87" i="57"/>
  <c r="J87" i="57"/>
  <c r="K86" i="57"/>
  <c r="J86" i="57"/>
  <c r="K85" i="57"/>
  <c r="J85" i="57"/>
  <c r="K84" i="57"/>
  <c r="J84" i="57"/>
  <c r="K83" i="57"/>
  <c r="J83" i="57"/>
  <c r="K82" i="57"/>
  <c r="J82" i="57"/>
  <c r="K81" i="57"/>
  <c r="J81" i="57"/>
  <c r="K80" i="57"/>
  <c r="J80" i="57"/>
  <c r="K79" i="57"/>
  <c r="J79" i="57"/>
  <c r="K78" i="57"/>
  <c r="J78" i="57"/>
  <c r="K77" i="57"/>
  <c r="J77" i="57"/>
  <c r="K76" i="57"/>
  <c r="J76" i="57"/>
  <c r="K75" i="57"/>
  <c r="J75" i="57"/>
  <c r="K74" i="57"/>
  <c r="J74" i="57"/>
  <c r="K73" i="57"/>
  <c r="J73" i="57"/>
  <c r="K72" i="57"/>
  <c r="J72" i="57"/>
  <c r="K71" i="57"/>
  <c r="J71" i="57"/>
  <c r="K70" i="57"/>
  <c r="J70" i="57"/>
  <c r="K69" i="57"/>
  <c r="J69" i="57"/>
  <c r="K68" i="57"/>
  <c r="J68" i="57"/>
  <c r="K67" i="57"/>
  <c r="J67" i="57"/>
  <c r="K66" i="57"/>
  <c r="J66" i="57"/>
  <c r="K65" i="57"/>
  <c r="J65" i="57"/>
  <c r="K64" i="57"/>
  <c r="J64" i="57"/>
  <c r="K63" i="57"/>
  <c r="J63" i="57"/>
  <c r="K62" i="57"/>
  <c r="J62" i="57"/>
  <c r="K61" i="57"/>
  <c r="J61" i="57"/>
  <c r="K60" i="57"/>
  <c r="J60" i="57"/>
  <c r="K59" i="57"/>
  <c r="J59" i="57"/>
  <c r="K58" i="57"/>
  <c r="J58" i="57"/>
  <c r="K57" i="57"/>
  <c r="J57" i="57"/>
  <c r="K56" i="57"/>
  <c r="J56" i="57"/>
  <c r="K55" i="57"/>
  <c r="J55" i="57"/>
  <c r="K54" i="57"/>
  <c r="J54" i="57"/>
  <c r="K53" i="57"/>
  <c r="J53" i="57"/>
  <c r="K52" i="57"/>
  <c r="J52" i="57"/>
  <c r="K51" i="57"/>
  <c r="J51" i="57"/>
  <c r="K50" i="57"/>
  <c r="J50" i="57"/>
  <c r="K49" i="57"/>
  <c r="J49" i="57"/>
  <c r="K48" i="57"/>
  <c r="J48" i="57"/>
  <c r="K47" i="57"/>
  <c r="J47" i="57"/>
  <c r="K46" i="57"/>
  <c r="J46" i="57"/>
  <c r="K45" i="57"/>
  <c r="J45" i="57"/>
  <c r="K44" i="57"/>
  <c r="J44" i="57"/>
  <c r="K43" i="57"/>
  <c r="J43" i="57"/>
  <c r="K42" i="57"/>
  <c r="J42" i="57"/>
  <c r="K41" i="57"/>
  <c r="J41" i="57"/>
  <c r="K40" i="57"/>
  <c r="J40" i="57"/>
  <c r="K39" i="57"/>
  <c r="J39" i="57"/>
  <c r="K38" i="57"/>
  <c r="J38" i="57"/>
  <c r="K37" i="57"/>
  <c r="J37" i="57"/>
  <c r="K36" i="57"/>
  <c r="J36" i="57"/>
  <c r="K35" i="57"/>
  <c r="J35" i="57"/>
  <c r="K34" i="57"/>
  <c r="J34" i="57"/>
  <c r="K33" i="57"/>
  <c r="J33" i="57"/>
  <c r="K32" i="57"/>
  <c r="J32" i="57"/>
  <c r="K31" i="57"/>
  <c r="J31" i="57"/>
  <c r="K30" i="57"/>
  <c r="J30" i="57"/>
  <c r="K29" i="57"/>
  <c r="J29" i="57"/>
  <c r="K28" i="57"/>
  <c r="J28" i="57"/>
  <c r="K27" i="57"/>
  <c r="J27" i="57"/>
  <c r="K26" i="57"/>
  <c r="J26" i="57"/>
  <c r="K25" i="57"/>
  <c r="J25" i="57"/>
  <c r="K24" i="57"/>
  <c r="J24" i="57"/>
  <c r="K23" i="57"/>
  <c r="J23" i="57"/>
  <c r="K22" i="57"/>
  <c r="J22" i="57"/>
  <c r="K21" i="57"/>
  <c r="J21" i="57"/>
  <c r="K20" i="57"/>
  <c r="J20" i="57"/>
  <c r="K19" i="57"/>
  <c r="J19" i="57"/>
  <c r="K18" i="57"/>
  <c r="J18" i="57"/>
  <c r="K17" i="57"/>
  <c r="J17" i="57"/>
  <c r="K16" i="57"/>
  <c r="J16" i="57"/>
  <c r="K15" i="57"/>
  <c r="J15" i="57"/>
  <c r="K14" i="57"/>
  <c r="J14" i="57"/>
  <c r="K13" i="57"/>
  <c r="J13" i="57"/>
  <c r="K12" i="57"/>
  <c r="J12" i="57"/>
  <c r="K11" i="57"/>
  <c r="J11" i="57"/>
  <c r="K10" i="57"/>
  <c r="J10" i="57"/>
  <c r="K9" i="57"/>
  <c r="J9" i="57"/>
  <c r="K8" i="57"/>
  <c r="J8" i="57"/>
  <c r="K7" i="57"/>
  <c r="J7" i="57"/>
  <c r="K6" i="57"/>
  <c r="J6" i="57"/>
  <c r="K3" i="57"/>
  <c r="I3" i="57"/>
  <c r="H3" i="57"/>
  <c r="K499" i="51"/>
  <c r="J499" i="51"/>
  <c r="K498" i="51"/>
  <c r="J498" i="51"/>
  <c r="K497" i="51"/>
  <c r="J497" i="51"/>
  <c r="K496" i="51"/>
  <c r="J496" i="51"/>
  <c r="K495" i="51"/>
  <c r="J495" i="51"/>
  <c r="K494" i="51"/>
  <c r="J494" i="51"/>
  <c r="K493" i="51"/>
  <c r="J493" i="51"/>
  <c r="K492" i="51"/>
  <c r="J492" i="51"/>
  <c r="K491" i="51"/>
  <c r="J491" i="51"/>
  <c r="K490" i="51"/>
  <c r="J490" i="51"/>
  <c r="K489" i="51"/>
  <c r="J489" i="51"/>
  <c r="K488" i="51"/>
  <c r="J488" i="51"/>
  <c r="K487" i="51"/>
  <c r="J487" i="51"/>
  <c r="K486" i="51"/>
  <c r="J486" i="51"/>
  <c r="K485" i="51"/>
  <c r="J485" i="51"/>
  <c r="K484" i="51"/>
  <c r="J484" i="51"/>
  <c r="K483" i="51"/>
  <c r="J483" i="51"/>
  <c r="K482" i="51"/>
  <c r="J482" i="51"/>
  <c r="K481" i="51"/>
  <c r="J481" i="51"/>
  <c r="K480" i="51"/>
  <c r="J480" i="51"/>
  <c r="K479" i="51"/>
  <c r="J479" i="51"/>
  <c r="K478" i="51"/>
  <c r="J478" i="51"/>
  <c r="K477" i="51"/>
  <c r="J477" i="51"/>
  <c r="K476" i="51"/>
  <c r="J476" i="51"/>
  <c r="K475" i="51"/>
  <c r="J475" i="51"/>
  <c r="K474" i="51"/>
  <c r="J474" i="51"/>
  <c r="K473" i="51"/>
  <c r="J473" i="51"/>
  <c r="K472" i="51"/>
  <c r="J472" i="51"/>
  <c r="K471" i="51"/>
  <c r="J471" i="51"/>
  <c r="K470" i="51"/>
  <c r="J470" i="51"/>
  <c r="K469" i="51"/>
  <c r="J469" i="51"/>
  <c r="K468" i="51"/>
  <c r="J468" i="51"/>
  <c r="K467" i="51"/>
  <c r="J467" i="51"/>
  <c r="K466" i="51"/>
  <c r="J466" i="51"/>
  <c r="K465" i="51"/>
  <c r="J465" i="51"/>
  <c r="K464" i="51"/>
  <c r="J464" i="51"/>
  <c r="K463" i="51"/>
  <c r="J463" i="51"/>
  <c r="K462" i="51"/>
  <c r="J462" i="51"/>
  <c r="K461" i="51"/>
  <c r="J461" i="51"/>
  <c r="K460" i="51"/>
  <c r="J460" i="51"/>
  <c r="K459" i="51"/>
  <c r="J459" i="51"/>
  <c r="K458" i="51"/>
  <c r="J458" i="51"/>
  <c r="K457" i="51"/>
  <c r="J457" i="51"/>
  <c r="K456" i="51"/>
  <c r="J456" i="51"/>
  <c r="K455" i="51"/>
  <c r="J455" i="51"/>
  <c r="K454" i="51"/>
  <c r="J454" i="51"/>
  <c r="K453" i="51"/>
  <c r="J453" i="51"/>
  <c r="K452" i="51"/>
  <c r="J452" i="51"/>
  <c r="K451" i="51"/>
  <c r="J451" i="51"/>
  <c r="K450" i="51"/>
  <c r="J450" i="51"/>
  <c r="K449" i="51"/>
  <c r="J449" i="51"/>
  <c r="K448" i="51"/>
  <c r="J448" i="51"/>
  <c r="K447" i="51"/>
  <c r="J447" i="51"/>
  <c r="K446" i="51"/>
  <c r="J446" i="51"/>
  <c r="K445" i="51"/>
  <c r="J445" i="51"/>
  <c r="K444" i="51"/>
  <c r="J444" i="51"/>
  <c r="K443" i="51"/>
  <c r="J443" i="51"/>
  <c r="K442" i="51"/>
  <c r="J442" i="51"/>
  <c r="K441" i="51"/>
  <c r="J441" i="51"/>
  <c r="K440" i="51"/>
  <c r="J440" i="51"/>
  <c r="K439" i="51"/>
  <c r="J439" i="51"/>
  <c r="K438" i="51"/>
  <c r="J438" i="51"/>
  <c r="K437" i="51"/>
  <c r="J437" i="51"/>
  <c r="K436" i="51"/>
  <c r="J436" i="51"/>
  <c r="K435" i="51"/>
  <c r="J435" i="51"/>
  <c r="K434" i="51"/>
  <c r="J434" i="51"/>
  <c r="K433" i="51"/>
  <c r="J433" i="51"/>
  <c r="K432" i="51"/>
  <c r="J432" i="51"/>
  <c r="K431" i="51"/>
  <c r="J431" i="51"/>
  <c r="K430" i="51"/>
  <c r="J430" i="51"/>
  <c r="K429" i="51"/>
  <c r="J429" i="51"/>
  <c r="K428" i="51"/>
  <c r="J428" i="51"/>
  <c r="K427" i="51"/>
  <c r="J427" i="51"/>
  <c r="K426" i="51"/>
  <c r="J426" i="51"/>
  <c r="K425" i="51"/>
  <c r="J425" i="51"/>
  <c r="K424" i="51"/>
  <c r="J424" i="51"/>
  <c r="K423" i="51"/>
  <c r="J423" i="51"/>
  <c r="K422" i="51"/>
  <c r="J422" i="51"/>
  <c r="K421" i="51"/>
  <c r="J421" i="51"/>
  <c r="K420" i="51"/>
  <c r="J420" i="51"/>
  <c r="K419" i="51"/>
  <c r="J419" i="51"/>
  <c r="K418" i="51"/>
  <c r="J418" i="51"/>
  <c r="K417" i="51"/>
  <c r="J417" i="51"/>
  <c r="K416" i="51"/>
  <c r="J416" i="51"/>
  <c r="K415" i="51"/>
  <c r="J415" i="51"/>
  <c r="K414" i="51"/>
  <c r="J414" i="51"/>
  <c r="K413" i="51"/>
  <c r="J413" i="51"/>
  <c r="K412" i="51"/>
  <c r="J412" i="51"/>
  <c r="K411" i="51"/>
  <c r="J411" i="51"/>
  <c r="K410" i="51"/>
  <c r="J410" i="51"/>
  <c r="K409" i="51"/>
  <c r="J409" i="51"/>
  <c r="K408" i="51"/>
  <c r="J408" i="51"/>
  <c r="K407" i="51"/>
  <c r="J407" i="51"/>
  <c r="K406" i="51"/>
  <c r="J406" i="51"/>
  <c r="K405" i="51"/>
  <c r="J405" i="51"/>
  <c r="K404" i="51"/>
  <c r="J404" i="51"/>
  <c r="K403" i="51"/>
  <c r="J403" i="51"/>
  <c r="K402" i="51"/>
  <c r="J402" i="51"/>
  <c r="K401" i="51"/>
  <c r="J401" i="51"/>
  <c r="K400" i="51"/>
  <c r="J400" i="51"/>
  <c r="K399" i="51"/>
  <c r="J399" i="51"/>
  <c r="K398" i="51"/>
  <c r="J398" i="51"/>
  <c r="K397" i="51"/>
  <c r="J397" i="51"/>
  <c r="K396" i="51"/>
  <c r="J396" i="51"/>
  <c r="K395" i="51"/>
  <c r="J395" i="51"/>
  <c r="K394" i="51"/>
  <c r="J394" i="51"/>
  <c r="K393" i="51"/>
  <c r="J393" i="51"/>
  <c r="K392" i="51"/>
  <c r="J392" i="51"/>
  <c r="K391" i="51"/>
  <c r="J391" i="51"/>
  <c r="K390" i="51"/>
  <c r="J390" i="51"/>
  <c r="K389" i="51"/>
  <c r="J389" i="51"/>
  <c r="K388" i="51"/>
  <c r="J388" i="51"/>
  <c r="K387" i="51"/>
  <c r="J387" i="51"/>
  <c r="K386" i="51"/>
  <c r="J386" i="51"/>
  <c r="K385" i="51"/>
  <c r="J385" i="51"/>
  <c r="K384" i="51"/>
  <c r="J384" i="51"/>
  <c r="K383" i="51"/>
  <c r="J383" i="51"/>
  <c r="K382" i="51"/>
  <c r="J382" i="51"/>
  <c r="K381" i="51"/>
  <c r="J381" i="51"/>
  <c r="K380" i="51"/>
  <c r="J380" i="51"/>
  <c r="K379" i="51"/>
  <c r="J379" i="51"/>
  <c r="K378" i="51"/>
  <c r="J378" i="51"/>
  <c r="K377" i="51"/>
  <c r="J377" i="51"/>
  <c r="K376" i="51"/>
  <c r="J376" i="51"/>
  <c r="K375" i="51"/>
  <c r="J375" i="51"/>
  <c r="K374" i="51"/>
  <c r="J374" i="51"/>
  <c r="K373" i="51"/>
  <c r="J373" i="51"/>
  <c r="K372" i="51"/>
  <c r="J372" i="51"/>
  <c r="K371" i="51"/>
  <c r="J371" i="51"/>
  <c r="K370" i="51"/>
  <c r="J370" i="51"/>
  <c r="K369" i="51"/>
  <c r="J369" i="51"/>
  <c r="K368" i="51"/>
  <c r="J368" i="51"/>
  <c r="K367" i="51"/>
  <c r="J367" i="51"/>
  <c r="K366" i="51"/>
  <c r="J366" i="51"/>
  <c r="K365" i="51"/>
  <c r="J365" i="51"/>
  <c r="K364" i="51"/>
  <c r="J364" i="51"/>
  <c r="K363" i="51"/>
  <c r="J363" i="51"/>
  <c r="K362" i="51"/>
  <c r="J362" i="51"/>
  <c r="K361" i="51"/>
  <c r="J361" i="51"/>
  <c r="K360" i="51"/>
  <c r="J360" i="51"/>
  <c r="K359" i="51"/>
  <c r="J359" i="51"/>
  <c r="K358" i="51"/>
  <c r="J358" i="51"/>
  <c r="K357" i="51"/>
  <c r="J357" i="51"/>
  <c r="K356" i="51"/>
  <c r="J356" i="51"/>
  <c r="K355" i="51"/>
  <c r="J355" i="51"/>
  <c r="K354" i="51"/>
  <c r="J354" i="51"/>
  <c r="K353" i="51"/>
  <c r="J353" i="51"/>
  <c r="K352" i="51"/>
  <c r="J352" i="51"/>
  <c r="K351" i="51"/>
  <c r="J351" i="51"/>
  <c r="K350" i="51"/>
  <c r="J350" i="51"/>
  <c r="K349" i="51"/>
  <c r="J349" i="51"/>
  <c r="K348" i="51"/>
  <c r="J348" i="51"/>
  <c r="K347" i="51"/>
  <c r="J347" i="51"/>
  <c r="K346" i="51"/>
  <c r="J346" i="51"/>
  <c r="K345" i="51"/>
  <c r="J345" i="51"/>
  <c r="K344" i="51"/>
  <c r="J344" i="51"/>
  <c r="K343" i="51"/>
  <c r="J343" i="51"/>
  <c r="K342" i="51"/>
  <c r="J342" i="51"/>
  <c r="K341" i="51"/>
  <c r="J341" i="51"/>
  <c r="K340" i="51"/>
  <c r="J340" i="51"/>
  <c r="K339" i="51"/>
  <c r="J339" i="51"/>
  <c r="K338" i="51"/>
  <c r="J338" i="51"/>
  <c r="K337" i="51"/>
  <c r="J337" i="51"/>
  <c r="K336" i="51"/>
  <c r="J336" i="51"/>
  <c r="K335" i="51"/>
  <c r="J335" i="51"/>
  <c r="K334" i="51"/>
  <c r="J334" i="51"/>
  <c r="K333" i="51"/>
  <c r="J333" i="51"/>
  <c r="K332" i="51"/>
  <c r="J332" i="51"/>
  <c r="K331" i="51"/>
  <c r="J331" i="51"/>
  <c r="K330" i="51"/>
  <c r="J330" i="51"/>
  <c r="K329" i="51"/>
  <c r="J329" i="51"/>
  <c r="K328" i="51"/>
  <c r="J328" i="51"/>
  <c r="K327" i="51"/>
  <c r="J327" i="51"/>
  <c r="K326" i="51"/>
  <c r="J326" i="51"/>
  <c r="K325" i="51"/>
  <c r="J325" i="51"/>
  <c r="K324" i="51"/>
  <c r="J324" i="51"/>
  <c r="K323" i="51"/>
  <c r="J323" i="51"/>
  <c r="K322" i="51"/>
  <c r="J322" i="51"/>
  <c r="K321" i="51"/>
  <c r="J321" i="51"/>
  <c r="K320" i="51"/>
  <c r="J320" i="51"/>
  <c r="K319" i="51"/>
  <c r="J319" i="51"/>
  <c r="K318" i="51"/>
  <c r="J318" i="51"/>
  <c r="K317" i="51"/>
  <c r="J317" i="51"/>
  <c r="K316" i="51"/>
  <c r="J316" i="51"/>
  <c r="K315" i="51"/>
  <c r="J315" i="51"/>
  <c r="K314" i="51"/>
  <c r="J314" i="51"/>
  <c r="K313" i="51"/>
  <c r="J313" i="51"/>
  <c r="K312" i="51"/>
  <c r="J312" i="51"/>
  <c r="K311" i="51"/>
  <c r="J311" i="51"/>
  <c r="K310" i="51"/>
  <c r="J310" i="51"/>
  <c r="K309" i="51"/>
  <c r="J309" i="51"/>
  <c r="K308" i="51"/>
  <c r="J308" i="51"/>
  <c r="K307" i="51"/>
  <c r="J307" i="51"/>
  <c r="K306" i="51"/>
  <c r="J306" i="51"/>
  <c r="K305" i="51"/>
  <c r="J305" i="51"/>
  <c r="K304" i="51"/>
  <c r="J304" i="51"/>
  <c r="K303" i="51"/>
  <c r="J303" i="51"/>
  <c r="K302" i="51"/>
  <c r="J302" i="51"/>
  <c r="K301" i="51"/>
  <c r="J301" i="51"/>
  <c r="K300" i="51"/>
  <c r="J300" i="51"/>
  <c r="K299" i="51"/>
  <c r="J299" i="51"/>
  <c r="K298" i="51"/>
  <c r="J298" i="51"/>
  <c r="K297" i="51"/>
  <c r="J297" i="51"/>
  <c r="K296" i="51"/>
  <c r="J296" i="51"/>
  <c r="K295" i="51"/>
  <c r="J295" i="51"/>
  <c r="K294" i="51"/>
  <c r="J294" i="51"/>
  <c r="K293" i="51"/>
  <c r="J293" i="51"/>
  <c r="K292" i="51"/>
  <c r="J292" i="51"/>
  <c r="K291" i="51"/>
  <c r="J291" i="51"/>
  <c r="K290" i="51"/>
  <c r="J290" i="51"/>
  <c r="K289" i="51"/>
  <c r="J289" i="51"/>
  <c r="K288" i="51"/>
  <c r="J288" i="51"/>
  <c r="K287" i="51"/>
  <c r="J287" i="51"/>
  <c r="K286" i="51"/>
  <c r="J286" i="51"/>
  <c r="K285" i="51"/>
  <c r="J285" i="51"/>
  <c r="K284" i="51"/>
  <c r="J284" i="51"/>
  <c r="K283" i="51"/>
  <c r="J283" i="51"/>
  <c r="K282" i="51"/>
  <c r="J282" i="51"/>
  <c r="K281" i="51"/>
  <c r="J281" i="51"/>
  <c r="K280" i="51"/>
  <c r="J280" i="51"/>
  <c r="K279" i="51"/>
  <c r="J279" i="51"/>
  <c r="K278" i="51"/>
  <c r="J278" i="51"/>
  <c r="K277" i="51"/>
  <c r="J277" i="51"/>
  <c r="K276" i="51"/>
  <c r="J276" i="51"/>
  <c r="K275" i="51"/>
  <c r="J275" i="51"/>
  <c r="K274" i="51"/>
  <c r="J274" i="51"/>
  <c r="K273" i="51"/>
  <c r="J273" i="51"/>
  <c r="K272" i="51"/>
  <c r="J272" i="51"/>
  <c r="K271" i="51"/>
  <c r="J271" i="51"/>
  <c r="K270" i="51"/>
  <c r="J270" i="51"/>
  <c r="K269" i="51"/>
  <c r="J269" i="51"/>
  <c r="K268" i="51"/>
  <c r="J268" i="51"/>
  <c r="K267" i="51"/>
  <c r="J267" i="51"/>
  <c r="K266" i="51"/>
  <c r="J266" i="51"/>
  <c r="K265" i="51"/>
  <c r="J265" i="51"/>
  <c r="K264" i="51"/>
  <c r="J264" i="51"/>
  <c r="K263" i="51"/>
  <c r="J263" i="51"/>
  <c r="K262" i="51"/>
  <c r="J262" i="51"/>
  <c r="K261" i="51"/>
  <c r="J261" i="51"/>
  <c r="K260" i="51"/>
  <c r="J260" i="51"/>
  <c r="K259" i="51"/>
  <c r="J259" i="51"/>
  <c r="K258" i="51"/>
  <c r="J258" i="51"/>
  <c r="K257" i="51"/>
  <c r="J257" i="51"/>
  <c r="K256" i="51"/>
  <c r="J256" i="51"/>
  <c r="K255" i="51"/>
  <c r="J255" i="51"/>
  <c r="K254" i="51"/>
  <c r="J254" i="51"/>
  <c r="K253" i="51"/>
  <c r="J253" i="51"/>
  <c r="K252" i="51"/>
  <c r="J252" i="51"/>
  <c r="K251" i="51"/>
  <c r="J251" i="51"/>
  <c r="K250" i="51"/>
  <c r="J250" i="51"/>
  <c r="K249" i="51"/>
  <c r="J249" i="51"/>
  <c r="K248" i="51"/>
  <c r="J248" i="51"/>
  <c r="K247" i="51"/>
  <c r="J247" i="51"/>
  <c r="K246" i="51"/>
  <c r="J246" i="51"/>
  <c r="K245" i="51"/>
  <c r="J245" i="51"/>
  <c r="K244" i="51"/>
  <c r="J244" i="51"/>
  <c r="K243" i="51"/>
  <c r="J243" i="51"/>
  <c r="K242" i="51"/>
  <c r="J242" i="51"/>
  <c r="K241" i="51"/>
  <c r="J241" i="51"/>
  <c r="K240" i="51"/>
  <c r="J240" i="51"/>
  <c r="K239" i="51"/>
  <c r="J239" i="51"/>
  <c r="K238" i="51"/>
  <c r="J238" i="51"/>
  <c r="K237" i="51"/>
  <c r="J237" i="51"/>
  <c r="K236" i="51"/>
  <c r="J236" i="51"/>
  <c r="K235" i="51"/>
  <c r="J235" i="51"/>
  <c r="K234" i="51"/>
  <c r="J234" i="51"/>
  <c r="K233" i="51"/>
  <c r="J233" i="51"/>
  <c r="K232" i="51"/>
  <c r="J232" i="51"/>
  <c r="K231" i="51"/>
  <c r="J231" i="51"/>
  <c r="K230" i="51"/>
  <c r="J230" i="51"/>
  <c r="K229" i="51"/>
  <c r="J229" i="51"/>
  <c r="K228" i="51"/>
  <c r="J228" i="51"/>
  <c r="K227" i="51"/>
  <c r="J227" i="51"/>
  <c r="K226" i="51"/>
  <c r="J226" i="51"/>
  <c r="K225" i="51"/>
  <c r="J225" i="51"/>
  <c r="K224" i="51"/>
  <c r="J224" i="51"/>
  <c r="K223" i="51"/>
  <c r="J223" i="51"/>
  <c r="K222" i="51"/>
  <c r="J222" i="51"/>
  <c r="K221" i="51"/>
  <c r="J221" i="51"/>
  <c r="K220" i="51"/>
  <c r="J220" i="51"/>
  <c r="K219" i="51"/>
  <c r="J219" i="51"/>
  <c r="K218" i="51"/>
  <c r="J218" i="51"/>
  <c r="K217" i="51"/>
  <c r="J217" i="51"/>
  <c r="K216" i="51"/>
  <c r="J216" i="51"/>
  <c r="K215" i="51"/>
  <c r="J215" i="51"/>
  <c r="K214" i="51"/>
  <c r="J214" i="51"/>
  <c r="K213" i="51"/>
  <c r="J213" i="51"/>
  <c r="K212" i="51"/>
  <c r="J212" i="51"/>
  <c r="K211" i="51"/>
  <c r="J211" i="51"/>
  <c r="K210" i="51"/>
  <c r="J210" i="51"/>
  <c r="K209" i="51"/>
  <c r="J209" i="51"/>
  <c r="K208" i="51"/>
  <c r="J208" i="51"/>
  <c r="K207" i="51"/>
  <c r="J207" i="51"/>
  <c r="K206" i="51"/>
  <c r="J206" i="51"/>
  <c r="K205" i="51"/>
  <c r="J205" i="51"/>
  <c r="K204" i="51"/>
  <c r="J204" i="51"/>
  <c r="K203" i="51"/>
  <c r="J203" i="51"/>
  <c r="K202" i="51"/>
  <c r="J202" i="51"/>
  <c r="K201" i="51"/>
  <c r="J201" i="51"/>
  <c r="K200" i="51"/>
  <c r="J200" i="51"/>
  <c r="K199" i="51"/>
  <c r="J199" i="51"/>
  <c r="K198" i="51"/>
  <c r="J198" i="51"/>
  <c r="K197" i="51"/>
  <c r="J197" i="51"/>
  <c r="K196" i="51"/>
  <c r="J196" i="51"/>
  <c r="K195" i="51"/>
  <c r="J195" i="51"/>
  <c r="K194" i="51"/>
  <c r="J194" i="51"/>
  <c r="K193" i="51"/>
  <c r="J193" i="51"/>
  <c r="K192" i="51"/>
  <c r="J192" i="51"/>
  <c r="K191" i="51"/>
  <c r="J191" i="51"/>
  <c r="K190" i="51"/>
  <c r="J190" i="51"/>
  <c r="K189" i="51"/>
  <c r="J189" i="51"/>
  <c r="K188" i="51"/>
  <c r="J188" i="51"/>
  <c r="K187" i="51"/>
  <c r="J187" i="51"/>
  <c r="K186" i="51"/>
  <c r="J186" i="51"/>
  <c r="K185" i="51"/>
  <c r="J185" i="51"/>
  <c r="K184" i="51"/>
  <c r="J184" i="51"/>
  <c r="K183" i="51"/>
  <c r="J183" i="51"/>
  <c r="K182" i="51"/>
  <c r="J182" i="51"/>
  <c r="K181" i="51"/>
  <c r="J181" i="51"/>
  <c r="K180" i="51"/>
  <c r="J180" i="51"/>
  <c r="K179" i="51"/>
  <c r="J179" i="51"/>
  <c r="K178" i="51"/>
  <c r="J178" i="51"/>
  <c r="K177" i="51"/>
  <c r="J177" i="51"/>
  <c r="K176" i="51"/>
  <c r="J176" i="51"/>
  <c r="K175" i="51"/>
  <c r="J175" i="51"/>
  <c r="K174" i="51"/>
  <c r="J174" i="51"/>
  <c r="K173" i="51"/>
  <c r="J173" i="51"/>
  <c r="K172" i="51"/>
  <c r="J172" i="51"/>
  <c r="K171" i="51"/>
  <c r="J171" i="51"/>
  <c r="K170" i="51"/>
  <c r="J170" i="51"/>
  <c r="K169" i="51"/>
  <c r="J169" i="51"/>
  <c r="K168" i="51"/>
  <c r="J168" i="51"/>
  <c r="K167" i="51"/>
  <c r="J167" i="51"/>
  <c r="K166" i="51"/>
  <c r="J166" i="51"/>
  <c r="K165" i="51"/>
  <c r="J165" i="51"/>
  <c r="K164" i="51"/>
  <c r="J164" i="51"/>
  <c r="K163" i="51"/>
  <c r="J163" i="51"/>
  <c r="K162" i="51"/>
  <c r="J162" i="51"/>
  <c r="K161" i="51"/>
  <c r="J161" i="51"/>
  <c r="K160" i="51"/>
  <c r="J160" i="51"/>
  <c r="K159" i="51"/>
  <c r="J159" i="51"/>
  <c r="K158" i="51"/>
  <c r="J158" i="51"/>
  <c r="K157" i="51"/>
  <c r="J157" i="51"/>
  <c r="K156" i="51"/>
  <c r="J156" i="51"/>
  <c r="K155" i="51"/>
  <c r="J155" i="51"/>
  <c r="K154" i="51"/>
  <c r="J154" i="51"/>
  <c r="K153" i="51"/>
  <c r="J153" i="51"/>
  <c r="K152" i="51"/>
  <c r="J152" i="51"/>
  <c r="K151" i="51"/>
  <c r="J151" i="51"/>
  <c r="K150" i="51"/>
  <c r="J150" i="51"/>
  <c r="K149" i="51"/>
  <c r="J149" i="51"/>
  <c r="K148" i="51"/>
  <c r="J148" i="51"/>
  <c r="K147" i="51"/>
  <c r="J147" i="51"/>
  <c r="K146" i="51"/>
  <c r="J146" i="51"/>
  <c r="K145" i="51"/>
  <c r="J145" i="51"/>
  <c r="K144" i="51"/>
  <c r="J144" i="51"/>
  <c r="K143" i="51"/>
  <c r="J143" i="51"/>
  <c r="K142" i="51"/>
  <c r="J142" i="51"/>
  <c r="K141" i="51"/>
  <c r="J141" i="51"/>
  <c r="K140" i="51"/>
  <c r="J140" i="51"/>
  <c r="K139" i="51"/>
  <c r="J139" i="51"/>
  <c r="K138" i="51"/>
  <c r="J138" i="51"/>
  <c r="K137" i="51"/>
  <c r="J137" i="51"/>
  <c r="K136" i="51"/>
  <c r="J136" i="51"/>
  <c r="K135" i="51"/>
  <c r="J135" i="51"/>
  <c r="K134" i="51"/>
  <c r="J134" i="51"/>
  <c r="K133" i="51"/>
  <c r="J133" i="51"/>
  <c r="K132" i="51"/>
  <c r="J132" i="51"/>
  <c r="K131" i="51"/>
  <c r="J131" i="51"/>
  <c r="K130" i="51"/>
  <c r="J130" i="51"/>
  <c r="K129" i="51"/>
  <c r="J129" i="51"/>
  <c r="K128" i="51"/>
  <c r="J128" i="51"/>
  <c r="K127" i="51"/>
  <c r="J127" i="51"/>
  <c r="K126" i="51"/>
  <c r="J126" i="51"/>
  <c r="K125" i="51"/>
  <c r="J125" i="51"/>
  <c r="K124" i="51"/>
  <c r="J124" i="51"/>
  <c r="K123" i="51"/>
  <c r="J123" i="51"/>
  <c r="K122" i="51"/>
  <c r="J122" i="51"/>
  <c r="K121" i="51"/>
  <c r="J121" i="51"/>
  <c r="K120" i="51"/>
  <c r="J120" i="51"/>
  <c r="K119" i="51"/>
  <c r="J119" i="51"/>
  <c r="K118" i="51"/>
  <c r="J118" i="51"/>
  <c r="K117" i="51"/>
  <c r="J117" i="51"/>
  <c r="K116" i="51"/>
  <c r="J116" i="51"/>
  <c r="K115" i="51"/>
  <c r="J115" i="51"/>
  <c r="K114" i="51"/>
  <c r="J114" i="51"/>
  <c r="K113" i="51"/>
  <c r="J113" i="51"/>
  <c r="K112" i="51"/>
  <c r="J112" i="51"/>
  <c r="K111" i="51"/>
  <c r="J111" i="51"/>
  <c r="K110" i="51"/>
  <c r="J110" i="51"/>
  <c r="K109" i="51"/>
  <c r="J109" i="51"/>
  <c r="K108" i="51"/>
  <c r="J108" i="51"/>
  <c r="K107" i="51"/>
  <c r="J107" i="51"/>
  <c r="K106" i="51"/>
  <c r="J106" i="51"/>
  <c r="K105" i="51"/>
  <c r="J105" i="51"/>
  <c r="K104" i="51"/>
  <c r="J104" i="51"/>
  <c r="K103" i="51"/>
  <c r="J103" i="51"/>
  <c r="K102" i="51"/>
  <c r="J102" i="51"/>
  <c r="K101" i="51"/>
  <c r="J101" i="51"/>
  <c r="K100" i="51"/>
  <c r="J100" i="51"/>
  <c r="K99" i="51"/>
  <c r="J99" i="51"/>
  <c r="K98" i="51"/>
  <c r="J98" i="51"/>
  <c r="K97" i="51"/>
  <c r="J97" i="51"/>
  <c r="K96" i="51"/>
  <c r="J96" i="51"/>
  <c r="K95" i="51"/>
  <c r="J95" i="51"/>
  <c r="K94" i="51"/>
  <c r="J94" i="51"/>
  <c r="K93" i="51"/>
  <c r="J93" i="51"/>
  <c r="K92" i="51"/>
  <c r="J92" i="51"/>
  <c r="K91" i="51"/>
  <c r="J91" i="51"/>
  <c r="K90" i="51"/>
  <c r="J90" i="51"/>
  <c r="K89" i="51"/>
  <c r="J89" i="51"/>
  <c r="K88" i="51"/>
  <c r="J88" i="51"/>
  <c r="K87" i="51"/>
  <c r="J87" i="51"/>
  <c r="K86" i="51"/>
  <c r="J86" i="51"/>
  <c r="K85" i="51"/>
  <c r="J85" i="51"/>
  <c r="K84" i="51"/>
  <c r="J84" i="51"/>
  <c r="K83" i="51"/>
  <c r="J83" i="51"/>
  <c r="K82" i="51"/>
  <c r="J82" i="51"/>
  <c r="K81" i="51"/>
  <c r="J81" i="51"/>
  <c r="K80" i="51"/>
  <c r="J80" i="51"/>
  <c r="K79" i="51"/>
  <c r="J79" i="51"/>
  <c r="K78" i="51"/>
  <c r="J78" i="51"/>
  <c r="K77" i="51"/>
  <c r="J77" i="51"/>
  <c r="K76" i="51"/>
  <c r="J76" i="51"/>
  <c r="K75" i="51"/>
  <c r="J75" i="51"/>
  <c r="K74" i="51"/>
  <c r="J74" i="51"/>
  <c r="K73" i="51"/>
  <c r="J73" i="51"/>
  <c r="K72" i="51"/>
  <c r="J72" i="51"/>
  <c r="K71" i="51"/>
  <c r="J71" i="51"/>
  <c r="K70" i="51"/>
  <c r="J70" i="51"/>
  <c r="K69" i="51"/>
  <c r="J69" i="51"/>
  <c r="K68" i="51"/>
  <c r="J68" i="51"/>
  <c r="K67" i="51"/>
  <c r="J67" i="51"/>
  <c r="K66" i="51"/>
  <c r="J66" i="51"/>
  <c r="K65" i="51"/>
  <c r="J65" i="51"/>
  <c r="K64" i="51"/>
  <c r="J64" i="51"/>
  <c r="K63" i="51"/>
  <c r="J63" i="51"/>
  <c r="K62" i="51"/>
  <c r="J62" i="51"/>
  <c r="K61" i="51"/>
  <c r="J61" i="51"/>
  <c r="K60" i="51"/>
  <c r="J60" i="51"/>
  <c r="K59" i="51"/>
  <c r="J59" i="51"/>
  <c r="K58" i="51"/>
  <c r="J58" i="51"/>
  <c r="K57" i="51"/>
  <c r="J57" i="51"/>
  <c r="K56" i="51"/>
  <c r="J56" i="51"/>
  <c r="K55" i="51"/>
  <c r="J55" i="51"/>
  <c r="K54" i="51"/>
  <c r="J54" i="51"/>
  <c r="K53" i="51"/>
  <c r="J53" i="51"/>
  <c r="K52" i="51"/>
  <c r="J52" i="51"/>
  <c r="K51" i="51"/>
  <c r="J51" i="51"/>
  <c r="K50" i="51"/>
  <c r="J50" i="51"/>
  <c r="K49" i="51"/>
  <c r="J49" i="51"/>
  <c r="K48" i="51"/>
  <c r="J48" i="51"/>
  <c r="K47" i="51"/>
  <c r="J47" i="51"/>
  <c r="K46" i="51"/>
  <c r="J46" i="51"/>
  <c r="K45" i="51"/>
  <c r="J45" i="51"/>
  <c r="K44" i="51"/>
  <c r="J44" i="51"/>
  <c r="K43" i="51"/>
  <c r="J43" i="51"/>
  <c r="K42" i="51"/>
  <c r="J42" i="51"/>
  <c r="K41" i="51"/>
  <c r="J41" i="51"/>
  <c r="K40" i="51"/>
  <c r="J40" i="51"/>
  <c r="K39" i="51"/>
  <c r="J39" i="51"/>
  <c r="K38" i="51"/>
  <c r="J38" i="51"/>
  <c r="K37" i="51"/>
  <c r="J37" i="51"/>
  <c r="K36" i="51"/>
  <c r="J36" i="51"/>
  <c r="K35" i="51"/>
  <c r="J35" i="51"/>
  <c r="K34" i="51"/>
  <c r="J34" i="51"/>
  <c r="K33" i="51"/>
  <c r="J33" i="51"/>
  <c r="K32" i="51"/>
  <c r="J32" i="51"/>
  <c r="K31" i="51"/>
  <c r="J31" i="51"/>
  <c r="K30" i="51"/>
  <c r="J30" i="51"/>
  <c r="K29" i="51"/>
  <c r="J29" i="51"/>
  <c r="K28" i="51"/>
  <c r="J28" i="51"/>
  <c r="K27" i="51"/>
  <c r="J27" i="51"/>
  <c r="K26" i="51"/>
  <c r="J26" i="51"/>
  <c r="K25" i="51"/>
  <c r="J25" i="51"/>
  <c r="K24" i="51"/>
  <c r="J24" i="51"/>
  <c r="K23" i="51"/>
  <c r="J23" i="51"/>
  <c r="K22" i="51"/>
  <c r="J22" i="51"/>
  <c r="K21" i="51"/>
  <c r="J21" i="51"/>
  <c r="K20" i="51"/>
  <c r="J20" i="51"/>
  <c r="K19" i="51"/>
  <c r="J19" i="51"/>
  <c r="K18" i="51"/>
  <c r="J18" i="51"/>
  <c r="K17" i="51"/>
  <c r="J17" i="51"/>
  <c r="K16" i="51"/>
  <c r="J16" i="51"/>
  <c r="K15" i="51"/>
  <c r="J15" i="51"/>
  <c r="K14" i="51"/>
  <c r="J14" i="51"/>
  <c r="K13" i="51"/>
  <c r="J13" i="51"/>
  <c r="K12" i="51"/>
  <c r="J12" i="51"/>
  <c r="K11" i="51"/>
  <c r="J11" i="51"/>
  <c r="K10" i="51"/>
  <c r="J10" i="51"/>
  <c r="K9" i="51"/>
  <c r="J9" i="51"/>
  <c r="K8" i="51"/>
  <c r="J8" i="51"/>
  <c r="K7" i="51"/>
  <c r="J7" i="51"/>
  <c r="K6" i="51"/>
  <c r="J6" i="51"/>
  <c r="K3" i="51"/>
  <c r="I3" i="51"/>
  <c r="H3" i="51"/>
  <c r="K506" i="31"/>
  <c r="J506" i="31"/>
  <c r="K505" i="31"/>
  <c r="J505" i="31"/>
  <c r="K504" i="31"/>
  <c r="J504" i="31"/>
  <c r="K503" i="31"/>
  <c r="J503" i="31"/>
  <c r="K502" i="31"/>
  <c r="J502" i="31"/>
  <c r="K501" i="31"/>
  <c r="J501" i="31"/>
  <c r="K500" i="31"/>
  <c r="J500" i="31"/>
  <c r="K499" i="31"/>
  <c r="J499" i="31"/>
  <c r="K498" i="31"/>
  <c r="J498" i="31"/>
  <c r="K497" i="31"/>
  <c r="J497" i="31"/>
  <c r="K496" i="31"/>
  <c r="J496" i="31"/>
  <c r="K495" i="31"/>
  <c r="J495" i="31"/>
  <c r="K494" i="31"/>
  <c r="J494" i="31"/>
  <c r="K493" i="31"/>
  <c r="J493" i="31"/>
  <c r="K492" i="31"/>
  <c r="J492" i="31"/>
  <c r="K491" i="31"/>
  <c r="J491" i="31"/>
  <c r="K490" i="31"/>
  <c r="J490" i="31"/>
  <c r="K489" i="31"/>
  <c r="J489" i="31"/>
  <c r="K488" i="31"/>
  <c r="J488" i="31"/>
  <c r="K487" i="31"/>
  <c r="J487" i="31"/>
  <c r="K486" i="31"/>
  <c r="J486" i="31"/>
  <c r="K485" i="31"/>
  <c r="J485" i="31"/>
  <c r="K484" i="31"/>
  <c r="J484" i="31"/>
  <c r="K483" i="31"/>
  <c r="J483" i="31"/>
  <c r="K482" i="31"/>
  <c r="J482" i="31"/>
  <c r="K481" i="31"/>
  <c r="J481" i="31"/>
  <c r="K480" i="31"/>
  <c r="J480" i="31"/>
  <c r="K479" i="31"/>
  <c r="J479" i="31"/>
  <c r="K478" i="31"/>
  <c r="J478" i="31"/>
  <c r="K477" i="31"/>
  <c r="J477" i="31"/>
  <c r="K476" i="31"/>
  <c r="J476" i="31"/>
  <c r="K475" i="31"/>
  <c r="J475" i="31"/>
  <c r="K474" i="31"/>
  <c r="J474" i="31"/>
  <c r="K473" i="31"/>
  <c r="J473" i="31"/>
  <c r="K472" i="31"/>
  <c r="J472" i="31"/>
  <c r="K471" i="31"/>
  <c r="J471" i="31"/>
  <c r="K470" i="31"/>
  <c r="J470" i="31"/>
  <c r="K469" i="31"/>
  <c r="J469" i="31"/>
  <c r="K468" i="31"/>
  <c r="J468" i="31"/>
  <c r="K467" i="31"/>
  <c r="J467" i="31"/>
  <c r="K466" i="31"/>
  <c r="J466" i="31"/>
  <c r="K465" i="31"/>
  <c r="J465" i="31"/>
  <c r="K464" i="31"/>
  <c r="J464" i="31"/>
  <c r="K463" i="31"/>
  <c r="J463" i="31"/>
  <c r="K462" i="31"/>
  <c r="J462" i="31"/>
  <c r="K461" i="31"/>
  <c r="J461" i="31"/>
  <c r="K460" i="31"/>
  <c r="J460" i="31"/>
  <c r="K459" i="31"/>
  <c r="J459" i="31"/>
  <c r="K458" i="31"/>
  <c r="J458" i="31"/>
  <c r="K457" i="31"/>
  <c r="J457" i="31"/>
  <c r="K456" i="31"/>
  <c r="J456" i="31"/>
  <c r="K455" i="31"/>
  <c r="J455" i="31"/>
  <c r="K454" i="31"/>
  <c r="J454" i="31"/>
  <c r="K453" i="31"/>
  <c r="J453" i="31"/>
  <c r="K452" i="31"/>
  <c r="J452" i="31"/>
  <c r="K451" i="31"/>
  <c r="J451" i="31"/>
  <c r="K450" i="31"/>
  <c r="J450" i="31"/>
  <c r="K449" i="31"/>
  <c r="J449" i="31"/>
  <c r="K448" i="31"/>
  <c r="J448" i="31"/>
  <c r="K447" i="31"/>
  <c r="J447" i="31"/>
  <c r="K446" i="31"/>
  <c r="J446" i="31"/>
  <c r="K445" i="31"/>
  <c r="J445" i="31"/>
  <c r="K444" i="31"/>
  <c r="J444" i="31"/>
  <c r="K443" i="31"/>
  <c r="J443" i="31"/>
  <c r="K442" i="31"/>
  <c r="J442" i="31"/>
  <c r="K441" i="31"/>
  <c r="J441" i="31"/>
  <c r="K440" i="31"/>
  <c r="J440" i="31"/>
  <c r="K439" i="31"/>
  <c r="J439" i="31"/>
  <c r="K438" i="31"/>
  <c r="J438" i="31"/>
  <c r="K437" i="31"/>
  <c r="J437" i="31"/>
  <c r="K436" i="31"/>
  <c r="J436" i="31"/>
  <c r="K435" i="31"/>
  <c r="J435" i="31"/>
  <c r="K434" i="31"/>
  <c r="J434" i="31"/>
  <c r="K433" i="31"/>
  <c r="J433" i="31"/>
  <c r="K432" i="31"/>
  <c r="J432" i="31"/>
  <c r="K431" i="31"/>
  <c r="J431" i="31"/>
  <c r="K430" i="31"/>
  <c r="J430" i="31"/>
  <c r="K429" i="31"/>
  <c r="J429" i="31"/>
  <c r="K428" i="31"/>
  <c r="J428" i="31"/>
  <c r="K427" i="31"/>
  <c r="J427" i="31"/>
  <c r="K426" i="31"/>
  <c r="J426" i="31"/>
  <c r="K425" i="31"/>
  <c r="J425" i="31"/>
  <c r="K424" i="31"/>
  <c r="J424" i="31"/>
  <c r="K423" i="31"/>
  <c r="J423" i="31"/>
  <c r="K422" i="31"/>
  <c r="J422" i="31"/>
  <c r="K421" i="31"/>
  <c r="J421" i="31"/>
  <c r="K420" i="31"/>
  <c r="J420" i="31"/>
  <c r="K419" i="31"/>
  <c r="J419" i="31"/>
  <c r="K418" i="31"/>
  <c r="J418" i="31"/>
  <c r="K417" i="31"/>
  <c r="J417" i="31"/>
  <c r="K416" i="31"/>
  <c r="J416" i="31"/>
  <c r="K415" i="31"/>
  <c r="J415" i="31"/>
  <c r="K414" i="31"/>
  <c r="J414" i="31"/>
  <c r="K413" i="31"/>
  <c r="J413" i="31"/>
  <c r="K412" i="31"/>
  <c r="J412" i="31"/>
  <c r="K411" i="31"/>
  <c r="J411" i="31"/>
  <c r="K410" i="31"/>
  <c r="J410" i="31"/>
  <c r="K409" i="31"/>
  <c r="J409" i="31"/>
  <c r="K408" i="31"/>
  <c r="J408" i="31"/>
  <c r="K407" i="31"/>
  <c r="J407" i="31"/>
  <c r="K406" i="31"/>
  <c r="J406" i="31"/>
  <c r="K405" i="31"/>
  <c r="J405" i="31"/>
  <c r="K404" i="31"/>
  <c r="J404" i="31"/>
  <c r="K403" i="31"/>
  <c r="J403" i="31"/>
  <c r="K402" i="31"/>
  <c r="J402" i="31"/>
  <c r="K401" i="31"/>
  <c r="J401" i="31"/>
  <c r="K400" i="31"/>
  <c r="J400" i="31"/>
  <c r="K399" i="31"/>
  <c r="J399" i="31"/>
  <c r="K398" i="31"/>
  <c r="J398" i="31"/>
  <c r="K397" i="31"/>
  <c r="J397" i="31"/>
  <c r="K396" i="31"/>
  <c r="J396" i="31"/>
  <c r="K395" i="31"/>
  <c r="J395" i="31"/>
  <c r="K394" i="31"/>
  <c r="J394" i="31"/>
  <c r="K393" i="31"/>
  <c r="J393" i="31"/>
  <c r="K392" i="31"/>
  <c r="J392" i="31"/>
  <c r="K391" i="31"/>
  <c r="J391" i="31"/>
  <c r="K390" i="31"/>
  <c r="J390" i="31"/>
  <c r="K389" i="31"/>
  <c r="J389" i="31"/>
  <c r="K388" i="31"/>
  <c r="J388" i="31"/>
  <c r="K387" i="31"/>
  <c r="J387" i="31"/>
  <c r="K386" i="31"/>
  <c r="J386" i="31"/>
  <c r="K385" i="31"/>
  <c r="J385" i="31"/>
  <c r="K384" i="31"/>
  <c r="J384" i="31"/>
  <c r="K383" i="31"/>
  <c r="J383" i="31"/>
  <c r="K382" i="31"/>
  <c r="J382" i="31"/>
  <c r="K381" i="31"/>
  <c r="J381" i="31"/>
  <c r="K380" i="31"/>
  <c r="J380" i="31"/>
  <c r="K379" i="31"/>
  <c r="J379" i="31"/>
  <c r="K378" i="31"/>
  <c r="J378" i="31"/>
  <c r="K377" i="31"/>
  <c r="J377" i="31"/>
  <c r="K376" i="31"/>
  <c r="J376" i="31"/>
  <c r="K375" i="31"/>
  <c r="J375" i="31"/>
  <c r="K374" i="31"/>
  <c r="J374" i="31"/>
  <c r="K373" i="31"/>
  <c r="J373" i="31"/>
  <c r="K372" i="31"/>
  <c r="J372" i="31"/>
  <c r="K371" i="31"/>
  <c r="J371" i="31"/>
  <c r="K370" i="31"/>
  <c r="J370" i="31"/>
  <c r="K369" i="31"/>
  <c r="J369" i="31"/>
  <c r="K368" i="31"/>
  <c r="J368" i="31"/>
  <c r="K367" i="31"/>
  <c r="J367" i="31"/>
  <c r="K366" i="31"/>
  <c r="J366" i="31"/>
  <c r="K365" i="31"/>
  <c r="J365" i="31"/>
  <c r="K364" i="31"/>
  <c r="J364" i="31"/>
  <c r="K363" i="31"/>
  <c r="J363" i="31"/>
  <c r="K362" i="31"/>
  <c r="J362" i="31"/>
  <c r="K361" i="31"/>
  <c r="J361" i="31"/>
  <c r="K360" i="31"/>
  <c r="J360" i="31"/>
  <c r="K359" i="31"/>
  <c r="J359" i="31"/>
  <c r="K358" i="31"/>
  <c r="J358" i="31"/>
  <c r="K357" i="31"/>
  <c r="J357" i="31"/>
  <c r="K356" i="31"/>
  <c r="J356" i="31"/>
  <c r="K355" i="31"/>
  <c r="J355" i="31"/>
  <c r="K354" i="31"/>
  <c r="J354" i="31"/>
  <c r="K353" i="31"/>
  <c r="J353" i="31"/>
  <c r="K352" i="31"/>
  <c r="J352" i="31"/>
  <c r="K351" i="31"/>
  <c r="J351" i="31"/>
  <c r="K350" i="31"/>
  <c r="J350" i="31"/>
  <c r="K349" i="31"/>
  <c r="J349" i="31"/>
  <c r="K348" i="31"/>
  <c r="J348" i="31"/>
  <c r="K347" i="31"/>
  <c r="J347" i="31"/>
  <c r="K346" i="31"/>
  <c r="J346" i="31"/>
  <c r="K345" i="31"/>
  <c r="J345" i="31"/>
  <c r="K344" i="31"/>
  <c r="J344" i="31"/>
  <c r="K343" i="31"/>
  <c r="J343" i="31"/>
  <c r="K342" i="31"/>
  <c r="J342" i="31"/>
  <c r="K341" i="31"/>
  <c r="J341" i="31"/>
  <c r="K340" i="31"/>
  <c r="J340" i="31"/>
  <c r="K339" i="31"/>
  <c r="J339" i="31"/>
  <c r="K338" i="31"/>
  <c r="J338" i="31"/>
  <c r="K337" i="31"/>
  <c r="J337" i="31"/>
  <c r="K336" i="31"/>
  <c r="J336" i="31"/>
  <c r="K335" i="31"/>
  <c r="J335" i="31"/>
  <c r="K334" i="31"/>
  <c r="J334" i="31"/>
  <c r="K333" i="31"/>
  <c r="J333" i="31"/>
  <c r="K332" i="31"/>
  <c r="J332" i="31"/>
  <c r="K331" i="31"/>
  <c r="J331" i="31"/>
  <c r="K330" i="31"/>
  <c r="J330" i="31"/>
  <c r="K329" i="31"/>
  <c r="J329" i="31"/>
  <c r="K328" i="31"/>
  <c r="J328" i="31"/>
  <c r="K327" i="31"/>
  <c r="J327" i="31"/>
  <c r="K326" i="31"/>
  <c r="J326" i="31"/>
  <c r="K325" i="31"/>
  <c r="J325" i="31"/>
  <c r="K324" i="31"/>
  <c r="J324" i="31"/>
  <c r="K323" i="31"/>
  <c r="J323" i="31"/>
  <c r="K322" i="31"/>
  <c r="J322" i="31"/>
  <c r="K321" i="31"/>
  <c r="J321" i="31"/>
  <c r="K320" i="31"/>
  <c r="J320" i="31"/>
  <c r="K319" i="31"/>
  <c r="J319" i="31"/>
  <c r="K318" i="31"/>
  <c r="J318" i="31"/>
  <c r="K317" i="31"/>
  <c r="J317" i="31"/>
  <c r="K316" i="31"/>
  <c r="J316" i="31"/>
  <c r="K315" i="31"/>
  <c r="J315" i="31"/>
  <c r="K314" i="31"/>
  <c r="J314" i="31"/>
  <c r="K313" i="31"/>
  <c r="J313" i="31"/>
  <c r="K312" i="31"/>
  <c r="J312" i="31"/>
  <c r="K311" i="31"/>
  <c r="J311" i="31"/>
  <c r="K310" i="31"/>
  <c r="J310" i="31"/>
  <c r="K309" i="31"/>
  <c r="J309" i="31"/>
  <c r="K308" i="31"/>
  <c r="J308" i="31"/>
  <c r="K307" i="31"/>
  <c r="J307" i="31"/>
  <c r="K306" i="31"/>
  <c r="J306" i="31"/>
  <c r="K305" i="31"/>
  <c r="J305" i="31"/>
  <c r="K304" i="31"/>
  <c r="J304" i="31"/>
  <c r="K303" i="31"/>
  <c r="J303" i="31"/>
  <c r="K302" i="31"/>
  <c r="J302" i="31"/>
  <c r="K301" i="31"/>
  <c r="J301" i="31"/>
  <c r="K300" i="31"/>
  <c r="J300" i="31"/>
  <c r="K299" i="31"/>
  <c r="J299" i="31"/>
  <c r="K298" i="31"/>
  <c r="J298" i="31"/>
  <c r="K297" i="31"/>
  <c r="J297" i="31"/>
  <c r="K296" i="31"/>
  <c r="J296" i="31"/>
  <c r="K295" i="31"/>
  <c r="J295" i="31"/>
  <c r="K294" i="31"/>
  <c r="J294" i="31"/>
  <c r="K293" i="31"/>
  <c r="J293" i="31"/>
  <c r="K292" i="31"/>
  <c r="J292" i="31"/>
  <c r="K291" i="31"/>
  <c r="J291" i="31"/>
  <c r="K290" i="31"/>
  <c r="J290" i="31"/>
  <c r="K289" i="31"/>
  <c r="J289" i="31"/>
  <c r="K288" i="31"/>
  <c r="J288" i="31"/>
  <c r="K287" i="31"/>
  <c r="J287" i="31"/>
  <c r="K286" i="31"/>
  <c r="J286" i="31"/>
  <c r="K285" i="31"/>
  <c r="J285" i="31"/>
  <c r="K284" i="31"/>
  <c r="J284" i="31"/>
  <c r="K283" i="31"/>
  <c r="J283" i="31"/>
  <c r="K282" i="31"/>
  <c r="J282" i="31"/>
  <c r="K281" i="31"/>
  <c r="J281" i="31"/>
  <c r="K280" i="31"/>
  <c r="J280" i="31"/>
  <c r="K279" i="31"/>
  <c r="J279" i="31"/>
  <c r="K278" i="31"/>
  <c r="J278" i="31"/>
  <c r="K277" i="31"/>
  <c r="J277" i="31"/>
  <c r="K276" i="31"/>
  <c r="J276" i="31"/>
  <c r="K275" i="31"/>
  <c r="J275" i="31"/>
  <c r="K274" i="31"/>
  <c r="J274" i="31"/>
  <c r="K273" i="31"/>
  <c r="J273" i="31"/>
  <c r="K272" i="31"/>
  <c r="J272" i="31"/>
  <c r="K271" i="31"/>
  <c r="J271" i="31"/>
  <c r="K270" i="31"/>
  <c r="J270" i="31"/>
  <c r="K269" i="31"/>
  <c r="J269" i="31"/>
  <c r="K268" i="31"/>
  <c r="J268" i="31"/>
  <c r="K267" i="31"/>
  <c r="J267" i="31"/>
  <c r="K266" i="31"/>
  <c r="J266" i="31"/>
  <c r="K265" i="31"/>
  <c r="J265" i="31"/>
  <c r="K264" i="31"/>
  <c r="J264" i="31"/>
  <c r="K263" i="31"/>
  <c r="J263" i="31"/>
  <c r="K262" i="31"/>
  <c r="J262" i="31"/>
  <c r="K261" i="31"/>
  <c r="J261" i="31"/>
  <c r="K260" i="31"/>
  <c r="J260" i="31"/>
  <c r="K259" i="31"/>
  <c r="J259" i="31"/>
  <c r="K258" i="31"/>
  <c r="J258" i="31"/>
  <c r="K257" i="31"/>
  <c r="J257" i="31"/>
  <c r="K256" i="31"/>
  <c r="J256" i="31"/>
  <c r="K255" i="31"/>
  <c r="J255" i="31"/>
  <c r="K254" i="31"/>
  <c r="J254" i="31"/>
  <c r="K253" i="31"/>
  <c r="J253" i="31"/>
  <c r="K252" i="31"/>
  <c r="J252" i="31"/>
  <c r="K251" i="31"/>
  <c r="J251" i="31"/>
  <c r="K250" i="31"/>
  <c r="J250" i="31"/>
  <c r="K249" i="31"/>
  <c r="J249" i="31"/>
  <c r="K248" i="31"/>
  <c r="J248" i="31"/>
  <c r="K247" i="31"/>
  <c r="J247" i="31"/>
  <c r="K246" i="31"/>
  <c r="J246" i="31"/>
  <c r="K245" i="31"/>
  <c r="J245" i="31"/>
  <c r="K244" i="31"/>
  <c r="J244" i="31"/>
  <c r="K243" i="31"/>
  <c r="J243" i="31"/>
  <c r="K242" i="31"/>
  <c r="J242" i="31"/>
  <c r="K241" i="31"/>
  <c r="J241" i="31"/>
  <c r="K240" i="31"/>
  <c r="J240" i="31"/>
  <c r="K239" i="31"/>
  <c r="J239" i="31"/>
  <c r="K238" i="31"/>
  <c r="J238" i="31"/>
  <c r="K237" i="31"/>
  <c r="J237" i="31"/>
  <c r="K236" i="31"/>
  <c r="J236" i="31"/>
  <c r="K235" i="31"/>
  <c r="J235" i="31"/>
  <c r="K234" i="31"/>
  <c r="J234" i="31"/>
  <c r="K233" i="31"/>
  <c r="J233" i="31"/>
  <c r="K232" i="31"/>
  <c r="J232" i="31"/>
  <c r="K231" i="31"/>
  <c r="J231" i="31"/>
  <c r="K230" i="31"/>
  <c r="J230" i="31"/>
  <c r="K229" i="31"/>
  <c r="J229" i="31"/>
  <c r="K228" i="31"/>
  <c r="J228" i="31"/>
  <c r="K227" i="31"/>
  <c r="J227" i="31"/>
  <c r="K226" i="31"/>
  <c r="J226" i="31"/>
  <c r="K225" i="31"/>
  <c r="J225" i="31"/>
  <c r="K224" i="31"/>
  <c r="J224" i="31"/>
  <c r="K223" i="31"/>
  <c r="J223" i="31"/>
  <c r="K222" i="31"/>
  <c r="J222" i="31"/>
  <c r="K221" i="31"/>
  <c r="J221" i="31"/>
  <c r="K220" i="31"/>
  <c r="J220" i="31"/>
  <c r="K219" i="31"/>
  <c r="J219" i="31"/>
  <c r="K218" i="31"/>
  <c r="J218" i="31"/>
  <c r="K217" i="31"/>
  <c r="J217" i="31"/>
  <c r="K216" i="31"/>
  <c r="J216" i="31"/>
  <c r="K215" i="31"/>
  <c r="J215" i="31"/>
  <c r="K214" i="31"/>
  <c r="J214" i="31"/>
  <c r="K213" i="31"/>
  <c r="J213" i="31"/>
  <c r="K212" i="31"/>
  <c r="J212" i="31"/>
  <c r="K211" i="31"/>
  <c r="J211" i="31"/>
  <c r="K210" i="31"/>
  <c r="J210" i="31"/>
  <c r="K209" i="31"/>
  <c r="J209" i="31"/>
  <c r="K208" i="31"/>
  <c r="J208" i="31"/>
  <c r="K207" i="31"/>
  <c r="J207" i="31"/>
  <c r="K206" i="31"/>
  <c r="J206" i="31"/>
  <c r="K205" i="31"/>
  <c r="J205" i="31"/>
  <c r="K204" i="31"/>
  <c r="J204" i="31"/>
  <c r="K203" i="31"/>
  <c r="J203" i="31"/>
  <c r="K202" i="31"/>
  <c r="J202" i="31"/>
  <c r="K201" i="31"/>
  <c r="J201" i="31"/>
  <c r="K200" i="31"/>
  <c r="J200" i="31"/>
  <c r="K199" i="31"/>
  <c r="J199" i="31"/>
  <c r="K198" i="31"/>
  <c r="J198" i="31"/>
  <c r="K197" i="31"/>
  <c r="J197" i="31"/>
  <c r="K196" i="31"/>
  <c r="J196" i="31"/>
  <c r="K195" i="31"/>
  <c r="J195" i="31"/>
  <c r="K194" i="31"/>
  <c r="J194" i="31"/>
  <c r="K193" i="31"/>
  <c r="J193" i="31"/>
  <c r="K192" i="31"/>
  <c r="J192" i="31"/>
  <c r="K191" i="31"/>
  <c r="J191" i="31"/>
  <c r="K190" i="31"/>
  <c r="J190" i="31"/>
  <c r="K189" i="31"/>
  <c r="J189" i="31"/>
  <c r="K188" i="31"/>
  <c r="J188" i="31"/>
  <c r="K187" i="31"/>
  <c r="J187" i="31"/>
  <c r="K186" i="31"/>
  <c r="J186" i="31"/>
  <c r="K185" i="31"/>
  <c r="J185" i="31"/>
  <c r="K184" i="31"/>
  <c r="J184" i="31"/>
  <c r="K183" i="31"/>
  <c r="J183" i="31"/>
  <c r="K182" i="31"/>
  <c r="J182" i="31"/>
  <c r="K181" i="31"/>
  <c r="J181" i="31"/>
  <c r="K180" i="31"/>
  <c r="J180" i="31"/>
  <c r="K179" i="31"/>
  <c r="J179" i="31"/>
  <c r="K178" i="31"/>
  <c r="J178" i="31"/>
  <c r="K177" i="31"/>
  <c r="J177" i="31"/>
  <c r="K176" i="31"/>
  <c r="J176" i="31"/>
  <c r="K175" i="31"/>
  <c r="J175" i="31"/>
  <c r="K174" i="31"/>
  <c r="J174" i="31"/>
  <c r="K173" i="31"/>
  <c r="J173" i="31"/>
  <c r="K172" i="31"/>
  <c r="J172" i="31"/>
  <c r="K171" i="31"/>
  <c r="J171" i="31"/>
  <c r="K170" i="31"/>
  <c r="J170" i="31"/>
  <c r="K169" i="31"/>
  <c r="J169" i="31"/>
  <c r="K168" i="31"/>
  <c r="J168" i="31"/>
  <c r="K167" i="31"/>
  <c r="J167" i="31"/>
  <c r="K166" i="31"/>
  <c r="J166" i="31"/>
  <c r="K165" i="31"/>
  <c r="J165" i="31"/>
  <c r="K164" i="31"/>
  <c r="J164" i="31"/>
  <c r="K163" i="31"/>
  <c r="J163" i="31"/>
  <c r="K162" i="31"/>
  <c r="J162" i="31"/>
  <c r="K161" i="31"/>
  <c r="J161" i="31"/>
  <c r="K160" i="31"/>
  <c r="J160" i="31"/>
  <c r="K159" i="31"/>
  <c r="J159" i="31"/>
  <c r="K158" i="31"/>
  <c r="J158" i="31"/>
  <c r="K157" i="31"/>
  <c r="J157" i="31"/>
  <c r="K156" i="31"/>
  <c r="J156" i="31"/>
  <c r="K155" i="31"/>
  <c r="J155" i="31"/>
  <c r="K154" i="31"/>
  <c r="J154" i="31"/>
  <c r="K153" i="31"/>
  <c r="J153" i="31"/>
  <c r="K152" i="31"/>
  <c r="J152" i="31"/>
  <c r="K151" i="31"/>
  <c r="J151" i="31"/>
  <c r="K150" i="31"/>
  <c r="J150" i="31"/>
  <c r="K149" i="31"/>
  <c r="J149" i="31"/>
  <c r="K148" i="31"/>
  <c r="J148" i="31"/>
  <c r="K147" i="31"/>
  <c r="J147" i="31"/>
  <c r="K146" i="31"/>
  <c r="J146" i="31"/>
  <c r="K145" i="31"/>
  <c r="J145" i="31"/>
  <c r="K144" i="31"/>
  <c r="J144" i="31"/>
  <c r="K143" i="31"/>
  <c r="J143" i="31"/>
  <c r="K142" i="31"/>
  <c r="J142" i="31"/>
  <c r="K141" i="31"/>
  <c r="J141" i="31"/>
  <c r="K140" i="31"/>
  <c r="J140" i="31"/>
  <c r="K139" i="31"/>
  <c r="J139" i="31"/>
  <c r="K138" i="31"/>
  <c r="J138" i="31"/>
  <c r="K137" i="31"/>
  <c r="J137" i="31"/>
  <c r="K136" i="31"/>
  <c r="J136" i="31"/>
  <c r="K135" i="31"/>
  <c r="J135" i="31"/>
  <c r="K134" i="31"/>
  <c r="J134" i="31"/>
  <c r="K133" i="31"/>
  <c r="J133" i="31"/>
  <c r="K132" i="31"/>
  <c r="J132" i="31"/>
  <c r="K131" i="31"/>
  <c r="J131" i="31"/>
  <c r="K130" i="31"/>
  <c r="J130" i="31"/>
  <c r="K129" i="31"/>
  <c r="J129" i="31"/>
  <c r="K128" i="31"/>
  <c r="J128" i="31"/>
  <c r="K127" i="31"/>
  <c r="J127" i="31"/>
  <c r="K126" i="31"/>
  <c r="J126" i="31"/>
  <c r="K125" i="31"/>
  <c r="J125" i="31"/>
  <c r="K124" i="31"/>
  <c r="J124" i="31"/>
  <c r="K123" i="31"/>
  <c r="J123" i="31"/>
  <c r="K122" i="31"/>
  <c r="J122" i="31"/>
  <c r="K121" i="31"/>
  <c r="J121" i="31"/>
  <c r="K120" i="31"/>
  <c r="J120" i="31"/>
  <c r="K119" i="31"/>
  <c r="J119" i="31"/>
  <c r="K118" i="31"/>
  <c r="J118" i="31"/>
  <c r="K117" i="31"/>
  <c r="J117" i="31"/>
  <c r="K116" i="31"/>
  <c r="J116" i="31"/>
  <c r="K115" i="31"/>
  <c r="J115" i="31"/>
  <c r="K114" i="31"/>
  <c r="J114" i="31"/>
  <c r="K113" i="31"/>
  <c r="J113" i="31"/>
  <c r="K112" i="31"/>
  <c r="J112" i="31"/>
  <c r="K111" i="31"/>
  <c r="J111" i="31"/>
  <c r="K110" i="31"/>
  <c r="J110" i="31"/>
  <c r="K109" i="31"/>
  <c r="J109" i="31"/>
  <c r="K108" i="31"/>
  <c r="J108" i="31"/>
  <c r="K107" i="31"/>
  <c r="J107" i="31"/>
  <c r="K106" i="31"/>
  <c r="J106" i="31"/>
  <c r="K105" i="31"/>
  <c r="J105" i="31"/>
  <c r="K104" i="31"/>
  <c r="J104" i="31"/>
  <c r="K103" i="31"/>
  <c r="J103" i="31"/>
  <c r="K102" i="31"/>
  <c r="J102" i="31"/>
  <c r="K101" i="31"/>
  <c r="J101" i="31"/>
  <c r="K100" i="31"/>
  <c r="J100" i="31"/>
  <c r="K99" i="31"/>
  <c r="J99" i="31"/>
  <c r="K98" i="31"/>
  <c r="J98" i="31"/>
  <c r="K97" i="31"/>
  <c r="J97" i="31"/>
  <c r="K96" i="31"/>
  <c r="J96" i="31"/>
  <c r="K95" i="31"/>
  <c r="J95" i="31"/>
  <c r="K94" i="31"/>
  <c r="J94" i="31"/>
  <c r="K93" i="31"/>
  <c r="J93" i="31"/>
  <c r="K92" i="31"/>
  <c r="J92" i="31"/>
  <c r="K91" i="31"/>
  <c r="J91" i="31"/>
  <c r="K90" i="31"/>
  <c r="J90" i="31"/>
  <c r="K89" i="31"/>
  <c r="J89" i="31"/>
  <c r="K88" i="31"/>
  <c r="J88" i="31"/>
  <c r="K87" i="31"/>
  <c r="J87" i="31"/>
  <c r="K86" i="31"/>
  <c r="J86" i="31"/>
  <c r="K85" i="31"/>
  <c r="J85" i="31"/>
  <c r="K84" i="31"/>
  <c r="J84" i="31"/>
  <c r="K83" i="31"/>
  <c r="J83" i="31"/>
  <c r="K82" i="31"/>
  <c r="J82" i="31"/>
  <c r="K81" i="31"/>
  <c r="J81" i="31"/>
  <c r="K80" i="31"/>
  <c r="J80" i="31"/>
  <c r="K79" i="31"/>
  <c r="J79" i="31"/>
  <c r="K78" i="31"/>
  <c r="J78" i="31"/>
  <c r="K77" i="31"/>
  <c r="J77" i="31"/>
  <c r="K76" i="31"/>
  <c r="J76" i="31"/>
  <c r="K75" i="31"/>
  <c r="J75" i="31"/>
  <c r="K74" i="31"/>
  <c r="J74" i="31"/>
  <c r="K73" i="31"/>
  <c r="J73" i="31"/>
  <c r="K72" i="31"/>
  <c r="J72" i="31"/>
  <c r="K71" i="31"/>
  <c r="J71" i="31"/>
  <c r="K70" i="31"/>
  <c r="J70" i="31"/>
  <c r="K69" i="31"/>
  <c r="J69" i="31"/>
  <c r="K68" i="31"/>
  <c r="J68" i="31"/>
  <c r="K67" i="31"/>
  <c r="J67" i="31"/>
  <c r="K66" i="31"/>
  <c r="J66" i="31"/>
  <c r="K65" i="31"/>
  <c r="J65" i="31"/>
  <c r="K64" i="31"/>
  <c r="J64" i="31"/>
  <c r="K63" i="31"/>
  <c r="J63" i="31"/>
  <c r="K62" i="31"/>
  <c r="J62" i="31"/>
  <c r="K61" i="31"/>
  <c r="J61" i="31"/>
  <c r="K60" i="31"/>
  <c r="J60" i="31"/>
  <c r="K59" i="31"/>
  <c r="J59" i="31"/>
  <c r="K58" i="31"/>
  <c r="J58" i="31"/>
  <c r="K57" i="31"/>
  <c r="J57" i="31"/>
  <c r="K56" i="31"/>
  <c r="J56" i="31"/>
  <c r="K55" i="31"/>
  <c r="J55" i="31"/>
  <c r="K54" i="31"/>
  <c r="J54" i="31"/>
  <c r="K53" i="31"/>
  <c r="J53" i="31"/>
  <c r="K52" i="31"/>
  <c r="J52" i="31"/>
  <c r="K51" i="31"/>
  <c r="J51" i="31"/>
  <c r="K50" i="31"/>
  <c r="J50" i="31"/>
  <c r="K49" i="31"/>
  <c r="J49" i="31"/>
  <c r="K48" i="31"/>
  <c r="J48" i="31"/>
  <c r="K47" i="31"/>
  <c r="J47" i="31"/>
  <c r="K46" i="31"/>
  <c r="J46" i="31"/>
  <c r="K45" i="31"/>
  <c r="J45" i="31"/>
  <c r="K44" i="31"/>
  <c r="J44" i="31"/>
  <c r="K43" i="31"/>
  <c r="J43" i="31"/>
  <c r="K42" i="31"/>
  <c r="J42" i="31"/>
  <c r="K41" i="31"/>
  <c r="J41" i="31"/>
  <c r="K40" i="31"/>
  <c r="J40" i="31"/>
  <c r="K39" i="31"/>
  <c r="J39" i="31"/>
  <c r="K38" i="31"/>
  <c r="J38" i="31"/>
  <c r="K37" i="31"/>
  <c r="J37" i="31"/>
  <c r="K36" i="31"/>
  <c r="J36" i="31"/>
  <c r="K35" i="31"/>
  <c r="J35" i="31"/>
  <c r="K34" i="31"/>
  <c r="J34" i="31"/>
  <c r="K33" i="31"/>
  <c r="J33" i="31"/>
  <c r="K32" i="31"/>
  <c r="J32" i="31"/>
  <c r="K31" i="31"/>
  <c r="J31" i="31"/>
  <c r="K30" i="31"/>
  <c r="J30" i="31"/>
  <c r="K29" i="31"/>
  <c r="J29" i="31"/>
  <c r="K28" i="31"/>
  <c r="J28" i="31"/>
  <c r="K27" i="31"/>
  <c r="J27" i="31"/>
  <c r="K26" i="31"/>
  <c r="J26" i="31"/>
  <c r="K25" i="31"/>
  <c r="J25" i="31"/>
  <c r="K24" i="31"/>
  <c r="J24" i="31"/>
  <c r="K23" i="31"/>
  <c r="J23" i="31"/>
  <c r="K22" i="31"/>
  <c r="J22" i="31"/>
  <c r="K21" i="31"/>
  <c r="J21" i="31"/>
  <c r="K20" i="31"/>
  <c r="J20" i="31"/>
  <c r="K19" i="31"/>
  <c r="J19" i="31"/>
  <c r="K18" i="31"/>
  <c r="J18" i="31"/>
  <c r="K17" i="31"/>
  <c r="J17" i="31"/>
  <c r="K16" i="31"/>
  <c r="J16" i="31"/>
  <c r="K15" i="31"/>
  <c r="J15" i="31"/>
  <c r="K14" i="31"/>
  <c r="J14" i="31"/>
  <c r="K13" i="31"/>
  <c r="J13" i="31"/>
  <c r="K12" i="31"/>
  <c r="J12" i="31"/>
  <c r="K11" i="31"/>
  <c r="J11" i="31"/>
  <c r="K10" i="31"/>
  <c r="J10" i="31"/>
  <c r="K9" i="31"/>
  <c r="J9" i="31"/>
  <c r="K8" i="31"/>
  <c r="J8" i="31"/>
  <c r="K7" i="31"/>
  <c r="J7" i="31"/>
  <c r="K6" i="31"/>
  <c r="J6" i="31"/>
  <c r="K3" i="31"/>
  <c r="I3" i="31"/>
  <c r="H3" i="31"/>
  <c r="K1277" i="41"/>
  <c r="J1277" i="41"/>
  <c r="K1276" i="41"/>
  <c r="J1276" i="41"/>
  <c r="K1275" i="41"/>
  <c r="J1275" i="41"/>
  <c r="K1274" i="41"/>
  <c r="J1274" i="41"/>
  <c r="K1273" i="41"/>
  <c r="J1273" i="41"/>
  <c r="K1272" i="41"/>
  <c r="J1272" i="41"/>
  <c r="K1271" i="41"/>
  <c r="J1271" i="41"/>
  <c r="K1270" i="41"/>
  <c r="J1270" i="41"/>
  <c r="K1269" i="41"/>
  <c r="J1269" i="41"/>
  <c r="K1268" i="41"/>
  <c r="J1268" i="41"/>
  <c r="K1267" i="41"/>
  <c r="J1267" i="41"/>
  <c r="K1266" i="41"/>
  <c r="J1266" i="41"/>
  <c r="K1265" i="41"/>
  <c r="J1265" i="41"/>
  <c r="K1264" i="41"/>
  <c r="J1264" i="41"/>
  <c r="K1263" i="41"/>
  <c r="J1263" i="41"/>
  <c r="K1262" i="41"/>
  <c r="J1262" i="41"/>
  <c r="K1261" i="41"/>
  <c r="J1261" i="41"/>
  <c r="K1260" i="41"/>
  <c r="J1260" i="41"/>
  <c r="K1259" i="41"/>
  <c r="J1259" i="41"/>
  <c r="K1258" i="41"/>
  <c r="J1258" i="41"/>
  <c r="K1257" i="41"/>
  <c r="J1257" i="41"/>
  <c r="K1256" i="41"/>
  <c r="J1256" i="41"/>
  <c r="K1255" i="41"/>
  <c r="J1255" i="41"/>
  <c r="K1254" i="41"/>
  <c r="J1254" i="41"/>
  <c r="K1253" i="41"/>
  <c r="J1253" i="41"/>
  <c r="K1252" i="41"/>
  <c r="J1252" i="41"/>
  <c r="K1251" i="41"/>
  <c r="J1251" i="41"/>
  <c r="K1250" i="41"/>
  <c r="J1250" i="41"/>
  <c r="K1249" i="41"/>
  <c r="J1249" i="41"/>
  <c r="K1248" i="41"/>
  <c r="J1248" i="41"/>
  <c r="K1247" i="41"/>
  <c r="J1247" i="41"/>
  <c r="K1246" i="41"/>
  <c r="J1246" i="41"/>
  <c r="K1245" i="41"/>
  <c r="J1245" i="41"/>
  <c r="K1244" i="41"/>
  <c r="J1244" i="41"/>
  <c r="K1243" i="41"/>
  <c r="J1243" i="41"/>
  <c r="K1242" i="41"/>
  <c r="J1242" i="41"/>
  <c r="K1241" i="41"/>
  <c r="J1241" i="41"/>
  <c r="K1240" i="41"/>
  <c r="J1240" i="41"/>
  <c r="K1239" i="41"/>
  <c r="J1239" i="41"/>
  <c r="K1238" i="41"/>
  <c r="J1238" i="41"/>
  <c r="K1237" i="41"/>
  <c r="J1237" i="41"/>
  <c r="K1236" i="41"/>
  <c r="J1236" i="41"/>
  <c r="K1235" i="41"/>
  <c r="J1235" i="41"/>
  <c r="K1234" i="41"/>
  <c r="J1234" i="41"/>
  <c r="K1233" i="41"/>
  <c r="J1233" i="41"/>
  <c r="K1232" i="41"/>
  <c r="J1232" i="41"/>
  <c r="K1231" i="41"/>
  <c r="J1231" i="41"/>
  <c r="K1230" i="41"/>
  <c r="J1230" i="41"/>
  <c r="K1229" i="41"/>
  <c r="J1229" i="41"/>
  <c r="K1228" i="41"/>
  <c r="J1228" i="41"/>
  <c r="K1227" i="41"/>
  <c r="J1227" i="41"/>
  <c r="K1226" i="41"/>
  <c r="J1226" i="41"/>
  <c r="K1225" i="41"/>
  <c r="J1225" i="41"/>
  <c r="K1224" i="41"/>
  <c r="J1224" i="41"/>
  <c r="K1223" i="41"/>
  <c r="J1223" i="41"/>
  <c r="K1222" i="41"/>
  <c r="J1222" i="41"/>
  <c r="K1221" i="41"/>
  <c r="J1221" i="41"/>
  <c r="K1220" i="41"/>
  <c r="J1220" i="41"/>
  <c r="K1219" i="41"/>
  <c r="J1219" i="41"/>
  <c r="K1218" i="41"/>
  <c r="J1218" i="41"/>
  <c r="K1217" i="41"/>
  <c r="J1217" i="41"/>
  <c r="K1216" i="41"/>
  <c r="J1216" i="41"/>
  <c r="K1215" i="41"/>
  <c r="J1215" i="41"/>
  <c r="K1214" i="41"/>
  <c r="J1214" i="41"/>
  <c r="K1213" i="41"/>
  <c r="J1213" i="41"/>
  <c r="K1212" i="41"/>
  <c r="J1212" i="41"/>
  <c r="K1211" i="41"/>
  <c r="J1211" i="41"/>
  <c r="K1210" i="41"/>
  <c r="J1210" i="41"/>
  <c r="K1209" i="41"/>
  <c r="J1209" i="41"/>
  <c r="K1208" i="41"/>
  <c r="J1208" i="41"/>
  <c r="K1207" i="41"/>
  <c r="J1207" i="41"/>
  <c r="K1206" i="41"/>
  <c r="J1206" i="41"/>
  <c r="K1205" i="41"/>
  <c r="J1205" i="41"/>
  <c r="K1204" i="41"/>
  <c r="J1204" i="41"/>
  <c r="K1203" i="41"/>
  <c r="J1203" i="41"/>
  <c r="K1202" i="41"/>
  <c r="J1202" i="41"/>
  <c r="K1201" i="41"/>
  <c r="J1201" i="41"/>
  <c r="K1200" i="41"/>
  <c r="J1200" i="41"/>
  <c r="K1199" i="41"/>
  <c r="J1199" i="41"/>
  <c r="K1198" i="41"/>
  <c r="J1198" i="41"/>
  <c r="K1197" i="41"/>
  <c r="J1197" i="41"/>
  <c r="K1196" i="41"/>
  <c r="J1196" i="41"/>
  <c r="K1195" i="41"/>
  <c r="J1195" i="41"/>
  <c r="K1194" i="41"/>
  <c r="J1194" i="41"/>
  <c r="K1193" i="41"/>
  <c r="J1193" i="41"/>
  <c r="K1192" i="41"/>
  <c r="J1192" i="41"/>
  <c r="K1191" i="41"/>
  <c r="J1191" i="41"/>
  <c r="K1190" i="41"/>
  <c r="J1190" i="41"/>
  <c r="K1189" i="41"/>
  <c r="J1189" i="41"/>
  <c r="K1188" i="41"/>
  <c r="J1188" i="41"/>
  <c r="K1187" i="41"/>
  <c r="J1187" i="41"/>
  <c r="K1186" i="41"/>
  <c r="J1186" i="41"/>
  <c r="K1185" i="41"/>
  <c r="J1185" i="41"/>
  <c r="K1184" i="41"/>
  <c r="J1184" i="41"/>
  <c r="K1183" i="41"/>
  <c r="J1183" i="41"/>
  <c r="K1182" i="41"/>
  <c r="J1182" i="41"/>
  <c r="K1181" i="41"/>
  <c r="J1181" i="41"/>
  <c r="K1180" i="41"/>
  <c r="J1180" i="41"/>
  <c r="K1179" i="41"/>
  <c r="J1179" i="41"/>
  <c r="K1178" i="41"/>
  <c r="J1178" i="41"/>
  <c r="K1177" i="41"/>
  <c r="J1177" i="41"/>
  <c r="K1176" i="41"/>
  <c r="J1176" i="41"/>
  <c r="K1175" i="41"/>
  <c r="J1175" i="41"/>
  <c r="K1174" i="41"/>
  <c r="J1174" i="41"/>
  <c r="K1173" i="41"/>
  <c r="J1173" i="41"/>
  <c r="K1172" i="41"/>
  <c r="J1172" i="41"/>
  <c r="K1171" i="41"/>
  <c r="J1171" i="41"/>
  <c r="K1170" i="41"/>
  <c r="J1170" i="41"/>
  <c r="K1169" i="41"/>
  <c r="J1169" i="41"/>
  <c r="K1168" i="41"/>
  <c r="J1168" i="41"/>
  <c r="K1167" i="41"/>
  <c r="J1167" i="41"/>
  <c r="K1166" i="41"/>
  <c r="J1166" i="41"/>
  <c r="K1165" i="41"/>
  <c r="J1165" i="41"/>
  <c r="K1164" i="41"/>
  <c r="J1164" i="41"/>
  <c r="K1163" i="41"/>
  <c r="J1163" i="41"/>
  <c r="K1162" i="41"/>
  <c r="J1162" i="41"/>
  <c r="K1161" i="41"/>
  <c r="J1161" i="41"/>
  <c r="K1160" i="41"/>
  <c r="J1160" i="41"/>
  <c r="K1159" i="41"/>
  <c r="J1159" i="41"/>
  <c r="K1158" i="41"/>
  <c r="J1158" i="41"/>
  <c r="K1157" i="41"/>
  <c r="J1157" i="41"/>
  <c r="K1156" i="41"/>
  <c r="J1156" i="41"/>
  <c r="K1155" i="41"/>
  <c r="J1155" i="41"/>
  <c r="K1154" i="41"/>
  <c r="J1154" i="41"/>
  <c r="K1153" i="41"/>
  <c r="J1153" i="41"/>
  <c r="K1152" i="41"/>
  <c r="J1152" i="41"/>
  <c r="K1151" i="41"/>
  <c r="J1151" i="41"/>
  <c r="K1150" i="41"/>
  <c r="J1150" i="41"/>
  <c r="K1149" i="41"/>
  <c r="J1149" i="41"/>
  <c r="K1148" i="41"/>
  <c r="J1148" i="41"/>
  <c r="K1147" i="41"/>
  <c r="J1147" i="41"/>
  <c r="K1146" i="41"/>
  <c r="J1146" i="41"/>
  <c r="K1145" i="41"/>
  <c r="J1145" i="41"/>
  <c r="K1144" i="41"/>
  <c r="J1144" i="41"/>
  <c r="K1143" i="41"/>
  <c r="J1143" i="41"/>
  <c r="K1142" i="41"/>
  <c r="J1142" i="41"/>
  <c r="K1141" i="41"/>
  <c r="J1141" i="41"/>
  <c r="K1140" i="41"/>
  <c r="J1140" i="41"/>
  <c r="K1139" i="41"/>
  <c r="J1139" i="41"/>
  <c r="K1138" i="41"/>
  <c r="J1138" i="41"/>
  <c r="K1137" i="41"/>
  <c r="J1137" i="41"/>
  <c r="K1136" i="41"/>
  <c r="J1136" i="41"/>
  <c r="K1135" i="41"/>
  <c r="J1135" i="41"/>
  <c r="K1134" i="41"/>
  <c r="J1134" i="41"/>
  <c r="K1133" i="41"/>
  <c r="J1133" i="41"/>
  <c r="K1132" i="41"/>
  <c r="J1132" i="41"/>
  <c r="K1131" i="41"/>
  <c r="J1131" i="41"/>
  <c r="K1130" i="41"/>
  <c r="J1130" i="41"/>
  <c r="K1129" i="41"/>
  <c r="J1129" i="41"/>
  <c r="K1128" i="41"/>
  <c r="J1128" i="41"/>
  <c r="K1127" i="41"/>
  <c r="J1127" i="41"/>
  <c r="K1126" i="41"/>
  <c r="J1126" i="41"/>
  <c r="K1125" i="41"/>
  <c r="J1125" i="41"/>
  <c r="K1124" i="41"/>
  <c r="J1124" i="41"/>
  <c r="K1123" i="41"/>
  <c r="J1123" i="41"/>
  <c r="K1122" i="41"/>
  <c r="J1122" i="41"/>
  <c r="K1121" i="41"/>
  <c r="J1121" i="41"/>
  <c r="K1120" i="41"/>
  <c r="J1120" i="41"/>
  <c r="K1119" i="41"/>
  <c r="J1119" i="41"/>
  <c r="K1118" i="41"/>
  <c r="J1118" i="41"/>
  <c r="K1117" i="41"/>
  <c r="J1117" i="41"/>
  <c r="K1116" i="41"/>
  <c r="J1116" i="41"/>
  <c r="K1115" i="41"/>
  <c r="J1115" i="41"/>
  <c r="K1114" i="41"/>
  <c r="J1114" i="41"/>
  <c r="K1113" i="41"/>
  <c r="J1113" i="41"/>
  <c r="K1112" i="41"/>
  <c r="J1112" i="41"/>
  <c r="K1111" i="41"/>
  <c r="J1111" i="41"/>
  <c r="K1110" i="41"/>
  <c r="J1110" i="41"/>
  <c r="K1109" i="41"/>
  <c r="J1109" i="41"/>
  <c r="K1108" i="41"/>
  <c r="J1108" i="41"/>
  <c r="K1107" i="41"/>
  <c r="J1107" i="41"/>
  <c r="K1106" i="41"/>
  <c r="J1106" i="41"/>
  <c r="K1105" i="41"/>
  <c r="J1105" i="41"/>
  <c r="K1104" i="41"/>
  <c r="J1104" i="41"/>
  <c r="K1103" i="41"/>
  <c r="J1103" i="41"/>
  <c r="K1102" i="41"/>
  <c r="J1102" i="41"/>
  <c r="K1101" i="41"/>
  <c r="J1101" i="41"/>
  <c r="K1100" i="41"/>
  <c r="J1100" i="41"/>
  <c r="K1099" i="41"/>
  <c r="J1099" i="41"/>
  <c r="K1098" i="41"/>
  <c r="J1098" i="41"/>
  <c r="K1097" i="41"/>
  <c r="J1097" i="41"/>
  <c r="K1096" i="41"/>
  <c r="J1096" i="41"/>
  <c r="K1095" i="41"/>
  <c r="J1095" i="41"/>
  <c r="K1094" i="41"/>
  <c r="J1094" i="41"/>
  <c r="K1093" i="41"/>
  <c r="J1093" i="41"/>
  <c r="K1092" i="41"/>
  <c r="J1092" i="41"/>
  <c r="K1091" i="41"/>
  <c r="J1091" i="41"/>
  <c r="K1090" i="41"/>
  <c r="J1090" i="41"/>
  <c r="K1089" i="41"/>
  <c r="J1089" i="41"/>
  <c r="K1088" i="41"/>
  <c r="J1088" i="41"/>
  <c r="K1087" i="41"/>
  <c r="J1087" i="41"/>
  <c r="K1086" i="41"/>
  <c r="J1086" i="41"/>
  <c r="K1085" i="41"/>
  <c r="J1085" i="41"/>
  <c r="K1084" i="41"/>
  <c r="J1084" i="41"/>
  <c r="K1083" i="41"/>
  <c r="J1083" i="41"/>
  <c r="K1082" i="41"/>
  <c r="J1082" i="41"/>
  <c r="K1081" i="41"/>
  <c r="J1081" i="41"/>
  <c r="K1080" i="41"/>
  <c r="J1080" i="41"/>
  <c r="K1079" i="41"/>
  <c r="J1079" i="41"/>
  <c r="K1078" i="41"/>
  <c r="J1078" i="41"/>
  <c r="K1077" i="41"/>
  <c r="J1077" i="41"/>
  <c r="K1076" i="41"/>
  <c r="J1076" i="41"/>
  <c r="K1075" i="41"/>
  <c r="J1075" i="41"/>
  <c r="K1074" i="41"/>
  <c r="J1074" i="41"/>
  <c r="K1073" i="41"/>
  <c r="J1073" i="41"/>
  <c r="K1072" i="41"/>
  <c r="J1072" i="41"/>
  <c r="K1071" i="41"/>
  <c r="J1071" i="41"/>
  <c r="K1070" i="41"/>
  <c r="J1070" i="41"/>
  <c r="K1069" i="41"/>
  <c r="J1069" i="41"/>
  <c r="K1068" i="41"/>
  <c r="J1068" i="41"/>
  <c r="K1067" i="41"/>
  <c r="J1067" i="41"/>
  <c r="K1066" i="41"/>
  <c r="J1066" i="41"/>
  <c r="K1065" i="41"/>
  <c r="J1065" i="41"/>
  <c r="K1064" i="41"/>
  <c r="J1064" i="41"/>
  <c r="K1063" i="41"/>
  <c r="J1063" i="41"/>
  <c r="K1062" i="41"/>
  <c r="J1062" i="41"/>
  <c r="K1061" i="41"/>
  <c r="J1061" i="41"/>
  <c r="K1060" i="41"/>
  <c r="J1060" i="41"/>
  <c r="K1059" i="41"/>
  <c r="J1059" i="41"/>
  <c r="K1058" i="41"/>
  <c r="J1058" i="41"/>
  <c r="K1057" i="41"/>
  <c r="J1057" i="41"/>
  <c r="K1056" i="41"/>
  <c r="J1056" i="41"/>
  <c r="K1055" i="41"/>
  <c r="J1055" i="41"/>
  <c r="K1054" i="41"/>
  <c r="J1054" i="41"/>
  <c r="K1053" i="41"/>
  <c r="J1053" i="41"/>
  <c r="K1052" i="41"/>
  <c r="J1052" i="41"/>
  <c r="K1051" i="41"/>
  <c r="J1051" i="41"/>
  <c r="K1050" i="41"/>
  <c r="J1050" i="41"/>
  <c r="K1049" i="41"/>
  <c r="J1049" i="41"/>
  <c r="K1048" i="41"/>
  <c r="J1048" i="41"/>
  <c r="K1047" i="41"/>
  <c r="J1047" i="41"/>
  <c r="K1046" i="41"/>
  <c r="J1046" i="41"/>
  <c r="K1045" i="41"/>
  <c r="J1045" i="41"/>
  <c r="K1044" i="41"/>
  <c r="J1044" i="41"/>
  <c r="K1043" i="41"/>
  <c r="J1043" i="41"/>
  <c r="K1042" i="41"/>
  <c r="J1042" i="41"/>
  <c r="K1041" i="41"/>
  <c r="J1041" i="41"/>
  <c r="K1040" i="41"/>
  <c r="J1040" i="41"/>
  <c r="K1039" i="41"/>
  <c r="J1039" i="41"/>
  <c r="K1038" i="41"/>
  <c r="J1038" i="41"/>
  <c r="K1037" i="41"/>
  <c r="J1037" i="41"/>
  <c r="K1036" i="41"/>
  <c r="J1036" i="41"/>
  <c r="K1035" i="41"/>
  <c r="J1035" i="41"/>
  <c r="K1034" i="41"/>
  <c r="J1034" i="41"/>
  <c r="K1033" i="41"/>
  <c r="J1033" i="41"/>
  <c r="K1032" i="41"/>
  <c r="J1032" i="41"/>
  <c r="K1031" i="41"/>
  <c r="J1031" i="41"/>
  <c r="K1030" i="41"/>
  <c r="J1030" i="41"/>
  <c r="K1029" i="41"/>
  <c r="J1029" i="41"/>
  <c r="K1028" i="41"/>
  <c r="J1028" i="41"/>
  <c r="K1027" i="41"/>
  <c r="J1027" i="41"/>
  <c r="K1026" i="41"/>
  <c r="J1026" i="41"/>
  <c r="K1025" i="41"/>
  <c r="J1025" i="41"/>
  <c r="K1024" i="41"/>
  <c r="J1024" i="41"/>
  <c r="K1023" i="41"/>
  <c r="J1023" i="41"/>
  <c r="K1022" i="41"/>
  <c r="J1022" i="41"/>
  <c r="K1021" i="41"/>
  <c r="J1021" i="41"/>
  <c r="K1020" i="41"/>
  <c r="J1020" i="41"/>
  <c r="K1019" i="41"/>
  <c r="J1019" i="41"/>
  <c r="K1018" i="41"/>
  <c r="J1018" i="41"/>
  <c r="K1017" i="41"/>
  <c r="J1017" i="41"/>
  <c r="K1016" i="41"/>
  <c r="J1016" i="41"/>
  <c r="K1015" i="41"/>
  <c r="J1015" i="41"/>
  <c r="K1014" i="41"/>
  <c r="J1014" i="41"/>
  <c r="K1013" i="41"/>
  <c r="J1013" i="41"/>
  <c r="K1012" i="41"/>
  <c r="J1012" i="41"/>
  <c r="K1011" i="41"/>
  <c r="J1011" i="41"/>
  <c r="K1010" i="41"/>
  <c r="J1010" i="41"/>
  <c r="K1009" i="41"/>
  <c r="J1009" i="41"/>
  <c r="K1008" i="41"/>
  <c r="J1008" i="41"/>
  <c r="K1007" i="41"/>
  <c r="J1007" i="41"/>
  <c r="K1006" i="41"/>
  <c r="J1006" i="41"/>
  <c r="K1005" i="41"/>
  <c r="J1005" i="41"/>
  <c r="K1004" i="41"/>
  <c r="J1004" i="41"/>
  <c r="K1003" i="41"/>
  <c r="J1003" i="41"/>
  <c r="K1002" i="41"/>
  <c r="J1002" i="41"/>
  <c r="K1001" i="41"/>
  <c r="J1001" i="41"/>
  <c r="K1000" i="41"/>
  <c r="J1000" i="41"/>
  <c r="K999" i="41"/>
  <c r="J999" i="41"/>
  <c r="K998" i="41"/>
  <c r="J998" i="41"/>
  <c r="K997" i="41"/>
  <c r="J997" i="41"/>
  <c r="K996" i="41"/>
  <c r="J996" i="41"/>
  <c r="K995" i="41"/>
  <c r="J995" i="41"/>
  <c r="K994" i="41"/>
  <c r="J994" i="41"/>
  <c r="K993" i="41"/>
  <c r="J993" i="41"/>
  <c r="K992" i="41"/>
  <c r="J992" i="41"/>
  <c r="K991" i="41"/>
  <c r="J991" i="41"/>
  <c r="K990" i="41"/>
  <c r="J990" i="41"/>
  <c r="K989" i="41"/>
  <c r="J989" i="41"/>
  <c r="K988" i="41"/>
  <c r="J988" i="41"/>
  <c r="K987" i="41"/>
  <c r="J987" i="41"/>
  <c r="K986" i="41"/>
  <c r="J986" i="41"/>
  <c r="K985" i="41"/>
  <c r="J985" i="41"/>
  <c r="K984" i="41"/>
  <c r="J984" i="41"/>
  <c r="K983" i="41"/>
  <c r="J983" i="41"/>
  <c r="K982" i="41"/>
  <c r="J982" i="41"/>
  <c r="K981" i="41"/>
  <c r="J981" i="41"/>
  <c r="K980" i="41"/>
  <c r="J980" i="41"/>
  <c r="K979" i="41"/>
  <c r="J979" i="41"/>
  <c r="K978" i="41"/>
  <c r="J978" i="41"/>
  <c r="K977" i="41"/>
  <c r="J977" i="41"/>
  <c r="K976" i="41"/>
  <c r="J976" i="41"/>
  <c r="K975" i="41"/>
  <c r="J975" i="41"/>
  <c r="K974" i="41"/>
  <c r="J974" i="41"/>
  <c r="K973" i="41"/>
  <c r="J973" i="41"/>
  <c r="K972" i="41"/>
  <c r="J972" i="41"/>
  <c r="K971" i="41"/>
  <c r="J971" i="41"/>
  <c r="K970" i="41"/>
  <c r="J970" i="41"/>
  <c r="K969" i="41"/>
  <c r="J969" i="41"/>
  <c r="K968" i="41"/>
  <c r="J968" i="41"/>
  <c r="K967" i="41"/>
  <c r="J967" i="41"/>
  <c r="K966" i="41"/>
  <c r="J966" i="41"/>
  <c r="K965" i="41"/>
  <c r="J965" i="41"/>
  <c r="K964" i="41"/>
  <c r="J964" i="41"/>
  <c r="K963" i="41"/>
  <c r="J963" i="41"/>
  <c r="K962" i="41"/>
  <c r="J962" i="41"/>
  <c r="K961" i="41"/>
  <c r="J961" i="41"/>
  <c r="K960" i="41"/>
  <c r="J960" i="41"/>
  <c r="K959" i="41"/>
  <c r="J959" i="41"/>
  <c r="K958" i="41"/>
  <c r="J958" i="41"/>
  <c r="K957" i="41"/>
  <c r="J957" i="41"/>
  <c r="K956" i="41"/>
  <c r="J956" i="41"/>
  <c r="K955" i="41"/>
  <c r="J955" i="41"/>
  <c r="K954" i="41"/>
  <c r="J954" i="41"/>
  <c r="K953" i="41"/>
  <c r="J953" i="41"/>
  <c r="K952" i="41"/>
  <c r="J952" i="41"/>
  <c r="K951" i="41"/>
  <c r="J951" i="41"/>
  <c r="K950" i="41"/>
  <c r="J950" i="41"/>
  <c r="K949" i="41"/>
  <c r="J949" i="41"/>
  <c r="K948" i="41"/>
  <c r="J948" i="41"/>
  <c r="K947" i="41"/>
  <c r="J947" i="41"/>
  <c r="K946" i="41"/>
  <c r="J946" i="41"/>
  <c r="K945" i="41"/>
  <c r="J945" i="41"/>
  <c r="K944" i="41"/>
  <c r="J944" i="41"/>
  <c r="K943" i="41"/>
  <c r="J943" i="41"/>
  <c r="K942" i="41"/>
  <c r="J942" i="41"/>
  <c r="K941" i="41"/>
  <c r="J941" i="41"/>
  <c r="K940" i="41"/>
  <c r="J940" i="41"/>
  <c r="K939" i="41"/>
  <c r="J939" i="41"/>
  <c r="K938" i="41"/>
  <c r="J938" i="41"/>
  <c r="K937" i="41"/>
  <c r="J937" i="41"/>
  <c r="K936" i="41"/>
  <c r="J936" i="41"/>
  <c r="K935" i="41"/>
  <c r="J935" i="41"/>
  <c r="K934" i="41"/>
  <c r="J934" i="41"/>
  <c r="K933" i="41"/>
  <c r="J933" i="41"/>
  <c r="K932" i="41"/>
  <c r="J932" i="41"/>
  <c r="K931" i="41"/>
  <c r="J931" i="41"/>
  <c r="K930" i="41"/>
  <c r="J930" i="41"/>
  <c r="K929" i="41"/>
  <c r="J929" i="41"/>
  <c r="K928" i="41"/>
  <c r="J928" i="41"/>
  <c r="K927" i="41"/>
  <c r="J927" i="41"/>
  <c r="K926" i="41"/>
  <c r="J926" i="41"/>
  <c r="K925" i="41"/>
  <c r="J925" i="41"/>
  <c r="K924" i="41"/>
  <c r="J924" i="41"/>
  <c r="K923" i="41"/>
  <c r="J923" i="41"/>
  <c r="K922" i="41"/>
  <c r="J922" i="41"/>
  <c r="K921" i="41"/>
  <c r="J921" i="41"/>
  <c r="K920" i="41"/>
  <c r="J920" i="41"/>
  <c r="K919" i="41"/>
  <c r="J919" i="41"/>
  <c r="K918" i="41"/>
  <c r="J918" i="41"/>
  <c r="K917" i="41"/>
  <c r="J917" i="41"/>
  <c r="K916" i="41"/>
  <c r="J916" i="41"/>
  <c r="K915" i="41"/>
  <c r="J915" i="41"/>
  <c r="K914" i="41"/>
  <c r="J914" i="41"/>
  <c r="K913" i="41"/>
  <c r="J913" i="41"/>
  <c r="K912" i="41"/>
  <c r="J912" i="41"/>
  <c r="K911" i="41"/>
  <c r="J911" i="41"/>
  <c r="K910" i="41"/>
  <c r="J910" i="41"/>
  <c r="K909" i="41"/>
  <c r="J909" i="41"/>
  <c r="K908" i="41"/>
  <c r="J908" i="41"/>
  <c r="K907" i="41"/>
  <c r="J907" i="41"/>
  <c r="K906" i="41"/>
  <c r="J906" i="41"/>
  <c r="K905" i="41"/>
  <c r="J905" i="41"/>
  <c r="K904" i="41"/>
  <c r="J904" i="41"/>
  <c r="K903" i="41"/>
  <c r="J903" i="41"/>
  <c r="K902" i="41"/>
  <c r="J902" i="41"/>
  <c r="K901" i="41"/>
  <c r="J901" i="41"/>
  <c r="K900" i="41"/>
  <c r="J900" i="41"/>
  <c r="K899" i="41"/>
  <c r="J899" i="41"/>
  <c r="K898" i="41"/>
  <c r="J898" i="41"/>
  <c r="K897" i="41"/>
  <c r="J897" i="41"/>
  <c r="K896" i="41"/>
  <c r="J896" i="41"/>
  <c r="K895" i="41"/>
  <c r="J895" i="41"/>
  <c r="K894" i="41"/>
  <c r="J894" i="41"/>
  <c r="K893" i="41"/>
  <c r="J893" i="41"/>
  <c r="K892" i="41"/>
  <c r="J892" i="41"/>
  <c r="K891" i="41"/>
  <c r="J891" i="41"/>
  <c r="K890" i="41"/>
  <c r="J890" i="41"/>
  <c r="K889" i="41"/>
  <c r="J889" i="41"/>
  <c r="K888" i="41"/>
  <c r="J888" i="41"/>
  <c r="K887" i="41"/>
  <c r="J887" i="41"/>
  <c r="K886" i="41"/>
  <c r="J886" i="41"/>
  <c r="K885" i="41"/>
  <c r="J885" i="41"/>
  <c r="K884" i="41"/>
  <c r="J884" i="41"/>
  <c r="K883" i="41"/>
  <c r="J883" i="41"/>
  <c r="K882" i="41"/>
  <c r="J882" i="41"/>
  <c r="K881" i="41"/>
  <c r="J881" i="41"/>
  <c r="K880" i="41"/>
  <c r="J880" i="41"/>
  <c r="K879" i="41"/>
  <c r="J879" i="41"/>
  <c r="K878" i="41"/>
  <c r="J878" i="41"/>
  <c r="K877" i="41"/>
  <c r="J877" i="41"/>
  <c r="K876" i="41"/>
  <c r="J876" i="41"/>
  <c r="K875" i="41"/>
  <c r="J875" i="41"/>
  <c r="K874" i="41"/>
  <c r="J874" i="41"/>
  <c r="K873" i="41"/>
  <c r="J873" i="41"/>
  <c r="K872" i="41"/>
  <c r="J872" i="41"/>
  <c r="K871" i="41"/>
  <c r="J871" i="41"/>
  <c r="K870" i="41"/>
  <c r="J870" i="41"/>
  <c r="K869" i="41"/>
  <c r="J869" i="41"/>
  <c r="K868" i="41"/>
  <c r="J868" i="41"/>
  <c r="K867" i="41"/>
  <c r="J867" i="41"/>
  <c r="K866" i="41"/>
  <c r="J866" i="41"/>
  <c r="K865" i="41"/>
  <c r="J865" i="41"/>
  <c r="K864" i="41"/>
  <c r="J864" i="41"/>
  <c r="K863" i="41"/>
  <c r="J863" i="41"/>
  <c r="K862" i="41"/>
  <c r="J862" i="41"/>
  <c r="K861" i="41"/>
  <c r="J861" i="41"/>
  <c r="K860" i="41"/>
  <c r="J860" i="41"/>
  <c r="K859" i="41"/>
  <c r="J859" i="41"/>
  <c r="K858" i="41"/>
  <c r="J858" i="41"/>
  <c r="K857" i="41"/>
  <c r="J857" i="41"/>
  <c r="K856" i="41"/>
  <c r="J856" i="41"/>
  <c r="K855" i="41"/>
  <c r="J855" i="41"/>
  <c r="K854" i="41"/>
  <c r="J854" i="41"/>
  <c r="K853" i="41"/>
  <c r="J853" i="41"/>
  <c r="K852" i="41"/>
  <c r="J852" i="41"/>
  <c r="K851" i="41"/>
  <c r="J851" i="41"/>
  <c r="K850" i="41"/>
  <c r="J850" i="41"/>
  <c r="K849" i="41"/>
  <c r="J849" i="41"/>
  <c r="K848" i="41"/>
  <c r="J848" i="41"/>
  <c r="K847" i="41"/>
  <c r="J847" i="41"/>
  <c r="K846" i="41"/>
  <c r="J846" i="41"/>
  <c r="K845" i="41"/>
  <c r="J845" i="41"/>
  <c r="K844" i="41"/>
  <c r="J844" i="41"/>
  <c r="K843" i="41"/>
  <c r="J843" i="41"/>
  <c r="K842" i="41"/>
  <c r="J842" i="41"/>
  <c r="K841" i="41"/>
  <c r="J841" i="41"/>
  <c r="K840" i="41"/>
  <c r="J840" i="41"/>
  <c r="K839" i="41"/>
  <c r="J839" i="41"/>
  <c r="K838" i="41"/>
  <c r="J838" i="41"/>
  <c r="K837" i="41"/>
  <c r="J837" i="41"/>
  <c r="K836" i="41"/>
  <c r="J836" i="41"/>
  <c r="K835" i="41"/>
  <c r="J835" i="41"/>
  <c r="K834" i="41"/>
  <c r="J834" i="41"/>
  <c r="K833" i="41"/>
  <c r="J833" i="41"/>
  <c r="K832" i="41"/>
  <c r="J832" i="41"/>
  <c r="K831" i="41"/>
  <c r="J831" i="41"/>
  <c r="K830" i="41"/>
  <c r="J830" i="41"/>
  <c r="K829" i="41"/>
  <c r="J829" i="41"/>
  <c r="K828" i="41"/>
  <c r="J828" i="41"/>
  <c r="K827" i="41"/>
  <c r="J827" i="41"/>
  <c r="K826" i="41"/>
  <c r="J826" i="41"/>
  <c r="K825" i="41"/>
  <c r="J825" i="41"/>
  <c r="K824" i="41"/>
  <c r="J824" i="41"/>
  <c r="K823" i="41"/>
  <c r="J823" i="41"/>
  <c r="K822" i="41"/>
  <c r="J822" i="41"/>
  <c r="K821" i="41"/>
  <c r="J821" i="41"/>
  <c r="K820" i="41"/>
  <c r="J820" i="41"/>
  <c r="K819" i="41"/>
  <c r="J819" i="41"/>
  <c r="K818" i="41"/>
  <c r="J818" i="41"/>
  <c r="K817" i="41"/>
  <c r="J817" i="41"/>
  <c r="K816" i="41"/>
  <c r="J816" i="41"/>
  <c r="K815" i="41"/>
  <c r="J815" i="41"/>
  <c r="K814" i="41"/>
  <c r="J814" i="41"/>
  <c r="K813" i="41"/>
  <c r="J813" i="41"/>
  <c r="K812" i="41"/>
  <c r="J812" i="41"/>
  <c r="K811" i="41"/>
  <c r="J811" i="41"/>
  <c r="K810" i="41"/>
  <c r="J810" i="41"/>
  <c r="K809" i="41"/>
  <c r="J809" i="41"/>
  <c r="K808" i="41"/>
  <c r="J808" i="41"/>
  <c r="K807" i="41"/>
  <c r="J807" i="41"/>
  <c r="K806" i="41"/>
  <c r="J806" i="41"/>
  <c r="K805" i="41"/>
  <c r="J805" i="41"/>
  <c r="K804" i="41"/>
  <c r="J804" i="41"/>
  <c r="K803" i="41"/>
  <c r="J803" i="41"/>
  <c r="K802" i="41"/>
  <c r="J802" i="41"/>
  <c r="K801" i="41"/>
  <c r="J801" i="41"/>
  <c r="K800" i="41"/>
  <c r="J800" i="41"/>
  <c r="K799" i="41"/>
  <c r="J799" i="41"/>
  <c r="K798" i="41"/>
  <c r="J798" i="41"/>
  <c r="K797" i="41"/>
  <c r="J797" i="41"/>
  <c r="K796" i="41"/>
  <c r="J796" i="41"/>
  <c r="K795" i="41"/>
  <c r="J795" i="41"/>
  <c r="K794" i="41"/>
  <c r="J794" i="41"/>
  <c r="K793" i="41"/>
  <c r="J793" i="41"/>
  <c r="K792" i="41"/>
  <c r="J792" i="41"/>
  <c r="K791" i="41"/>
  <c r="J791" i="41"/>
  <c r="K790" i="41"/>
  <c r="J790" i="41"/>
  <c r="K789" i="41"/>
  <c r="J789" i="41"/>
  <c r="K788" i="41"/>
  <c r="J788" i="41"/>
  <c r="K787" i="41"/>
  <c r="J787" i="41"/>
  <c r="K786" i="41"/>
  <c r="J786" i="41"/>
  <c r="K785" i="41"/>
  <c r="J785" i="41"/>
  <c r="K784" i="41"/>
  <c r="J784" i="41"/>
  <c r="K783" i="41"/>
  <c r="J783" i="41"/>
  <c r="K782" i="41"/>
  <c r="J782" i="41"/>
  <c r="K781" i="41"/>
  <c r="J781" i="41"/>
  <c r="K780" i="41"/>
  <c r="J780" i="41"/>
  <c r="K779" i="41"/>
  <c r="J779" i="41"/>
  <c r="K778" i="41"/>
  <c r="J778" i="41"/>
  <c r="K777" i="41"/>
  <c r="J777" i="41"/>
  <c r="K776" i="41"/>
  <c r="J776" i="41"/>
  <c r="K775" i="41"/>
  <c r="J775" i="41"/>
  <c r="K774" i="41"/>
  <c r="J774" i="41"/>
  <c r="K773" i="41"/>
  <c r="J773" i="41"/>
  <c r="K772" i="41"/>
  <c r="J772" i="41"/>
  <c r="K771" i="41"/>
  <c r="J771" i="41"/>
  <c r="K770" i="41"/>
  <c r="J770" i="41"/>
  <c r="K769" i="41"/>
  <c r="J769" i="41"/>
  <c r="K768" i="41"/>
  <c r="J768" i="41"/>
  <c r="K767" i="41"/>
  <c r="J767" i="41"/>
  <c r="K766" i="41"/>
  <c r="J766" i="41"/>
  <c r="K765" i="41"/>
  <c r="J765" i="41"/>
  <c r="K764" i="41"/>
  <c r="J764" i="41"/>
  <c r="K763" i="41"/>
  <c r="J763" i="41"/>
  <c r="K762" i="41"/>
  <c r="J762" i="41"/>
  <c r="K761" i="41"/>
  <c r="J761" i="41"/>
  <c r="K760" i="41"/>
  <c r="J760" i="41"/>
  <c r="K759" i="41"/>
  <c r="J759" i="41"/>
  <c r="K758" i="41"/>
  <c r="J758" i="41"/>
  <c r="K757" i="41"/>
  <c r="J757" i="41"/>
  <c r="K756" i="41"/>
  <c r="J756" i="41"/>
  <c r="K755" i="41"/>
  <c r="J755" i="41"/>
  <c r="K754" i="41"/>
  <c r="J754" i="41"/>
  <c r="K753" i="41"/>
  <c r="J753" i="41"/>
  <c r="K752" i="41"/>
  <c r="J752" i="41"/>
  <c r="K751" i="41"/>
  <c r="J751" i="41"/>
  <c r="K750" i="41"/>
  <c r="J750" i="41"/>
  <c r="K749" i="41"/>
  <c r="J749" i="41"/>
  <c r="K748" i="41"/>
  <c r="J748" i="41"/>
  <c r="K747" i="41"/>
  <c r="J747" i="41"/>
  <c r="K746" i="41"/>
  <c r="J746" i="41"/>
  <c r="K745" i="41"/>
  <c r="J745" i="41"/>
  <c r="K744" i="41"/>
  <c r="J744" i="41"/>
  <c r="K743" i="41"/>
  <c r="J743" i="41"/>
  <c r="K742" i="41"/>
  <c r="J742" i="41"/>
  <c r="K741" i="41"/>
  <c r="J741" i="41"/>
  <c r="K740" i="41"/>
  <c r="J740" i="41"/>
  <c r="K739" i="41"/>
  <c r="J739" i="41"/>
  <c r="K738" i="41"/>
  <c r="J738" i="41"/>
  <c r="K737" i="41"/>
  <c r="J737" i="41"/>
  <c r="K736" i="41"/>
  <c r="J736" i="41"/>
  <c r="K735" i="41"/>
  <c r="J735" i="41"/>
  <c r="K734" i="41"/>
  <c r="J734" i="41"/>
  <c r="K733" i="41"/>
  <c r="J733" i="41"/>
  <c r="K732" i="41"/>
  <c r="J732" i="41"/>
  <c r="K731" i="41"/>
  <c r="J731" i="41"/>
  <c r="K730" i="41"/>
  <c r="J730" i="41"/>
  <c r="K729" i="41"/>
  <c r="J729" i="41"/>
  <c r="K728" i="41"/>
  <c r="J728" i="41"/>
  <c r="K727" i="41"/>
  <c r="J727" i="41"/>
  <c r="K726" i="41"/>
  <c r="J726" i="41"/>
  <c r="K725" i="41"/>
  <c r="J725" i="41"/>
  <c r="K724" i="41"/>
  <c r="J724" i="41"/>
  <c r="K723" i="41"/>
  <c r="J723" i="41"/>
  <c r="K722" i="41"/>
  <c r="J722" i="41"/>
  <c r="K721" i="41"/>
  <c r="J721" i="41"/>
  <c r="K720" i="41"/>
  <c r="J720" i="41"/>
  <c r="K719" i="41"/>
  <c r="J719" i="41"/>
  <c r="K718" i="41"/>
  <c r="J718" i="41"/>
  <c r="K717" i="41"/>
  <c r="J717" i="41"/>
  <c r="K716" i="41"/>
  <c r="J716" i="41"/>
  <c r="K715" i="41"/>
  <c r="J715" i="41"/>
  <c r="K714" i="41"/>
  <c r="J714" i="41"/>
  <c r="K713" i="41"/>
  <c r="J713" i="41"/>
  <c r="K712" i="41"/>
  <c r="J712" i="41"/>
  <c r="K711" i="41"/>
  <c r="J711" i="41"/>
  <c r="K710" i="41"/>
  <c r="J710" i="41"/>
  <c r="K709" i="41"/>
  <c r="J709" i="41"/>
  <c r="K708" i="41"/>
  <c r="J708" i="41"/>
  <c r="K707" i="41"/>
  <c r="J707" i="41"/>
  <c r="K706" i="41"/>
  <c r="J706" i="41"/>
  <c r="K705" i="41"/>
  <c r="J705" i="41"/>
  <c r="K704" i="41"/>
  <c r="J704" i="41"/>
  <c r="K703" i="41"/>
  <c r="J703" i="41"/>
  <c r="K702" i="41"/>
  <c r="J702" i="41"/>
  <c r="K701" i="41"/>
  <c r="J701" i="41"/>
  <c r="K700" i="41"/>
  <c r="J700" i="41"/>
  <c r="K699" i="41"/>
  <c r="J699" i="41"/>
  <c r="K698" i="41"/>
  <c r="J698" i="41"/>
  <c r="K697" i="41"/>
  <c r="J697" i="41"/>
  <c r="K696" i="41"/>
  <c r="J696" i="41"/>
  <c r="K695" i="41"/>
  <c r="J695" i="41"/>
  <c r="K694" i="41"/>
  <c r="J694" i="41"/>
  <c r="K693" i="41"/>
  <c r="J693" i="41"/>
  <c r="K692" i="41"/>
  <c r="J692" i="41"/>
  <c r="K691" i="41"/>
  <c r="J691" i="41"/>
  <c r="K690" i="41"/>
  <c r="J690" i="41"/>
  <c r="K689" i="41"/>
  <c r="J689" i="41"/>
  <c r="K688" i="41"/>
  <c r="J688" i="41"/>
  <c r="K687" i="41"/>
  <c r="J687" i="41"/>
  <c r="K686" i="41"/>
  <c r="J686" i="41"/>
  <c r="K685" i="41"/>
  <c r="J685" i="41"/>
  <c r="K684" i="41"/>
  <c r="J684" i="41"/>
  <c r="K683" i="41"/>
  <c r="J683" i="41"/>
  <c r="K682" i="41"/>
  <c r="J682" i="41"/>
  <c r="K681" i="41"/>
  <c r="J681" i="41"/>
  <c r="K680" i="41"/>
  <c r="J680" i="41"/>
  <c r="K679" i="41"/>
  <c r="J679" i="41"/>
  <c r="K678" i="41"/>
  <c r="J678" i="41"/>
  <c r="K677" i="41"/>
  <c r="J677" i="41"/>
  <c r="K676" i="41"/>
  <c r="J676" i="41"/>
  <c r="K675" i="41"/>
  <c r="J675" i="41"/>
  <c r="K674" i="41"/>
  <c r="J674" i="41"/>
  <c r="K673" i="41"/>
  <c r="J673" i="41"/>
  <c r="K672" i="41"/>
  <c r="J672" i="41"/>
  <c r="K671" i="41"/>
  <c r="J671" i="41"/>
  <c r="K670" i="41"/>
  <c r="J670" i="41"/>
  <c r="K669" i="41"/>
  <c r="J669" i="41"/>
  <c r="K668" i="41"/>
  <c r="J668" i="41"/>
  <c r="K667" i="41"/>
  <c r="J667" i="41"/>
  <c r="K666" i="41"/>
  <c r="J666" i="41"/>
  <c r="K665" i="41"/>
  <c r="J665" i="41"/>
  <c r="K664" i="41"/>
  <c r="J664" i="41"/>
  <c r="K663" i="41"/>
  <c r="J663" i="41"/>
  <c r="K662" i="41"/>
  <c r="J662" i="41"/>
  <c r="K661" i="41"/>
  <c r="J661" i="41"/>
  <c r="K660" i="41"/>
  <c r="J660" i="41"/>
  <c r="K659" i="41"/>
  <c r="J659" i="41"/>
  <c r="K658" i="41"/>
  <c r="J658" i="41"/>
  <c r="K657" i="41"/>
  <c r="J657" i="41"/>
  <c r="K656" i="41"/>
  <c r="J656" i="41"/>
  <c r="K655" i="41"/>
  <c r="J655" i="41"/>
  <c r="K654" i="41"/>
  <c r="J654" i="41"/>
  <c r="K653" i="41"/>
  <c r="J653" i="41"/>
  <c r="K652" i="41"/>
  <c r="J652" i="41"/>
  <c r="K651" i="41"/>
  <c r="J651" i="41"/>
  <c r="K650" i="41"/>
  <c r="J650" i="41"/>
  <c r="K649" i="41"/>
  <c r="J649" i="41"/>
  <c r="K648" i="41"/>
  <c r="J648" i="41"/>
  <c r="K647" i="41"/>
  <c r="J647" i="41"/>
  <c r="K646" i="41"/>
  <c r="J646" i="41"/>
  <c r="K645" i="41"/>
  <c r="J645" i="41"/>
  <c r="K644" i="41"/>
  <c r="J644" i="41"/>
  <c r="K643" i="41"/>
  <c r="J643" i="41"/>
  <c r="K642" i="41"/>
  <c r="J642" i="41"/>
  <c r="K641" i="41"/>
  <c r="J641" i="41"/>
  <c r="K640" i="41"/>
  <c r="J640" i="41"/>
  <c r="K639" i="41"/>
  <c r="J639" i="41"/>
  <c r="K638" i="41"/>
  <c r="J638" i="41"/>
  <c r="K637" i="41"/>
  <c r="J637" i="41"/>
  <c r="K636" i="41"/>
  <c r="J636" i="41"/>
  <c r="K635" i="41"/>
  <c r="J635" i="41"/>
  <c r="K634" i="41"/>
  <c r="J634" i="41"/>
  <c r="K633" i="41"/>
  <c r="J633" i="41"/>
  <c r="K632" i="41"/>
  <c r="J632" i="41"/>
  <c r="K631" i="41"/>
  <c r="J631" i="41"/>
  <c r="K630" i="41"/>
  <c r="J630" i="41"/>
  <c r="K629" i="41"/>
  <c r="J629" i="41"/>
  <c r="K628" i="41"/>
  <c r="J628" i="41"/>
  <c r="K627" i="41"/>
  <c r="J627" i="41"/>
  <c r="K626" i="41"/>
  <c r="J626" i="41"/>
  <c r="K625" i="41"/>
  <c r="J625" i="41"/>
  <c r="K624" i="41"/>
  <c r="J624" i="41"/>
  <c r="K623" i="41"/>
  <c r="J623" i="41"/>
  <c r="K622" i="41"/>
  <c r="J622" i="41"/>
  <c r="K621" i="41"/>
  <c r="J621" i="41"/>
  <c r="K620" i="41"/>
  <c r="J620" i="41"/>
  <c r="K619" i="41"/>
  <c r="J619" i="41"/>
  <c r="K618" i="41"/>
  <c r="J618" i="41"/>
  <c r="K617" i="41"/>
  <c r="J617" i="41"/>
  <c r="K616" i="41"/>
  <c r="J616" i="41"/>
  <c r="K615" i="41"/>
  <c r="J615" i="41"/>
  <c r="K614" i="41"/>
  <c r="J614" i="41"/>
  <c r="K613" i="41"/>
  <c r="J613" i="41"/>
  <c r="K612" i="41"/>
  <c r="J612" i="41"/>
  <c r="K611" i="41"/>
  <c r="J611" i="41"/>
  <c r="K610" i="41"/>
  <c r="J610" i="41"/>
  <c r="K609" i="41"/>
  <c r="J609" i="41"/>
  <c r="K608" i="41"/>
  <c r="J608" i="41"/>
  <c r="K607" i="41"/>
  <c r="J607" i="41"/>
  <c r="K606" i="41"/>
  <c r="J606" i="41"/>
  <c r="K605" i="41"/>
  <c r="J605" i="41"/>
  <c r="K604" i="41"/>
  <c r="J604" i="41"/>
  <c r="K603" i="41"/>
  <c r="J603" i="41"/>
  <c r="K602" i="41"/>
  <c r="J602" i="41"/>
  <c r="K601" i="41"/>
  <c r="J601" i="41"/>
  <c r="K600" i="41"/>
  <c r="J600" i="41"/>
  <c r="K599" i="41"/>
  <c r="J599" i="41"/>
  <c r="K598" i="41"/>
  <c r="J598" i="41"/>
  <c r="K597" i="41"/>
  <c r="J597" i="41"/>
  <c r="K596" i="41"/>
  <c r="J596" i="41"/>
  <c r="K595" i="41"/>
  <c r="J595" i="41"/>
  <c r="K594" i="41"/>
  <c r="J594" i="41"/>
  <c r="K593" i="41"/>
  <c r="J593" i="41"/>
  <c r="K592" i="41"/>
  <c r="J592" i="41"/>
  <c r="K591" i="41"/>
  <c r="J591" i="41"/>
  <c r="K590" i="41"/>
  <c r="J590" i="41"/>
  <c r="K589" i="41"/>
  <c r="J589" i="41"/>
  <c r="K588" i="41"/>
  <c r="J588" i="41"/>
  <c r="K587" i="41"/>
  <c r="J587" i="41"/>
  <c r="K586" i="41"/>
  <c r="J586" i="41"/>
  <c r="K585" i="41"/>
  <c r="J585" i="41"/>
  <c r="K584" i="41"/>
  <c r="J584" i="41"/>
  <c r="K583" i="41"/>
  <c r="J583" i="41"/>
  <c r="K582" i="41"/>
  <c r="J582" i="41"/>
  <c r="K581" i="41"/>
  <c r="J581" i="41"/>
  <c r="K580" i="41"/>
  <c r="J580" i="41"/>
  <c r="K579" i="41"/>
  <c r="J579" i="41"/>
  <c r="K578" i="41"/>
  <c r="J578" i="41"/>
  <c r="K577" i="41"/>
  <c r="J577" i="41"/>
  <c r="K576" i="41"/>
  <c r="J576" i="41"/>
  <c r="K575" i="41"/>
  <c r="J575" i="41"/>
  <c r="K574" i="41"/>
  <c r="J574" i="41"/>
  <c r="K573" i="41"/>
  <c r="J573" i="41"/>
  <c r="K572" i="41"/>
  <c r="J572" i="41"/>
  <c r="K571" i="41"/>
  <c r="J571" i="41"/>
  <c r="K570" i="41"/>
  <c r="J570" i="41"/>
  <c r="K569" i="41"/>
  <c r="J569" i="41"/>
  <c r="K568" i="41"/>
  <c r="J568" i="41"/>
  <c r="K567" i="41"/>
  <c r="J567" i="41"/>
  <c r="K566" i="41"/>
  <c r="J566" i="41"/>
  <c r="K565" i="41"/>
  <c r="J565" i="41"/>
  <c r="K564" i="41"/>
  <c r="J564" i="41"/>
  <c r="K563" i="41"/>
  <c r="J563" i="41"/>
  <c r="K562" i="41"/>
  <c r="J562" i="41"/>
  <c r="K561" i="41"/>
  <c r="J561" i="41"/>
  <c r="K560" i="41"/>
  <c r="J560" i="41"/>
  <c r="K559" i="41"/>
  <c r="J559" i="41"/>
  <c r="K558" i="41"/>
  <c r="J558" i="41"/>
  <c r="K557" i="41"/>
  <c r="J557" i="41"/>
  <c r="K556" i="41"/>
  <c r="J556" i="41"/>
  <c r="K555" i="41"/>
  <c r="J555" i="41"/>
  <c r="K554" i="41"/>
  <c r="J554" i="41"/>
  <c r="K553" i="41"/>
  <c r="J553" i="41"/>
  <c r="K552" i="41"/>
  <c r="J552" i="41"/>
  <c r="K551" i="41"/>
  <c r="J551" i="41"/>
  <c r="K550" i="41"/>
  <c r="J550" i="41"/>
  <c r="K549" i="41"/>
  <c r="J549" i="41"/>
  <c r="K548" i="41"/>
  <c r="J548" i="41"/>
  <c r="K547" i="41"/>
  <c r="J547" i="41"/>
  <c r="K546" i="41"/>
  <c r="J546" i="41"/>
  <c r="K545" i="41"/>
  <c r="J545" i="41"/>
  <c r="K544" i="41"/>
  <c r="J544" i="41"/>
  <c r="K543" i="41"/>
  <c r="J543" i="41"/>
  <c r="K542" i="41"/>
  <c r="J542" i="41"/>
  <c r="K541" i="41"/>
  <c r="J541" i="41"/>
  <c r="K540" i="41"/>
  <c r="J540" i="41"/>
  <c r="K539" i="41"/>
  <c r="J539" i="41"/>
  <c r="K538" i="41"/>
  <c r="J538" i="41"/>
  <c r="K537" i="41"/>
  <c r="J537" i="41"/>
  <c r="K536" i="41"/>
  <c r="J536" i="41"/>
  <c r="K535" i="41"/>
  <c r="J535" i="41"/>
  <c r="K534" i="41"/>
  <c r="J534" i="41"/>
  <c r="K533" i="41"/>
  <c r="J533" i="41"/>
  <c r="K532" i="41"/>
  <c r="J532" i="41"/>
  <c r="K531" i="41"/>
  <c r="J531" i="41"/>
  <c r="K530" i="41"/>
  <c r="J530" i="41"/>
  <c r="K529" i="41"/>
  <c r="J529" i="41"/>
  <c r="K528" i="41"/>
  <c r="J528" i="41"/>
  <c r="K527" i="41"/>
  <c r="J527" i="41"/>
  <c r="K526" i="41"/>
  <c r="J526" i="41"/>
  <c r="K525" i="41"/>
  <c r="J525" i="41"/>
  <c r="K524" i="41"/>
  <c r="J524" i="41"/>
  <c r="K523" i="41"/>
  <c r="J523" i="41"/>
  <c r="K522" i="41"/>
  <c r="J522" i="41"/>
  <c r="K521" i="41"/>
  <c r="J521" i="41"/>
  <c r="K520" i="41"/>
  <c r="J520" i="41"/>
  <c r="K519" i="41"/>
  <c r="J519" i="41"/>
  <c r="K518" i="41"/>
  <c r="J518" i="41"/>
  <c r="K517" i="41"/>
  <c r="J517" i="41"/>
  <c r="K516" i="41"/>
  <c r="J516" i="41"/>
  <c r="K515" i="41"/>
  <c r="J515" i="41"/>
  <c r="K514" i="41"/>
  <c r="J514" i="41"/>
  <c r="K513" i="41"/>
  <c r="J513" i="41"/>
  <c r="K512" i="41"/>
  <c r="J512" i="41"/>
  <c r="K511" i="41"/>
  <c r="J511" i="41"/>
  <c r="K510" i="41"/>
  <c r="J510" i="41"/>
  <c r="K509" i="41"/>
  <c r="J509" i="41"/>
  <c r="K508" i="41"/>
  <c r="J508" i="41"/>
  <c r="K507" i="41"/>
  <c r="J507" i="41"/>
  <c r="K506" i="41"/>
  <c r="J506" i="41"/>
  <c r="K505" i="41"/>
  <c r="J505" i="41"/>
  <c r="K504" i="41"/>
  <c r="J504" i="41"/>
  <c r="K503" i="41"/>
  <c r="J503" i="41"/>
  <c r="K502" i="41"/>
  <c r="J502" i="41"/>
  <c r="K501" i="41"/>
  <c r="J501" i="41"/>
  <c r="K500" i="41"/>
  <c r="J500" i="41"/>
  <c r="K499" i="41"/>
  <c r="J499" i="41"/>
  <c r="K498" i="41"/>
  <c r="J498" i="41"/>
  <c r="K497" i="41"/>
  <c r="J497" i="41"/>
  <c r="K496" i="41"/>
  <c r="J496" i="41"/>
  <c r="K495" i="41"/>
  <c r="J495" i="41"/>
  <c r="K494" i="41"/>
  <c r="J494" i="41"/>
  <c r="K493" i="41"/>
  <c r="J493" i="41"/>
  <c r="K492" i="41"/>
  <c r="J492" i="41"/>
  <c r="K491" i="41"/>
  <c r="J491" i="41"/>
  <c r="K490" i="41"/>
  <c r="J490" i="41"/>
  <c r="K489" i="41"/>
  <c r="J489" i="41"/>
  <c r="K488" i="41"/>
  <c r="J488" i="41"/>
  <c r="K487" i="41"/>
  <c r="J487" i="41"/>
  <c r="K486" i="41"/>
  <c r="J486" i="41"/>
  <c r="K485" i="41"/>
  <c r="J485" i="41"/>
  <c r="K484" i="41"/>
  <c r="J484" i="41"/>
  <c r="K483" i="41"/>
  <c r="J483" i="41"/>
  <c r="K482" i="41"/>
  <c r="J482" i="41"/>
  <c r="K481" i="41"/>
  <c r="J481" i="41"/>
  <c r="K480" i="41"/>
  <c r="J480" i="41"/>
  <c r="K479" i="41"/>
  <c r="J479" i="41"/>
  <c r="K478" i="41"/>
  <c r="J478" i="41"/>
  <c r="K477" i="41"/>
  <c r="J477" i="41"/>
  <c r="K476" i="41"/>
  <c r="J476" i="41"/>
  <c r="K475" i="41"/>
  <c r="J475" i="41"/>
  <c r="K474" i="41"/>
  <c r="J474" i="41"/>
  <c r="K473" i="41"/>
  <c r="J473" i="41"/>
  <c r="K472" i="41"/>
  <c r="J472" i="41"/>
  <c r="K471" i="41"/>
  <c r="J471" i="41"/>
  <c r="K470" i="41"/>
  <c r="J470" i="41"/>
  <c r="K469" i="41"/>
  <c r="J469" i="41"/>
  <c r="K468" i="41"/>
  <c r="J468" i="41"/>
  <c r="K467" i="41"/>
  <c r="J467" i="41"/>
  <c r="K466" i="41"/>
  <c r="J466" i="41"/>
  <c r="K465" i="41"/>
  <c r="J465" i="41"/>
  <c r="K464" i="41"/>
  <c r="J464" i="41"/>
  <c r="K463" i="41"/>
  <c r="J463" i="41"/>
  <c r="K462" i="41"/>
  <c r="J462" i="41"/>
  <c r="K461" i="41"/>
  <c r="J461" i="41"/>
  <c r="K460" i="41"/>
  <c r="J460" i="41"/>
  <c r="K459" i="41"/>
  <c r="J459" i="41"/>
  <c r="K458" i="41"/>
  <c r="J458" i="41"/>
  <c r="K457" i="41"/>
  <c r="J457" i="41"/>
  <c r="K456" i="41"/>
  <c r="J456" i="41"/>
  <c r="K455" i="41"/>
  <c r="J455" i="41"/>
  <c r="K454" i="41"/>
  <c r="J454" i="41"/>
  <c r="K453" i="41"/>
  <c r="J453" i="41"/>
  <c r="K452" i="41"/>
  <c r="J452" i="41"/>
  <c r="K451" i="41"/>
  <c r="J451" i="41"/>
  <c r="K450" i="41"/>
  <c r="J450" i="41"/>
  <c r="K449" i="41"/>
  <c r="J449" i="41"/>
  <c r="K448" i="41"/>
  <c r="J448" i="41"/>
  <c r="K447" i="41"/>
  <c r="J447" i="41"/>
  <c r="K446" i="41"/>
  <c r="J446" i="41"/>
  <c r="K445" i="41"/>
  <c r="J445" i="41"/>
  <c r="K444" i="41"/>
  <c r="J444" i="41"/>
  <c r="K443" i="41"/>
  <c r="J443" i="41"/>
  <c r="K442" i="41"/>
  <c r="J442" i="41"/>
  <c r="K441" i="41"/>
  <c r="J441" i="41"/>
  <c r="K440" i="41"/>
  <c r="J440" i="41"/>
  <c r="K439" i="41"/>
  <c r="J439" i="41"/>
  <c r="K438" i="41"/>
  <c r="J438" i="41"/>
  <c r="K437" i="41"/>
  <c r="J437" i="41"/>
  <c r="K436" i="41"/>
  <c r="J436" i="41"/>
  <c r="K435" i="41"/>
  <c r="J435" i="41"/>
  <c r="K434" i="41"/>
  <c r="J434" i="41"/>
  <c r="K433" i="41"/>
  <c r="J433" i="41"/>
  <c r="K432" i="41"/>
  <c r="J432" i="41"/>
  <c r="K431" i="41"/>
  <c r="J431" i="41"/>
  <c r="K430" i="41"/>
  <c r="J430" i="41"/>
  <c r="K429" i="41"/>
  <c r="J429" i="41"/>
  <c r="K428" i="41"/>
  <c r="J428" i="41"/>
  <c r="K427" i="41"/>
  <c r="J427" i="41"/>
  <c r="K426" i="41"/>
  <c r="J426" i="41"/>
  <c r="K425" i="41"/>
  <c r="J425" i="41"/>
  <c r="K424" i="41"/>
  <c r="J424" i="41"/>
  <c r="K423" i="41"/>
  <c r="J423" i="41"/>
  <c r="K422" i="41"/>
  <c r="J422" i="41"/>
  <c r="K421" i="41"/>
  <c r="J421" i="41"/>
  <c r="K420" i="41"/>
  <c r="J420" i="41"/>
  <c r="K419" i="41"/>
  <c r="J419" i="41"/>
  <c r="K418" i="41"/>
  <c r="J418" i="41"/>
  <c r="K417" i="41"/>
  <c r="J417" i="41"/>
  <c r="K416" i="41"/>
  <c r="J416" i="41"/>
  <c r="K415" i="41"/>
  <c r="J415" i="41"/>
  <c r="K414" i="41"/>
  <c r="J414" i="41"/>
  <c r="K413" i="41"/>
  <c r="J413" i="41"/>
  <c r="K412" i="41"/>
  <c r="J412" i="41"/>
  <c r="K411" i="41"/>
  <c r="J411" i="41"/>
  <c r="K410" i="41"/>
  <c r="J410" i="41"/>
  <c r="K409" i="41"/>
  <c r="J409" i="41"/>
  <c r="K408" i="41"/>
  <c r="J408" i="41"/>
  <c r="K407" i="41"/>
  <c r="J407" i="41"/>
  <c r="K406" i="41"/>
  <c r="J406" i="41"/>
  <c r="K405" i="41"/>
  <c r="J405" i="41"/>
  <c r="K404" i="41"/>
  <c r="J404" i="41"/>
  <c r="K403" i="41"/>
  <c r="J403" i="41"/>
  <c r="K402" i="41"/>
  <c r="J402" i="41"/>
  <c r="K401" i="41"/>
  <c r="J401" i="41"/>
  <c r="K400" i="41"/>
  <c r="J400" i="41"/>
  <c r="K399" i="41"/>
  <c r="J399" i="41"/>
  <c r="K398" i="41"/>
  <c r="J398" i="41"/>
  <c r="K397" i="41"/>
  <c r="J397" i="41"/>
  <c r="K396" i="41"/>
  <c r="J396" i="41"/>
  <c r="K395" i="41"/>
  <c r="J395" i="41"/>
  <c r="K394" i="41"/>
  <c r="J394" i="41"/>
  <c r="K393" i="41"/>
  <c r="J393" i="41"/>
  <c r="K392" i="41"/>
  <c r="J392" i="41"/>
  <c r="K391" i="41"/>
  <c r="J391" i="41"/>
  <c r="K390" i="41"/>
  <c r="J390" i="41"/>
  <c r="K389" i="41"/>
  <c r="J389" i="41"/>
  <c r="K388" i="41"/>
  <c r="J388" i="41"/>
  <c r="K387" i="41"/>
  <c r="J387" i="41"/>
  <c r="K386" i="41"/>
  <c r="J386" i="41"/>
  <c r="K385" i="41"/>
  <c r="J385" i="41"/>
  <c r="K384" i="41"/>
  <c r="J384" i="41"/>
  <c r="K383" i="41"/>
  <c r="J383" i="41"/>
  <c r="K382" i="41"/>
  <c r="J382" i="41"/>
  <c r="K381" i="41"/>
  <c r="J381" i="41"/>
  <c r="K380" i="41"/>
  <c r="J380" i="41"/>
  <c r="K379" i="41"/>
  <c r="J379" i="41"/>
  <c r="K378" i="41"/>
  <c r="J378" i="41"/>
  <c r="K377" i="41"/>
  <c r="J377" i="41"/>
  <c r="K376" i="41"/>
  <c r="J376" i="41"/>
  <c r="K375" i="41"/>
  <c r="J375" i="41"/>
  <c r="K374" i="41"/>
  <c r="J374" i="41"/>
  <c r="K373" i="41"/>
  <c r="J373" i="41"/>
  <c r="K372" i="41"/>
  <c r="J372" i="41"/>
  <c r="K371" i="41"/>
  <c r="J371" i="41"/>
  <c r="K370" i="41"/>
  <c r="J370" i="41"/>
  <c r="K369" i="41"/>
  <c r="J369" i="41"/>
  <c r="K368" i="41"/>
  <c r="J368" i="41"/>
  <c r="K367" i="41"/>
  <c r="J367" i="41"/>
  <c r="K366" i="41"/>
  <c r="J366" i="41"/>
  <c r="K365" i="41"/>
  <c r="J365" i="41"/>
  <c r="K364" i="41"/>
  <c r="J364" i="41"/>
  <c r="K363" i="41"/>
  <c r="J363" i="41"/>
  <c r="K362" i="41"/>
  <c r="J362" i="41"/>
  <c r="K361" i="41"/>
  <c r="J361" i="41"/>
  <c r="K360" i="41"/>
  <c r="J360" i="41"/>
  <c r="K359" i="41"/>
  <c r="J359" i="41"/>
  <c r="K358" i="41"/>
  <c r="J358" i="41"/>
  <c r="K357" i="41"/>
  <c r="J357" i="41"/>
  <c r="K356" i="41"/>
  <c r="J356" i="41"/>
  <c r="K355" i="41"/>
  <c r="J355" i="41"/>
  <c r="K354" i="41"/>
  <c r="J354" i="41"/>
  <c r="K353" i="41"/>
  <c r="J353" i="41"/>
  <c r="K352" i="41"/>
  <c r="J352" i="41"/>
  <c r="K351" i="41"/>
  <c r="J351" i="41"/>
  <c r="K350" i="41"/>
  <c r="J350" i="41"/>
  <c r="K349" i="41"/>
  <c r="J349" i="41"/>
  <c r="K348" i="41"/>
  <c r="J348" i="41"/>
  <c r="K347" i="41"/>
  <c r="J347" i="41"/>
  <c r="K346" i="41"/>
  <c r="J346" i="41"/>
  <c r="K345" i="41"/>
  <c r="J345" i="41"/>
  <c r="K344" i="41"/>
  <c r="J344" i="41"/>
  <c r="K343" i="41"/>
  <c r="J343" i="41"/>
  <c r="K342" i="41"/>
  <c r="J342" i="41"/>
  <c r="K341" i="41"/>
  <c r="J341" i="41"/>
  <c r="K340" i="41"/>
  <c r="J340" i="41"/>
  <c r="K339" i="41"/>
  <c r="J339" i="41"/>
  <c r="K338" i="41"/>
  <c r="J338" i="41"/>
  <c r="K337" i="41"/>
  <c r="J337" i="41"/>
  <c r="K336" i="41"/>
  <c r="J336" i="41"/>
  <c r="K335" i="41"/>
  <c r="J335" i="41"/>
  <c r="K334" i="41"/>
  <c r="J334" i="41"/>
  <c r="K333" i="41"/>
  <c r="J333" i="41"/>
  <c r="K332" i="41"/>
  <c r="J332" i="41"/>
  <c r="K331" i="41"/>
  <c r="J331" i="41"/>
  <c r="K330" i="41"/>
  <c r="J330" i="41"/>
  <c r="K329" i="41"/>
  <c r="J329" i="41"/>
  <c r="K328" i="41"/>
  <c r="J328" i="41"/>
  <c r="K327" i="41"/>
  <c r="J327" i="41"/>
  <c r="K326" i="41"/>
  <c r="J326" i="41"/>
  <c r="K325" i="41"/>
  <c r="J325" i="41"/>
  <c r="K324" i="41"/>
  <c r="J324" i="41"/>
  <c r="K323" i="41"/>
  <c r="J323" i="41"/>
  <c r="K322" i="41"/>
  <c r="J322" i="41"/>
  <c r="K321" i="41"/>
  <c r="J321" i="41"/>
  <c r="K320" i="41"/>
  <c r="J320" i="41"/>
  <c r="K319" i="41"/>
  <c r="J319" i="41"/>
  <c r="K318" i="41"/>
  <c r="J318" i="41"/>
  <c r="K317" i="41"/>
  <c r="J317" i="41"/>
  <c r="K316" i="41"/>
  <c r="J316" i="41"/>
  <c r="K315" i="41"/>
  <c r="J315" i="41"/>
  <c r="K314" i="41"/>
  <c r="J314" i="41"/>
  <c r="K313" i="41"/>
  <c r="J313" i="41"/>
  <c r="K312" i="41"/>
  <c r="J312" i="41"/>
  <c r="K311" i="41"/>
  <c r="J311" i="41"/>
  <c r="K310" i="41"/>
  <c r="J310" i="41"/>
  <c r="K309" i="41"/>
  <c r="J309" i="41"/>
  <c r="K308" i="41"/>
  <c r="J308" i="41"/>
  <c r="K307" i="41"/>
  <c r="J307" i="41"/>
  <c r="K306" i="41"/>
  <c r="J306" i="41"/>
  <c r="K305" i="41"/>
  <c r="J305" i="41"/>
  <c r="K304" i="41"/>
  <c r="J304" i="41"/>
  <c r="K303" i="41"/>
  <c r="J303" i="41"/>
  <c r="K302" i="41"/>
  <c r="J302" i="41"/>
  <c r="K301" i="41"/>
  <c r="J301" i="41"/>
  <c r="K300" i="41"/>
  <c r="J300" i="41"/>
  <c r="K299" i="41"/>
  <c r="J299" i="41"/>
  <c r="K298" i="41"/>
  <c r="J298" i="41"/>
  <c r="K297" i="41"/>
  <c r="J297" i="41"/>
  <c r="K296" i="41"/>
  <c r="J296" i="41"/>
  <c r="K295" i="41"/>
  <c r="J295" i="41"/>
  <c r="K294" i="41"/>
  <c r="J294" i="41"/>
  <c r="K293" i="41"/>
  <c r="J293" i="41"/>
  <c r="K292" i="41"/>
  <c r="J292" i="41"/>
  <c r="K291" i="41"/>
  <c r="J291" i="41"/>
  <c r="K290" i="41"/>
  <c r="J290" i="41"/>
  <c r="K289" i="41"/>
  <c r="J289" i="41"/>
  <c r="K288" i="41"/>
  <c r="J288" i="41"/>
  <c r="K287" i="41"/>
  <c r="J287" i="41"/>
  <c r="K286" i="41"/>
  <c r="J286" i="41"/>
  <c r="K285" i="41"/>
  <c r="J285" i="41"/>
  <c r="K284" i="41"/>
  <c r="J284" i="41"/>
  <c r="K283" i="41"/>
  <c r="J283" i="41"/>
  <c r="K282" i="41"/>
  <c r="J282" i="41"/>
  <c r="K281" i="41"/>
  <c r="J281" i="41"/>
  <c r="K280" i="41"/>
  <c r="J280" i="41"/>
  <c r="K279" i="41"/>
  <c r="J279" i="41"/>
  <c r="K278" i="41"/>
  <c r="J278" i="41"/>
  <c r="K277" i="41"/>
  <c r="J277" i="41"/>
  <c r="K276" i="41"/>
  <c r="J276" i="41"/>
  <c r="K275" i="41"/>
  <c r="J275" i="41"/>
  <c r="K274" i="41"/>
  <c r="J274" i="41"/>
  <c r="K273" i="41"/>
  <c r="J273" i="41"/>
  <c r="K272" i="41"/>
  <c r="J272" i="41"/>
  <c r="K271" i="41"/>
  <c r="J271" i="41"/>
  <c r="K270" i="41"/>
  <c r="J270" i="41"/>
  <c r="K269" i="41"/>
  <c r="J269" i="41"/>
  <c r="K268" i="41"/>
  <c r="J268" i="41"/>
  <c r="K267" i="41"/>
  <c r="J267" i="41"/>
  <c r="K266" i="41"/>
  <c r="J266" i="41"/>
  <c r="K265" i="41"/>
  <c r="J265" i="41"/>
  <c r="K264" i="41"/>
  <c r="J264" i="41"/>
  <c r="K263" i="41"/>
  <c r="J263" i="41"/>
  <c r="K262" i="41"/>
  <c r="J262" i="41"/>
  <c r="K261" i="41"/>
  <c r="J261" i="41"/>
  <c r="K260" i="41"/>
  <c r="J260" i="41"/>
  <c r="K259" i="41"/>
  <c r="J259" i="41"/>
  <c r="K258" i="41"/>
  <c r="J258" i="41"/>
  <c r="K257" i="41"/>
  <c r="J257" i="41"/>
  <c r="K256" i="41"/>
  <c r="J256" i="41"/>
  <c r="K255" i="41"/>
  <c r="J255" i="41"/>
  <c r="K254" i="41"/>
  <c r="J254" i="41"/>
  <c r="K253" i="41"/>
  <c r="J253" i="41"/>
  <c r="K252" i="41"/>
  <c r="J252" i="41"/>
  <c r="K251" i="41"/>
  <c r="J251" i="41"/>
  <c r="K250" i="41"/>
  <c r="J250" i="41"/>
  <c r="K249" i="41"/>
  <c r="J249" i="41"/>
  <c r="K248" i="41"/>
  <c r="J248" i="41"/>
  <c r="K247" i="41"/>
  <c r="J247" i="41"/>
  <c r="K246" i="41"/>
  <c r="J246" i="41"/>
  <c r="K245" i="41"/>
  <c r="J245" i="41"/>
  <c r="K244" i="41"/>
  <c r="J244" i="41"/>
  <c r="K243" i="41"/>
  <c r="J243" i="41"/>
  <c r="K242" i="41"/>
  <c r="J242" i="41"/>
  <c r="K241" i="41"/>
  <c r="J241" i="41"/>
  <c r="K240" i="41"/>
  <c r="J240" i="41"/>
  <c r="K239" i="41"/>
  <c r="J239" i="41"/>
  <c r="K238" i="41"/>
  <c r="J238" i="41"/>
  <c r="K237" i="41"/>
  <c r="J237" i="41"/>
  <c r="K236" i="41"/>
  <c r="J236" i="41"/>
  <c r="K235" i="41"/>
  <c r="J235" i="41"/>
  <c r="K234" i="41"/>
  <c r="J234" i="41"/>
  <c r="K233" i="41"/>
  <c r="J233" i="41"/>
  <c r="K232" i="41"/>
  <c r="J232" i="41"/>
  <c r="K231" i="41"/>
  <c r="J231" i="41"/>
  <c r="K230" i="41"/>
  <c r="J230" i="41"/>
  <c r="K229" i="41"/>
  <c r="J229" i="41"/>
  <c r="K228" i="41"/>
  <c r="J228" i="41"/>
  <c r="K227" i="41"/>
  <c r="J227" i="41"/>
  <c r="K226" i="41"/>
  <c r="J226" i="41"/>
  <c r="K225" i="41"/>
  <c r="J225" i="41"/>
  <c r="K224" i="41"/>
  <c r="J224" i="41"/>
  <c r="K223" i="41"/>
  <c r="J223" i="41"/>
  <c r="K222" i="41"/>
  <c r="J222" i="41"/>
  <c r="K221" i="41"/>
  <c r="J221" i="41"/>
  <c r="K220" i="41"/>
  <c r="J220" i="41"/>
  <c r="K219" i="41"/>
  <c r="J219" i="41"/>
  <c r="K218" i="41"/>
  <c r="J218" i="41"/>
  <c r="K217" i="41"/>
  <c r="J217" i="41"/>
  <c r="K216" i="41"/>
  <c r="J216" i="41"/>
  <c r="K215" i="41"/>
  <c r="J215" i="41"/>
  <c r="K214" i="41"/>
  <c r="J214" i="41"/>
  <c r="K213" i="41"/>
  <c r="J213" i="41"/>
  <c r="K212" i="41"/>
  <c r="J212" i="41"/>
  <c r="K211" i="41"/>
  <c r="J211" i="41"/>
  <c r="K210" i="41"/>
  <c r="J210" i="41"/>
  <c r="K209" i="41"/>
  <c r="J209" i="41"/>
  <c r="K208" i="41"/>
  <c r="J208" i="41"/>
  <c r="K207" i="41"/>
  <c r="J207" i="41"/>
  <c r="K206" i="41"/>
  <c r="J206" i="41"/>
  <c r="K205" i="41"/>
  <c r="J205" i="41"/>
  <c r="K204" i="41"/>
  <c r="J204" i="41"/>
  <c r="K203" i="41"/>
  <c r="J203" i="41"/>
  <c r="K202" i="41"/>
  <c r="J202" i="41"/>
  <c r="K201" i="41"/>
  <c r="J201" i="41"/>
  <c r="K200" i="41"/>
  <c r="J200" i="41"/>
  <c r="K199" i="41"/>
  <c r="J199" i="41"/>
  <c r="K198" i="41"/>
  <c r="J198" i="41"/>
  <c r="K197" i="41"/>
  <c r="J197" i="41"/>
  <c r="K196" i="41"/>
  <c r="J196" i="41"/>
  <c r="K195" i="41"/>
  <c r="J195" i="41"/>
  <c r="K194" i="41"/>
  <c r="J194" i="41"/>
  <c r="K193" i="41"/>
  <c r="J193" i="41"/>
  <c r="K192" i="41"/>
  <c r="J192" i="41"/>
  <c r="K191" i="41"/>
  <c r="J191" i="41"/>
  <c r="K190" i="41"/>
  <c r="J190" i="41"/>
  <c r="K189" i="41"/>
  <c r="J189" i="41"/>
  <c r="K188" i="41"/>
  <c r="J188" i="41"/>
  <c r="K187" i="41"/>
  <c r="J187" i="41"/>
  <c r="K186" i="41"/>
  <c r="J186" i="41"/>
  <c r="K185" i="41"/>
  <c r="J185" i="41"/>
  <c r="K184" i="41"/>
  <c r="J184" i="41"/>
  <c r="K183" i="41"/>
  <c r="J183" i="41"/>
  <c r="K182" i="41"/>
  <c r="J182" i="41"/>
  <c r="K181" i="41"/>
  <c r="J181" i="41"/>
  <c r="K180" i="41"/>
  <c r="J180" i="41"/>
  <c r="K179" i="41"/>
  <c r="J179" i="41"/>
  <c r="K178" i="41"/>
  <c r="J178" i="41"/>
  <c r="K177" i="41"/>
  <c r="J177" i="41"/>
  <c r="K176" i="41"/>
  <c r="J176" i="41"/>
  <c r="K175" i="41"/>
  <c r="J175" i="41"/>
  <c r="K174" i="41"/>
  <c r="J174" i="41"/>
  <c r="K173" i="41"/>
  <c r="J173" i="41"/>
  <c r="K172" i="41"/>
  <c r="J172" i="41"/>
  <c r="K171" i="41"/>
  <c r="J171" i="41"/>
  <c r="K170" i="41"/>
  <c r="J170" i="41"/>
  <c r="K169" i="41"/>
  <c r="J169" i="41"/>
  <c r="K168" i="41"/>
  <c r="J168" i="41"/>
  <c r="K167" i="41"/>
  <c r="J167" i="41"/>
  <c r="K166" i="41"/>
  <c r="J166" i="41"/>
  <c r="K165" i="41"/>
  <c r="J165" i="41"/>
  <c r="K164" i="41"/>
  <c r="J164" i="41"/>
  <c r="K163" i="41"/>
  <c r="J163" i="41"/>
  <c r="K162" i="41"/>
  <c r="J162" i="41"/>
  <c r="K161" i="41"/>
  <c r="J161" i="41"/>
  <c r="K160" i="41"/>
  <c r="J160" i="41"/>
  <c r="K159" i="41"/>
  <c r="J159" i="41"/>
  <c r="K158" i="41"/>
  <c r="J158" i="41"/>
  <c r="K157" i="41"/>
  <c r="J157" i="41"/>
  <c r="K156" i="41"/>
  <c r="J156" i="41"/>
  <c r="K155" i="41"/>
  <c r="J155" i="41"/>
  <c r="K154" i="41"/>
  <c r="J154" i="41"/>
  <c r="K153" i="41"/>
  <c r="J153" i="41"/>
  <c r="K152" i="41"/>
  <c r="J152" i="41"/>
  <c r="K151" i="41"/>
  <c r="J151" i="41"/>
  <c r="K150" i="41"/>
  <c r="J150" i="41"/>
  <c r="K149" i="41"/>
  <c r="J149" i="41"/>
  <c r="K148" i="41"/>
  <c r="J148" i="41"/>
  <c r="K147" i="41"/>
  <c r="J147" i="41"/>
  <c r="K146" i="41"/>
  <c r="J146" i="41"/>
  <c r="K145" i="41"/>
  <c r="J145" i="41"/>
  <c r="K144" i="41"/>
  <c r="J144" i="41"/>
  <c r="K143" i="41"/>
  <c r="J143" i="41"/>
  <c r="K142" i="41"/>
  <c r="J142" i="41"/>
  <c r="K141" i="41"/>
  <c r="J141" i="41"/>
  <c r="K140" i="41"/>
  <c r="J140" i="41"/>
  <c r="K139" i="41"/>
  <c r="J139" i="41"/>
  <c r="K138" i="41"/>
  <c r="J138" i="41"/>
  <c r="K137" i="41"/>
  <c r="J137" i="41"/>
  <c r="K136" i="41"/>
  <c r="J136" i="41"/>
  <c r="K135" i="41"/>
  <c r="J135" i="41"/>
  <c r="K134" i="41"/>
  <c r="J134" i="41"/>
  <c r="K133" i="41"/>
  <c r="J133" i="41"/>
  <c r="K132" i="41"/>
  <c r="J132" i="41"/>
  <c r="K131" i="41"/>
  <c r="J131" i="41"/>
  <c r="K130" i="41"/>
  <c r="J130" i="41"/>
  <c r="K129" i="41"/>
  <c r="J129" i="41"/>
  <c r="K128" i="41"/>
  <c r="J128" i="41"/>
  <c r="K127" i="41"/>
  <c r="J127" i="41"/>
  <c r="K126" i="41"/>
  <c r="J126" i="41"/>
  <c r="K125" i="41"/>
  <c r="J125" i="41"/>
  <c r="K124" i="41"/>
  <c r="J124" i="41"/>
  <c r="K123" i="41"/>
  <c r="J123" i="41"/>
  <c r="K122" i="41"/>
  <c r="J122" i="41"/>
  <c r="K121" i="41"/>
  <c r="J121" i="41"/>
  <c r="K120" i="41"/>
  <c r="J120" i="41"/>
  <c r="K119" i="41"/>
  <c r="J119" i="41"/>
  <c r="K118" i="41"/>
  <c r="J118" i="41"/>
  <c r="K117" i="41"/>
  <c r="J117" i="41"/>
  <c r="K116" i="41"/>
  <c r="J116" i="41"/>
  <c r="K115" i="41"/>
  <c r="J115" i="41"/>
  <c r="K114" i="41"/>
  <c r="J114" i="41"/>
  <c r="K113" i="41"/>
  <c r="J113" i="41"/>
  <c r="K112" i="41"/>
  <c r="J112" i="41"/>
  <c r="K111" i="41"/>
  <c r="J111" i="41"/>
  <c r="K110" i="41"/>
  <c r="J110" i="41"/>
  <c r="K109" i="41"/>
  <c r="J109" i="41"/>
  <c r="K108" i="41"/>
  <c r="J108" i="41"/>
  <c r="K107" i="41"/>
  <c r="J107" i="41"/>
  <c r="K106" i="41"/>
  <c r="J106" i="41"/>
  <c r="K105" i="41"/>
  <c r="J105" i="41"/>
  <c r="K104" i="41"/>
  <c r="J104" i="41"/>
  <c r="K103" i="41"/>
  <c r="J103" i="41"/>
  <c r="K102" i="41"/>
  <c r="J102" i="41"/>
  <c r="K101" i="41"/>
  <c r="J101" i="41"/>
  <c r="K100" i="41"/>
  <c r="J100" i="41"/>
  <c r="K99" i="41"/>
  <c r="J99" i="41"/>
  <c r="K98" i="41"/>
  <c r="J98" i="41"/>
  <c r="K97" i="41"/>
  <c r="J97" i="41"/>
  <c r="K96" i="41"/>
  <c r="J96" i="41"/>
  <c r="K95" i="41"/>
  <c r="J95" i="41"/>
  <c r="K94" i="41"/>
  <c r="J94" i="41"/>
  <c r="K93" i="41"/>
  <c r="J93" i="41"/>
  <c r="K92" i="41"/>
  <c r="J92" i="41"/>
  <c r="K91" i="41"/>
  <c r="J91" i="41"/>
  <c r="K90" i="41"/>
  <c r="J90" i="41"/>
  <c r="K89" i="41"/>
  <c r="J89" i="41"/>
  <c r="K88" i="41"/>
  <c r="J88" i="41"/>
  <c r="K87" i="41"/>
  <c r="J87" i="41"/>
  <c r="K86" i="41"/>
  <c r="J86" i="41"/>
  <c r="K85" i="41"/>
  <c r="J85" i="41"/>
  <c r="K84" i="41"/>
  <c r="J84" i="41"/>
  <c r="K83" i="41"/>
  <c r="J83" i="41"/>
  <c r="K82" i="41"/>
  <c r="J82" i="41"/>
  <c r="K81" i="41"/>
  <c r="J81" i="41"/>
  <c r="K80" i="41"/>
  <c r="J80" i="41"/>
  <c r="K79" i="41"/>
  <c r="J79" i="41"/>
  <c r="K78" i="41"/>
  <c r="J78" i="41"/>
  <c r="K77" i="41"/>
  <c r="J77" i="41"/>
  <c r="K76" i="41"/>
  <c r="J76" i="41"/>
  <c r="K75" i="41"/>
  <c r="J75" i="41"/>
  <c r="K74" i="41"/>
  <c r="J74" i="41"/>
  <c r="K73" i="41"/>
  <c r="J73" i="41"/>
  <c r="K72" i="41"/>
  <c r="J72" i="41"/>
  <c r="K71" i="41"/>
  <c r="J71" i="41"/>
  <c r="K70" i="41"/>
  <c r="J70" i="41"/>
  <c r="K69" i="41"/>
  <c r="J69" i="41"/>
  <c r="K68" i="41"/>
  <c r="J68" i="41"/>
  <c r="K67" i="41"/>
  <c r="J67" i="41"/>
  <c r="K66" i="41"/>
  <c r="J66" i="41"/>
  <c r="K65" i="41"/>
  <c r="J65" i="41"/>
  <c r="K64" i="41"/>
  <c r="J64" i="41"/>
  <c r="K63" i="41"/>
  <c r="J63" i="41"/>
  <c r="K62" i="41"/>
  <c r="J62" i="41"/>
  <c r="K61" i="41"/>
  <c r="J61" i="41"/>
  <c r="K60" i="41"/>
  <c r="J60" i="41"/>
  <c r="K59" i="41"/>
  <c r="J59" i="41"/>
  <c r="K58" i="41"/>
  <c r="J58" i="41"/>
  <c r="K57" i="41"/>
  <c r="J57" i="41"/>
  <c r="K56" i="41"/>
  <c r="J56" i="41"/>
  <c r="K55" i="41"/>
  <c r="J55" i="41"/>
  <c r="K54" i="41"/>
  <c r="J54" i="41"/>
  <c r="K53" i="41"/>
  <c r="J53" i="41"/>
  <c r="K52" i="41"/>
  <c r="J52" i="41"/>
  <c r="K51" i="41"/>
  <c r="J51" i="41"/>
  <c r="K50" i="41"/>
  <c r="J50" i="41"/>
  <c r="K49" i="41"/>
  <c r="J49" i="41"/>
  <c r="K48" i="41"/>
  <c r="J48" i="41"/>
  <c r="K47" i="41"/>
  <c r="J47" i="41"/>
  <c r="K46" i="41"/>
  <c r="J46" i="41"/>
  <c r="K45" i="41"/>
  <c r="J45" i="41"/>
  <c r="K44" i="41"/>
  <c r="J44" i="41"/>
  <c r="K43" i="41"/>
  <c r="J43" i="41"/>
  <c r="K42" i="41"/>
  <c r="J42" i="41"/>
  <c r="K41" i="41"/>
  <c r="J41" i="41"/>
  <c r="K40" i="41"/>
  <c r="J40" i="41"/>
  <c r="K39" i="41"/>
  <c r="J39" i="41"/>
  <c r="K38" i="41"/>
  <c r="J38" i="41"/>
  <c r="K37" i="41"/>
  <c r="J37" i="41"/>
  <c r="K36" i="41"/>
  <c r="J36" i="41"/>
  <c r="K35" i="41"/>
  <c r="J35" i="41"/>
  <c r="K34" i="41"/>
  <c r="J34" i="41"/>
  <c r="K33" i="41"/>
  <c r="J33" i="41"/>
  <c r="K32" i="41"/>
  <c r="J32" i="41"/>
  <c r="K31" i="41"/>
  <c r="J31" i="41"/>
  <c r="K30" i="41"/>
  <c r="J30" i="41"/>
  <c r="K29" i="41"/>
  <c r="J29" i="41"/>
  <c r="K28" i="41"/>
  <c r="J28" i="41"/>
  <c r="K27" i="41"/>
  <c r="J27" i="41"/>
  <c r="K26" i="41"/>
  <c r="J26" i="41"/>
  <c r="K25" i="41"/>
  <c r="J25" i="41"/>
  <c r="K24" i="41"/>
  <c r="J24" i="41"/>
  <c r="K23" i="41"/>
  <c r="J23" i="41"/>
  <c r="K22" i="41"/>
  <c r="J22" i="41"/>
  <c r="K21" i="41"/>
  <c r="J21" i="41"/>
  <c r="K20" i="41"/>
  <c r="J20" i="41"/>
  <c r="K19" i="41"/>
  <c r="J19" i="41"/>
  <c r="K18" i="41"/>
  <c r="J18" i="41"/>
  <c r="K17" i="41"/>
  <c r="J17" i="41"/>
  <c r="K16" i="41"/>
  <c r="J16" i="41"/>
  <c r="K15" i="41"/>
  <c r="J15" i="41"/>
  <c r="K14" i="41"/>
  <c r="J14" i="41"/>
  <c r="K13" i="41"/>
  <c r="J13" i="41"/>
  <c r="K12" i="41"/>
  <c r="J12" i="41"/>
  <c r="K11" i="41"/>
  <c r="J11" i="41"/>
  <c r="K10" i="41"/>
  <c r="J10" i="41"/>
  <c r="K9" i="41"/>
  <c r="J9" i="41"/>
  <c r="K7" i="41"/>
  <c r="J7" i="41"/>
  <c r="K5" i="41"/>
  <c r="J5" i="41"/>
  <c r="K2" i="41"/>
  <c r="I2" i="41"/>
  <c r="H2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51" authorId="0" shapeId="0" xr:uid="{00000000-0006-0000-02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2026.3.19日发现汇皓有余额1600，查邮件发现，退回的13400应该是押金-补的租赁费。所以押金不应有余额，已和梁沟通，梁会把费用计入3月</t>
        </r>
      </text>
    </comment>
    <comment ref="E981" authorId="0" shapeId="0" xr:uid="{00000000-0006-0000-02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Gary项目，微信告知</t>
        </r>
      </text>
    </comment>
    <comment ref="L1230" authorId="0" shapeId="0" xr:uid="{00000000-0006-0000-0200-000003000000}">
      <text/>
    </comment>
    <comment ref="L1233" authorId="0" shapeId="0" xr:uid="{00000000-0006-0000-0200-000004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99" authorId="0" shapeId="0" xr:uid="{00000000-0006-0000-08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小洁合同号编重，顺延修改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81" authorId="0" shapeId="0" xr:uid="{00000000-0006-0000-09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小洁合同号编重，顺延修改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70" authorId="0" shapeId="0" xr:uid="{00000000-0006-0000-12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实际发生日期4.30日，因统计4月现金流时漏记，故计入到5月
</t>
        </r>
      </text>
    </comment>
  </commentList>
</comments>
</file>

<file path=xl/sharedStrings.xml><?xml version="1.0" encoding="utf-8"?>
<sst xmlns="http://schemas.openxmlformats.org/spreadsheetml/2006/main" count="1017" uniqueCount="102">
  <si>
    <t>单位</t>
  </si>
  <si>
    <t>活期账户</t>
  </si>
  <si>
    <t>保证金户</t>
  </si>
  <si>
    <t>外币户</t>
  </si>
  <si>
    <t>合计</t>
  </si>
  <si>
    <t>迈本石家庄招行</t>
  </si>
  <si>
    <t>迈本石家庄交行</t>
  </si>
  <si>
    <t>迈本石家庄建行</t>
  </si>
  <si>
    <t>石家庄仪器</t>
  </si>
  <si>
    <t>迈本沈阳</t>
  </si>
  <si>
    <t>迈本成都</t>
  </si>
  <si>
    <t>迈本上海</t>
  </si>
  <si>
    <t>迈本苏州</t>
  </si>
  <si>
    <t>北V</t>
  </si>
  <si>
    <t>澳强苏州</t>
  </si>
  <si>
    <t>澳强长春</t>
  </si>
  <si>
    <t>义岭</t>
  </si>
  <si>
    <t>迪青</t>
  </si>
  <si>
    <t>吉宙</t>
  </si>
  <si>
    <t>天津富麦</t>
  </si>
  <si>
    <t>承兑</t>
  </si>
  <si>
    <t>余额</t>
  </si>
  <si>
    <t>迈本石家庄</t>
  </si>
  <si>
    <t>迈本仪器</t>
  </si>
  <si>
    <t>银行存款日记账</t>
  </si>
  <si>
    <t>单位名称：迈本石家庄医药科技有限公司                                     单位：元</t>
  </si>
  <si>
    <t>备注</t>
  </si>
  <si>
    <t>年</t>
  </si>
  <si>
    <t>月</t>
  </si>
  <si>
    <t>日</t>
  </si>
  <si>
    <t>摘要</t>
  </si>
  <si>
    <t>明细摘要</t>
  </si>
  <si>
    <t>对方科目</t>
  </si>
  <si>
    <t>现金流备注</t>
  </si>
  <si>
    <t>收入</t>
  </si>
  <si>
    <t>支出</t>
  </si>
  <si>
    <t>方向</t>
  </si>
  <si>
    <t>业务类别</t>
  </si>
  <si>
    <t>测试期初余额</t>
  </si>
  <si>
    <t>借</t>
  </si>
  <si>
    <t>测试收入</t>
  </si>
  <si>
    <t>主营业务收入</t>
  </si>
  <si>
    <t>业务收款</t>
  </si>
  <si>
    <t>测试管理费用</t>
  </si>
  <si>
    <t>管理费用</t>
  </si>
  <si>
    <t>测试支出</t>
  </si>
  <si>
    <t>预付账款</t>
  </si>
  <si>
    <t>业务付款</t>
  </si>
  <si>
    <t>测试手续费</t>
  </si>
  <si>
    <t>财务费用</t>
  </si>
  <si>
    <t>单位名称：迈本(交行)                             单位：元</t>
  </si>
  <si>
    <t>现金流流量表</t>
  </si>
  <si>
    <t>单位名称：迈本（建行）                             单位：元</t>
  </si>
  <si>
    <t>单位名称：迈本（建行）                             单位：欧元</t>
  </si>
  <si>
    <t>单位名称：迈本（保证金）                             单位：元</t>
  </si>
  <si>
    <t>存入保证金</t>
  </si>
  <si>
    <t>银行存款</t>
  </si>
  <si>
    <t>内转</t>
  </si>
  <si>
    <t>保证金解冻转入基本户</t>
  </si>
  <si>
    <t>单位名称：迈本石家庄（承兑）                             单位：元</t>
  </si>
  <si>
    <t>单位名称：仪器                             单位：元</t>
  </si>
  <si>
    <t>业务类型</t>
  </si>
  <si>
    <t>单位名称：仪器   （数币）                          单位：元</t>
  </si>
  <si>
    <t>单位名称：迈本仪器（承兑）                             单位：元</t>
  </si>
  <si>
    <t>单位名称：北京威客特瑞医药科技有限公司                                      单位：元</t>
  </si>
  <si>
    <t>发票情况</t>
  </si>
  <si>
    <t>单位名称：迈本（成都）医药科技有限公司                            单位：元</t>
  </si>
  <si>
    <t>单位名称：迈本成都（承兑）                             单位：元</t>
  </si>
  <si>
    <t>单位名称：迈本沈阳                             单位：元</t>
  </si>
  <si>
    <t>现金流量备注</t>
  </si>
  <si>
    <t>单位名称：迈本沈阳（承兑）                             单位：元</t>
  </si>
  <si>
    <t>单位名称：迈本（苏州）医药科技有限公司                                单位：元</t>
  </si>
  <si>
    <t>单位名称：迈本苏州（承兑）                             单位：元</t>
  </si>
  <si>
    <t>单位名称：澳强长春                            单位：元</t>
  </si>
  <si>
    <t>现金流量表备注</t>
  </si>
  <si>
    <t>期初余额</t>
  </si>
  <si>
    <t>单位名称：澳强苏州                             单位：元</t>
  </si>
  <si>
    <t>单位名称：天津富麦                               单位：元</t>
  </si>
  <si>
    <t>单位名称：迪青                           单位：元</t>
  </si>
  <si>
    <t>财务费分摊</t>
  </si>
  <si>
    <t>管理公摊</t>
  </si>
  <si>
    <t>单位名称：义岭                             单位：元</t>
  </si>
  <si>
    <t>单位名称：沛能                             单位：元</t>
  </si>
  <si>
    <t>单位名称：现金                       单位：元</t>
  </si>
  <si>
    <t>单位名称：康丽进（现金）                           单位：元</t>
  </si>
  <si>
    <t>单位名称：吴利君                          单位：元</t>
  </si>
  <si>
    <t>单位名称：马蕾                          单位：元</t>
  </si>
  <si>
    <t>单位名称：王建肖                          单位：元</t>
  </si>
  <si>
    <t>单位名称：白秀敏                         单位：元</t>
  </si>
  <si>
    <t>单位名称：雷朝霞                         单位：元</t>
  </si>
  <si>
    <t>单位名称：李冬日                         单位：元</t>
  </si>
  <si>
    <t>单位名称：佟丽                            单位：元</t>
  </si>
  <si>
    <t>单位名称：雷杰                            单位：元</t>
  </si>
  <si>
    <t>单位名称：晟才                          单位：元</t>
  </si>
  <si>
    <t>单位名称：马义岭                            单位：元</t>
  </si>
  <si>
    <t>单位名称：刘勇                            单位：元</t>
  </si>
  <si>
    <t>期初</t>
  </si>
  <si>
    <t>单位名称：王茜                          单位：元</t>
  </si>
  <si>
    <t>单位名称：李晓东    开户行 ： 石家庄和平天河支行            账号： 6222020402005539497        单位：元</t>
  </si>
  <si>
    <t>结息</t>
  </si>
  <si>
    <t>单位名称：刘硕             单位：元       卡号：6217991210026875716   开户行：石家庄市红石原著营业所  身份证号130682198509127833 手机号 17330071015</t>
  </si>
  <si>
    <t>现金流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</si>
</sst>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8" formatCode="#,##0.00_ "/>
  </numFmts>
  <fonts count="23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080A0D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宋体"/>
      <charset val="134"/>
      <scheme val="minor"/>
    </font>
    <font>
      <sz val="10.5"/>
      <name val="宋体"/>
      <charset val="134"/>
    </font>
    <font>
      <sz val="10.5"/>
      <color rgb="FF0A0C10"/>
      <name val="Segoe UI"/>
      <family val="2"/>
    </font>
    <font>
      <sz val="10.5"/>
      <color rgb="FF0A0C10"/>
      <name val="宋体"/>
      <charset val="134"/>
    </font>
    <font>
      <sz val="10"/>
      <color rgb="FF242424"/>
      <name val="Arial"/>
      <family val="2"/>
    </font>
    <font>
      <b/>
      <sz val="11"/>
      <color rgb="FFFF0000"/>
      <name val="宋体"/>
      <charset val="134"/>
      <scheme val="minor"/>
    </font>
    <font>
      <sz val="9"/>
      <color rgb="FF000000"/>
      <name val="微软雅黑"/>
      <charset val="134"/>
    </font>
    <font>
      <sz val="9.75"/>
      <color rgb="FF000000"/>
      <name val="Helvetica"/>
      <family val="2"/>
    </font>
    <font>
      <sz val="11"/>
      <color rgb="FFFF0000"/>
      <name val="宋体"/>
      <charset val="134"/>
      <scheme val="minor"/>
    </font>
    <font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family val="2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8" fillId="0" borderId="0">
      <alignment vertical="center"/>
    </xf>
    <xf numFmtId="0" fontId="17" fillId="0" borderId="0"/>
    <xf numFmtId="0" fontId="19" fillId="0" borderId="0"/>
    <xf numFmtId="0" fontId="17" fillId="0" borderId="0">
      <alignment vertical="center"/>
    </xf>
  </cellStyleXfs>
  <cellXfs count="109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4" fontId="0" fillId="0" borderId="1" xfId="0" applyNumberFormat="1" applyBorder="1">
      <alignment vertical="center"/>
    </xf>
    <xf numFmtId="4" fontId="0" fillId="0" borderId="1" xfId="0" applyNumberFormat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  <xf numFmtId="178" fontId="0" fillId="0" borderId="2" xfId="0" applyNumberFormat="1" applyBorder="1" applyAlignment="1"/>
    <xf numFmtId="0" fontId="0" fillId="0" borderId="0" xfId="0" applyAlignment="1">
      <alignment horizontal="left" vertical="center" wrapText="1"/>
    </xf>
    <xf numFmtId="178" fontId="0" fillId="0" borderId="2" xfId="0" applyNumberFormat="1" applyBorder="1">
      <alignment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/>
    <xf numFmtId="14" fontId="0" fillId="0" borderId="1" xfId="0" applyNumberFormat="1" applyBorder="1">
      <alignment vertical="center"/>
    </xf>
    <xf numFmtId="21" fontId="0" fillId="0" borderId="1" xfId="0" applyNumberFormat="1" applyBorder="1">
      <alignment vertical="center"/>
    </xf>
    <xf numFmtId="49" fontId="0" fillId="0" borderId="1" xfId="0" applyNumberFormat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78" fontId="0" fillId="2" borderId="1" xfId="0" applyNumberFormat="1" applyFill="1" applyBorder="1">
      <alignment vertical="center"/>
    </xf>
    <xf numFmtId="0" fontId="9" fillId="0" borderId="1" xfId="0" applyFont="1" applyBorder="1">
      <alignment vertical="center"/>
    </xf>
    <xf numFmtId="43" fontId="0" fillId="0" borderId="1" xfId="0" applyNumberFormat="1" applyBorder="1">
      <alignment vertical="center"/>
    </xf>
    <xf numFmtId="0" fontId="5" fillId="0" borderId="1" xfId="0" applyFont="1" applyBorder="1">
      <alignment vertical="center"/>
    </xf>
    <xf numFmtId="4" fontId="0" fillId="0" borderId="0" xfId="0" applyNumberFormat="1">
      <alignment vertical="center"/>
    </xf>
    <xf numFmtId="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8" fontId="0" fillId="0" borderId="3" xfId="0" applyNumberFormat="1" applyBorder="1" applyAlignment="1"/>
    <xf numFmtId="4" fontId="0" fillId="0" borderId="0" xfId="0" applyNumberFormat="1" applyAlignment="1">
      <alignment vertical="center" wrapText="1"/>
    </xf>
    <xf numFmtId="178" fontId="0" fillId="0" borderId="4" xfId="0" applyNumberFormat="1" applyBorder="1" applyAlignment="1"/>
    <xf numFmtId="4" fontId="11" fillId="0" borderId="1" xfId="0" applyNumberFormat="1" applyFont="1" applyBorder="1">
      <alignment vertical="center"/>
    </xf>
    <xf numFmtId="0" fontId="12" fillId="0" borderId="1" xfId="0" applyFont="1" applyBorder="1">
      <alignment vertical="center"/>
    </xf>
    <xf numFmtId="0" fontId="13" fillId="0" borderId="0" xfId="0" applyFont="1">
      <alignment vertical="center"/>
    </xf>
    <xf numFmtId="0" fontId="0" fillId="3" borderId="0" xfId="0" applyFill="1" applyAlignment="1">
      <alignment vertical="center" wrapText="1"/>
    </xf>
    <xf numFmtId="0" fontId="3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4" fillId="0" borderId="0" xfId="0" applyFont="1">
      <alignment vertical="center"/>
    </xf>
    <xf numFmtId="0" fontId="0" fillId="0" borderId="1" xfId="0" applyBorder="1" applyAlignment="1"/>
    <xf numFmtId="0" fontId="0" fillId="4" borderId="0" xfId="0" applyFill="1">
      <alignment vertical="center"/>
    </xf>
    <xf numFmtId="0" fontId="1" fillId="0" borderId="5" xfId="0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178" fontId="0" fillId="0" borderId="5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178" fontId="0" fillId="0" borderId="7" xfId="0" applyNumberFormat="1" applyBorder="1" applyAlignment="1"/>
    <xf numFmtId="0" fontId="0" fillId="0" borderId="10" xfId="0" applyBorder="1" applyAlignment="1">
      <alignment horizontal="center" vertical="center"/>
    </xf>
    <xf numFmtId="0" fontId="0" fillId="0" borderId="2" xfId="0" applyBorder="1">
      <alignment vertical="center"/>
    </xf>
    <xf numFmtId="0" fontId="15" fillId="0" borderId="6" xfId="0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5" borderId="6" xfId="0" applyFill="1" applyBorder="1">
      <alignment vertical="center"/>
    </xf>
    <xf numFmtId="0" fontId="2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0" fillId="5" borderId="8" xfId="0" applyFill="1" applyBorder="1">
      <alignment vertical="center"/>
    </xf>
    <xf numFmtId="0" fontId="0" fillId="0" borderId="11" xfId="0" applyBorder="1">
      <alignment vertical="center"/>
    </xf>
    <xf numFmtId="178" fontId="0" fillId="0" borderId="12" xfId="0" applyNumberFormat="1" applyBorder="1" applyAlignment="1"/>
    <xf numFmtId="0" fontId="0" fillId="6" borderId="6" xfId="0" applyFill="1" applyBorder="1">
      <alignment vertical="center"/>
    </xf>
    <xf numFmtId="0" fontId="0" fillId="0" borderId="7" xfId="0" applyBorder="1">
      <alignment vertical="center"/>
    </xf>
    <xf numFmtId="0" fontId="2" fillId="2" borderId="0" xfId="0" applyFont="1" applyFill="1">
      <alignment vertical="center"/>
    </xf>
    <xf numFmtId="0" fontId="0" fillId="0" borderId="14" xfId="0" applyBorder="1">
      <alignment vertical="center"/>
    </xf>
    <xf numFmtId="178" fontId="0" fillId="0" borderId="14" xfId="0" applyNumberFormat="1" applyBorder="1">
      <alignment vertical="center"/>
    </xf>
    <xf numFmtId="0" fontId="2" fillId="0" borderId="0" xfId="0" applyFont="1">
      <alignment vertical="center"/>
    </xf>
    <xf numFmtId="178" fontId="2" fillId="0" borderId="2" xfId="0" applyNumberFormat="1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6" borderId="0" xfId="0" applyFill="1">
      <alignment vertical="center"/>
    </xf>
    <xf numFmtId="43" fontId="0" fillId="0" borderId="0" xfId="0" applyNumberFormat="1">
      <alignment vertical="center"/>
    </xf>
    <xf numFmtId="4" fontId="2" fillId="0" borderId="0" xfId="0" applyNumberFormat="1" applyFont="1">
      <alignment vertical="center"/>
    </xf>
    <xf numFmtId="43" fontId="0" fillId="0" borderId="0" xfId="0" applyNumberFormat="1" applyAlignment="1">
      <alignment horizontal="center" vertical="center"/>
    </xf>
    <xf numFmtId="43" fontId="2" fillId="0" borderId="0" xfId="0" applyNumberFormat="1" applyFont="1">
      <alignment vertical="center"/>
    </xf>
    <xf numFmtId="43" fontId="16" fillId="0" borderId="0" xfId="0" applyNumberFormat="1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top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</cellXfs>
  <cellStyles count="5">
    <cellStyle name="Normal" xfId="3" xr:uid="{00000000-0005-0000-0000-000033000000}"/>
    <cellStyle name="常规" xfId="0" builtinId="0"/>
    <cellStyle name="常规 2" xfId="2" xr:uid="{00000000-0005-0000-0000-000032000000}"/>
    <cellStyle name="常规 2 2" xfId="4" xr:uid="{00000000-0005-0000-0000-000034000000}"/>
    <cellStyle name="常规 3" xfId="1" xr:uid="{00000000-0005-0000-0000-000031000000}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00B0F0"/>
      <color rgb="FF92D05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workbookViewId="0">
      <selection activeCell="I13" sqref="I13"/>
    </sheetView>
  </sheetViews>
  <sheetFormatPr defaultColWidth="9" defaultRowHeight="13.5" x14ac:dyDescent="0.15"/>
  <cols>
    <col min="1" max="1" width="15.25" customWidth="1"/>
    <col min="2" max="2" width="17.75" style="80" customWidth="1"/>
    <col min="3" max="4" width="16.625" style="80" customWidth="1"/>
    <col min="5" max="5" width="17.25" customWidth="1"/>
    <col min="6" max="6" width="11.5"/>
    <col min="8" max="8" width="16.875" customWidth="1"/>
    <col min="9" max="9" width="12" customWidth="1"/>
    <col min="10" max="10" width="12.5" customWidth="1"/>
    <col min="11" max="11" width="15.75" customWidth="1"/>
    <col min="12" max="12" width="11.375" customWidth="1"/>
  </cols>
  <sheetData>
    <row r="1" spans="1:8" x14ac:dyDescent="0.15">
      <c r="A1" t="s">
        <v>0</v>
      </c>
      <c r="B1" s="80" t="s">
        <v>1</v>
      </c>
      <c r="C1" s="80" t="s">
        <v>2</v>
      </c>
      <c r="D1" s="80" t="s">
        <v>3</v>
      </c>
      <c r="E1" t="s">
        <v>4</v>
      </c>
    </row>
    <row r="2" spans="1:8" x14ac:dyDescent="0.15">
      <c r="A2" t="s">
        <v>5</v>
      </c>
      <c r="C2"/>
      <c r="D2"/>
      <c r="E2" s="80"/>
      <c r="H2" s="81"/>
    </row>
    <row r="3" spans="1:8" x14ac:dyDescent="0.15">
      <c r="A3" t="s">
        <v>6</v>
      </c>
      <c r="C3"/>
      <c r="D3"/>
      <c r="H3" s="38"/>
    </row>
    <row r="4" spans="1:8" x14ac:dyDescent="0.15">
      <c r="A4" t="s">
        <v>7</v>
      </c>
      <c r="C4"/>
      <c r="D4"/>
    </row>
    <row r="5" spans="1:8" x14ac:dyDescent="0.15">
      <c r="A5" t="s">
        <v>8</v>
      </c>
      <c r="C5"/>
      <c r="D5"/>
    </row>
    <row r="6" spans="1:8" x14ac:dyDescent="0.15">
      <c r="A6" t="s">
        <v>9</v>
      </c>
      <c r="C6"/>
      <c r="D6"/>
    </row>
    <row r="7" spans="1:8" x14ac:dyDescent="0.15">
      <c r="A7" t="s">
        <v>10</v>
      </c>
      <c r="C7"/>
      <c r="D7"/>
    </row>
    <row r="8" spans="1:8" x14ac:dyDescent="0.15">
      <c r="A8" t="s">
        <v>11</v>
      </c>
      <c r="C8"/>
      <c r="D8"/>
    </row>
    <row r="9" spans="1:8" x14ac:dyDescent="0.15">
      <c r="A9" t="s">
        <v>12</v>
      </c>
      <c r="C9"/>
      <c r="D9"/>
    </row>
    <row r="10" spans="1:8" x14ac:dyDescent="0.15">
      <c r="A10" t="s">
        <v>13</v>
      </c>
      <c r="B10" s="82"/>
      <c r="C10"/>
      <c r="D10"/>
    </row>
    <row r="11" spans="1:8" x14ac:dyDescent="0.15">
      <c r="A11" t="s">
        <v>14</v>
      </c>
      <c r="C11"/>
      <c r="D11"/>
    </row>
    <row r="12" spans="1:8" x14ac:dyDescent="0.15">
      <c r="A12" t="s">
        <v>15</v>
      </c>
      <c r="C12"/>
      <c r="D12"/>
    </row>
    <row r="13" spans="1:8" x14ac:dyDescent="0.15">
      <c r="A13" t="s">
        <v>16</v>
      </c>
      <c r="B13" s="83"/>
      <c r="C13"/>
      <c r="D13"/>
    </row>
    <row r="14" spans="1:8" x14ac:dyDescent="0.15">
      <c r="A14" t="s">
        <v>17</v>
      </c>
      <c r="C14"/>
      <c r="D14"/>
    </row>
    <row r="15" spans="1:8" x14ac:dyDescent="0.15">
      <c r="A15" t="s">
        <v>18</v>
      </c>
      <c r="C15"/>
      <c r="D15"/>
    </row>
    <row r="16" spans="1:8" x14ac:dyDescent="0.15">
      <c r="A16" t="s">
        <v>19</v>
      </c>
      <c r="C16"/>
      <c r="D16"/>
    </row>
    <row r="17" spans="1:12" x14ac:dyDescent="0.15">
      <c r="A17" t="s">
        <v>20</v>
      </c>
      <c r="C17"/>
      <c r="D17"/>
    </row>
    <row r="18" spans="1:12" x14ac:dyDescent="0.15">
      <c r="C18"/>
      <c r="D18"/>
      <c r="I18" s="80"/>
    </row>
    <row r="19" spans="1:12" x14ac:dyDescent="0.15">
      <c r="C19"/>
      <c r="D19"/>
    </row>
    <row r="20" spans="1:12" x14ac:dyDescent="0.15">
      <c r="C20"/>
      <c r="D20"/>
    </row>
    <row r="22" spans="1:12" x14ac:dyDescent="0.15">
      <c r="H22" s="38"/>
      <c r="K22" s="80"/>
      <c r="L22" s="80"/>
    </row>
    <row r="24" spans="1:12" x14ac:dyDescent="0.15">
      <c r="L24" s="80"/>
    </row>
    <row r="25" spans="1:12" x14ac:dyDescent="0.15">
      <c r="L25" s="80"/>
    </row>
    <row r="26" spans="1:12" x14ac:dyDescent="0.15">
      <c r="C26" s="84"/>
      <c r="D26" s="84"/>
      <c r="E26" s="80"/>
      <c r="H26" s="81"/>
    </row>
    <row r="27" spans="1:12" x14ac:dyDescent="0.15">
      <c r="H27" s="38"/>
    </row>
    <row r="28" spans="1:12" x14ac:dyDescent="0.15">
      <c r="C28" s="84"/>
      <c r="D28" s="84"/>
      <c r="E28" s="80"/>
      <c r="H28" s="81"/>
    </row>
    <row r="29" spans="1:12" x14ac:dyDescent="0.15">
      <c r="H29" s="38"/>
    </row>
    <row r="33" spans="2:9" x14ac:dyDescent="0.15">
      <c r="B33" s="83"/>
    </row>
    <row r="38" spans="2:9" x14ac:dyDescent="0.15">
      <c r="B38" s="82"/>
    </row>
    <row r="42" spans="2:9" x14ac:dyDescent="0.15">
      <c r="B42" s="83"/>
    </row>
    <row r="47" spans="2:9" x14ac:dyDescent="0.15">
      <c r="I47" s="80"/>
    </row>
  </sheetData>
  <phoneticPr fontId="22" type="noConversion"/>
  <conditionalFormatting sqref="A1:I1 A52:I52">
    <cfRule type="duplicateValues" dxfId="1" priority="5"/>
  </conditionalFormatting>
  <conditionalFormatting sqref="A2:I2 A3:A22 A23:I51">
    <cfRule type="duplicateValues" dxfId="0" priority="6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J20" sqref="J20"/>
    </sheetView>
  </sheetViews>
  <sheetFormatPr defaultColWidth="9" defaultRowHeight="13.5" x14ac:dyDescent="0.15"/>
  <cols>
    <col min="1" max="1" width="13.5" customWidth="1"/>
    <col min="2" max="2" width="13.375" customWidth="1"/>
  </cols>
  <sheetData>
    <row r="1" spans="1:2" x14ac:dyDescent="0.15">
      <c r="A1" t="s">
        <v>0</v>
      </c>
      <c r="B1" t="s">
        <v>21</v>
      </c>
    </row>
    <row r="2" spans="1:2" x14ac:dyDescent="0.15">
      <c r="A2" t="s">
        <v>22</v>
      </c>
    </row>
    <row r="3" spans="1:2" x14ac:dyDescent="0.15">
      <c r="A3" t="s">
        <v>23</v>
      </c>
    </row>
    <row r="4" spans="1:2" x14ac:dyDescent="0.15">
      <c r="A4" t="s">
        <v>10</v>
      </c>
    </row>
    <row r="5" spans="1:2" x14ac:dyDescent="0.15">
      <c r="A5" t="s">
        <v>9</v>
      </c>
    </row>
    <row r="6" spans="1:2" x14ac:dyDescent="0.15">
      <c r="A6" t="s">
        <v>12</v>
      </c>
    </row>
    <row r="7" spans="1:2" x14ac:dyDescent="0.15">
      <c r="A7" t="s">
        <v>4</v>
      </c>
    </row>
  </sheetData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02"/>
  <sheetViews>
    <sheetView tabSelected="1" topLeftCell="H1" zoomScale="115" zoomScaleNormal="115" workbookViewId="0">
      <selection activeCell="M9" sqref="M9"/>
    </sheetView>
  </sheetViews>
  <sheetFormatPr defaultColWidth="9" defaultRowHeight="13.5" x14ac:dyDescent="0.15"/>
  <cols>
    <col min="1" max="1" width="5.125" customWidth="1"/>
    <col min="2" max="2" width="2.75" customWidth="1"/>
    <col min="3" max="3" width="2.625" customWidth="1"/>
    <col min="4" max="4" width="43.75" customWidth="1"/>
    <col min="5" max="5" width="29.25" customWidth="1"/>
    <col min="6" max="6" width="15" customWidth="1"/>
    <col min="7" max="7" width="17.125" customWidth="1"/>
    <col min="8" max="9" width="16" style="1" customWidth="1"/>
    <col min="10" max="10" width="6.375" style="1" customWidth="1"/>
    <col min="11" max="11" width="15.75" customWidth="1"/>
    <col min="12" max="12" width="20" customWidth="1"/>
    <col min="13" max="13" width="27.75" customWidth="1"/>
  </cols>
  <sheetData>
    <row r="1" spans="1:13" ht="20.100000000000001" customHeight="1" x14ac:dyDescent="0.15">
      <c r="A1" s="2" t="s">
        <v>24</v>
      </c>
      <c r="B1" s="53"/>
      <c r="C1" s="53"/>
      <c r="D1" s="53"/>
      <c r="E1" s="53"/>
      <c r="F1" s="53"/>
      <c r="G1" s="53"/>
      <c r="H1" s="54"/>
      <c r="I1" s="54"/>
      <c r="J1" s="54"/>
      <c r="K1" s="53"/>
      <c r="L1" s="53"/>
      <c r="M1" s="55"/>
    </row>
    <row r="2" spans="1:13" ht="20.100000000000001" customHeight="1" x14ac:dyDescent="0.15">
      <c r="A2" t="s">
        <v>25</v>
      </c>
      <c r="B2" s="56"/>
      <c r="C2" s="56"/>
      <c r="D2" s="56"/>
      <c r="E2" s="56"/>
      <c r="F2" s="56"/>
      <c r="G2" s="56"/>
      <c r="H2" s="57">
        <f>SUM(H4:H190064)</f>
        <v>10000</v>
      </c>
      <c r="I2" s="57">
        <f>SUM(I4:I190064)</f>
        <v>10110</v>
      </c>
      <c r="J2" s="57"/>
      <c r="K2" s="56">
        <f>K4+H2-I2</f>
        <v>11001</v>
      </c>
      <c r="L2" s="56"/>
      <c r="M2" s="55" t="s">
        <v>26</v>
      </c>
    </row>
    <row r="3" spans="1:13" ht="20.100000000000001" customHeight="1" x14ac:dyDescent="0.15">
      <c r="A3" s="27" t="s">
        <v>27</v>
      </c>
      <c r="B3" s="58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6" t="s">
        <v>34</v>
      </c>
      <c r="I3" s="6" t="s">
        <v>35</v>
      </c>
      <c r="J3" s="6" t="s">
        <v>36</v>
      </c>
      <c r="K3" s="5"/>
      <c r="L3" s="58" t="s">
        <v>37</v>
      </c>
      <c r="M3" s="55"/>
    </row>
    <row r="4" spans="1:13" ht="20.100000000000001" customHeight="1" x14ac:dyDescent="0.15">
      <c r="A4" s="27">
        <v>2026</v>
      </c>
      <c r="B4" s="58">
        <v>1</v>
      </c>
      <c r="C4" s="5">
        <v>1</v>
      </c>
      <c r="D4" s="7" t="s">
        <v>38</v>
      </c>
      <c r="E4" s="7"/>
      <c r="F4" s="7"/>
      <c r="G4" s="7"/>
      <c r="H4" s="8"/>
      <c r="I4" s="8"/>
      <c r="J4" s="8" t="s">
        <v>39</v>
      </c>
      <c r="K4" s="9">
        <v>11111</v>
      </c>
      <c r="L4" s="59"/>
      <c r="M4" s="55"/>
    </row>
    <row r="5" spans="1:13" ht="20.100000000000001" customHeight="1" x14ac:dyDescent="0.15">
      <c r="A5" s="27"/>
      <c r="B5" s="58">
        <v>2</v>
      </c>
      <c r="C5" s="5">
        <v>2</v>
      </c>
      <c r="D5" s="48" t="s">
        <v>40</v>
      </c>
      <c r="E5" s="10"/>
      <c r="F5" s="10" t="s">
        <v>41</v>
      </c>
      <c r="G5" s="7" t="s">
        <v>42</v>
      </c>
      <c r="H5" s="8">
        <v>10000</v>
      </c>
      <c r="I5" s="8"/>
      <c r="J5" s="8" t="str">
        <f>IF((K4+H5-I5)&gt;0,"借","贷")</f>
        <v>借</v>
      </c>
      <c r="K5" s="9">
        <f>K4+H5-I5</f>
        <v>21111</v>
      </c>
      <c r="L5" s="59"/>
      <c r="M5" s="55"/>
    </row>
    <row r="6" spans="1:13" ht="20.100000000000001" customHeight="1" x14ac:dyDescent="0.15">
      <c r="A6" s="27"/>
      <c r="B6" s="58">
        <v>2</v>
      </c>
      <c r="C6" s="5">
        <v>3</v>
      </c>
      <c r="D6" s="48" t="s">
        <v>43</v>
      </c>
      <c r="E6" s="10"/>
      <c r="F6" s="10" t="s">
        <v>44</v>
      </c>
      <c r="G6" s="7" t="s">
        <v>44</v>
      </c>
      <c r="H6" s="8"/>
      <c r="I6" s="8">
        <v>100</v>
      </c>
      <c r="J6" s="8" t="s">
        <v>39</v>
      </c>
      <c r="K6" s="9">
        <v>11112</v>
      </c>
      <c r="L6" s="59"/>
      <c r="M6" s="55"/>
    </row>
    <row r="7" spans="1:13" ht="20.100000000000001" customHeight="1" x14ac:dyDescent="0.15">
      <c r="A7" s="27"/>
      <c r="B7" s="58">
        <v>2</v>
      </c>
      <c r="C7" s="5">
        <v>4</v>
      </c>
      <c r="D7" s="10" t="s">
        <v>45</v>
      </c>
      <c r="E7" s="10"/>
      <c r="F7" s="10" t="s">
        <v>46</v>
      </c>
      <c r="G7" s="7" t="s">
        <v>47</v>
      </c>
      <c r="H7" s="8"/>
      <c r="I7" s="8">
        <v>10000</v>
      </c>
      <c r="J7" s="8" t="str">
        <f>IF((K6+H7-I7)&gt;0,"借","贷")</f>
        <v>借</v>
      </c>
      <c r="K7" s="9">
        <f>K6+H7-I7</f>
        <v>1112</v>
      </c>
      <c r="L7" s="59"/>
      <c r="M7" s="55"/>
    </row>
    <row r="8" spans="1:13" ht="20.100000000000001" customHeight="1" x14ac:dyDescent="0.15">
      <c r="A8" s="27"/>
      <c r="B8" s="58">
        <v>2</v>
      </c>
      <c r="C8" s="5">
        <v>5</v>
      </c>
      <c r="D8" s="10" t="s">
        <v>48</v>
      </c>
      <c r="E8" s="10"/>
      <c r="F8" s="10" t="s">
        <v>49</v>
      </c>
      <c r="G8" s="7" t="s">
        <v>49</v>
      </c>
      <c r="H8" s="8"/>
      <c r="I8" s="8">
        <v>10</v>
      </c>
      <c r="J8" s="8" t="s">
        <v>39</v>
      </c>
      <c r="K8" s="9">
        <v>11113</v>
      </c>
      <c r="L8" s="59"/>
      <c r="M8" s="55"/>
    </row>
    <row r="9" spans="1:13" ht="20.100000000000001" customHeight="1" x14ac:dyDescent="0.15">
      <c r="A9" s="27"/>
      <c r="B9" s="58"/>
      <c r="C9" s="5"/>
      <c r="D9" s="10"/>
      <c r="E9" s="10"/>
      <c r="F9" s="10"/>
      <c r="G9" s="7"/>
      <c r="H9" s="8"/>
      <c r="I9" s="8"/>
      <c r="J9" s="8" t="str">
        <f>IF((K8+H9-I9)&gt;0,"借","贷")</f>
        <v>借</v>
      </c>
      <c r="K9" s="9">
        <f>K8+H9-I9</f>
        <v>11113</v>
      </c>
      <c r="L9" s="59"/>
      <c r="M9" s="55"/>
    </row>
    <row r="10" spans="1:13" ht="20.100000000000001" customHeight="1" x14ac:dyDescent="0.15">
      <c r="A10" s="27"/>
      <c r="B10" s="58"/>
      <c r="C10" s="5"/>
      <c r="D10" s="10"/>
      <c r="E10" s="10"/>
      <c r="F10" s="10"/>
      <c r="G10" s="7"/>
      <c r="H10" s="8"/>
      <c r="I10" s="8"/>
      <c r="J10" s="8" t="str">
        <f t="shared" ref="J10:J40" si="0">IF((K9+H10-I10)&gt;0,"借","贷")</f>
        <v>借</v>
      </c>
      <c r="K10" s="9">
        <f t="shared" ref="K10:K40" si="1">K9+H10-I10</f>
        <v>11113</v>
      </c>
      <c r="L10" s="59"/>
      <c r="M10" s="55"/>
    </row>
    <row r="11" spans="1:13" ht="20.100000000000001" customHeight="1" x14ac:dyDescent="0.15">
      <c r="A11" s="27"/>
      <c r="B11" s="58"/>
      <c r="C11" s="5"/>
      <c r="D11" s="10"/>
      <c r="E11" s="10"/>
      <c r="F11" s="10"/>
      <c r="G11" s="7"/>
      <c r="H11" s="8"/>
      <c r="I11" s="8"/>
      <c r="J11" s="8" t="str">
        <f t="shared" si="0"/>
        <v>借</v>
      </c>
      <c r="K11" s="9">
        <f t="shared" si="1"/>
        <v>11113</v>
      </c>
      <c r="L11" s="59"/>
      <c r="M11" s="55"/>
    </row>
    <row r="12" spans="1:13" ht="20.100000000000001" customHeight="1" x14ac:dyDescent="0.15">
      <c r="A12" s="27"/>
      <c r="B12" s="58"/>
      <c r="C12" s="5"/>
      <c r="D12" s="10"/>
      <c r="E12" s="10"/>
      <c r="F12" s="10"/>
      <c r="G12" s="7"/>
      <c r="H12" s="8"/>
      <c r="I12" s="8"/>
      <c r="J12" s="8" t="str">
        <f t="shared" si="0"/>
        <v>借</v>
      </c>
      <c r="K12" s="9">
        <f t="shared" si="1"/>
        <v>11113</v>
      </c>
      <c r="L12" s="59"/>
      <c r="M12" s="55"/>
    </row>
    <row r="13" spans="1:13" ht="20.100000000000001" customHeight="1" x14ac:dyDescent="0.15">
      <c r="A13" s="27"/>
      <c r="B13" s="58"/>
      <c r="C13" s="5"/>
      <c r="D13" s="10"/>
      <c r="E13" s="10"/>
      <c r="F13" s="10"/>
      <c r="G13" s="7"/>
      <c r="H13" s="8"/>
      <c r="I13" s="8"/>
      <c r="J13" s="8" t="str">
        <f t="shared" si="0"/>
        <v>借</v>
      </c>
      <c r="K13" s="9">
        <f t="shared" si="1"/>
        <v>11113</v>
      </c>
      <c r="L13" s="59"/>
      <c r="M13" s="55"/>
    </row>
    <row r="14" spans="1:13" ht="20.100000000000001" customHeight="1" x14ac:dyDescent="0.15">
      <c r="A14" s="27"/>
      <c r="B14" s="58"/>
      <c r="C14" s="5"/>
      <c r="D14" s="10"/>
      <c r="E14" s="10"/>
      <c r="F14" s="10"/>
      <c r="G14" s="7"/>
      <c r="H14" s="8"/>
      <c r="I14" s="8"/>
      <c r="J14" s="8" t="str">
        <f t="shared" si="0"/>
        <v>借</v>
      </c>
      <c r="K14" s="9">
        <f t="shared" si="1"/>
        <v>11113</v>
      </c>
      <c r="L14" s="59"/>
      <c r="M14" s="55"/>
    </row>
    <row r="15" spans="1:13" ht="20.100000000000001" customHeight="1" x14ac:dyDescent="0.15">
      <c r="A15" s="27"/>
      <c r="B15" s="58"/>
      <c r="C15" s="5"/>
      <c r="D15" s="10"/>
      <c r="E15" s="10"/>
      <c r="F15" s="10"/>
      <c r="G15" s="7"/>
      <c r="H15" s="8"/>
      <c r="I15" s="8"/>
      <c r="J15" s="8" t="str">
        <f t="shared" si="0"/>
        <v>借</v>
      </c>
      <c r="K15" s="9">
        <f t="shared" si="1"/>
        <v>11113</v>
      </c>
      <c r="L15" s="59"/>
      <c r="M15" s="55"/>
    </row>
    <row r="16" spans="1:13" ht="20.100000000000001" customHeight="1" x14ac:dyDescent="0.15">
      <c r="A16" s="27"/>
      <c r="B16" s="58"/>
      <c r="C16" s="5"/>
      <c r="D16" s="10"/>
      <c r="E16" s="10"/>
      <c r="F16" s="10"/>
      <c r="G16" s="7"/>
      <c r="H16" s="8"/>
      <c r="I16" s="8"/>
      <c r="J16" s="8" t="str">
        <f t="shared" si="0"/>
        <v>借</v>
      </c>
      <c r="K16" s="9">
        <f t="shared" si="1"/>
        <v>11113</v>
      </c>
      <c r="L16" s="59"/>
      <c r="M16" s="55"/>
    </row>
    <row r="17" spans="1:13" ht="20.100000000000001" customHeight="1" x14ac:dyDescent="0.15">
      <c r="A17" s="27"/>
      <c r="B17" s="58"/>
      <c r="C17" s="5"/>
      <c r="D17" s="10"/>
      <c r="E17" s="10"/>
      <c r="F17" s="10"/>
      <c r="G17" s="7"/>
      <c r="H17" s="8"/>
      <c r="I17" s="8"/>
      <c r="J17" s="8" t="str">
        <f t="shared" si="0"/>
        <v>借</v>
      </c>
      <c r="K17" s="9">
        <f t="shared" si="1"/>
        <v>11113</v>
      </c>
      <c r="L17" s="59"/>
      <c r="M17" s="55"/>
    </row>
    <row r="18" spans="1:13" ht="20.100000000000001" customHeight="1" x14ac:dyDescent="0.15">
      <c r="A18" s="27"/>
      <c r="B18" s="58"/>
      <c r="C18" s="5"/>
      <c r="D18" s="10"/>
      <c r="E18" s="10"/>
      <c r="F18" s="10"/>
      <c r="G18" s="7"/>
      <c r="H18" s="8"/>
      <c r="I18" s="8"/>
      <c r="J18" s="8" t="str">
        <f t="shared" si="0"/>
        <v>借</v>
      </c>
      <c r="K18" s="9">
        <f t="shared" si="1"/>
        <v>11113</v>
      </c>
      <c r="L18" s="59"/>
      <c r="M18" s="55"/>
    </row>
    <row r="19" spans="1:13" ht="20.100000000000001" customHeight="1" x14ac:dyDescent="0.15">
      <c r="A19" s="27"/>
      <c r="B19" s="58"/>
      <c r="C19" s="5"/>
      <c r="D19" s="10"/>
      <c r="E19" s="10"/>
      <c r="F19" s="10"/>
      <c r="G19" s="7"/>
      <c r="H19" s="8"/>
      <c r="I19" s="8"/>
      <c r="J19" s="8" t="str">
        <f t="shared" si="0"/>
        <v>借</v>
      </c>
      <c r="K19" s="9">
        <f t="shared" si="1"/>
        <v>11113</v>
      </c>
      <c r="L19" s="59"/>
      <c r="M19" s="55"/>
    </row>
    <row r="20" spans="1:13" ht="20.100000000000001" customHeight="1" x14ac:dyDescent="0.15">
      <c r="A20" s="27"/>
      <c r="B20" s="58"/>
      <c r="C20" s="5"/>
      <c r="D20" s="10"/>
      <c r="E20" s="10"/>
      <c r="F20" s="10"/>
      <c r="G20" s="7"/>
      <c r="H20" s="8"/>
      <c r="I20" s="8"/>
      <c r="J20" s="8" t="str">
        <f t="shared" si="0"/>
        <v>借</v>
      </c>
      <c r="K20" s="9">
        <f t="shared" si="1"/>
        <v>11113</v>
      </c>
      <c r="L20" s="59"/>
      <c r="M20" s="55"/>
    </row>
    <row r="21" spans="1:13" ht="20.100000000000001" customHeight="1" x14ac:dyDescent="0.15">
      <c r="A21" s="27"/>
      <c r="B21" s="58"/>
      <c r="C21" s="5"/>
      <c r="D21" s="10"/>
      <c r="E21" s="10"/>
      <c r="F21" s="10"/>
      <c r="G21" s="7"/>
      <c r="H21" s="8"/>
      <c r="I21" s="8"/>
      <c r="J21" s="8" t="str">
        <f t="shared" si="0"/>
        <v>借</v>
      </c>
      <c r="K21" s="9">
        <f t="shared" si="1"/>
        <v>11113</v>
      </c>
      <c r="L21" s="59"/>
      <c r="M21" s="55"/>
    </row>
    <row r="22" spans="1:13" ht="20.100000000000001" customHeight="1" x14ac:dyDescent="0.15">
      <c r="A22" s="27"/>
      <c r="B22" s="58"/>
      <c r="C22" s="5"/>
      <c r="D22" s="10"/>
      <c r="E22" s="10"/>
      <c r="F22" s="10"/>
      <c r="G22" s="7"/>
      <c r="H22" s="8"/>
      <c r="I22" s="8"/>
      <c r="J22" s="8" t="str">
        <f t="shared" si="0"/>
        <v>借</v>
      </c>
      <c r="K22" s="9">
        <f t="shared" si="1"/>
        <v>11113</v>
      </c>
      <c r="L22" s="59"/>
      <c r="M22" s="55"/>
    </row>
    <row r="23" spans="1:13" ht="20.100000000000001" customHeight="1" x14ac:dyDescent="0.15">
      <c r="A23" s="27"/>
      <c r="B23" s="58"/>
      <c r="C23" s="5"/>
      <c r="D23" s="10"/>
      <c r="E23" s="10"/>
      <c r="F23" s="10"/>
      <c r="G23" s="7"/>
      <c r="H23" s="8"/>
      <c r="I23" s="8"/>
      <c r="J23" s="8" t="str">
        <f t="shared" si="0"/>
        <v>借</v>
      </c>
      <c r="K23" s="9">
        <f t="shared" si="1"/>
        <v>11113</v>
      </c>
      <c r="L23" s="59"/>
      <c r="M23" s="55"/>
    </row>
    <row r="24" spans="1:13" ht="20.100000000000001" customHeight="1" x14ac:dyDescent="0.15">
      <c r="A24" s="27"/>
      <c r="B24" s="58"/>
      <c r="C24" s="5"/>
      <c r="D24" s="10"/>
      <c r="E24" s="10"/>
      <c r="F24" s="10"/>
      <c r="G24" s="7"/>
      <c r="H24" s="8"/>
      <c r="I24" s="8"/>
      <c r="J24" s="8" t="str">
        <f t="shared" si="0"/>
        <v>借</v>
      </c>
      <c r="K24" s="9">
        <f t="shared" si="1"/>
        <v>11113</v>
      </c>
      <c r="L24" s="59"/>
      <c r="M24" s="55"/>
    </row>
    <row r="25" spans="1:13" ht="20.100000000000001" customHeight="1" x14ac:dyDescent="0.15">
      <c r="A25" s="27"/>
      <c r="B25" s="58"/>
      <c r="C25" s="5"/>
      <c r="D25" s="10"/>
      <c r="E25" s="10"/>
      <c r="F25" s="10"/>
      <c r="G25" s="7"/>
      <c r="H25" s="8"/>
      <c r="I25" s="8"/>
      <c r="J25" s="8" t="str">
        <f t="shared" si="0"/>
        <v>借</v>
      </c>
      <c r="K25" s="9">
        <f t="shared" si="1"/>
        <v>11113</v>
      </c>
      <c r="L25" s="59"/>
      <c r="M25" s="55"/>
    </row>
    <row r="26" spans="1:13" ht="20.100000000000001" customHeight="1" x14ac:dyDescent="0.15">
      <c r="A26" s="27"/>
      <c r="B26" s="58"/>
      <c r="C26" s="5"/>
      <c r="D26" s="10"/>
      <c r="E26" s="10"/>
      <c r="F26" s="10"/>
      <c r="G26" s="7"/>
      <c r="H26" s="8"/>
      <c r="I26" s="8"/>
      <c r="J26" s="8" t="str">
        <f t="shared" si="0"/>
        <v>借</v>
      </c>
      <c r="K26" s="9">
        <f t="shared" si="1"/>
        <v>11113</v>
      </c>
      <c r="L26" s="59"/>
      <c r="M26" s="55"/>
    </row>
    <row r="27" spans="1:13" ht="20.100000000000001" customHeight="1" x14ac:dyDescent="0.15">
      <c r="A27" s="27"/>
      <c r="B27" s="58"/>
      <c r="C27" s="5"/>
      <c r="D27" s="10"/>
      <c r="E27" s="10"/>
      <c r="F27" s="10"/>
      <c r="G27" s="7"/>
      <c r="H27" s="8"/>
      <c r="I27" s="8"/>
      <c r="J27" s="8" t="str">
        <f t="shared" si="0"/>
        <v>借</v>
      </c>
      <c r="K27" s="9">
        <f t="shared" si="1"/>
        <v>11113</v>
      </c>
      <c r="L27" s="59"/>
      <c r="M27" s="55"/>
    </row>
    <row r="28" spans="1:13" ht="20.100000000000001" customHeight="1" x14ac:dyDescent="0.15">
      <c r="A28" s="27"/>
      <c r="B28" s="58"/>
      <c r="C28" s="5"/>
      <c r="D28" s="10"/>
      <c r="E28" s="10"/>
      <c r="F28" s="10"/>
      <c r="G28" s="7"/>
      <c r="H28" s="8"/>
      <c r="I28" s="8"/>
      <c r="J28" s="8" t="str">
        <f t="shared" si="0"/>
        <v>借</v>
      </c>
      <c r="K28" s="9">
        <f t="shared" si="1"/>
        <v>11113</v>
      </c>
      <c r="L28" s="59"/>
      <c r="M28" s="55"/>
    </row>
    <row r="29" spans="1:13" ht="20.100000000000001" customHeight="1" x14ac:dyDescent="0.15">
      <c r="A29" s="27"/>
      <c r="B29" s="58"/>
      <c r="C29" s="5"/>
      <c r="D29" s="10"/>
      <c r="E29" s="10"/>
      <c r="F29" s="10"/>
      <c r="G29" s="7"/>
      <c r="H29" s="8"/>
      <c r="I29" s="8"/>
      <c r="J29" s="8" t="str">
        <f t="shared" si="0"/>
        <v>借</v>
      </c>
      <c r="K29" s="9">
        <f t="shared" si="1"/>
        <v>11113</v>
      </c>
      <c r="L29" s="59"/>
      <c r="M29" s="55"/>
    </row>
    <row r="30" spans="1:13" ht="20.100000000000001" customHeight="1" x14ac:dyDescent="0.15">
      <c r="A30" s="27"/>
      <c r="B30" s="58"/>
      <c r="C30" s="5"/>
      <c r="D30" s="10"/>
      <c r="E30" s="10"/>
      <c r="F30" s="10"/>
      <c r="G30" s="7"/>
      <c r="H30" s="8"/>
      <c r="I30" s="8"/>
      <c r="J30" s="8" t="str">
        <f t="shared" si="0"/>
        <v>借</v>
      </c>
      <c r="K30" s="9">
        <f t="shared" si="1"/>
        <v>11113</v>
      </c>
      <c r="L30" s="59"/>
      <c r="M30" s="85"/>
    </row>
    <row r="31" spans="1:13" ht="20.100000000000001" customHeight="1" x14ac:dyDescent="0.15">
      <c r="A31" s="27"/>
      <c r="B31" s="58"/>
      <c r="C31" s="5"/>
      <c r="D31" s="10"/>
      <c r="E31" s="10"/>
      <c r="F31" s="10"/>
      <c r="G31" s="7"/>
      <c r="H31" s="8"/>
      <c r="I31" s="8"/>
      <c r="J31" s="8" t="str">
        <f t="shared" si="0"/>
        <v>借</v>
      </c>
      <c r="K31" s="9">
        <f t="shared" si="1"/>
        <v>11113</v>
      </c>
      <c r="L31" s="59"/>
      <c r="M31" s="86"/>
    </row>
    <row r="32" spans="1:13" ht="20.100000000000001" customHeight="1" x14ac:dyDescent="0.15">
      <c r="A32" s="27"/>
      <c r="B32" s="58"/>
      <c r="C32" s="5"/>
      <c r="D32" s="10"/>
      <c r="E32" s="11"/>
      <c r="F32" s="10"/>
      <c r="G32" s="7"/>
      <c r="H32" s="8"/>
      <c r="I32" s="8"/>
      <c r="J32" s="8" t="str">
        <f t="shared" si="0"/>
        <v>借</v>
      </c>
      <c r="K32" s="9">
        <f t="shared" si="1"/>
        <v>11113</v>
      </c>
      <c r="L32" s="59"/>
      <c r="M32" s="55"/>
    </row>
    <row r="33" spans="1:13" ht="20.100000000000001" customHeight="1" x14ac:dyDescent="0.15">
      <c r="A33" s="27"/>
      <c r="B33" s="58"/>
      <c r="C33" s="5"/>
      <c r="D33" s="10"/>
      <c r="E33" s="10"/>
      <c r="F33" s="10"/>
      <c r="G33" s="7"/>
      <c r="H33" s="8"/>
      <c r="I33" s="8"/>
      <c r="J33" s="8" t="str">
        <f t="shared" si="0"/>
        <v>借</v>
      </c>
      <c r="K33" s="9">
        <f t="shared" si="1"/>
        <v>11113</v>
      </c>
      <c r="L33" s="59"/>
      <c r="M33" s="55"/>
    </row>
    <row r="34" spans="1:13" ht="20.100000000000001" customHeight="1" x14ac:dyDescent="0.15">
      <c r="A34" s="27"/>
      <c r="B34" s="58"/>
      <c r="C34" s="5"/>
      <c r="D34" s="10"/>
      <c r="E34" s="10"/>
      <c r="F34" s="10"/>
      <c r="G34" s="7"/>
      <c r="H34" s="8"/>
      <c r="I34" s="8"/>
      <c r="J34" s="8" t="str">
        <f t="shared" si="0"/>
        <v>借</v>
      </c>
      <c r="K34" s="9">
        <f t="shared" si="1"/>
        <v>11113</v>
      </c>
      <c r="L34" s="59"/>
      <c r="M34" s="55"/>
    </row>
    <row r="35" spans="1:13" ht="20.100000000000001" customHeight="1" x14ac:dyDescent="0.15">
      <c r="A35" s="27"/>
      <c r="B35" s="58"/>
      <c r="C35" s="5"/>
      <c r="D35" s="10"/>
      <c r="E35" s="10"/>
      <c r="F35" s="10"/>
      <c r="G35" s="7"/>
      <c r="H35" s="8"/>
      <c r="I35" s="8"/>
      <c r="J35" s="8" t="str">
        <f t="shared" si="0"/>
        <v>借</v>
      </c>
      <c r="K35" s="9">
        <f t="shared" si="1"/>
        <v>11113</v>
      </c>
      <c r="L35" s="59"/>
      <c r="M35" s="55"/>
    </row>
    <row r="36" spans="1:13" ht="20.100000000000001" customHeight="1" x14ac:dyDescent="0.15">
      <c r="A36" s="27"/>
      <c r="B36" s="58"/>
      <c r="C36" s="5"/>
      <c r="E36" s="10"/>
      <c r="F36" s="10"/>
      <c r="G36" s="7"/>
      <c r="H36" s="8"/>
      <c r="I36" s="8"/>
      <c r="J36" s="8" t="str">
        <f t="shared" si="0"/>
        <v>借</v>
      </c>
      <c r="K36" s="9">
        <f t="shared" si="1"/>
        <v>11113</v>
      </c>
      <c r="L36" s="59"/>
      <c r="M36" s="55"/>
    </row>
    <row r="37" spans="1:13" ht="20.100000000000001" customHeight="1" x14ac:dyDescent="0.15">
      <c r="A37" s="27"/>
      <c r="B37" s="58"/>
      <c r="C37" s="5"/>
      <c r="D37" s="10"/>
      <c r="E37" s="10"/>
      <c r="F37" s="10"/>
      <c r="G37" s="7"/>
      <c r="H37" s="8"/>
      <c r="I37" s="8"/>
      <c r="J37" s="8" t="str">
        <f t="shared" si="0"/>
        <v>借</v>
      </c>
      <c r="K37" s="9">
        <f t="shared" si="1"/>
        <v>11113</v>
      </c>
      <c r="L37" s="59"/>
      <c r="M37" s="85"/>
    </row>
    <row r="38" spans="1:13" ht="20.100000000000001" customHeight="1" x14ac:dyDescent="0.15">
      <c r="A38" s="27"/>
      <c r="B38" s="58"/>
      <c r="C38" s="5"/>
      <c r="D38" s="10"/>
      <c r="E38" s="10"/>
      <c r="F38" s="10"/>
      <c r="G38" s="7"/>
      <c r="H38" s="8"/>
      <c r="I38" s="8"/>
      <c r="J38" s="8" t="str">
        <f t="shared" si="0"/>
        <v>借</v>
      </c>
      <c r="K38" s="9">
        <f t="shared" si="1"/>
        <v>11113</v>
      </c>
      <c r="L38" s="59"/>
      <c r="M38" s="86"/>
    </row>
    <row r="39" spans="1:13" ht="20.100000000000001" customHeight="1" x14ac:dyDescent="0.15">
      <c r="A39" s="27"/>
      <c r="B39" s="58"/>
      <c r="C39" s="5"/>
      <c r="D39" s="10"/>
      <c r="E39" s="10"/>
      <c r="F39" s="10"/>
      <c r="G39" s="7"/>
      <c r="H39" s="8"/>
      <c r="I39" s="8"/>
      <c r="J39" s="8" t="str">
        <f t="shared" si="0"/>
        <v>借</v>
      </c>
      <c r="K39" s="9">
        <f t="shared" si="1"/>
        <v>11113</v>
      </c>
      <c r="L39" s="59"/>
      <c r="M39" s="55"/>
    </row>
    <row r="40" spans="1:13" ht="20.100000000000001" customHeight="1" x14ac:dyDescent="0.15">
      <c r="A40" s="27"/>
      <c r="B40" s="58"/>
      <c r="C40" s="10"/>
      <c r="D40" s="10"/>
      <c r="E40" s="10"/>
      <c r="F40" s="10"/>
      <c r="G40" s="7"/>
      <c r="H40" s="8"/>
      <c r="I40" s="8"/>
      <c r="J40" s="8" t="str">
        <f t="shared" si="0"/>
        <v>借</v>
      </c>
      <c r="K40" s="9">
        <f t="shared" si="1"/>
        <v>11113</v>
      </c>
      <c r="L40" s="59"/>
      <c r="M40" s="55"/>
    </row>
    <row r="41" spans="1:13" ht="20.100000000000001" customHeight="1" x14ac:dyDescent="0.15">
      <c r="A41" s="27"/>
      <c r="B41" s="58"/>
      <c r="C41" s="10"/>
      <c r="D41" s="10"/>
      <c r="E41" s="10"/>
      <c r="F41" s="10"/>
      <c r="G41" s="7"/>
      <c r="H41" s="8"/>
      <c r="I41" s="8"/>
      <c r="J41" s="8" t="str">
        <f t="shared" ref="J41:J74" si="2">IF((K40+H41-I41)&gt;0,"借","贷")</f>
        <v>借</v>
      </c>
      <c r="K41" s="9">
        <f t="shared" ref="K41:K74" si="3">K40+H41-I41</f>
        <v>11113</v>
      </c>
      <c r="L41" s="59"/>
      <c r="M41" s="55"/>
    </row>
    <row r="42" spans="1:13" ht="20.100000000000001" customHeight="1" x14ac:dyDescent="0.15">
      <c r="A42" s="27"/>
      <c r="B42" s="58"/>
      <c r="C42" s="10"/>
      <c r="D42" s="10"/>
      <c r="E42" s="10"/>
      <c r="F42" s="10"/>
      <c r="G42" s="7"/>
      <c r="H42" s="8"/>
      <c r="I42" s="8"/>
      <c r="J42" s="8" t="str">
        <f t="shared" si="2"/>
        <v>借</v>
      </c>
      <c r="K42" s="9">
        <f t="shared" si="3"/>
        <v>11113</v>
      </c>
      <c r="L42" s="59"/>
      <c r="M42" s="55"/>
    </row>
    <row r="43" spans="1:13" ht="20.100000000000001" customHeight="1" x14ac:dyDescent="0.15">
      <c r="A43" s="27"/>
      <c r="B43" s="58"/>
      <c r="C43" s="10"/>
      <c r="D43" s="10"/>
      <c r="E43" s="10"/>
      <c r="F43" s="10"/>
      <c r="G43" s="7"/>
      <c r="H43" s="8"/>
      <c r="I43" s="8"/>
      <c r="J43" s="8" t="str">
        <f t="shared" si="2"/>
        <v>借</v>
      </c>
      <c r="K43" s="9">
        <f t="shared" si="3"/>
        <v>11113</v>
      </c>
      <c r="L43" s="59"/>
      <c r="M43" s="55"/>
    </row>
    <row r="44" spans="1:13" ht="20.100000000000001" customHeight="1" x14ac:dyDescent="0.15">
      <c r="A44" s="27"/>
      <c r="B44" s="58"/>
      <c r="C44" s="10"/>
      <c r="D44" s="10"/>
      <c r="E44" s="10"/>
      <c r="F44" s="10"/>
      <c r="G44" s="7"/>
      <c r="H44" s="8"/>
      <c r="I44" s="8"/>
      <c r="J44" s="8" t="str">
        <f t="shared" si="2"/>
        <v>借</v>
      </c>
      <c r="K44" s="9">
        <f t="shared" si="3"/>
        <v>11113</v>
      </c>
      <c r="L44" s="59"/>
      <c r="M44" s="55"/>
    </row>
    <row r="45" spans="1:13" ht="20.100000000000001" customHeight="1" x14ac:dyDescent="0.15">
      <c r="A45" s="27"/>
      <c r="B45" s="58"/>
      <c r="C45" s="10"/>
      <c r="D45" s="10"/>
      <c r="E45" s="10"/>
      <c r="F45" s="10"/>
      <c r="G45" s="7"/>
      <c r="H45" s="8"/>
      <c r="I45" s="8"/>
      <c r="J45" s="8" t="str">
        <f t="shared" si="2"/>
        <v>借</v>
      </c>
      <c r="K45" s="9">
        <f t="shared" si="3"/>
        <v>11113</v>
      </c>
      <c r="L45" s="55"/>
      <c r="M45" s="55"/>
    </row>
    <row r="46" spans="1:13" ht="20.100000000000001" customHeight="1" x14ac:dyDescent="0.15">
      <c r="A46" s="27"/>
      <c r="B46" s="58"/>
      <c r="C46" s="10"/>
      <c r="D46" s="10"/>
      <c r="E46" s="10"/>
      <c r="F46" s="10"/>
      <c r="G46" s="7"/>
      <c r="H46" s="8"/>
      <c r="I46" s="8"/>
      <c r="J46" s="8" t="str">
        <f t="shared" si="2"/>
        <v>借</v>
      </c>
      <c r="K46" s="9">
        <f t="shared" si="3"/>
        <v>11113</v>
      </c>
      <c r="L46" s="59"/>
      <c r="M46" s="55"/>
    </row>
    <row r="47" spans="1:13" ht="20.100000000000001" customHeight="1" x14ac:dyDescent="0.15">
      <c r="A47" s="27"/>
      <c r="B47" s="58"/>
      <c r="C47" s="10"/>
      <c r="D47" s="10"/>
      <c r="E47" s="10"/>
      <c r="F47" s="10"/>
      <c r="G47" s="7"/>
      <c r="H47" s="8"/>
      <c r="I47" s="8"/>
      <c r="J47" s="8" t="str">
        <f t="shared" si="2"/>
        <v>借</v>
      </c>
      <c r="K47" s="9">
        <f t="shared" si="3"/>
        <v>11113</v>
      </c>
      <c r="L47" s="59"/>
      <c r="M47" s="55"/>
    </row>
    <row r="48" spans="1:13" ht="20.100000000000001" customHeight="1" x14ac:dyDescent="0.15">
      <c r="A48" s="27"/>
      <c r="B48" s="58"/>
      <c r="C48" s="10"/>
      <c r="D48" s="10"/>
      <c r="E48" s="10"/>
      <c r="F48" s="10"/>
      <c r="G48" s="7"/>
      <c r="H48" s="8"/>
      <c r="I48" s="8"/>
      <c r="J48" s="8" t="str">
        <f t="shared" si="2"/>
        <v>借</v>
      </c>
      <c r="K48" s="9">
        <f t="shared" si="3"/>
        <v>11113</v>
      </c>
      <c r="L48" s="59"/>
      <c r="M48" s="55"/>
    </row>
    <row r="49" spans="1:13" ht="20.100000000000001" customHeight="1" x14ac:dyDescent="0.15">
      <c r="A49" s="27"/>
      <c r="B49" s="58"/>
      <c r="C49" s="10"/>
      <c r="D49" s="10"/>
      <c r="E49" s="10"/>
      <c r="F49" s="10"/>
      <c r="G49" s="7"/>
      <c r="H49" s="8"/>
      <c r="I49" s="8"/>
      <c r="J49" s="8" t="str">
        <f t="shared" si="2"/>
        <v>借</v>
      </c>
      <c r="K49" s="9">
        <f t="shared" si="3"/>
        <v>11113</v>
      </c>
      <c r="L49" s="59"/>
      <c r="M49" s="55"/>
    </row>
    <row r="50" spans="1:13" ht="20.100000000000001" customHeight="1" x14ac:dyDescent="0.15">
      <c r="A50" s="27"/>
      <c r="B50" s="58"/>
      <c r="C50" s="10"/>
      <c r="D50" s="10"/>
      <c r="E50" s="10"/>
      <c r="F50" s="10"/>
      <c r="G50" s="7"/>
      <c r="H50" s="8"/>
      <c r="I50" s="8"/>
      <c r="J50" s="8" t="str">
        <f t="shared" si="2"/>
        <v>借</v>
      </c>
      <c r="K50" s="9">
        <f t="shared" si="3"/>
        <v>11113</v>
      </c>
      <c r="L50" s="59"/>
      <c r="M50" s="55"/>
    </row>
    <row r="51" spans="1:13" ht="20.100000000000001" customHeight="1" x14ac:dyDescent="0.15">
      <c r="A51" s="27"/>
      <c r="B51" s="58"/>
      <c r="C51" s="10"/>
      <c r="D51" s="10"/>
      <c r="E51" s="10"/>
      <c r="F51" s="10"/>
      <c r="G51" s="7"/>
      <c r="H51" s="8"/>
      <c r="I51" s="8"/>
      <c r="J51" s="8" t="str">
        <f t="shared" si="2"/>
        <v>借</v>
      </c>
      <c r="K51" s="9">
        <f t="shared" si="3"/>
        <v>11113</v>
      </c>
      <c r="L51" s="59"/>
      <c r="M51" s="55"/>
    </row>
    <row r="52" spans="1:13" ht="20.100000000000001" customHeight="1" x14ac:dyDescent="0.15">
      <c r="A52" s="27"/>
      <c r="B52" s="58"/>
      <c r="C52" s="10"/>
      <c r="D52" s="10"/>
      <c r="E52" s="10"/>
      <c r="F52" s="10"/>
      <c r="G52" s="7"/>
      <c r="H52" s="8"/>
      <c r="I52" s="8"/>
      <c r="J52" s="8" t="str">
        <f t="shared" si="2"/>
        <v>借</v>
      </c>
      <c r="K52" s="9">
        <f t="shared" si="3"/>
        <v>11113</v>
      </c>
      <c r="L52" s="59"/>
      <c r="M52" s="55"/>
    </row>
    <row r="53" spans="1:13" ht="20.100000000000001" customHeight="1" x14ac:dyDescent="0.15">
      <c r="A53" s="27"/>
      <c r="B53" s="58"/>
      <c r="C53" s="10"/>
      <c r="D53" s="10"/>
      <c r="E53" s="10"/>
      <c r="F53" s="10"/>
      <c r="G53" s="7"/>
      <c r="H53" s="8"/>
      <c r="I53" s="8"/>
      <c r="J53" s="8" t="str">
        <f t="shared" si="2"/>
        <v>借</v>
      </c>
      <c r="K53" s="9">
        <f t="shared" si="3"/>
        <v>11113</v>
      </c>
      <c r="L53" s="59"/>
      <c r="M53" s="55"/>
    </row>
    <row r="54" spans="1:13" ht="20.100000000000001" customHeight="1" x14ac:dyDescent="0.15">
      <c r="A54" s="27"/>
      <c r="B54" s="58"/>
      <c r="C54" s="10"/>
      <c r="D54" s="10"/>
      <c r="E54" s="10"/>
      <c r="F54" s="10"/>
      <c r="G54" s="7"/>
      <c r="H54" s="8"/>
      <c r="I54" s="8"/>
      <c r="J54" s="8" t="str">
        <f t="shared" si="2"/>
        <v>借</v>
      </c>
      <c r="K54" s="9">
        <f t="shared" si="3"/>
        <v>11113</v>
      </c>
      <c r="L54" s="59"/>
      <c r="M54" s="55"/>
    </row>
    <row r="55" spans="1:13" ht="20.100000000000001" customHeight="1" x14ac:dyDescent="0.15">
      <c r="A55" s="27"/>
      <c r="B55" s="58"/>
      <c r="C55" s="10"/>
      <c r="D55" s="10"/>
      <c r="E55" s="10"/>
      <c r="F55" s="10"/>
      <c r="G55" s="7"/>
      <c r="H55" s="8"/>
      <c r="I55" s="8"/>
      <c r="J55" s="8" t="str">
        <f t="shared" si="2"/>
        <v>借</v>
      </c>
      <c r="K55" s="9">
        <f t="shared" si="3"/>
        <v>11113</v>
      </c>
      <c r="L55" s="59"/>
      <c r="M55" s="55"/>
    </row>
    <row r="56" spans="1:13" ht="20.100000000000001" customHeight="1" x14ac:dyDescent="0.15">
      <c r="A56" s="27"/>
      <c r="B56" s="60"/>
      <c r="C56" s="61"/>
      <c r="D56" s="13"/>
      <c r="E56" s="10"/>
      <c r="F56" s="10"/>
      <c r="G56" s="7"/>
      <c r="H56" s="8"/>
      <c r="I56" s="8"/>
      <c r="J56" s="8" t="str">
        <f t="shared" si="2"/>
        <v>借</v>
      </c>
      <c r="K56" s="9">
        <f t="shared" si="3"/>
        <v>11113</v>
      </c>
      <c r="L56" s="59"/>
      <c r="M56" s="55"/>
    </row>
    <row r="57" spans="1:13" ht="20.100000000000001" customHeight="1" x14ac:dyDescent="0.15">
      <c r="A57" s="27"/>
      <c r="B57" s="5"/>
      <c r="C57" s="10"/>
      <c r="D57" s="48"/>
      <c r="E57" s="10"/>
      <c r="F57" s="10"/>
      <c r="G57" s="7"/>
      <c r="H57" s="8"/>
      <c r="I57" s="8"/>
      <c r="J57" s="8" t="str">
        <f t="shared" si="2"/>
        <v>借</v>
      </c>
      <c r="K57" s="9">
        <f t="shared" si="3"/>
        <v>11113</v>
      </c>
      <c r="L57" s="59"/>
      <c r="M57" s="55"/>
    </row>
    <row r="58" spans="1:13" ht="20.100000000000001" customHeight="1" x14ac:dyDescent="0.15">
      <c r="A58" s="27"/>
      <c r="B58" s="5"/>
      <c r="C58" s="10"/>
      <c r="D58" s="48"/>
      <c r="E58" s="10"/>
      <c r="F58" s="10"/>
      <c r="G58" s="7"/>
      <c r="H58" s="8"/>
      <c r="I58" s="8"/>
      <c r="J58" s="8" t="str">
        <f t="shared" si="2"/>
        <v>借</v>
      </c>
      <c r="K58" s="9">
        <f t="shared" si="3"/>
        <v>11113</v>
      </c>
      <c r="L58" s="59"/>
      <c r="M58" s="55"/>
    </row>
    <row r="59" spans="1:13" ht="20.100000000000001" customHeight="1" x14ac:dyDescent="0.15">
      <c r="B59" s="5"/>
      <c r="C59" s="10"/>
      <c r="D59" s="48"/>
      <c r="E59" s="10"/>
      <c r="F59" s="10"/>
      <c r="G59" s="7"/>
      <c r="H59" s="8"/>
      <c r="I59" s="8"/>
      <c r="J59" s="8" t="str">
        <f t="shared" si="2"/>
        <v>借</v>
      </c>
      <c r="K59" s="9">
        <f t="shared" si="3"/>
        <v>11113</v>
      </c>
      <c r="L59" s="59"/>
      <c r="M59" s="55"/>
    </row>
    <row r="60" spans="1:13" ht="20.100000000000001" customHeight="1" x14ac:dyDescent="0.15">
      <c r="B60" s="5"/>
      <c r="C60" s="10"/>
      <c r="D60" s="48"/>
      <c r="E60" s="10"/>
      <c r="F60" s="10"/>
      <c r="G60" s="7"/>
      <c r="H60" s="8"/>
      <c r="I60" s="8"/>
      <c r="J60" s="8" t="str">
        <f t="shared" si="2"/>
        <v>借</v>
      </c>
      <c r="K60" s="9">
        <f t="shared" si="3"/>
        <v>11113</v>
      </c>
      <c r="L60" s="59"/>
      <c r="M60" s="55"/>
    </row>
    <row r="61" spans="1:13" ht="20.100000000000001" customHeight="1" x14ac:dyDescent="0.15">
      <c r="B61" s="5"/>
      <c r="C61" s="10"/>
      <c r="D61" s="48"/>
      <c r="E61" s="10"/>
      <c r="F61" s="10"/>
      <c r="G61" s="7"/>
      <c r="H61" s="8"/>
      <c r="I61" s="8"/>
      <c r="J61" s="8" t="str">
        <f t="shared" si="2"/>
        <v>借</v>
      </c>
      <c r="K61" s="9">
        <f t="shared" si="3"/>
        <v>11113</v>
      </c>
      <c r="L61" s="59"/>
      <c r="M61" s="55"/>
    </row>
    <row r="62" spans="1:13" ht="20.100000000000001" customHeight="1" x14ac:dyDescent="0.15">
      <c r="B62" s="58"/>
      <c r="C62" s="10"/>
      <c r="D62" s="10"/>
      <c r="E62" s="10"/>
      <c r="F62" s="10"/>
      <c r="G62" s="7"/>
      <c r="H62" s="8"/>
      <c r="I62" s="8"/>
      <c r="J62" s="8" t="str">
        <f t="shared" si="2"/>
        <v>借</v>
      </c>
      <c r="K62" s="9">
        <f t="shared" si="3"/>
        <v>11113</v>
      </c>
      <c r="L62" s="59"/>
      <c r="M62" s="55"/>
    </row>
    <row r="63" spans="1:13" ht="20.100000000000001" customHeight="1" x14ac:dyDescent="0.15">
      <c r="B63" s="58"/>
      <c r="C63" s="10"/>
      <c r="D63" s="10"/>
      <c r="E63" s="10"/>
      <c r="F63" s="10"/>
      <c r="G63" s="7"/>
      <c r="H63" s="7"/>
      <c r="I63" s="8"/>
      <c r="J63" s="8" t="str">
        <f t="shared" si="2"/>
        <v>借</v>
      </c>
      <c r="K63" s="9">
        <f t="shared" si="3"/>
        <v>11113</v>
      </c>
      <c r="L63" s="59"/>
      <c r="M63" s="85"/>
    </row>
    <row r="64" spans="1:13" ht="20.100000000000001" customHeight="1" x14ac:dyDescent="0.15">
      <c r="B64" s="58"/>
      <c r="C64" s="10"/>
      <c r="D64" s="48"/>
      <c r="E64" s="10"/>
      <c r="F64" s="10"/>
      <c r="G64" s="7"/>
      <c r="H64" s="8"/>
      <c r="I64" s="8"/>
      <c r="J64" s="8" t="str">
        <f t="shared" si="2"/>
        <v>借</v>
      </c>
      <c r="K64" s="9">
        <f t="shared" si="3"/>
        <v>11113</v>
      </c>
      <c r="L64" s="59"/>
      <c r="M64" s="86"/>
    </row>
    <row r="65" spans="1:13" ht="20.100000000000001" customHeight="1" x14ac:dyDescent="0.15">
      <c r="B65" s="58"/>
      <c r="C65" s="10"/>
      <c r="D65" s="48"/>
      <c r="E65" s="10"/>
      <c r="F65" s="10"/>
      <c r="G65" s="7"/>
      <c r="H65" s="8"/>
      <c r="I65" s="8"/>
      <c r="J65" s="8" t="str">
        <f t="shared" si="2"/>
        <v>借</v>
      </c>
      <c r="K65" s="9">
        <f t="shared" si="3"/>
        <v>11113</v>
      </c>
      <c r="L65" s="59"/>
      <c r="M65" s="55"/>
    </row>
    <row r="66" spans="1:13" ht="20.100000000000001" customHeight="1" x14ac:dyDescent="0.15">
      <c r="A66" s="27"/>
      <c r="B66" s="58"/>
      <c r="C66" s="10"/>
      <c r="D66" s="10"/>
      <c r="E66" s="10"/>
      <c r="F66" s="10"/>
      <c r="G66" s="7"/>
      <c r="H66" s="8"/>
      <c r="I66" s="8"/>
      <c r="J66" s="8" t="str">
        <f t="shared" si="2"/>
        <v>借</v>
      </c>
      <c r="K66" s="9">
        <f t="shared" si="3"/>
        <v>11113</v>
      </c>
      <c r="L66" s="59"/>
      <c r="M66" s="55"/>
    </row>
    <row r="67" spans="1:13" ht="20.100000000000001" customHeight="1" x14ac:dyDescent="0.15">
      <c r="A67" s="27"/>
      <c r="B67" s="58"/>
      <c r="C67" s="10"/>
      <c r="D67" s="10"/>
      <c r="E67" s="10"/>
      <c r="F67" s="10"/>
      <c r="G67" s="7"/>
      <c r="H67" s="8"/>
      <c r="I67" s="8"/>
      <c r="J67" s="8" t="str">
        <f t="shared" si="2"/>
        <v>借</v>
      </c>
      <c r="K67" s="9">
        <f t="shared" si="3"/>
        <v>11113</v>
      </c>
      <c r="L67" s="59"/>
      <c r="M67" s="85"/>
    </row>
    <row r="68" spans="1:13" ht="20.100000000000001" customHeight="1" x14ac:dyDescent="0.15">
      <c r="A68" s="27"/>
      <c r="B68" s="58"/>
      <c r="C68" s="10"/>
      <c r="D68" s="10"/>
      <c r="E68" s="10"/>
      <c r="F68" s="10"/>
      <c r="G68" s="7"/>
      <c r="H68" s="8"/>
      <c r="I68" s="8"/>
      <c r="J68" s="8" t="str">
        <f t="shared" si="2"/>
        <v>借</v>
      </c>
      <c r="K68" s="9">
        <f t="shared" si="3"/>
        <v>11113</v>
      </c>
      <c r="L68" s="59"/>
      <c r="M68" s="86"/>
    </row>
    <row r="69" spans="1:13" ht="20.100000000000001" customHeight="1" x14ac:dyDescent="0.15">
      <c r="A69" s="27"/>
      <c r="B69" s="58"/>
      <c r="C69" s="10"/>
      <c r="D69" s="10"/>
      <c r="E69" s="10"/>
      <c r="F69" s="10"/>
      <c r="G69" s="7"/>
      <c r="H69" s="8"/>
      <c r="I69" s="8"/>
      <c r="J69" s="8" t="str">
        <f t="shared" si="2"/>
        <v>借</v>
      </c>
      <c r="K69" s="9">
        <f t="shared" si="3"/>
        <v>11113</v>
      </c>
      <c r="L69" s="59"/>
      <c r="M69" s="55"/>
    </row>
    <row r="70" spans="1:13" ht="20.100000000000001" customHeight="1" x14ac:dyDescent="0.15">
      <c r="A70" s="27"/>
      <c r="B70" s="58"/>
      <c r="C70" s="10"/>
      <c r="D70" s="10"/>
      <c r="E70" s="10"/>
      <c r="F70" s="10"/>
      <c r="G70" s="7"/>
      <c r="H70" s="8"/>
      <c r="I70" s="8"/>
      <c r="J70" s="8" t="str">
        <f t="shared" si="2"/>
        <v>借</v>
      </c>
      <c r="K70" s="9">
        <f t="shared" si="3"/>
        <v>11113</v>
      </c>
      <c r="L70" s="59"/>
      <c r="M70" s="55"/>
    </row>
    <row r="71" spans="1:13" ht="20.100000000000001" customHeight="1" x14ac:dyDescent="0.15">
      <c r="A71" s="27"/>
      <c r="B71" s="58"/>
      <c r="C71" s="10"/>
      <c r="D71" s="10"/>
      <c r="E71" s="10"/>
      <c r="F71" s="10"/>
      <c r="G71" s="7"/>
      <c r="H71" s="8"/>
      <c r="I71" s="8"/>
      <c r="J71" s="8" t="str">
        <f t="shared" si="2"/>
        <v>借</v>
      </c>
      <c r="K71" s="9">
        <f t="shared" si="3"/>
        <v>11113</v>
      </c>
      <c r="L71" s="59"/>
      <c r="M71" s="55"/>
    </row>
    <row r="72" spans="1:13" ht="20.100000000000001" customHeight="1" x14ac:dyDescent="0.15">
      <c r="B72" s="58"/>
      <c r="C72" s="10"/>
      <c r="D72" s="10"/>
      <c r="E72" s="10"/>
      <c r="F72" s="10"/>
      <c r="G72" s="7"/>
      <c r="H72" s="8"/>
      <c r="I72" s="8"/>
      <c r="J72" s="8" t="str">
        <f t="shared" si="2"/>
        <v>借</v>
      </c>
      <c r="K72" s="9">
        <f t="shared" si="3"/>
        <v>11113</v>
      </c>
      <c r="L72" s="59"/>
      <c r="M72" s="55"/>
    </row>
    <row r="73" spans="1:13" ht="20.100000000000001" customHeight="1" x14ac:dyDescent="0.15">
      <c r="B73" s="58"/>
      <c r="C73" s="10"/>
      <c r="D73" s="10"/>
      <c r="E73" s="10"/>
      <c r="F73" s="10"/>
      <c r="G73" s="7"/>
      <c r="H73" s="8"/>
      <c r="I73" s="8"/>
      <c r="J73" s="8" t="str">
        <f t="shared" si="2"/>
        <v>借</v>
      </c>
      <c r="K73" s="9">
        <f t="shared" si="3"/>
        <v>11113</v>
      </c>
      <c r="L73" s="59"/>
      <c r="M73" s="55"/>
    </row>
    <row r="74" spans="1:13" ht="20.100000000000001" customHeight="1" x14ac:dyDescent="0.15">
      <c r="A74" s="27"/>
      <c r="B74" s="58"/>
      <c r="C74" s="10"/>
      <c r="D74" s="10"/>
      <c r="E74" s="10"/>
      <c r="F74" s="10"/>
      <c r="G74" s="7"/>
      <c r="H74" s="8"/>
      <c r="I74" s="8"/>
      <c r="J74" s="8" t="str">
        <f t="shared" si="2"/>
        <v>借</v>
      </c>
      <c r="K74" s="9">
        <f t="shared" si="3"/>
        <v>11113</v>
      </c>
      <c r="L74" s="59"/>
      <c r="M74" s="55"/>
    </row>
    <row r="75" spans="1:13" ht="20.100000000000001" customHeight="1" x14ac:dyDescent="0.15">
      <c r="A75" s="27"/>
      <c r="B75" s="58"/>
      <c r="C75" s="10"/>
      <c r="D75" s="10"/>
      <c r="E75" s="10"/>
      <c r="F75" s="10"/>
      <c r="G75" s="7"/>
      <c r="H75" s="8"/>
      <c r="I75" s="8"/>
      <c r="J75" s="8" t="str">
        <f t="shared" ref="J75:J138" si="4">IF((K74+H75-I75)&gt;0,"借","贷")</f>
        <v>借</v>
      </c>
      <c r="K75" s="9">
        <f t="shared" ref="K75:K138" si="5">K74+H75-I75</f>
        <v>11113</v>
      </c>
      <c r="L75" s="59"/>
      <c r="M75" s="55"/>
    </row>
    <row r="76" spans="1:13" ht="20.100000000000001" customHeight="1" x14ac:dyDescent="0.15">
      <c r="A76" s="27"/>
      <c r="B76" s="58"/>
      <c r="C76" s="10"/>
      <c r="D76" s="10"/>
      <c r="E76" s="10"/>
      <c r="F76" s="10"/>
      <c r="G76" s="7"/>
      <c r="H76" s="8"/>
      <c r="I76" s="8"/>
      <c r="J76" s="8" t="str">
        <f t="shared" si="4"/>
        <v>借</v>
      </c>
      <c r="K76" s="9">
        <f t="shared" si="5"/>
        <v>11113</v>
      </c>
      <c r="L76" s="59"/>
      <c r="M76" s="55"/>
    </row>
    <row r="77" spans="1:13" ht="20.100000000000001" customHeight="1" x14ac:dyDescent="0.15">
      <c r="A77" s="27"/>
      <c r="B77" s="58"/>
      <c r="C77" s="10"/>
      <c r="D77" s="10"/>
      <c r="E77" s="10"/>
      <c r="F77" s="10"/>
      <c r="G77" s="7"/>
      <c r="H77" s="8"/>
      <c r="I77" s="8"/>
      <c r="J77" s="8" t="str">
        <f t="shared" si="4"/>
        <v>借</v>
      </c>
      <c r="K77" s="9">
        <f t="shared" si="5"/>
        <v>11113</v>
      </c>
      <c r="L77" s="59"/>
      <c r="M77" s="55"/>
    </row>
    <row r="78" spans="1:13" ht="20.100000000000001" customHeight="1" x14ac:dyDescent="0.15">
      <c r="A78" s="27"/>
      <c r="B78" s="58"/>
      <c r="C78" s="10"/>
      <c r="D78" s="10"/>
      <c r="E78" s="10"/>
      <c r="F78" s="14"/>
      <c r="G78" s="7"/>
      <c r="H78" s="8"/>
      <c r="I78" s="15"/>
      <c r="J78" s="8" t="str">
        <f t="shared" si="4"/>
        <v>借</v>
      </c>
      <c r="K78" s="9">
        <f t="shared" si="5"/>
        <v>11113</v>
      </c>
      <c r="L78" s="59"/>
      <c r="M78" s="55"/>
    </row>
    <row r="79" spans="1:13" ht="20.100000000000001" customHeight="1" x14ac:dyDescent="0.15">
      <c r="A79" s="27"/>
      <c r="B79" s="58"/>
      <c r="C79" s="10"/>
      <c r="D79" s="10"/>
      <c r="E79" s="10"/>
      <c r="F79" s="10"/>
      <c r="G79" s="7"/>
      <c r="H79" s="8"/>
      <c r="I79" s="8"/>
      <c r="J79" s="8" t="str">
        <f t="shared" si="4"/>
        <v>借</v>
      </c>
      <c r="K79" s="9">
        <f t="shared" si="5"/>
        <v>11113</v>
      </c>
      <c r="L79" s="59"/>
      <c r="M79" s="55"/>
    </row>
    <row r="80" spans="1:13" ht="20.100000000000001" customHeight="1" x14ac:dyDescent="0.15">
      <c r="A80" s="27"/>
      <c r="B80" s="58"/>
      <c r="C80" s="10"/>
      <c r="D80" s="10"/>
      <c r="E80" s="10"/>
      <c r="F80" s="10"/>
      <c r="G80" s="7"/>
      <c r="H80" s="8"/>
      <c r="I80" s="8"/>
      <c r="J80" s="8" t="str">
        <f t="shared" si="4"/>
        <v>借</v>
      </c>
      <c r="K80" s="9">
        <f t="shared" si="5"/>
        <v>11113</v>
      </c>
      <c r="L80" s="59"/>
      <c r="M80" s="55"/>
    </row>
    <row r="81" spans="1:13" ht="20.100000000000001" customHeight="1" x14ac:dyDescent="0.15">
      <c r="A81" s="27"/>
      <c r="B81" s="58"/>
      <c r="C81" s="10"/>
      <c r="D81" s="10"/>
      <c r="E81" s="10"/>
      <c r="F81" s="10"/>
      <c r="G81" s="7"/>
      <c r="H81" s="8"/>
      <c r="I81" s="8"/>
      <c r="J81" s="8" t="str">
        <f t="shared" si="4"/>
        <v>借</v>
      </c>
      <c r="K81" s="9">
        <f t="shared" si="5"/>
        <v>11113</v>
      </c>
      <c r="L81" s="59"/>
      <c r="M81" s="55"/>
    </row>
    <row r="82" spans="1:13" ht="20.100000000000001" customHeight="1" x14ac:dyDescent="0.15">
      <c r="B82" s="58"/>
      <c r="C82" s="10"/>
      <c r="D82" s="10"/>
      <c r="E82" s="10"/>
      <c r="F82" s="14"/>
      <c r="G82" s="7"/>
      <c r="H82" s="8"/>
      <c r="I82" s="8"/>
      <c r="J82" s="8" t="str">
        <f t="shared" si="4"/>
        <v>借</v>
      </c>
      <c r="K82" s="9">
        <f t="shared" si="5"/>
        <v>11113</v>
      </c>
      <c r="L82" s="59"/>
      <c r="M82" s="55"/>
    </row>
    <row r="83" spans="1:13" ht="20.100000000000001" customHeight="1" x14ac:dyDescent="0.15">
      <c r="B83" s="58"/>
      <c r="C83" s="10"/>
      <c r="D83" s="10"/>
      <c r="E83" s="10"/>
      <c r="F83" s="10"/>
      <c r="G83" s="7"/>
      <c r="H83" s="8"/>
      <c r="I83" s="8"/>
      <c r="J83" s="8" t="str">
        <f t="shared" si="4"/>
        <v>借</v>
      </c>
      <c r="K83" s="9">
        <f t="shared" si="5"/>
        <v>11113</v>
      </c>
      <c r="L83" s="59"/>
      <c r="M83" s="55"/>
    </row>
    <row r="84" spans="1:13" ht="20.100000000000001" customHeight="1" x14ac:dyDescent="0.15">
      <c r="A84" s="27"/>
      <c r="B84" s="58"/>
      <c r="C84" s="5"/>
      <c r="D84" s="10"/>
      <c r="E84" s="10"/>
      <c r="F84" s="10"/>
      <c r="G84" s="7"/>
      <c r="H84" s="8"/>
      <c r="I84" s="15"/>
      <c r="J84" s="8" t="str">
        <f t="shared" si="4"/>
        <v>借</v>
      </c>
      <c r="K84" s="9">
        <f t="shared" si="5"/>
        <v>11113</v>
      </c>
      <c r="L84" s="59"/>
      <c r="M84" s="62"/>
    </row>
    <row r="85" spans="1:13" ht="20.100000000000001" customHeight="1" x14ac:dyDescent="0.15">
      <c r="A85" s="27"/>
      <c r="B85" s="58"/>
      <c r="C85" s="5"/>
      <c r="D85" s="10"/>
      <c r="E85" s="10"/>
      <c r="F85" s="10"/>
      <c r="G85" s="7"/>
      <c r="H85" s="8"/>
      <c r="I85" s="15"/>
      <c r="J85" s="8" t="str">
        <f t="shared" si="4"/>
        <v>借</v>
      </c>
      <c r="K85" s="9">
        <f t="shared" si="5"/>
        <v>11113</v>
      </c>
      <c r="L85" s="59"/>
      <c r="M85" s="55"/>
    </row>
    <row r="86" spans="1:13" ht="20.100000000000001" customHeight="1" x14ac:dyDescent="0.15">
      <c r="A86" s="27"/>
      <c r="B86" s="58"/>
      <c r="C86" s="5"/>
      <c r="D86" s="10"/>
      <c r="E86" s="10"/>
      <c r="F86" s="10"/>
      <c r="G86" s="7"/>
      <c r="H86" s="8"/>
      <c r="I86" s="15"/>
      <c r="J86" s="8" t="str">
        <f t="shared" si="4"/>
        <v>借</v>
      </c>
      <c r="K86" s="9">
        <f t="shared" si="5"/>
        <v>11113</v>
      </c>
      <c r="L86" s="59"/>
      <c r="M86" s="55"/>
    </row>
    <row r="87" spans="1:13" ht="20.100000000000001" customHeight="1" x14ac:dyDescent="0.15">
      <c r="A87" s="27"/>
      <c r="B87" s="58"/>
      <c r="C87" s="5"/>
      <c r="D87" s="10"/>
      <c r="E87" s="10"/>
      <c r="F87" s="10"/>
      <c r="G87" s="7"/>
      <c r="H87" s="8"/>
      <c r="I87" s="8"/>
      <c r="J87" s="8" t="str">
        <f t="shared" si="4"/>
        <v>借</v>
      </c>
      <c r="K87" s="9">
        <f t="shared" si="5"/>
        <v>11113</v>
      </c>
      <c r="L87" s="59"/>
      <c r="M87" s="55"/>
    </row>
    <row r="88" spans="1:13" ht="20.100000000000001" customHeight="1" x14ac:dyDescent="0.15">
      <c r="A88" s="27"/>
      <c r="B88" s="58"/>
      <c r="C88" s="5"/>
      <c r="D88" s="10"/>
      <c r="E88" s="10"/>
      <c r="F88" s="10"/>
      <c r="G88" s="7"/>
      <c r="H88" s="8"/>
      <c r="I88" s="8"/>
      <c r="J88" s="8" t="str">
        <f t="shared" si="4"/>
        <v>借</v>
      </c>
      <c r="K88" s="9">
        <f t="shared" si="5"/>
        <v>11113</v>
      </c>
      <c r="L88" s="59"/>
      <c r="M88" s="55"/>
    </row>
    <row r="89" spans="1:13" ht="20.100000000000001" customHeight="1" x14ac:dyDescent="0.15">
      <c r="A89" s="27"/>
      <c r="B89" s="58"/>
      <c r="C89" s="5"/>
      <c r="D89" s="10"/>
      <c r="E89" s="10"/>
      <c r="F89" s="10"/>
      <c r="G89" s="7"/>
      <c r="H89" s="8"/>
      <c r="I89" s="8"/>
      <c r="J89" s="8" t="str">
        <f t="shared" si="4"/>
        <v>借</v>
      </c>
      <c r="K89" s="9">
        <f t="shared" si="5"/>
        <v>11113</v>
      </c>
      <c r="L89" s="59"/>
      <c r="M89" s="55"/>
    </row>
    <row r="90" spans="1:13" ht="20.100000000000001" customHeight="1" x14ac:dyDescent="0.15">
      <c r="A90" s="27"/>
      <c r="B90" s="58"/>
      <c r="C90" s="5"/>
      <c r="D90" s="10"/>
      <c r="E90" s="10"/>
      <c r="F90" s="10"/>
      <c r="G90" s="7"/>
      <c r="H90" s="8"/>
      <c r="I90" s="8"/>
      <c r="J90" s="8" t="str">
        <f t="shared" si="4"/>
        <v>借</v>
      </c>
      <c r="K90" s="9">
        <f t="shared" si="5"/>
        <v>11113</v>
      </c>
      <c r="L90" s="59"/>
      <c r="M90" s="55"/>
    </row>
    <row r="91" spans="1:13" ht="20.100000000000001" customHeight="1" x14ac:dyDescent="0.15">
      <c r="B91" s="58"/>
      <c r="C91" s="5"/>
      <c r="D91" s="10"/>
      <c r="E91" s="10"/>
      <c r="F91" s="10"/>
      <c r="G91" s="7"/>
      <c r="H91" s="8"/>
      <c r="I91" s="8"/>
      <c r="J91" s="8" t="str">
        <f t="shared" si="4"/>
        <v>借</v>
      </c>
      <c r="K91" s="9">
        <f t="shared" si="5"/>
        <v>11113</v>
      </c>
      <c r="L91" s="59"/>
      <c r="M91" s="55"/>
    </row>
    <row r="92" spans="1:13" ht="20.100000000000001" customHeight="1" x14ac:dyDescent="0.15">
      <c r="B92" s="58"/>
      <c r="C92" s="5"/>
      <c r="D92" s="10"/>
      <c r="E92" s="10"/>
      <c r="F92" s="10"/>
      <c r="G92" s="7"/>
      <c r="H92" s="8"/>
      <c r="I92" s="8"/>
      <c r="J92" s="8" t="str">
        <f t="shared" si="4"/>
        <v>借</v>
      </c>
      <c r="K92" s="9">
        <f t="shared" si="5"/>
        <v>11113</v>
      </c>
      <c r="L92" s="59"/>
      <c r="M92" s="55"/>
    </row>
    <row r="93" spans="1:13" ht="20.100000000000001" customHeight="1" x14ac:dyDescent="0.15">
      <c r="A93" s="27"/>
      <c r="B93" s="58"/>
      <c r="C93" s="5"/>
      <c r="D93" s="10"/>
      <c r="E93" s="10"/>
      <c r="F93" s="10"/>
      <c r="G93" s="7"/>
      <c r="H93" s="8"/>
      <c r="I93" s="8"/>
      <c r="J93" s="8" t="str">
        <f t="shared" si="4"/>
        <v>借</v>
      </c>
      <c r="K93" s="9">
        <f t="shared" si="5"/>
        <v>11113</v>
      </c>
      <c r="L93" s="59"/>
      <c r="M93" s="55"/>
    </row>
    <row r="94" spans="1:13" ht="20.100000000000001" customHeight="1" x14ac:dyDescent="0.15">
      <c r="A94" s="27"/>
      <c r="B94" s="58"/>
      <c r="C94" s="5"/>
      <c r="D94" s="10"/>
      <c r="E94" s="10"/>
      <c r="F94" s="10"/>
      <c r="G94" s="7"/>
      <c r="H94" s="8"/>
      <c r="I94" s="8"/>
      <c r="J94" s="8" t="str">
        <f t="shared" si="4"/>
        <v>借</v>
      </c>
      <c r="K94" s="9">
        <f t="shared" si="5"/>
        <v>11113</v>
      </c>
      <c r="L94" s="59"/>
      <c r="M94" s="55"/>
    </row>
    <row r="95" spans="1:13" ht="20.100000000000001" customHeight="1" x14ac:dyDescent="0.15">
      <c r="A95" s="27"/>
      <c r="B95" s="58"/>
      <c r="C95" s="5"/>
      <c r="D95" s="10"/>
      <c r="E95" s="10"/>
      <c r="F95" s="10"/>
      <c r="G95" s="7"/>
      <c r="H95" s="8"/>
      <c r="I95" s="8"/>
      <c r="J95" s="8" t="str">
        <f t="shared" si="4"/>
        <v>借</v>
      </c>
      <c r="K95" s="9">
        <f t="shared" si="5"/>
        <v>11113</v>
      </c>
      <c r="L95" s="59"/>
      <c r="M95" s="55"/>
    </row>
    <row r="96" spans="1:13" ht="20.100000000000001" customHeight="1" x14ac:dyDescent="0.15">
      <c r="A96" s="27"/>
      <c r="B96" s="58"/>
      <c r="C96" s="5"/>
      <c r="D96" s="10"/>
      <c r="E96" s="10"/>
      <c r="F96" s="10"/>
      <c r="G96" s="7"/>
      <c r="H96" s="8"/>
      <c r="I96" s="8"/>
      <c r="J96" s="8" t="str">
        <f t="shared" si="4"/>
        <v>借</v>
      </c>
      <c r="K96" s="9">
        <f t="shared" si="5"/>
        <v>11113</v>
      </c>
      <c r="L96" s="59"/>
      <c r="M96" s="55"/>
    </row>
    <row r="97" spans="1:13" ht="20.100000000000001" customHeight="1" x14ac:dyDescent="0.15">
      <c r="A97" s="27"/>
      <c r="B97" s="58"/>
      <c r="C97" s="5"/>
      <c r="D97" s="10"/>
      <c r="E97" s="10"/>
      <c r="F97" s="10"/>
      <c r="G97" s="7"/>
      <c r="H97" s="8"/>
      <c r="I97" s="8"/>
      <c r="J97" s="8" t="str">
        <f t="shared" si="4"/>
        <v>借</v>
      </c>
      <c r="K97" s="9">
        <f t="shared" si="5"/>
        <v>11113</v>
      </c>
      <c r="L97" s="59"/>
      <c r="M97" s="55"/>
    </row>
    <row r="98" spans="1:13" ht="20.100000000000001" customHeight="1" x14ac:dyDescent="0.15">
      <c r="A98" s="27"/>
      <c r="B98" s="58"/>
      <c r="C98" s="5"/>
      <c r="D98" s="10"/>
      <c r="E98" s="10"/>
      <c r="F98" s="10"/>
      <c r="G98" s="7"/>
      <c r="H98" s="8"/>
      <c r="I98" s="8"/>
      <c r="J98" s="8" t="str">
        <f t="shared" si="4"/>
        <v>借</v>
      </c>
      <c r="K98" s="9">
        <f t="shared" si="5"/>
        <v>11113</v>
      </c>
      <c r="L98" s="59"/>
      <c r="M98" s="55"/>
    </row>
    <row r="99" spans="1:13" ht="20.100000000000001" customHeight="1" x14ac:dyDescent="0.15">
      <c r="B99" s="58"/>
      <c r="C99" s="5"/>
      <c r="D99" s="10"/>
      <c r="E99" s="10"/>
      <c r="F99" s="10"/>
      <c r="G99" s="7"/>
      <c r="H99" s="8"/>
      <c r="I99" s="8"/>
      <c r="J99" s="8" t="str">
        <f t="shared" si="4"/>
        <v>借</v>
      </c>
      <c r="K99" s="9">
        <f t="shared" si="5"/>
        <v>11113</v>
      </c>
      <c r="L99" s="59"/>
      <c r="M99" s="55"/>
    </row>
    <row r="100" spans="1:13" ht="20.100000000000001" customHeight="1" x14ac:dyDescent="0.15">
      <c r="B100" s="58"/>
      <c r="C100" s="5"/>
      <c r="D100" s="10"/>
      <c r="E100" s="10"/>
      <c r="F100" s="10"/>
      <c r="G100" s="7"/>
      <c r="H100" s="8"/>
      <c r="I100" s="8"/>
      <c r="J100" s="8" t="str">
        <f t="shared" si="4"/>
        <v>借</v>
      </c>
      <c r="K100" s="9">
        <f t="shared" si="5"/>
        <v>11113</v>
      </c>
      <c r="L100" s="59"/>
      <c r="M100" s="55"/>
    </row>
    <row r="101" spans="1:13" ht="20.100000000000001" customHeight="1" x14ac:dyDescent="0.15">
      <c r="B101" s="58"/>
      <c r="C101" s="5"/>
      <c r="D101" s="10"/>
      <c r="E101" s="10"/>
      <c r="F101" s="10"/>
      <c r="G101" s="7"/>
      <c r="H101" s="8"/>
      <c r="I101" s="8"/>
      <c r="J101" s="8" t="str">
        <f t="shared" si="4"/>
        <v>借</v>
      </c>
      <c r="K101" s="9">
        <f t="shared" si="5"/>
        <v>11113</v>
      </c>
      <c r="L101" s="59"/>
      <c r="M101" s="85"/>
    </row>
    <row r="102" spans="1:13" ht="20.100000000000001" customHeight="1" x14ac:dyDescent="0.15">
      <c r="A102" s="27"/>
      <c r="B102" s="58"/>
      <c r="C102" s="5"/>
      <c r="D102" s="10"/>
      <c r="E102" s="10"/>
      <c r="F102" s="10"/>
      <c r="G102" s="7"/>
      <c r="H102" s="8"/>
      <c r="I102" s="8"/>
      <c r="J102" s="8" t="str">
        <f t="shared" si="4"/>
        <v>借</v>
      </c>
      <c r="K102" s="9">
        <f t="shared" si="5"/>
        <v>11113</v>
      </c>
      <c r="L102" s="59"/>
      <c r="M102" s="86"/>
    </row>
    <row r="103" spans="1:13" ht="20.100000000000001" customHeight="1" x14ac:dyDescent="0.15">
      <c r="A103" s="27"/>
      <c r="B103" s="58"/>
      <c r="C103" s="5"/>
      <c r="D103" s="10"/>
      <c r="E103" s="10"/>
      <c r="F103" s="10"/>
      <c r="G103" s="7"/>
      <c r="H103" s="8"/>
      <c r="I103" s="8"/>
      <c r="J103" s="8" t="str">
        <f t="shared" si="4"/>
        <v>借</v>
      </c>
      <c r="K103" s="9">
        <f t="shared" si="5"/>
        <v>11113</v>
      </c>
      <c r="L103" s="59"/>
      <c r="M103" s="55"/>
    </row>
    <row r="104" spans="1:13" ht="20.100000000000001" customHeight="1" x14ac:dyDescent="0.15">
      <c r="A104" s="27"/>
      <c r="B104" s="58"/>
      <c r="C104" s="5"/>
      <c r="D104" s="10"/>
      <c r="E104" s="10"/>
      <c r="F104" s="10"/>
      <c r="G104" s="7"/>
      <c r="H104" s="8"/>
      <c r="I104" s="8"/>
      <c r="J104" s="8" t="str">
        <f t="shared" si="4"/>
        <v>借</v>
      </c>
      <c r="K104" s="9">
        <f t="shared" si="5"/>
        <v>11113</v>
      </c>
      <c r="L104" s="59"/>
      <c r="M104" s="85"/>
    </row>
    <row r="105" spans="1:13" ht="20.100000000000001" customHeight="1" x14ac:dyDescent="0.15">
      <c r="A105" s="27"/>
      <c r="B105" s="58"/>
      <c r="C105" s="5"/>
      <c r="D105" s="10"/>
      <c r="E105" s="10"/>
      <c r="F105" s="10"/>
      <c r="G105" s="7"/>
      <c r="H105" s="8"/>
      <c r="I105" s="8"/>
      <c r="J105" s="8" t="str">
        <f t="shared" si="4"/>
        <v>借</v>
      </c>
      <c r="K105" s="9">
        <f t="shared" si="5"/>
        <v>11113</v>
      </c>
      <c r="L105" s="59"/>
      <c r="M105" s="87"/>
    </row>
    <row r="106" spans="1:13" ht="20.100000000000001" customHeight="1" x14ac:dyDescent="0.15">
      <c r="A106" s="27"/>
      <c r="B106" s="58"/>
      <c r="C106" s="5"/>
      <c r="D106" s="10"/>
      <c r="E106" s="10"/>
      <c r="F106" s="10"/>
      <c r="G106" s="7"/>
      <c r="H106" s="8"/>
      <c r="I106" s="8"/>
      <c r="J106" s="8" t="str">
        <f t="shared" si="4"/>
        <v>借</v>
      </c>
      <c r="K106" s="9">
        <f t="shared" si="5"/>
        <v>11113</v>
      </c>
      <c r="L106" s="59"/>
      <c r="M106" s="86"/>
    </row>
    <row r="107" spans="1:13" ht="20.100000000000001" customHeight="1" x14ac:dyDescent="0.15">
      <c r="A107" s="27"/>
      <c r="B107" s="58"/>
      <c r="C107" s="5"/>
      <c r="D107" s="10"/>
      <c r="E107" s="10"/>
      <c r="F107" s="10"/>
      <c r="G107" s="7"/>
      <c r="H107" s="8"/>
      <c r="I107" s="8"/>
      <c r="J107" s="8" t="str">
        <f t="shared" si="4"/>
        <v>借</v>
      </c>
      <c r="K107" s="9">
        <f t="shared" si="5"/>
        <v>11113</v>
      </c>
      <c r="L107" s="59"/>
      <c r="M107" s="55"/>
    </row>
    <row r="108" spans="1:13" ht="20.100000000000001" customHeight="1" x14ac:dyDescent="0.15">
      <c r="A108" s="27"/>
      <c r="B108" s="58"/>
      <c r="C108" s="5"/>
      <c r="D108" s="10"/>
      <c r="E108" s="10"/>
      <c r="F108" s="10"/>
      <c r="G108" s="7"/>
      <c r="H108" s="8"/>
      <c r="I108" s="8"/>
      <c r="J108" s="8" t="str">
        <f t="shared" si="4"/>
        <v>借</v>
      </c>
      <c r="K108" s="9">
        <f t="shared" si="5"/>
        <v>11113</v>
      </c>
      <c r="L108" s="59"/>
      <c r="M108" s="55"/>
    </row>
    <row r="109" spans="1:13" ht="20.100000000000001" customHeight="1" x14ac:dyDescent="0.15">
      <c r="B109" s="58"/>
      <c r="C109" s="5"/>
      <c r="D109" s="10"/>
      <c r="E109" s="10"/>
      <c r="F109" s="10"/>
      <c r="G109" s="7"/>
      <c r="H109" s="8"/>
      <c r="I109" s="8"/>
      <c r="J109" s="8" t="str">
        <f t="shared" si="4"/>
        <v>借</v>
      </c>
      <c r="K109" s="9">
        <f t="shared" si="5"/>
        <v>11113</v>
      </c>
      <c r="L109" s="59"/>
      <c r="M109" s="55"/>
    </row>
    <row r="110" spans="1:13" ht="20.100000000000001" customHeight="1" x14ac:dyDescent="0.15">
      <c r="B110" s="58"/>
      <c r="C110" s="5"/>
      <c r="D110" s="10"/>
      <c r="E110" s="10"/>
      <c r="F110" s="10"/>
      <c r="G110" s="7"/>
      <c r="H110" s="8"/>
      <c r="I110" s="8"/>
      <c r="J110" s="8" t="str">
        <f t="shared" si="4"/>
        <v>借</v>
      </c>
      <c r="K110" s="9">
        <f t="shared" si="5"/>
        <v>11113</v>
      </c>
      <c r="L110" s="59"/>
      <c r="M110" s="55"/>
    </row>
    <row r="111" spans="1:13" ht="20.100000000000001" customHeight="1" x14ac:dyDescent="0.15">
      <c r="A111" s="27"/>
      <c r="B111" s="58"/>
      <c r="C111" s="5"/>
      <c r="D111" s="10"/>
      <c r="E111" s="16"/>
      <c r="F111" s="10"/>
      <c r="G111" s="7"/>
      <c r="H111" s="8"/>
      <c r="I111" s="8"/>
      <c r="J111" s="8" t="str">
        <f t="shared" si="4"/>
        <v>借</v>
      </c>
      <c r="K111" s="9">
        <f t="shared" si="5"/>
        <v>11113</v>
      </c>
      <c r="L111" s="59"/>
      <c r="M111" s="55"/>
    </row>
    <row r="112" spans="1:13" ht="20.100000000000001" customHeight="1" x14ac:dyDescent="0.15">
      <c r="A112" s="27"/>
      <c r="B112" s="58"/>
      <c r="C112" s="5"/>
      <c r="D112" s="10"/>
      <c r="E112" s="10"/>
      <c r="F112" s="10"/>
      <c r="G112" s="7"/>
      <c r="H112" s="8"/>
      <c r="I112" s="8"/>
      <c r="J112" s="8" t="str">
        <f t="shared" si="4"/>
        <v>借</v>
      </c>
      <c r="K112" s="9">
        <f t="shared" si="5"/>
        <v>11113</v>
      </c>
      <c r="L112" s="59"/>
      <c r="M112" s="55"/>
    </row>
    <row r="113" spans="1:13" ht="20.100000000000001" customHeight="1" x14ac:dyDescent="0.15">
      <c r="A113" s="27"/>
      <c r="B113" s="58"/>
      <c r="C113" s="5"/>
      <c r="D113" s="10"/>
      <c r="E113" s="10"/>
      <c r="F113" s="10"/>
      <c r="G113" s="7"/>
      <c r="H113" s="8"/>
      <c r="I113" s="8"/>
      <c r="J113" s="8" t="str">
        <f t="shared" si="4"/>
        <v>借</v>
      </c>
      <c r="K113" s="9">
        <f t="shared" si="5"/>
        <v>11113</v>
      </c>
      <c r="L113" s="59"/>
      <c r="M113" s="55"/>
    </row>
    <row r="114" spans="1:13" ht="20.100000000000001" customHeight="1" x14ac:dyDescent="0.15">
      <c r="A114" s="27"/>
      <c r="B114" s="58"/>
      <c r="C114" s="5"/>
      <c r="D114" s="10"/>
      <c r="E114" s="10"/>
      <c r="F114" s="10"/>
      <c r="G114" s="7"/>
      <c r="H114" s="8"/>
      <c r="I114" s="8"/>
      <c r="J114" s="8" t="str">
        <f t="shared" si="4"/>
        <v>借</v>
      </c>
      <c r="K114" s="9">
        <f t="shared" si="5"/>
        <v>11113</v>
      </c>
      <c r="L114" s="59"/>
      <c r="M114" s="63"/>
    </row>
    <row r="115" spans="1:13" ht="20.100000000000001" customHeight="1" x14ac:dyDescent="0.15">
      <c r="A115" s="27"/>
      <c r="B115" s="58"/>
      <c r="C115" s="5"/>
      <c r="D115" s="10"/>
      <c r="E115" s="10"/>
      <c r="F115" s="10"/>
      <c r="G115" s="7"/>
      <c r="H115" s="8"/>
      <c r="I115" s="8"/>
      <c r="J115" s="8" t="str">
        <f t="shared" si="4"/>
        <v>借</v>
      </c>
      <c r="K115" s="9">
        <f t="shared" si="5"/>
        <v>11113</v>
      </c>
      <c r="L115" s="59"/>
      <c r="M115" s="64"/>
    </row>
    <row r="116" spans="1:13" ht="20.100000000000001" customHeight="1" x14ac:dyDescent="0.15">
      <c r="A116" s="27"/>
      <c r="B116" s="58"/>
      <c r="C116" s="5"/>
      <c r="D116" s="10"/>
      <c r="E116" s="10"/>
      <c r="F116" s="10"/>
      <c r="G116" s="7"/>
      <c r="H116" s="8"/>
      <c r="I116" s="8"/>
      <c r="J116" s="8" t="str">
        <f t="shared" si="4"/>
        <v>借</v>
      </c>
      <c r="K116" s="9">
        <f t="shared" si="5"/>
        <v>11113</v>
      </c>
      <c r="L116" s="59"/>
      <c r="M116" s="55"/>
    </row>
    <row r="117" spans="1:13" ht="20.100000000000001" customHeight="1" x14ac:dyDescent="0.15">
      <c r="A117" s="27"/>
      <c r="B117" s="58"/>
      <c r="C117" s="5"/>
      <c r="D117" s="10"/>
      <c r="E117" s="10"/>
      <c r="F117" s="10"/>
      <c r="G117" s="7"/>
      <c r="H117" s="8"/>
      <c r="I117" s="8"/>
      <c r="J117" s="8" t="str">
        <f t="shared" si="4"/>
        <v>借</v>
      </c>
      <c r="K117" s="9">
        <f t="shared" si="5"/>
        <v>11113</v>
      </c>
      <c r="L117" s="59"/>
      <c r="M117" s="55"/>
    </row>
    <row r="118" spans="1:13" ht="20.100000000000001" customHeight="1" x14ac:dyDescent="0.15">
      <c r="B118" s="58"/>
      <c r="C118" s="5"/>
      <c r="D118" s="10"/>
      <c r="E118" s="10"/>
      <c r="F118" s="10"/>
      <c r="G118" s="7"/>
      <c r="H118" s="8"/>
      <c r="I118" s="8"/>
      <c r="J118" s="8" t="str">
        <f t="shared" si="4"/>
        <v>借</v>
      </c>
      <c r="K118" s="9">
        <f t="shared" si="5"/>
        <v>11113</v>
      </c>
      <c r="L118" s="59"/>
      <c r="M118" s="55"/>
    </row>
    <row r="119" spans="1:13" ht="20.100000000000001" customHeight="1" x14ac:dyDescent="0.15">
      <c r="B119" s="58"/>
      <c r="C119" s="5"/>
      <c r="D119" s="10"/>
      <c r="E119" s="10"/>
      <c r="F119" s="10"/>
      <c r="G119" s="7"/>
      <c r="H119" s="8"/>
      <c r="I119" s="8"/>
      <c r="J119" s="8" t="str">
        <f t="shared" si="4"/>
        <v>借</v>
      </c>
      <c r="K119" s="9">
        <f t="shared" si="5"/>
        <v>11113</v>
      </c>
      <c r="L119" s="59"/>
      <c r="M119" s="55"/>
    </row>
    <row r="120" spans="1:13" ht="20.100000000000001" customHeight="1" x14ac:dyDescent="0.15">
      <c r="B120" s="58"/>
      <c r="C120" s="5"/>
      <c r="D120" s="10"/>
      <c r="E120" s="10"/>
      <c r="F120" s="10"/>
      <c r="G120" s="7"/>
      <c r="H120" s="8"/>
      <c r="I120" s="8"/>
      <c r="J120" s="8" t="str">
        <f t="shared" si="4"/>
        <v>借</v>
      </c>
      <c r="K120" s="9">
        <f t="shared" si="5"/>
        <v>11113</v>
      </c>
      <c r="L120" s="59"/>
      <c r="M120" s="55"/>
    </row>
    <row r="121" spans="1:13" ht="20.100000000000001" customHeight="1" x14ac:dyDescent="0.15">
      <c r="B121" s="58"/>
      <c r="C121" s="5"/>
      <c r="D121" s="10"/>
      <c r="E121" s="10"/>
      <c r="F121" s="10"/>
      <c r="G121" s="7"/>
      <c r="H121" s="8"/>
      <c r="I121" s="8"/>
      <c r="J121" s="8" t="str">
        <f t="shared" si="4"/>
        <v>借</v>
      </c>
      <c r="K121" s="9">
        <f t="shared" si="5"/>
        <v>11113</v>
      </c>
      <c r="L121" s="59"/>
      <c r="M121" s="85"/>
    </row>
    <row r="122" spans="1:13" ht="20.100000000000001" customHeight="1" x14ac:dyDescent="0.15">
      <c r="A122" s="27"/>
      <c r="B122" s="58"/>
      <c r="C122" s="5"/>
      <c r="D122" s="10"/>
      <c r="E122" s="10"/>
      <c r="F122" s="10"/>
      <c r="G122" s="7"/>
      <c r="H122" s="8"/>
      <c r="I122" s="8"/>
      <c r="J122" s="8" t="str">
        <f t="shared" si="4"/>
        <v>借</v>
      </c>
      <c r="K122" s="9">
        <f t="shared" si="5"/>
        <v>11113</v>
      </c>
      <c r="L122" s="59"/>
      <c r="M122" s="86"/>
    </row>
    <row r="123" spans="1:13" ht="20.100000000000001" customHeight="1" x14ac:dyDescent="0.15">
      <c r="A123" s="27"/>
      <c r="B123" s="58"/>
      <c r="C123" s="5"/>
      <c r="D123" s="10"/>
      <c r="E123" s="10"/>
      <c r="F123" s="10"/>
      <c r="G123" s="7"/>
      <c r="H123" s="8"/>
      <c r="I123" s="8"/>
      <c r="J123" s="8" t="str">
        <f t="shared" si="4"/>
        <v>借</v>
      </c>
      <c r="K123" s="9">
        <f t="shared" si="5"/>
        <v>11113</v>
      </c>
      <c r="L123" s="59"/>
      <c r="M123" s="55"/>
    </row>
    <row r="124" spans="1:13" ht="20.100000000000001" customHeight="1" x14ac:dyDescent="0.15">
      <c r="A124" s="27"/>
      <c r="B124" s="58"/>
      <c r="C124" s="5"/>
      <c r="D124" s="10"/>
      <c r="E124" s="10"/>
      <c r="F124" s="10"/>
      <c r="G124" s="7"/>
      <c r="H124" s="8"/>
      <c r="I124" s="8"/>
      <c r="J124" s="8" t="str">
        <f t="shared" si="4"/>
        <v>借</v>
      </c>
      <c r="K124" s="9">
        <f t="shared" si="5"/>
        <v>11113</v>
      </c>
      <c r="L124" s="59"/>
      <c r="M124" s="55"/>
    </row>
    <row r="125" spans="1:13" ht="20.100000000000001" customHeight="1" x14ac:dyDescent="0.15">
      <c r="A125" s="27"/>
      <c r="B125" s="58"/>
      <c r="C125" s="5"/>
      <c r="D125" s="10"/>
      <c r="E125" s="10"/>
      <c r="F125" s="10"/>
      <c r="G125" s="7"/>
      <c r="H125" s="8"/>
      <c r="I125" s="8"/>
      <c r="J125" s="8" t="str">
        <f t="shared" si="4"/>
        <v>借</v>
      </c>
      <c r="K125" s="9">
        <f t="shared" si="5"/>
        <v>11113</v>
      </c>
      <c r="L125" s="59"/>
      <c r="M125" s="65"/>
    </row>
    <row r="126" spans="1:13" ht="20.100000000000001" customHeight="1" x14ac:dyDescent="0.15">
      <c r="A126" s="27"/>
      <c r="B126" s="58"/>
      <c r="C126" s="5"/>
      <c r="D126" s="10"/>
      <c r="E126" s="10"/>
      <c r="F126" s="10"/>
      <c r="G126" s="7"/>
      <c r="H126" s="8"/>
      <c r="I126" s="8"/>
      <c r="J126" s="8" t="str">
        <f t="shared" si="4"/>
        <v>借</v>
      </c>
      <c r="K126" s="9">
        <f t="shared" si="5"/>
        <v>11113</v>
      </c>
      <c r="L126" s="59"/>
      <c r="M126" s="55"/>
    </row>
    <row r="127" spans="1:13" ht="20.100000000000001" customHeight="1" x14ac:dyDescent="0.15">
      <c r="A127" s="27"/>
      <c r="B127" s="58"/>
      <c r="C127" s="5"/>
      <c r="D127" s="10"/>
      <c r="E127" s="10"/>
      <c r="F127" s="10"/>
      <c r="G127" s="7"/>
      <c r="H127" s="8"/>
      <c r="I127" s="8"/>
      <c r="J127" s="8" t="str">
        <f t="shared" si="4"/>
        <v>借</v>
      </c>
      <c r="K127" s="9">
        <f t="shared" si="5"/>
        <v>11113</v>
      </c>
      <c r="L127" s="59"/>
      <c r="M127" s="55"/>
    </row>
    <row r="128" spans="1:13" ht="20.100000000000001" customHeight="1" x14ac:dyDescent="0.15">
      <c r="A128" s="27"/>
      <c r="B128" s="58"/>
      <c r="C128" s="5"/>
      <c r="D128" s="10"/>
      <c r="E128" s="10"/>
      <c r="F128" s="10"/>
      <c r="G128" s="7"/>
      <c r="H128" s="8"/>
      <c r="I128" s="8"/>
      <c r="J128" s="8" t="str">
        <f t="shared" si="4"/>
        <v>借</v>
      </c>
      <c r="K128" s="9">
        <f t="shared" si="5"/>
        <v>11113</v>
      </c>
      <c r="L128" s="59"/>
      <c r="M128" s="55"/>
    </row>
    <row r="129" spans="1:13" ht="20.100000000000001" customHeight="1" x14ac:dyDescent="0.15">
      <c r="B129" s="58"/>
      <c r="C129" s="5"/>
      <c r="D129" s="10"/>
      <c r="E129" s="10"/>
      <c r="F129" s="10"/>
      <c r="G129" s="7"/>
      <c r="H129" s="8"/>
      <c r="I129" s="8"/>
      <c r="J129" s="8" t="str">
        <f t="shared" si="4"/>
        <v>借</v>
      </c>
      <c r="K129" s="9">
        <f t="shared" si="5"/>
        <v>11113</v>
      </c>
      <c r="L129" s="59"/>
      <c r="M129" s="55"/>
    </row>
    <row r="130" spans="1:13" ht="20.100000000000001" customHeight="1" x14ac:dyDescent="0.15">
      <c r="B130" s="58"/>
      <c r="C130" s="5"/>
      <c r="D130" s="10"/>
      <c r="E130" s="10"/>
      <c r="F130" s="10"/>
      <c r="G130" s="7"/>
      <c r="H130" s="8"/>
      <c r="I130" s="8"/>
      <c r="J130" s="8" t="str">
        <f t="shared" si="4"/>
        <v>借</v>
      </c>
      <c r="K130" s="9">
        <f t="shared" si="5"/>
        <v>11113</v>
      </c>
      <c r="L130" s="59"/>
      <c r="M130" s="55"/>
    </row>
    <row r="131" spans="1:13" ht="20.100000000000001" customHeight="1" x14ac:dyDescent="0.15">
      <c r="B131" s="58"/>
      <c r="C131" s="5"/>
      <c r="D131" s="10"/>
      <c r="E131" s="10"/>
      <c r="F131" s="10"/>
      <c r="G131" s="7"/>
      <c r="H131" s="8"/>
      <c r="I131" s="8"/>
      <c r="J131" s="8" t="str">
        <f t="shared" si="4"/>
        <v>借</v>
      </c>
      <c r="K131" s="9">
        <f t="shared" si="5"/>
        <v>11113</v>
      </c>
      <c r="L131" s="59"/>
      <c r="M131" s="55"/>
    </row>
    <row r="132" spans="1:13" ht="20.100000000000001" customHeight="1" x14ac:dyDescent="0.15">
      <c r="B132" s="58"/>
      <c r="C132" s="5"/>
      <c r="D132" s="10"/>
      <c r="E132" s="10"/>
      <c r="F132" s="10"/>
      <c r="G132" s="7"/>
      <c r="H132" s="8"/>
      <c r="I132" s="8"/>
      <c r="J132" s="8" t="str">
        <f t="shared" si="4"/>
        <v>借</v>
      </c>
      <c r="K132" s="9">
        <f t="shared" si="5"/>
        <v>11113</v>
      </c>
      <c r="L132" s="59"/>
      <c r="M132" s="85"/>
    </row>
    <row r="133" spans="1:13" ht="20.100000000000001" customHeight="1" x14ac:dyDescent="0.15">
      <c r="A133" s="27"/>
      <c r="B133" s="58"/>
      <c r="C133" s="5"/>
      <c r="D133" s="10"/>
      <c r="E133" s="10"/>
      <c r="F133" s="10"/>
      <c r="G133" s="7"/>
      <c r="H133" s="8"/>
      <c r="I133" s="8"/>
      <c r="J133" s="8" t="str">
        <f t="shared" si="4"/>
        <v>借</v>
      </c>
      <c r="K133" s="9">
        <f t="shared" si="5"/>
        <v>11113</v>
      </c>
      <c r="L133" s="59"/>
      <c r="M133" s="86"/>
    </row>
    <row r="134" spans="1:13" ht="20.100000000000001" customHeight="1" x14ac:dyDescent="0.15">
      <c r="A134" s="27"/>
      <c r="B134" s="58"/>
      <c r="C134" s="5"/>
      <c r="D134" s="10"/>
      <c r="E134" s="10"/>
      <c r="F134" s="10"/>
      <c r="G134" s="7"/>
      <c r="H134" s="8"/>
      <c r="I134" s="8"/>
      <c r="J134" s="8" t="str">
        <f t="shared" si="4"/>
        <v>借</v>
      </c>
      <c r="K134" s="9">
        <f t="shared" si="5"/>
        <v>11113</v>
      </c>
      <c r="L134" s="59"/>
      <c r="M134" s="85"/>
    </row>
    <row r="135" spans="1:13" ht="20.100000000000001" customHeight="1" x14ac:dyDescent="0.15">
      <c r="A135" s="27"/>
      <c r="B135" s="58"/>
      <c r="C135" s="5"/>
      <c r="D135" s="10"/>
      <c r="E135" s="10"/>
      <c r="F135" s="10"/>
      <c r="G135" s="7"/>
      <c r="H135" s="8"/>
      <c r="I135" s="8"/>
      <c r="J135" s="8" t="str">
        <f t="shared" si="4"/>
        <v>借</v>
      </c>
      <c r="K135" s="9">
        <f t="shared" si="5"/>
        <v>11113</v>
      </c>
      <c r="L135" s="59"/>
      <c r="M135" s="86"/>
    </row>
    <row r="136" spans="1:13" ht="20.100000000000001" customHeight="1" x14ac:dyDescent="0.15">
      <c r="A136" s="27"/>
      <c r="B136" s="58"/>
      <c r="C136" s="5"/>
      <c r="D136" s="10"/>
      <c r="E136" s="10"/>
      <c r="F136" s="10"/>
      <c r="G136" s="7"/>
      <c r="H136" s="8"/>
      <c r="I136" s="8"/>
      <c r="J136" s="8" t="str">
        <f t="shared" si="4"/>
        <v>借</v>
      </c>
      <c r="K136" s="9">
        <f t="shared" si="5"/>
        <v>11113</v>
      </c>
      <c r="L136" s="59"/>
      <c r="M136" s="55"/>
    </row>
    <row r="137" spans="1:13" ht="20.100000000000001" customHeight="1" x14ac:dyDescent="0.15">
      <c r="A137" s="27"/>
      <c r="B137" s="58"/>
      <c r="C137" s="5"/>
      <c r="D137" s="10"/>
      <c r="E137" s="10"/>
      <c r="F137" s="10"/>
      <c r="G137" s="7"/>
      <c r="H137" s="8"/>
      <c r="I137" s="8"/>
      <c r="J137" s="8" t="str">
        <f t="shared" si="4"/>
        <v>借</v>
      </c>
      <c r="K137" s="9">
        <f t="shared" si="5"/>
        <v>11113</v>
      </c>
      <c r="L137" s="59"/>
      <c r="M137" s="65"/>
    </row>
    <row r="138" spans="1:13" ht="20.100000000000001" customHeight="1" x14ac:dyDescent="0.15">
      <c r="A138" s="27"/>
      <c r="B138" s="58"/>
      <c r="C138" s="5"/>
      <c r="D138" s="10"/>
      <c r="E138" s="16"/>
      <c r="F138" s="10"/>
      <c r="G138" s="7"/>
      <c r="H138" s="8"/>
      <c r="I138" s="8"/>
      <c r="J138" s="8" t="str">
        <f t="shared" si="4"/>
        <v>借</v>
      </c>
      <c r="K138" s="9">
        <f t="shared" si="5"/>
        <v>11113</v>
      </c>
      <c r="L138" s="59"/>
      <c r="M138" s="85"/>
    </row>
    <row r="139" spans="1:13" ht="20.100000000000001" customHeight="1" x14ac:dyDescent="0.15">
      <c r="B139" s="58"/>
      <c r="C139" s="5"/>
      <c r="D139" s="10"/>
      <c r="E139" s="16"/>
      <c r="F139" s="10"/>
      <c r="G139" s="7"/>
      <c r="H139" s="8"/>
      <c r="I139" s="8"/>
      <c r="J139" s="8" t="str">
        <f>IF((K138+H139-I139)&gt;0,"借","贷")</f>
        <v>借</v>
      </c>
      <c r="K139" s="9">
        <f>K138+H139-I139</f>
        <v>11113</v>
      </c>
      <c r="L139" s="59"/>
      <c r="M139" s="86"/>
    </row>
    <row r="140" spans="1:13" ht="20.100000000000001" customHeight="1" x14ac:dyDescent="0.15">
      <c r="B140" s="58"/>
      <c r="C140" s="5"/>
      <c r="D140" s="10"/>
      <c r="E140" s="16"/>
      <c r="F140" s="10"/>
      <c r="G140" s="7"/>
      <c r="H140" s="8"/>
      <c r="I140" s="8"/>
      <c r="J140" s="8" t="str">
        <f>IF((K139+H140-I140)&gt;0,"借","贷")</f>
        <v>借</v>
      </c>
      <c r="K140" s="9">
        <f>K139+H140-I140</f>
        <v>11113</v>
      </c>
      <c r="L140" s="59"/>
      <c r="M140" s="55"/>
    </row>
    <row r="141" spans="1:13" ht="20.100000000000001" customHeight="1" x14ac:dyDescent="0.15">
      <c r="A141" s="27"/>
      <c r="B141" s="58"/>
      <c r="C141" s="5"/>
      <c r="D141" s="10"/>
      <c r="E141" s="16"/>
      <c r="F141" s="10"/>
      <c r="G141" s="7"/>
      <c r="H141" s="8"/>
      <c r="I141" s="8"/>
      <c r="J141" s="8" t="str">
        <f>IF((K140+H141-I141)&gt;0,"借","贷")</f>
        <v>借</v>
      </c>
      <c r="K141" s="9">
        <f>K140+H141-I141</f>
        <v>11113</v>
      </c>
      <c r="L141" s="59"/>
      <c r="M141" s="55"/>
    </row>
    <row r="142" spans="1:13" ht="20.100000000000001" customHeight="1" x14ac:dyDescent="0.15">
      <c r="A142" s="27"/>
      <c r="B142" s="58"/>
      <c r="C142" s="5"/>
      <c r="D142" s="10"/>
      <c r="E142" s="16"/>
      <c r="F142" s="10"/>
      <c r="G142" s="7"/>
      <c r="H142" s="8"/>
      <c r="I142" s="8"/>
      <c r="J142" s="8" t="str">
        <f>IF((K141+H142-I142)&gt;0,"借","贷")</f>
        <v>借</v>
      </c>
      <c r="K142" s="9">
        <f>K141+H142-I142</f>
        <v>11113</v>
      </c>
      <c r="L142" s="59"/>
      <c r="M142" s="85"/>
    </row>
    <row r="143" spans="1:13" ht="20.100000000000001" customHeight="1" x14ac:dyDescent="0.15">
      <c r="A143" s="27"/>
      <c r="B143" s="58"/>
      <c r="C143" s="5"/>
      <c r="D143" s="10"/>
      <c r="E143" s="16"/>
      <c r="F143" s="10"/>
      <c r="G143" s="7"/>
      <c r="H143" s="8"/>
      <c r="I143" s="8"/>
      <c r="J143" s="8" t="str">
        <f t="shared" ref="J143:J152" si="6">IF((K142+H143-I143)&gt;0,"借","贷")</f>
        <v>借</v>
      </c>
      <c r="K143" s="9">
        <f t="shared" ref="K143:K170" si="7">K142+H143-I143</f>
        <v>11113</v>
      </c>
      <c r="L143" s="59"/>
      <c r="M143" s="86"/>
    </row>
    <row r="144" spans="1:13" ht="20.100000000000001" customHeight="1" x14ac:dyDescent="0.15">
      <c r="A144" s="27"/>
      <c r="B144" s="58"/>
      <c r="C144" s="5"/>
      <c r="D144" s="10"/>
      <c r="E144" s="16"/>
      <c r="F144" s="10"/>
      <c r="G144" s="7"/>
      <c r="H144" s="8"/>
      <c r="I144" s="8"/>
      <c r="J144" s="8" t="str">
        <f t="shared" si="6"/>
        <v>借</v>
      </c>
      <c r="K144" s="9">
        <f t="shared" si="7"/>
        <v>11113</v>
      </c>
      <c r="L144" s="59"/>
      <c r="M144" s="55"/>
    </row>
    <row r="145" spans="1:13" ht="20.100000000000001" customHeight="1" x14ac:dyDescent="0.15">
      <c r="A145" s="27"/>
      <c r="B145" s="58"/>
      <c r="C145" s="5"/>
      <c r="D145" s="10"/>
      <c r="E145" s="10"/>
      <c r="F145" s="10"/>
      <c r="G145" s="7"/>
      <c r="H145" s="8"/>
      <c r="I145" s="8"/>
      <c r="J145" s="8" t="str">
        <f t="shared" si="6"/>
        <v>借</v>
      </c>
      <c r="K145" s="9">
        <f t="shared" si="7"/>
        <v>11113</v>
      </c>
      <c r="L145" s="59"/>
      <c r="M145" s="55"/>
    </row>
    <row r="146" spans="1:13" ht="20.100000000000001" customHeight="1" x14ac:dyDescent="0.15">
      <c r="A146" s="27"/>
      <c r="B146" s="58"/>
      <c r="C146" s="5"/>
      <c r="D146" s="10"/>
      <c r="E146" s="10"/>
      <c r="F146" s="10"/>
      <c r="G146" s="7"/>
      <c r="H146" s="8"/>
      <c r="I146" s="8"/>
      <c r="J146" s="8" t="str">
        <f t="shared" si="6"/>
        <v>借</v>
      </c>
      <c r="K146" s="9">
        <f t="shared" si="7"/>
        <v>11113</v>
      </c>
      <c r="L146" s="59"/>
      <c r="M146" s="55"/>
    </row>
    <row r="147" spans="1:13" ht="20.100000000000001" customHeight="1" x14ac:dyDescent="0.15">
      <c r="B147" s="58"/>
      <c r="C147" s="5"/>
      <c r="D147" s="10"/>
      <c r="E147" s="10"/>
      <c r="F147" s="10"/>
      <c r="G147" s="7"/>
      <c r="H147" s="8"/>
      <c r="I147" s="8"/>
      <c r="J147" s="8" t="str">
        <f t="shared" si="6"/>
        <v>借</v>
      </c>
      <c r="K147" s="9">
        <f t="shared" si="7"/>
        <v>11113</v>
      </c>
      <c r="L147" s="59"/>
      <c r="M147" s="55"/>
    </row>
    <row r="148" spans="1:13" ht="20.100000000000001" customHeight="1" x14ac:dyDescent="0.15">
      <c r="B148" s="58"/>
      <c r="C148" s="5"/>
      <c r="D148" s="10"/>
      <c r="E148" s="10"/>
      <c r="F148" s="10"/>
      <c r="G148" s="7"/>
      <c r="H148" s="8"/>
      <c r="I148" s="8"/>
      <c r="J148" s="8" t="str">
        <f t="shared" si="6"/>
        <v>借</v>
      </c>
      <c r="K148" s="9">
        <f t="shared" si="7"/>
        <v>11113</v>
      </c>
      <c r="L148" s="59"/>
      <c r="M148" s="55"/>
    </row>
    <row r="149" spans="1:13" ht="20.100000000000001" customHeight="1" x14ac:dyDescent="0.15">
      <c r="A149" s="27"/>
      <c r="B149" s="58"/>
      <c r="C149" s="5"/>
      <c r="D149" s="10"/>
      <c r="E149" s="10"/>
      <c r="F149" s="10"/>
      <c r="G149" s="7"/>
      <c r="H149" s="8"/>
      <c r="I149" s="8"/>
      <c r="J149" s="8" t="str">
        <f t="shared" si="6"/>
        <v>借</v>
      </c>
      <c r="K149" s="9">
        <f t="shared" si="7"/>
        <v>11113</v>
      </c>
      <c r="L149" s="59"/>
      <c r="M149" s="65"/>
    </row>
    <row r="150" spans="1:13" ht="20.100000000000001" customHeight="1" x14ac:dyDescent="0.15">
      <c r="A150" s="27"/>
      <c r="B150" s="58"/>
      <c r="C150" s="5"/>
      <c r="D150" s="10"/>
      <c r="E150" s="10"/>
      <c r="F150" s="10"/>
      <c r="G150" s="7"/>
      <c r="H150" s="8"/>
      <c r="I150" s="8"/>
      <c r="J150" s="8" t="str">
        <f t="shared" si="6"/>
        <v>借</v>
      </c>
      <c r="K150" s="9">
        <f t="shared" si="7"/>
        <v>11113</v>
      </c>
      <c r="L150" s="59"/>
      <c r="M150" s="55"/>
    </row>
    <row r="151" spans="1:13" ht="20.100000000000001" customHeight="1" x14ac:dyDescent="0.15">
      <c r="A151" s="27"/>
      <c r="B151" s="58"/>
      <c r="C151" s="5"/>
      <c r="D151" s="10"/>
      <c r="E151" s="10"/>
      <c r="F151" s="10"/>
      <c r="G151" s="7"/>
      <c r="H151" s="8"/>
      <c r="I151" s="8"/>
      <c r="J151" s="8" t="str">
        <f t="shared" si="6"/>
        <v>借</v>
      </c>
      <c r="K151" s="9">
        <f t="shared" si="7"/>
        <v>11113</v>
      </c>
      <c r="L151" s="59"/>
      <c r="M151" s="55"/>
    </row>
    <row r="152" spans="1:13" ht="20.100000000000001" customHeight="1" x14ac:dyDescent="0.15">
      <c r="A152" s="27"/>
      <c r="B152" s="58"/>
      <c r="C152" s="5"/>
      <c r="D152" s="10"/>
      <c r="E152" s="10"/>
      <c r="F152" s="10"/>
      <c r="G152" s="7"/>
      <c r="H152" s="8"/>
      <c r="I152" s="8"/>
      <c r="J152" s="8" t="str">
        <f t="shared" si="6"/>
        <v>借</v>
      </c>
      <c r="K152" s="9">
        <f t="shared" si="7"/>
        <v>11113</v>
      </c>
      <c r="L152" s="59"/>
      <c r="M152" s="66"/>
    </row>
    <row r="153" spans="1:13" ht="20.100000000000001" customHeight="1" x14ac:dyDescent="0.15">
      <c r="A153" s="27"/>
      <c r="B153" s="58"/>
      <c r="C153" s="5"/>
      <c r="D153" s="10"/>
      <c r="E153" s="10"/>
      <c r="F153" s="10"/>
      <c r="G153" s="7"/>
      <c r="H153" s="8"/>
      <c r="I153" s="8"/>
      <c r="J153" s="8" t="str">
        <f>IF((K151+H153-I153)&gt;0,"借","贷")</f>
        <v>借</v>
      </c>
      <c r="K153" s="9">
        <f t="shared" si="7"/>
        <v>11113</v>
      </c>
      <c r="L153" s="59"/>
      <c r="M153" s="55"/>
    </row>
    <row r="154" spans="1:13" ht="20.100000000000001" customHeight="1" x14ac:dyDescent="0.15">
      <c r="A154" s="27"/>
      <c r="B154" s="58"/>
      <c r="C154" s="5"/>
      <c r="D154" s="10"/>
      <c r="E154" s="10"/>
      <c r="F154" s="10"/>
      <c r="G154" s="7"/>
      <c r="H154" s="8"/>
      <c r="I154" s="8"/>
      <c r="J154" s="8" t="str">
        <f>IF((K152+H154-I154)&gt;0,"借","贷")</f>
        <v>借</v>
      </c>
      <c r="K154" s="9">
        <f t="shared" si="7"/>
        <v>11113</v>
      </c>
      <c r="L154" s="59"/>
      <c r="M154" s="55"/>
    </row>
    <row r="155" spans="1:13" ht="20.100000000000001" customHeight="1" x14ac:dyDescent="0.15">
      <c r="A155" s="27"/>
      <c r="B155" s="58"/>
      <c r="C155" s="5"/>
      <c r="D155" s="10"/>
      <c r="E155" s="10"/>
      <c r="F155" s="10"/>
      <c r="G155" s="7"/>
      <c r="H155" s="8"/>
      <c r="I155" s="8"/>
      <c r="J155" s="8" t="str">
        <f t="shared" ref="J155:J168" si="8">IF((K154+H155-I155)&gt;0,"借","贷")</f>
        <v>借</v>
      </c>
      <c r="K155" s="9">
        <f t="shared" si="7"/>
        <v>11113</v>
      </c>
      <c r="L155" s="59"/>
      <c r="M155" s="55"/>
    </row>
    <row r="156" spans="1:13" ht="20.100000000000001" customHeight="1" x14ac:dyDescent="0.15">
      <c r="A156" s="27"/>
      <c r="B156" s="58"/>
      <c r="C156" s="5"/>
      <c r="D156" s="10"/>
      <c r="E156" s="10"/>
      <c r="F156" s="10"/>
      <c r="G156" s="7"/>
      <c r="H156" s="8"/>
      <c r="I156" s="8"/>
      <c r="J156" s="8" t="str">
        <f t="shared" si="8"/>
        <v>借</v>
      </c>
      <c r="K156" s="9">
        <f t="shared" si="7"/>
        <v>11113</v>
      </c>
      <c r="L156" s="59"/>
      <c r="M156" s="55"/>
    </row>
    <row r="157" spans="1:13" ht="20.100000000000001" customHeight="1" x14ac:dyDescent="0.15">
      <c r="A157" s="27"/>
      <c r="B157" s="58"/>
      <c r="C157" s="5"/>
      <c r="D157" s="10"/>
      <c r="E157" s="10"/>
      <c r="F157" s="10"/>
      <c r="G157" s="7"/>
      <c r="H157" s="8"/>
      <c r="I157" s="8"/>
      <c r="J157" s="8" t="str">
        <f t="shared" si="8"/>
        <v>借</v>
      </c>
      <c r="K157" s="9">
        <f t="shared" si="7"/>
        <v>11113</v>
      </c>
      <c r="L157" s="59"/>
      <c r="M157" s="85"/>
    </row>
    <row r="158" spans="1:13" ht="20.100000000000001" customHeight="1" x14ac:dyDescent="0.15">
      <c r="B158" s="58"/>
      <c r="C158" s="5"/>
      <c r="D158" s="14"/>
      <c r="E158" s="10"/>
      <c r="F158" s="10"/>
      <c r="G158" s="7"/>
      <c r="H158" s="8"/>
      <c r="I158" s="8"/>
      <c r="J158" s="8" t="str">
        <f t="shared" si="8"/>
        <v>借</v>
      </c>
      <c r="K158" s="9">
        <f t="shared" si="7"/>
        <v>11113</v>
      </c>
      <c r="L158" s="59"/>
      <c r="M158" s="88"/>
    </row>
    <row r="159" spans="1:13" ht="20.100000000000001" customHeight="1" x14ac:dyDescent="0.15">
      <c r="B159" s="58"/>
      <c r="C159" s="5"/>
      <c r="D159" s="10"/>
      <c r="E159" s="10"/>
      <c r="F159" s="10"/>
      <c r="G159" s="7"/>
      <c r="H159" s="8"/>
      <c r="I159" s="8"/>
      <c r="J159" s="8" t="str">
        <f t="shared" si="8"/>
        <v>借</v>
      </c>
      <c r="K159" s="9">
        <f t="shared" si="7"/>
        <v>11113</v>
      </c>
      <c r="L159" s="59"/>
      <c r="M159" s="85"/>
    </row>
    <row r="160" spans="1:13" ht="20.100000000000001" customHeight="1" x14ac:dyDescent="0.15">
      <c r="B160" s="58"/>
      <c r="C160" s="5"/>
      <c r="D160" s="10"/>
      <c r="E160" s="10"/>
      <c r="F160" s="10"/>
      <c r="G160" s="7"/>
      <c r="H160" s="8"/>
      <c r="I160" s="8"/>
      <c r="J160" s="8" t="str">
        <f t="shared" si="8"/>
        <v>借</v>
      </c>
      <c r="K160" s="9">
        <f t="shared" si="7"/>
        <v>11113</v>
      </c>
      <c r="L160" s="59"/>
      <c r="M160" s="86"/>
    </row>
    <row r="161" spans="1:13" ht="20.100000000000001" customHeight="1" x14ac:dyDescent="0.15">
      <c r="B161" s="58"/>
      <c r="C161" s="5"/>
      <c r="D161" s="10"/>
      <c r="E161" s="10"/>
      <c r="F161" s="10"/>
      <c r="G161" s="7"/>
      <c r="H161" s="8"/>
      <c r="I161" s="8"/>
      <c r="J161" s="8" t="str">
        <f t="shared" si="8"/>
        <v>借</v>
      </c>
      <c r="K161" s="9">
        <f t="shared" si="7"/>
        <v>11113</v>
      </c>
      <c r="L161" s="59"/>
      <c r="M161" s="55"/>
    </row>
    <row r="162" spans="1:13" ht="20.100000000000001" customHeight="1" x14ac:dyDescent="0.15">
      <c r="A162" s="27"/>
      <c r="B162" s="58"/>
      <c r="C162" s="5"/>
      <c r="D162" s="10"/>
      <c r="E162" s="10"/>
      <c r="F162" s="10"/>
      <c r="G162" s="7"/>
      <c r="H162" s="8"/>
      <c r="I162" s="8"/>
      <c r="J162" s="8" t="str">
        <f t="shared" si="8"/>
        <v>借</v>
      </c>
      <c r="K162" s="9">
        <f t="shared" si="7"/>
        <v>11113</v>
      </c>
      <c r="L162" s="59"/>
      <c r="M162" s="55"/>
    </row>
    <row r="163" spans="1:13" ht="20.100000000000001" customHeight="1" x14ac:dyDescent="0.15">
      <c r="A163" s="27"/>
      <c r="B163" s="58"/>
      <c r="C163" s="5"/>
      <c r="D163" s="10"/>
      <c r="E163" s="10"/>
      <c r="F163" s="10"/>
      <c r="G163" s="7"/>
      <c r="H163" s="8"/>
      <c r="I163" s="8"/>
      <c r="J163" s="8" t="str">
        <f t="shared" si="8"/>
        <v>借</v>
      </c>
      <c r="K163" s="9">
        <f t="shared" si="7"/>
        <v>11113</v>
      </c>
      <c r="L163" s="59"/>
      <c r="M163" s="55"/>
    </row>
    <row r="164" spans="1:13" ht="20.100000000000001" customHeight="1" x14ac:dyDescent="0.15">
      <c r="A164" s="27"/>
      <c r="B164" s="58"/>
      <c r="C164" s="5"/>
      <c r="D164" s="10"/>
      <c r="E164" s="10"/>
      <c r="F164" s="10"/>
      <c r="G164" s="7"/>
      <c r="H164" s="8"/>
      <c r="I164" s="8"/>
      <c r="J164" s="8" t="str">
        <f t="shared" si="8"/>
        <v>借</v>
      </c>
      <c r="K164" s="9">
        <f t="shared" si="7"/>
        <v>11113</v>
      </c>
      <c r="L164" s="59"/>
      <c r="M164" s="55"/>
    </row>
    <row r="165" spans="1:13" ht="20.100000000000001" customHeight="1" x14ac:dyDescent="0.15">
      <c r="A165" s="27"/>
      <c r="B165" s="58"/>
      <c r="C165" s="5"/>
      <c r="D165" s="10"/>
      <c r="E165" s="10"/>
      <c r="F165" s="10"/>
      <c r="G165" s="7"/>
      <c r="H165" s="8"/>
      <c r="I165" s="8"/>
      <c r="J165" s="8" t="str">
        <f t="shared" si="8"/>
        <v>借</v>
      </c>
      <c r="K165" s="9">
        <f t="shared" si="7"/>
        <v>11113</v>
      </c>
      <c r="L165" s="59"/>
      <c r="M165" s="55"/>
    </row>
    <row r="166" spans="1:13" ht="20.100000000000001" customHeight="1" x14ac:dyDescent="0.15">
      <c r="A166" s="27"/>
      <c r="B166" s="58"/>
      <c r="C166" s="5"/>
      <c r="D166" s="10"/>
      <c r="E166" s="10"/>
      <c r="F166" s="10"/>
      <c r="G166" s="7"/>
      <c r="H166" s="8"/>
      <c r="I166" s="8"/>
      <c r="J166" s="8" t="str">
        <f t="shared" si="8"/>
        <v>借</v>
      </c>
      <c r="K166" s="9">
        <f t="shared" si="7"/>
        <v>11113</v>
      </c>
      <c r="L166" s="59"/>
      <c r="M166" s="55"/>
    </row>
    <row r="167" spans="1:13" ht="20.100000000000001" customHeight="1" x14ac:dyDescent="0.15">
      <c r="A167" s="27"/>
      <c r="B167" s="58"/>
      <c r="C167" s="5"/>
      <c r="D167" s="10"/>
      <c r="E167" s="10"/>
      <c r="F167" s="10"/>
      <c r="G167" s="7"/>
      <c r="H167" s="8"/>
      <c r="I167" s="8"/>
      <c r="J167" s="8" t="str">
        <f t="shared" si="8"/>
        <v>借</v>
      </c>
      <c r="K167" s="9">
        <f t="shared" si="7"/>
        <v>11113</v>
      </c>
      <c r="L167" s="59"/>
      <c r="M167" s="55"/>
    </row>
    <row r="168" spans="1:13" ht="20.100000000000001" customHeight="1" x14ac:dyDescent="0.15">
      <c r="A168" s="27"/>
      <c r="B168" s="58"/>
      <c r="C168" s="5"/>
      <c r="D168" s="10"/>
      <c r="E168" s="10"/>
      <c r="F168" s="10"/>
      <c r="G168" s="7"/>
      <c r="H168" s="8"/>
      <c r="I168" s="8"/>
      <c r="J168" s="8" t="str">
        <f t="shared" si="8"/>
        <v>借</v>
      </c>
      <c r="K168" s="9">
        <f t="shared" si="7"/>
        <v>11113</v>
      </c>
      <c r="L168" s="59"/>
      <c r="M168" s="55"/>
    </row>
    <row r="169" spans="1:13" ht="20.100000000000001" customHeight="1" x14ac:dyDescent="0.15">
      <c r="A169" s="27"/>
      <c r="B169" s="58"/>
      <c r="C169" s="5"/>
      <c r="D169" s="10"/>
      <c r="E169" s="10"/>
      <c r="F169" s="10"/>
      <c r="G169" s="7"/>
      <c r="H169" s="8"/>
      <c r="I169" s="8"/>
      <c r="J169" s="8" t="str">
        <f t="shared" ref="J169:J178" si="9">IF((K168+H169-I169)&gt;0,"借","贷")</f>
        <v>借</v>
      </c>
      <c r="K169" s="9">
        <f t="shared" si="7"/>
        <v>11113</v>
      </c>
      <c r="L169" s="59"/>
      <c r="M169" s="55"/>
    </row>
    <row r="170" spans="1:13" ht="20.100000000000001" customHeight="1" x14ac:dyDescent="0.15">
      <c r="A170" s="27"/>
      <c r="B170" s="58"/>
      <c r="C170" s="5"/>
      <c r="D170" s="10"/>
      <c r="E170" s="10"/>
      <c r="F170" s="10"/>
      <c r="G170" s="7"/>
      <c r="H170" s="8"/>
      <c r="I170" s="8"/>
      <c r="J170" s="8" t="str">
        <f t="shared" si="9"/>
        <v>借</v>
      </c>
      <c r="K170" s="9">
        <f t="shared" si="7"/>
        <v>11113</v>
      </c>
      <c r="L170" s="59"/>
      <c r="M170" s="62"/>
    </row>
    <row r="171" spans="1:13" ht="20.100000000000001" customHeight="1" x14ac:dyDescent="0.15">
      <c r="A171" s="27"/>
      <c r="B171" s="58"/>
      <c r="C171" s="5"/>
      <c r="D171" s="10"/>
      <c r="E171" s="10"/>
      <c r="F171" s="10"/>
      <c r="G171" s="7"/>
      <c r="H171" s="8"/>
      <c r="I171" s="8"/>
      <c r="J171" s="8" t="str">
        <f t="shared" si="9"/>
        <v>借</v>
      </c>
      <c r="K171" s="9">
        <f t="shared" ref="K171:K178" si="10">K170+H171-I171</f>
        <v>11113</v>
      </c>
      <c r="L171" s="59"/>
      <c r="M171" s="55"/>
    </row>
    <row r="172" spans="1:13" ht="20.100000000000001" customHeight="1" x14ac:dyDescent="0.15">
      <c r="A172" s="27"/>
      <c r="B172" s="58"/>
      <c r="C172" s="5"/>
      <c r="D172" s="10"/>
      <c r="E172" s="10"/>
      <c r="F172" s="10"/>
      <c r="G172" s="7"/>
      <c r="H172" s="8"/>
      <c r="I172" s="8"/>
      <c r="J172" s="8" t="str">
        <f t="shared" si="9"/>
        <v>借</v>
      </c>
      <c r="K172" s="9">
        <f t="shared" si="10"/>
        <v>11113</v>
      </c>
      <c r="L172" s="59"/>
      <c r="M172" s="55"/>
    </row>
    <row r="173" spans="1:13" ht="20.100000000000001" customHeight="1" x14ac:dyDescent="0.15">
      <c r="A173" s="27"/>
      <c r="B173" s="58"/>
      <c r="C173" s="5"/>
      <c r="D173" s="10"/>
      <c r="E173" s="10"/>
      <c r="F173" s="10"/>
      <c r="G173" s="7"/>
      <c r="H173" s="8"/>
      <c r="I173" s="8"/>
      <c r="J173" s="8" t="str">
        <f t="shared" si="9"/>
        <v>借</v>
      </c>
      <c r="K173" s="9">
        <f t="shared" si="10"/>
        <v>11113</v>
      </c>
      <c r="L173" s="59"/>
      <c r="M173" s="55"/>
    </row>
    <row r="174" spans="1:13" ht="20.100000000000001" customHeight="1" x14ac:dyDescent="0.15">
      <c r="B174" s="58"/>
      <c r="C174" s="5"/>
      <c r="D174" s="10"/>
      <c r="E174" s="10"/>
      <c r="F174" s="10"/>
      <c r="G174" s="7"/>
      <c r="H174" s="8"/>
      <c r="I174" s="8"/>
      <c r="J174" s="8" t="str">
        <f t="shared" si="9"/>
        <v>借</v>
      </c>
      <c r="K174" s="9">
        <f t="shared" si="10"/>
        <v>11113</v>
      </c>
      <c r="L174" s="59"/>
      <c r="M174" s="55"/>
    </row>
    <row r="175" spans="1:13" ht="20.100000000000001" customHeight="1" x14ac:dyDescent="0.15">
      <c r="B175" s="58"/>
      <c r="C175" s="5"/>
      <c r="D175" s="10"/>
      <c r="E175" s="10"/>
      <c r="F175" s="10"/>
      <c r="G175" s="7"/>
      <c r="H175" s="8"/>
      <c r="I175" s="8"/>
      <c r="J175" s="8" t="str">
        <f t="shared" si="9"/>
        <v>借</v>
      </c>
      <c r="K175" s="9">
        <f t="shared" si="10"/>
        <v>11113</v>
      </c>
      <c r="L175" s="59"/>
      <c r="M175" s="55"/>
    </row>
    <row r="176" spans="1:13" ht="20.100000000000001" customHeight="1" x14ac:dyDescent="0.15">
      <c r="B176" s="58"/>
      <c r="C176" s="5"/>
      <c r="D176" s="10"/>
      <c r="E176" s="10"/>
      <c r="F176" s="10"/>
      <c r="G176" s="7"/>
      <c r="H176" s="8"/>
      <c r="I176" s="8"/>
      <c r="J176" s="8" t="str">
        <f t="shared" si="9"/>
        <v>借</v>
      </c>
      <c r="K176" s="9">
        <f t="shared" si="10"/>
        <v>11113</v>
      </c>
      <c r="L176" s="59"/>
      <c r="M176" s="65"/>
    </row>
    <row r="177" spans="2:13" ht="20.100000000000001" customHeight="1" x14ac:dyDescent="0.15">
      <c r="B177" s="58"/>
      <c r="C177" s="5"/>
      <c r="D177" s="10"/>
      <c r="E177" s="10"/>
      <c r="F177" s="10"/>
      <c r="G177" s="7"/>
      <c r="H177" s="8"/>
      <c r="I177" s="8"/>
      <c r="J177" s="8" t="str">
        <f t="shared" si="9"/>
        <v>借</v>
      </c>
      <c r="K177" s="9">
        <f t="shared" si="10"/>
        <v>11113</v>
      </c>
      <c r="L177" s="59"/>
      <c r="M177" s="55"/>
    </row>
    <row r="178" spans="2:13" ht="20.100000000000001" customHeight="1" x14ac:dyDescent="0.15">
      <c r="B178" s="58"/>
      <c r="C178" s="5"/>
      <c r="D178" s="10"/>
      <c r="E178" s="37"/>
      <c r="F178" s="10"/>
      <c r="G178" s="7"/>
      <c r="H178" s="8"/>
      <c r="I178" s="8"/>
      <c r="J178" s="8" t="str">
        <f t="shared" si="9"/>
        <v>借</v>
      </c>
      <c r="K178" s="9">
        <f t="shared" si="10"/>
        <v>11113</v>
      </c>
      <c r="L178" s="59"/>
      <c r="M178" s="55"/>
    </row>
    <row r="179" spans="2:13" ht="20.100000000000001" customHeight="1" x14ac:dyDescent="0.15">
      <c r="B179" s="58"/>
      <c r="C179" s="5"/>
      <c r="D179" s="10"/>
      <c r="E179" s="10"/>
      <c r="F179" s="10"/>
      <c r="G179" s="7"/>
      <c r="H179" s="8"/>
      <c r="I179" s="8"/>
      <c r="J179" s="8" t="str">
        <f t="shared" ref="J179:J188" si="11">IF((K178+H179-I179)&gt;0,"借","贷")</f>
        <v>借</v>
      </c>
      <c r="K179" s="9">
        <f t="shared" ref="K179:K188" si="12">K178+H179-I179</f>
        <v>11113</v>
      </c>
      <c r="L179" s="59"/>
      <c r="M179" s="63"/>
    </row>
    <row r="180" spans="2:13" ht="20.100000000000001" customHeight="1" x14ac:dyDescent="0.15">
      <c r="B180" s="58"/>
      <c r="C180" s="5"/>
      <c r="D180" s="10"/>
      <c r="E180" s="10"/>
      <c r="F180" s="10"/>
      <c r="G180" s="7"/>
      <c r="H180" s="8"/>
      <c r="I180" s="8"/>
      <c r="J180" s="8" t="str">
        <f t="shared" si="11"/>
        <v>借</v>
      </c>
      <c r="K180" s="9">
        <f t="shared" si="12"/>
        <v>11113</v>
      </c>
      <c r="L180" s="59"/>
      <c r="M180" s="64"/>
    </row>
    <row r="181" spans="2:13" ht="20.100000000000001" customHeight="1" x14ac:dyDescent="0.15">
      <c r="B181" s="58"/>
      <c r="C181" s="5"/>
      <c r="D181" s="10"/>
      <c r="E181" s="10"/>
      <c r="F181" s="10"/>
      <c r="G181" s="7"/>
      <c r="H181" s="8"/>
      <c r="I181" s="8"/>
      <c r="J181" s="8" t="str">
        <f t="shared" si="11"/>
        <v>借</v>
      </c>
      <c r="K181" s="9">
        <f t="shared" si="12"/>
        <v>11113</v>
      </c>
      <c r="L181" s="59"/>
      <c r="M181" s="55"/>
    </row>
    <row r="182" spans="2:13" ht="20.100000000000001" customHeight="1" x14ac:dyDescent="0.15">
      <c r="B182" s="58"/>
      <c r="C182" s="5"/>
      <c r="D182" s="10"/>
      <c r="E182" s="10"/>
      <c r="F182" s="10"/>
      <c r="G182" s="7"/>
      <c r="H182" s="8"/>
      <c r="I182" s="8"/>
      <c r="J182" s="8" t="str">
        <f t="shared" si="11"/>
        <v>借</v>
      </c>
      <c r="K182" s="9">
        <f t="shared" si="12"/>
        <v>11113</v>
      </c>
      <c r="L182" s="59"/>
      <c r="M182" s="55"/>
    </row>
    <row r="183" spans="2:13" ht="20.100000000000001" customHeight="1" x14ac:dyDescent="0.15">
      <c r="B183" s="58"/>
      <c r="C183" s="10"/>
      <c r="D183" s="10"/>
      <c r="E183" s="10"/>
      <c r="F183" s="10"/>
      <c r="G183" s="7"/>
      <c r="H183" s="8"/>
      <c r="I183" s="8"/>
      <c r="J183" s="8" t="str">
        <f t="shared" si="11"/>
        <v>借</v>
      </c>
      <c r="K183" s="9">
        <f t="shared" si="12"/>
        <v>11113</v>
      </c>
      <c r="L183" s="59"/>
      <c r="M183" s="55"/>
    </row>
    <row r="184" spans="2:13" ht="20.100000000000001" customHeight="1" x14ac:dyDescent="0.15">
      <c r="B184" s="58"/>
      <c r="C184" s="10"/>
      <c r="D184" s="10"/>
      <c r="E184" s="10"/>
      <c r="F184" s="10"/>
      <c r="G184" s="7"/>
      <c r="H184" s="8"/>
      <c r="I184" s="8"/>
      <c r="J184" s="8" t="str">
        <f t="shared" si="11"/>
        <v>借</v>
      </c>
      <c r="K184" s="9">
        <f t="shared" si="12"/>
        <v>11113</v>
      </c>
      <c r="L184" s="59"/>
      <c r="M184" s="55"/>
    </row>
    <row r="185" spans="2:13" ht="20.100000000000001" customHeight="1" x14ac:dyDescent="0.15">
      <c r="B185" s="58"/>
      <c r="C185" s="10"/>
      <c r="D185" s="10"/>
      <c r="E185" s="10"/>
      <c r="F185" s="10"/>
      <c r="G185" s="7"/>
      <c r="H185" s="8"/>
      <c r="I185" s="8"/>
      <c r="J185" s="8" t="str">
        <f t="shared" si="11"/>
        <v>借</v>
      </c>
      <c r="K185" s="9">
        <f t="shared" si="12"/>
        <v>11113</v>
      </c>
      <c r="L185" s="59"/>
      <c r="M185" s="65"/>
    </row>
    <row r="186" spans="2:13" ht="20.100000000000001" customHeight="1" x14ac:dyDescent="0.15">
      <c r="B186" s="58"/>
      <c r="C186" s="10"/>
      <c r="D186" s="10"/>
      <c r="E186" s="10"/>
      <c r="F186" s="10"/>
      <c r="G186" s="7"/>
      <c r="H186" s="8"/>
      <c r="I186" s="8"/>
      <c r="J186" s="8" t="str">
        <f t="shared" si="11"/>
        <v>借</v>
      </c>
      <c r="K186" s="9">
        <f t="shared" si="12"/>
        <v>11113</v>
      </c>
      <c r="L186" s="59"/>
      <c r="M186" s="85"/>
    </row>
    <row r="187" spans="2:13" ht="20.100000000000001" customHeight="1" x14ac:dyDescent="0.15">
      <c r="B187" s="58"/>
      <c r="C187" s="10"/>
      <c r="D187" s="10"/>
      <c r="E187" s="10"/>
      <c r="F187" s="10"/>
      <c r="G187" s="7"/>
      <c r="H187" s="8"/>
      <c r="I187" s="8"/>
      <c r="J187" s="8" t="str">
        <f t="shared" si="11"/>
        <v>借</v>
      </c>
      <c r="K187" s="9">
        <f t="shared" si="12"/>
        <v>11113</v>
      </c>
      <c r="L187" s="59"/>
      <c r="M187" s="86"/>
    </row>
    <row r="188" spans="2:13" ht="20.100000000000001" customHeight="1" x14ac:dyDescent="0.15">
      <c r="B188" s="58"/>
      <c r="C188" s="10"/>
      <c r="D188" s="10"/>
      <c r="E188" s="10"/>
      <c r="F188" s="10"/>
      <c r="G188" s="7"/>
      <c r="H188" s="8"/>
      <c r="I188" s="8"/>
      <c r="J188" s="8" t="str">
        <f t="shared" si="11"/>
        <v>借</v>
      </c>
      <c r="K188" s="9">
        <f t="shared" si="12"/>
        <v>11113</v>
      </c>
      <c r="L188" s="59"/>
      <c r="M188" s="55"/>
    </row>
    <row r="189" spans="2:13" ht="20.100000000000001" customHeight="1" x14ac:dyDescent="0.15">
      <c r="B189" s="58"/>
      <c r="C189" s="10"/>
      <c r="D189" s="10"/>
      <c r="E189" s="10"/>
      <c r="F189" s="10"/>
      <c r="G189" s="7"/>
      <c r="H189" s="8"/>
      <c r="I189" s="8"/>
      <c r="J189" s="8" t="str">
        <f t="shared" ref="J189:J216" si="13">IF((K188+H189-I189)&gt;0,"借","贷")</f>
        <v>借</v>
      </c>
      <c r="K189" s="9">
        <f t="shared" ref="K189:K215" si="14">_xlfn.IFS(J188="借",K188+H189-I189,J188="贷",H189-I189-K188)</f>
        <v>11113</v>
      </c>
      <c r="L189" s="59"/>
      <c r="M189" s="55"/>
    </row>
    <row r="190" spans="2:13" ht="20.100000000000001" customHeight="1" x14ac:dyDescent="0.15">
      <c r="B190" s="58"/>
      <c r="C190" s="10"/>
      <c r="D190" s="10"/>
      <c r="E190" s="10"/>
      <c r="F190" s="10"/>
      <c r="G190" s="7"/>
      <c r="H190" s="8"/>
      <c r="I190" s="8"/>
      <c r="J190" s="8" t="str">
        <f t="shared" si="13"/>
        <v>借</v>
      </c>
      <c r="K190" s="9">
        <f t="shared" si="14"/>
        <v>11113</v>
      </c>
      <c r="L190" s="59"/>
      <c r="M190" s="55"/>
    </row>
    <row r="191" spans="2:13" ht="20.100000000000001" customHeight="1" x14ac:dyDescent="0.15">
      <c r="B191" s="58"/>
      <c r="C191" s="10"/>
      <c r="D191" s="10"/>
      <c r="E191" s="10"/>
      <c r="F191" s="10"/>
      <c r="G191" s="7"/>
      <c r="H191" s="8"/>
      <c r="I191" s="8"/>
      <c r="J191" s="8" t="str">
        <f t="shared" si="13"/>
        <v>借</v>
      </c>
      <c r="K191" s="9">
        <f t="shared" si="14"/>
        <v>11113</v>
      </c>
      <c r="L191" s="59"/>
      <c r="M191" s="55"/>
    </row>
    <row r="192" spans="2:13" ht="20.100000000000001" customHeight="1" x14ac:dyDescent="0.15">
      <c r="B192" s="58"/>
      <c r="C192" s="10"/>
      <c r="D192" s="10"/>
      <c r="E192" s="10"/>
      <c r="F192" s="10"/>
      <c r="G192" s="7"/>
      <c r="H192" s="8"/>
      <c r="I192" s="8"/>
      <c r="J192" s="8" t="str">
        <f t="shared" si="13"/>
        <v>借</v>
      </c>
      <c r="K192" s="9">
        <f t="shared" si="14"/>
        <v>11113</v>
      </c>
      <c r="L192" s="59"/>
      <c r="M192" s="55"/>
    </row>
    <row r="193" spans="2:14" ht="20.100000000000001" customHeight="1" x14ac:dyDescent="0.15">
      <c r="B193" s="58"/>
      <c r="C193" s="10"/>
      <c r="D193" s="10"/>
      <c r="E193" s="10"/>
      <c r="F193" s="10"/>
      <c r="G193" s="7"/>
      <c r="H193" s="8"/>
      <c r="I193" s="8"/>
      <c r="J193" s="8" t="str">
        <f t="shared" si="13"/>
        <v>借</v>
      </c>
      <c r="K193" s="9">
        <f t="shared" si="14"/>
        <v>11113</v>
      </c>
      <c r="L193" s="59"/>
      <c r="M193" s="55"/>
    </row>
    <row r="194" spans="2:14" ht="20.100000000000001" customHeight="1" x14ac:dyDescent="0.15">
      <c r="B194" s="58"/>
      <c r="C194" s="10"/>
      <c r="D194" s="10"/>
      <c r="E194" s="10"/>
      <c r="F194" s="10"/>
      <c r="G194" s="7"/>
      <c r="H194" s="8"/>
      <c r="I194" s="8"/>
      <c r="J194" s="8" t="str">
        <f t="shared" si="13"/>
        <v>借</v>
      </c>
      <c r="K194" s="9">
        <f t="shared" si="14"/>
        <v>11113</v>
      </c>
      <c r="L194" s="59"/>
      <c r="M194" s="55"/>
    </row>
    <row r="195" spans="2:14" ht="20.100000000000001" customHeight="1" x14ac:dyDescent="0.15">
      <c r="B195" s="58"/>
      <c r="C195" s="10"/>
      <c r="D195" s="10"/>
      <c r="E195" s="10"/>
      <c r="F195" s="10"/>
      <c r="G195" s="7"/>
      <c r="H195" s="8"/>
      <c r="I195" s="8"/>
      <c r="J195" s="8" t="str">
        <f t="shared" si="13"/>
        <v>借</v>
      </c>
      <c r="K195" s="9">
        <f t="shared" si="14"/>
        <v>11113</v>
      </c>
      <c r="L195" s="59"/>
      <c r="M195" s="55"/>
    </row>
    <row r="196" spans="2:14" ht="20.100000000000001" customHeight="1" x14ac:dyDescent="0.15">
      <c r="B196" s="58"/>
      <c r="C196" s="10"/>
      <c r="D196" s="10"/>
      <c r="E196" s="10"/>
      <c r="F196" s="10"/>
      <c r="G196" s="7"/>
      <c r="H196" s="8"/>
      <c r="I196" s="8"/>
      <c r="J196" s="8" t="str">
        <f t="shared" si="13"/>
        <v>借</v>
      </c>
      <c r="K196" s="9">
        <f t="shared" si="14"/>
        <v>11113</v>
      </c>
      <c r="L196" s="59"/>
      <c r="M196" s="55"/>
    </row>
    <row r="197" spans="2:14" ht="20.100000000000001" customHeight="1" x14ac:dyDescent="0.15">
      <c r="B197" s="58"/>
      <c r="C197" s="10"/>
      <c r="D197" s="10"/>
      <c r="E197" s="10"/>
      <c r="F197" s="10"/>
      <c r="G197" s="7"/>
      <c r="H197" s="8"/>
      <c r="I197" s="8"/>
      <c r="J197" s="8" t="str">
        <f t="shared" si="13"/>
        <v>借</v>
      </c>
      <c r="K197" s="9">
        <f t="shared" si="14"/>
        <v>11113</v>
      </c>
      <c r="L197" s="59"/>
      <c r="M197" s="55"/>
    </row>
    <row r="198" spans="2:14" ht="20.100000000000001" customHeight="1" x14ac:dyDescent="0.15">
      <c r="B198" s="58"/>
      <c r="C198" s="10"/>
      <c r="D198" s="10"/>
      <c r="E198" s="10"/>
      <c r="F198" s="10"/>
      <c r="G198" s="7"/>
      <c r="H198" s="8"/>
      <c r="I198" s="8"/>
      <c r="J198" s="8" t="str">
        <f t="shared" si="13"/>
        <v>借</v>
      </c>
      <c r="K198" s="9">
        <f t="shared" si="14"/>
        <v>11113</v>
      </c>
      <c r="L198" s="59"/>
      <c r="M198" s="55"/>
      <c r="N198" s="55"/>
    </row>
    <row r="199" spans="2:14" ht="20.100000000000001" customHeight="1" x14ac:dyDescent="0.15">
      <c r="B199" s="58"/>
      <c r="C199" s="10"/>
      <c r="D199" s="10"/>
      <c r="E199" s="10"/>
      <c r="F199" s="10"/>
      <c r="G199" s="7"/>
      <c r="H199" s="8"/>
      <c r="I199" s="8"/>
      <c r="J199" s="8" t="str">
        <f t="shared" si="13"/>
        <v>借</v>
      </c>
      <c r="K199" s="9">
        <f t="shared" si="14"/>
        <v>11113</v>
      </c>
      <c r="L199" s="59"/>
      <c r="M199" s="55"/>
      <c r="N199" s="55"/>
    </row>
    <row r="200" spans="2:14" ht="20.100000000000001" customHeight="1" x14ac:dyDescent="0.15">
      <c r="B200" s="58"/>
      <c r="C200" s="10"/>
      <c r="D200" s="10"/>
      <c r="E200" s="10"/>
      <c r="F200" s="10"/>
      <c r="G200" s="7"/>
      <c r="H200" s="8"/>
      <c r="I200" s="8"/>
      <c r="J200" s="8" t="str">
        <f t="shared" si="13"/>
        <v>借</v>
      </c>
      <c r="K200" s="9">
        <f t="shared" si="14"/>
        <v>11113</v>
      </c>
      <c r="L200" s="59"/>
      <c r="M200" s="55"/>
      <c r="N200" s="55"/>
    </row>
    <row r="201" spans="2:14" ht="20.100000000000001" customHeight="1" x14ac:dyDescent="0.15">
      <c r="B201" s="58"/>
      <c r="C201" s="10"/>
      <c r="D201" s="10"/>
      <c r="E201" s="10"/>
      <c r="F201" s="10"/>
      <c r="G201" s="7"/>
      <c r="H201" s="8"/>
      <c r="I201" s="8"/>
      <c r="J201" s="8" t="str">
        <f t="shared" si="13"/>
        <v>借</v>
      </c>
      <c r="K201" s="9">
        <f t="shared" si="14"/>
        <v>11113</v>
      </c>
      <c r="L201" s="59"/>
      <c r="M201" s="55"/>
      <c r="N201" s="55"/>
    </row>
    <row r="202" spans="2:14" ht="20.100000000000001" customHeight="1" x14ac:dyDescent="0.15">
      <c r="B202" s="58"/>
      <c r="C202" s="10"/>
      <c r="D202" s="10"/>
      <c r="E202" s="10"/>
      <c r="F202" s="10"/>
      <c r="G202" s="7"/>
      <c r="H202" s="8"/>
      <c r="I202" s="8"/>
      <c r="J202" s="8" t="str">
        <f t="shared" si="13"/>
        <v>借</v>
      </c>
      <c r="K202" s="9">
        <f t="shared" si="14"/>
        <v>11113</v>
      </c>
      <c r="L202" s="59"/>
      <c r="M202" s="55"/>
      <c r="N202" s="55"/>
    </row>
    <row r="203" spans="2:14" ht="20.100000000000001" customHeight="1" x14ac:dyDescent="0.15">
      <c r="B203" s="58"/>
      <c r="C203" s="10"/>
      <c r="D203" s="10"/>
      <c r="E203" s="67"/>
      <c r="F203" s="10"/>
      <c r="G203" s="7"/>
      <c r="H203" s="8"/>
      <c r="I203" s="8"/>
      <c r="J203" s="8" t="str">
        <f t="shared" si="13"/>
        <v>借</v>
      </c>
      <c r="K203" s="9">
        <f t="shared" si="14"/>
        <v>11113</v>
      </c>
      <c r="L203" s="59"/>
      <c r="M203" s="55"/>
      <c r="N203" s="55"/>
    </row>
    <row r="204" spans="2:14" ht="20.100000000000001" customHeight="1" x14ac:dyDescent="0.15">
      <c r="B204" s="58"/>
      <c r="C204" s="10"/>
      <c r="D204" s="10"/>
      <c r="E204" s="10"/>
      <c r="F204" s="10"/>
      <c r="G204" s="7"/>
      <c r="H204" s="8"/>
      <c r="I204" s="8"/>
      <c r="J204" s="8" t="str">
        <f t="shared" si="13"/>
        <v>借</v>
      </c>
      <c r="K204" s="9">
        <f t="shared" si="14"/>
        <v>11113</v>
      </c>
      <c r="L204" s="59"/>
      <c r="M204" s="55"/>
      <c r="N204" s="55"/>
    </row>
    <row r="205" spans="2:14" ht="20.100000000000001" customHeight="1" x14ac:dyDescent="0.15">
      <c r="B205" s="58"/>
      <c r="C205" s="10"/>
      <c r="D205" s="10"/>
      <c r="E205" s="10"/>
      <c r="F205" s="10"/>
      <c r="G205" s="7"/>
      <c r="H205" s="8"/>
      <c r="I205" s="8"/>
      <c r="J205" s="8" t="str">
        <f t="shared" si="13"/>
        <v>借</v>
      </c>
      <c r="K205" s="9">
        <f t="shared" si="14"/>
        <v>11113</v>
      </c>
      <c r="L205" s="59"/>
      <c r="M205" s="85"/>
    </row>
    <row r="206" spans="2:14" ht="20.100000000000001" customHeight="1" x14ac:dyDescent="0.15">
      <c r="B206" s="58"/>
      <c r="C206" s="10"/>
      <c r="D206" s="10"/>
      <c r="E206" s="10"/>
      <c r="F206" s="10"/>
      <c r="G206" s="7"/>
      <c r="H206" s="8"/>
      <c r="I206" s="8"/>
      <c r="J206" s="8" t="str">
        <f t="shared" si="13"/>
        <v>借</v>
      </c>
      <c r="K206" s="9">
        <f t="shared" si="14"/>
        <v>11113</v>
      </c>
      <c r="L206" s="59"/>
      <c r="M206" s="86"/>
    </row>
    <row r="207" spans="2:14" ht="20.100000000000001" customHeight="1" x14ac:dyDescent="0.15">
      <c r="B207" s="58"/>
      <c r="C207" s="10"/>
      <c r="D207" s="10"/>
      <c r="E207" s="10"/>
      <c r="F207" s="10"/>
      <c r="G207" s="7"/>
      <c r="H207" s="8"/>
      <c r="I207" s="8"/>
      <c r="J207" s="8" t="str">
        <f t="shared" si="13"/>
        <v>借</v>
      </c>
      <c r="K207" s="9">
        <f t="shared" si="14"/>
        <v>11113</v>
      </c>
      <c r="L207" s="59"/>
      <c r="M207" s="55"/>
    </row>
    <row r="208" spans="2:14" ht="20.100000000000001" customHeight="1" x14ac:dyDescent="0.15">
      <c r="B208" s="58"/>
      <c r="C208" s="10"/>
      <c r="D208" s="10"/>
      <c r="E208" s="10"/>
      <c r="F208" s="10"/>
      <c r="G208" s="7"/>
      <c r="H208" s="8"/>
      <c r="I208" s="8"/>
      <c r="J208" s="8" t="str">
        <f t="shared" si="13"/>
        <v>借</v>
      </c>
      <c r="K208" s="9">
        <f t="shared" si="14"/>
        <v>11113</v>
      </c>
      <c r="L208" s="59"/>
      <c r="M208" s="55"/>
    </row>
    <row r="209" spans="2:13" ht="20.100000000000001" customHeight="1" x14ac:dyDescent="0.15">
      <c r="B209" s="58"/>
      <c r="C209" s="10"/>
      <c r="D209" s="10"/>
      <c r="E209" s="10"/>
      <c r="F209" s="10"/>
      <c r="G209" s="7"/>
      <c r="H209" s="8"/>
      <c r="I209" s="8"/>
      <c r="J209" s="8" t="str">
        <f t="shared" si="13"/>
        <v>借</v>
      </c>
      <c r="K209" s="9">
        <f t="shared" si="14"/>
        <v>11113</v>
      </c>
      <c r="L209" s="59"/>
      <c r="M209" s="55"/>
    </row>
    <row r="210" spans="2:13" ht="20.100000000000001" customHeight="1" x14ac:dyDescent="0.15">
      <c r="B210" s="58"/>
      <c r="C210" s="10"/>
      <c r="D210" s="10"/>
      <c r="E210" s="10"/>
      <c r="F210" s="59"/>
      <c r="G210" s="7"/>
      <c r="H210" s="8"/>
      <c r="I210" s="8"/>
      <c r="J210" s="8" t="str">
        <f t="shared" si="13"/>
        <v>借</v>
      </c>
      <c r="K210" s="9">
        <f t="shared" si="14"/>
        <v>11113</v>
      </c>
      <c r="L210" s="59"/>
      <c r="M210" s="55"/>
    </row>
    <row r="211" spans="2:13" ht="20.100000000000001" customHeight="1" x14ac:dyDescent="0.15">
      <c r="B211" s="58"/>
      <c r="C211" s="10"/>
      <c r="D211" s="10"/>
      <c r="E211" s="10"/>
      <c r="F211" s="10"/>
      <c r="G211" s="7"/>
      <c r="H211" s="8"/>
      <c r="I211" s="8"/>
      <c r="J211" s="8" t="str">
        <f t="shared" si="13"/>
        <v>借</v>
      </c>
      <c r="K211" s="9">
        <f t="shared" si="14"/>
        <v>11113</v>
      </c>
      <c r="L211" s="59"/>
      <c r="M211" s="55"/>
    </row>
    <row r="212" spans="2:13" ht="20.100000000000001" customHeight="1" x14ac:dyDescent="0.15">
      <c r="B212" s="58"/>
      <c r="C212" s="10"/>
      <c r="D212" s="10"/>
      <c r="E212" s="10"/>
      <c r="F212" s="10"/>
      <c r="G212" s="7"/>
      <c r="H212" s="8"/>
      <c r="I212" s="8"/>
      <c r="J212" s="8" t="str">
        <f t="shared" si="13"/>
        <v>借</v>
      </c>
      <c r="K212" s="9">
        <f t="shared" si="14"/>
        <v>11113</v>
      </c>
      <c r="L212" s="59"/>
      <c r="M212" s="55"/>
    </row>
    <row r="213" spans="2:13" ht="20.100000000000001" customHeight="1" x14ac:dyDescent="0.15">
      <c r="B213" s="58"/>
      <c r="C213" s="10"/>
      <c r="D213" s="10"/>
      <c r="E213" s="10"/>
      <c r="F213" s="10"/>
      <c r="G213" s="7"/>
      <c r="H213" s="8"/>
      <c r="I213" s="8"/>
      <c r="J213" s="8" t="str">
        <f t="shared" si="13"/>
        <v>借</v>
      </c>
      <c r="K213" s="9">
        <f t="shared" si="14"/>
        <v>11113</v>
      </c>
      <c r="L213" s="59"/>
      <c r="M213" s="68"/>
    </row>
    <row r="214" spans="2:13" ht="20.100000000000001" customHeight="1" x14ac:dyDescent="0.15">
      <c r="B214" s="58"/>
      <c r="C214" s="10"/>
      <c r="D214" s="10"/>
      <c r="E214" s="10"/>
      <c r="F214" s="10"/>
      <c r="G214" s="7"/>
      <c r="H214" s="8"/>
      <c r="I214" s="8"/>
      <c r="J214" s="8" t="str">
        <f t="shared" si="13"/>
        <v>借</v>
      </c>
      <c r="K214" s="9">
        <f t="shared" si="14"/>
        <v>11113</v>
      </c>
      <c r="L214" s="59"/>
      <c r="M214" s="69"/>
    </row>
    <row r="215" spans="2:13" ht="20.100000000000001" customHeight="1" x14ac:dyDescent="0.15">
      <c r="B215" s="58"/>
      <c r="C215" s="10"/>
      <c r="D215" s="10"/>
      <c r="E215" s="10"/>
      <c r="F215" s="10"/>
      <c r="G215" s="7"/>
      <c r="H215" s="8"/>
      <c r="I215" s="8"/>
      <c r="J215" s="8" t="str">
        <f t="shared" si="13"/>
        <v>借</v>
      </c>
      <c r="K215" s="9">
        <f t="shared" si="14"/>
        <v>11113</v>
      </c>
      <c r="L215" s="59"/>
      <c r="M215" s="64"/>
    </row>
    <row r="216" spans="2:13" ht="20.100000000000001" customHeight="1" x14ac:dyDescent="0.15">
      <c r="B216" s="58"/>
      <c r="C216" s="10"/>
      <c r="D216" s="10"/>
      <c r="E216" s="10"/>
      <c r="F216" s="10"/>
      <c r="G216" s="7"/>
      <c r="H216" s="8"/>
      <c r="I216" s="8"/>
      <c r="J216" s="8" t="str">
        <f t="shared" si="13"/>
        <v>借</v>
      </c>
      <c r="K216" s="9">
        <f t="shared" ref="K216:K223" si="15">_xlfn.IFS(J215="借",K215+H216-I216,J215="贷",H216-I216-K215)</f>
        <v>11113</v>
      </c>
      <c r="L216" s="59"/>
      <c r="M216" s="55"/>
    </row>
    <row r="217" spans="2:13" ht="20.100000000000001" customHeight="1" x14ac:dyDescent="0.15">
      <c r="B217" s="58"/>
      <c r="C217" s="10"/>
      <c r="D217" s="10"/>
      <c r="E217" s="10"/>
      <c r="F217" s="10"/>
      <c r="G217" s="7"/>
      <c r="H217" s="8"/>
      <c r="I217" s="8"/>
      <c r="J217" s="8" t="str">
        <f t="shared" ref="J217:J263" si="16">IF((K216+H217-I217)&gt;0,"借","贷")</f>
        <v>借</v>
      </c>
      <c r="K217" s="9">
        <f t="shared" si="15"/>
        <v>11113</v>
      </c>
      <c r="L217" s="59"/>
      <c r="M217" s="63"/>
    </row>
    <row r="218" spans="2:13" ht="20.100000000000001" customHeight="1" x14ac:dyDescent="0.15">
      <c r="B218" s="58"/>
      <c r="C218" s="10"/>
      <c r="D218" s="10"/>
      <c r="E218" s="10"/>
      <c r="F218" s="10"/>
      <c r="G218" s="7"/>
      <c r="H218" s="8"/>
      <c r="I218" s="8"/>
      <c r="J218" s="8" t="str">
        <f t="shared" si="16"/>
        <v>借</v>
      </c>
      <c r="K218" s="9">
        <f t="shared" si="15"/>
        <v>11113</v>
      </c>
      <c r="L218" s="59"/>
      <c r="M218" s="64"/>
    </row>
    <row r="219" spans="2:13" ht="20.100000000000001" customHeight="1" x14ac:dyDescent="0.15">
      <c r="B219" s="58"/>
      <c r="C219" s="10"/>
      <c r="D219" s="10"/>
      <c r="E219" s="10"/>
      <c r="F219" s="10"/>
      <c r="G219" s="7"/>
      <c r="H219" s="8"/>
      <c r="I219" s="8"/>
      <c r="J219" s="8" t="str">
        <f t="shared" si="16"/>
        <v>借</v>
      </c>
      <c r="K219" s="9">
        <f t="shared" si="15"/>
        <v>11113</v>
      </c>
      <c r="L219" s="59"/>
      <c r="M219" s="55"/>
    </row>
    <row r="220" spans="2:13" ht="20.100000000000001" customHeight="1" x14ac:dyDescent="0.15">
      <c r="B220" s="58"/>
      <c r="C220" s="10"/>
      <c r="D220" s="10"/>
      <c r="E220" s="10"/>
      <c r="F220" s="10"/>
      <c r="G220" s="7"/>
      <c r="H220" s="8"/>
      <c r="I220" s="8"/>
      <c r="J220" s="8" t="str">
        <f t="shared" si="16"/>
        <v>借</v>
      </c>
      <c r="K220" s="9">
        <f t="shared" si="15"/>
        <v>11113</v>
      </c>
      <c r="L220" s="59"/>
      <c r="M220" s="55"/>
    </row>
    <row r="221" spans="2:13" ht="20.100000000000001" customHeight="1" x14ac:dyDescent="0.15">
      <c r="B221" s="58"/>
      <c r="C221" s="10"/>
      <c r="D221" s="10"/>
      <c r="E221" s="10"/>
      <c r="F221" s="10"/>
      <c r="G221" s="7"/>
      <c r="H221" s="8"/>
      <c r="I221" s="8"/>
      <c r="J221" s="8" t="str">
        <f t="shared" si="16"/>
        <v>借</v>
      </c>
      <c r="K221" s="9">
        <f t="shared" si="15"/>
        <v>11113</v>
      </c>
      <c r="L221" s="59"/>
      <c r="M221" s="55"/>
    </row>
    <row r="222" spans="2:13" ht="20.100000000000001" customHeight="1" x14ac:dyDescent="0.15">
      <c r="B222" s="58"/>
      <c r="C222" s="10"/>
      <c r="D222" s="10"/>
      <c r="E222" s="10"/>
      <c r="F222" s="10"/>
      <c r="G222" s="7"/>
      <c r="H222" s="8"/>
      <c r="I222" s="8"/>
      <c r="J222" s="8" t="str">
        <f t="shared" si="16"/>
        <v>借</v>
      </c>
      <c r="K222" s="9">
        <f t="shared" si="15"/>
        <v>11113</v>
      </c>
      <c r="L222" s="59"/>
      <c r="M222" s="55"/>
    </row>
    <row r="223" spans="2:13" ht="20.100000000000001" customHeight="1" x14ac:dyDescent="0.15">
      <c r="B223" s="58"/>
      <c r="C223" s="10"/>
      <c r="D223" s="10"/>
      <c r="E223" s="10"/>
      <c r="F223" s="10"/>
      <c r="G223" s="7"/>
      <c r="H223" s="8"/>
      <c r="I223" s="8"/>
      <c r="J223" s="8" t="str">
        <f t="shared" si="16"/>
        <v>借</v>
      </c>
      <c r="K223" s="9">
        <f t="shared" si="15"/>
        <v>11113</v>
      </c>
      <c r="L223" s="59"/>
      <c r="M223" s="55"/>
    </row>
    <row r="224" spans="2:13" ht="20.100000000000001" customHeight="1" x14ac:dyDescent="0.15">
      <c r="B224" s="58"/>
      <c r="C224" s="10"/>
      <c r="D224" s="10"/>
      <c r="E224" s="10"/>
      <c r="F224" s="10"/>
      <c r="G224" s="7"/>
      <c r="H224" s="8"/>
      <c r="I224" s="8"/>
      <c r="J224" s="8" t="str">
        <f t="shared" si="16"/>
        <v>借</v>
      </c>
      <c r="K224" s="9">
        <f t="shared" ref="K224:K263" si="17">_xlfn.IFS(J223="借",K223+H224-I224,J223="贷",H224-I224-K223)</f>
        <v>11113</v>
      </c>
      <c r="L224" s="59"/>
      <c r="M224" s="55"/>
    </row>
    <row r="225" spans="2:13" ht="20.100000000000001" customHeight="1" x14ac:dyDescent="0.15">
      <c r="B225" s="58"/>
      <c r="C225" s="10"/>
      <c r="D225" s="10"/>
      <c r="E225" s="10"/>
      <c r="F225" s="10"/>
      <c r="G225" s="7"/>
      <c r="H225" s="8"/>
      <c r="I225" s="8"/>
      <c r="J225" s="8" t="str">
        <f t="shared" si="16"/>
        <v>借</v>
      </c>
      <c r="K225" s="9">
        <f t="shared" si="17"/>
        <v>11113</v>
      </c>
      <c r="L225" s="59"/>
      <c r="M225" s="55"/>
    </row>
    <row r="226" spans="2:13" ht="20.100000000000001" customHeight="1" x14ac:dyDescent="0.15">
      <c r="B226" s="58"/>
      <c r="C226" s="10"/>
      <c r="D226" s="10"/>
      <c r="E226" s="10"/>
      <c r="F226" s="10"/>
      <c r="G226" s="7"/>
      <c r="H226" s="8"/>
      <c r="I226" s="8"/>
      <c r="J226" s="8" t="str">
        <f t="shared" si="16"/>
        <v>借</v>
      </c>
      <c r="K226" s="9">
        <f t="shared" si="17"/>
        <v>11113</v>
      </c>
      <c r="L226" s="59"/>
      <c r="M226" s="55"/>
    </row>
    <row r="227" spans="2:13" ht="20.100000000000001" customHeight="1" x14ac:dyDescent="0.15">
      <c r="B227" s="58"/>
      <c r="C227" s="10"/>
      <c r="D227" s="10"/>
      <c r="E227" s="10"/>
      <c r="F227" s="10"/>
      <c r="G227" s="7"/>
      <c r="H227" s="8"/>
      <c r="I227" s="8"/>
      <c r="J227" s="8" t="str">
        <f t="shared" si="16"/>
        <v>借</v>
      </c>
      <c r="K227" s="9">
        <f t="shared" si="17"/>
        <v>11113</v>
      </c>
      <c r="L227" s="59"/>
      <c r="M227" s="55"/>
    </row>
    <row r="228" spans="2:13" ht="20.100000000000001" customHeight="1" x14ac:dyDescent="0.15">
      <c r="B228" s="58"/>
      <c r="C228" s="10"/>
      <c r="D228" s="10"/>
      <c r="E228" s="10"/>
      <c r="F228" s="10"/>
      <c r="G228" s="7"/>
      <c r="H228" s="8"/>
      <c r="I228" s="8"/>
      <c r="J228" s="8" t="str">
        <f t="shared" si="16"/>
        <v>借</v>
      </c>
      <c r="K228" s="9">
        <f t="shared" si="17"/>
        <v>11113</v>
      </c>
      <c r="L228" s="59"/>
      <c r="M228" s="55"/>
    </row>
    <row r="229" spans="2:13" ht="20.100000000000001" customHeight="1" x14ac:dyDescent="0.15">
      <c r="B229" s="58"/>
      <c r="C229" s="10"/>
      <c r="D229" s="10"/>
      <c r="E229" s="10"/>
      <c r="F229" s="10"/>
      <c r="G229" s="7"/>
      <c r="H229" s="8"/>
      <c r="I229" s="8"/>
      <c r="J229" s="8" t="str">
        <f t="shared" si="16"/>
        <v>借</v>
      </c>
      <c r="K229" s="9">
        <f t="shared" si="17"/>
        <v>11113</v>
      </c>
      <c r="L229" s="59"/>
      <c r="M229" s="55"/>
    </row>
    <row r="230" spans="2:13" ht="20.100000000000001" customHeight="1" x14ac:dyDescent="0.15">
      <c r="B230" s="58"/>
      <c r="C230" s="10"/>
      <c r="D230" s="10"/>
      <c r="E230" s="10"/>
      <c r="F230" s="10"/>
      <c r="G230" s="7"/>
      <c r="H230" s="8"/>
      <c r="I230" s="8"/>
      <c r="J230" s="8" t="str">
        <f t="shared" si="16"/>
        <v>借</v>
      </c>
      <c r="K230" s="9">
        <f t="shared" si="17"/>
        <v>11113</v>
      </c>
      <c r="L230" s="59"/>
      <c r="M230" s="89"/>
    </row>
    <row r="231" spans="2:13" ht="20.100000000000001" customHeight="1" x14ac:dyDescent="0.15">
      <c r="B231" s="58"/>
      <c r="C231" s="10"/>
      <c r="D231" s="10"/>
      <c r="E231" s="10"/>
      <c r="F231" s="10"/>
      <c r="G231" s="7"/>
      <c r="H231" s="8"/>
      <c r="I231" s="8"/>
      <c r="J231" s="8" t="str">
        <f t="shared" si="16"/>
        <v>借</v>
      </c>
      <c r="K231" s="9">
        <f t="shared" si="17"/>
        <v>11113</v>
      </c>
      <c r="L231" s="59"/>
      <c r="M231" s="90"/>
    </row>
    <row r="232" spans="2:13" ht="20.100000000000001" customHeight="1" x14ac:dyDescent="0.15">
      <c r="B232" s="58"/>
      <c r="C232" s="10"/>
      <c r="D232" s="10"/>
      <c r="E232" s="10"/>
      <c r="F232" s="10"/>
      <c r="G232" s="7"/>
      <c r="H232" s="8"/>
      <c r="I232" s="8"/>
      <c r="J232" s="8" t="str">
        <f t="shared" si="16"/>
        <v>借</v>
      </c>
      <c r="K232" s="9">
        <f t="shared" si="17"/>
        <v>11113</v>
      </c>
      <c r="L232" s="59"/>
      <c r="M232" s="90"/>
    </row>
    <row r="233" spans="2:13" ht="20.100000000000001" customHeight="1" x14ac:dyDescent="0.15">
      <c r="B233" s="58"/>
      <c r="C233" s="10"/>
      <c r="D233" s="10"/>
      <c r="E233" s="10"/>
      <c r="F233" s="10"/>
      <c r="G233" s="7"/>
      <c r="H233" s="8"/>
      <c r="I233" s="8"/>
      <c r="J233" s="8" t="str">
        <f t="shared" si="16"/>
        <v>借</v>
      </c>
      <c r="K233" s="9">
        <f t="shared" si="17"/>
        <v>11113</v>
      </c>
      <c r="L233" s="59"/>
      <c r="M233" s="90"/>
    </row>
    <row r="234" spans="2:13" ht="20.100000000000001" customHeight="1" x14ac:dyDescent="0.15">
      <c r="B234" s="58"/>
      <c r="C234" s="10"/>
      <c r="D234" s="10"/>
      <c r="E234" s="10"/>
      <c r="F234" s="10"/>
      <c r="G234" s="7"/>
      <c r="H234" s="8"/>
      <c r="I234" s="8"/>
      <c r="J234" s="8" t="str">
        <f t="shared" si="16"/>
        <v>借</v>
      </c>
      <c r="K234" s="9">
        <f t="shared" si="17"/>
        <v>11113</v>
      </c>
      <c r="L234" s="59"/>
      <c r="M234" s="90"/>
    </row>
    <row r="235" spans="2:13" ht="20.100000000000001" customHeight="1" x14ac:dyDescent="0.15">
      <c r="B235" s="58"/>
      <c r="C235" s="10"/>
      <c r="D235" s="10"/>
      <c r="E235" s="10"/>
      <c r="F235" s="10"/>
      <c r="G235" s="7"/>
      <c r="H235" s="8"/>
      <c r="I235" s="8"/>
      <c r="J235" s="8" t="str">
        <f t="shared" si="16"/>
        <v>借</v>
      </c>
      <c r="K235" s="9">
        <f t="shared" si="17"/>
        <v>11113</v>
      </c>
      <c r="L235" s="59"/>
      <c r="M235" s="90"/>
    </row>
    <row r="236" spans="2:13" ht="20.100000000000001" customHeight="1" x14ac:dyDescent="0.15">
      <c r="B236" s="58"/>
      <c r="C236" s="10"/>
      <c r="D236" s="10"/>
      <c r="E236" s="10"/>
      <c r="F236" s="10"/>
      <c r="G236" s="7"/>
      <c r="H236" s="8"/>
      <c r="I236" s="8"/>
      <c r="J236" s="8" t="str">
        <f t="shared" si="16"/>
        <v>借</v>
      </c>
      <c r="K236" s="9">
        <f t="shared" si="17"/>
        <v>11113</v>
      </c>
      <c r="L236" s="59"/>
      <c r="M236" s="91"/>
    </row>
    <row r="237" spans="2:13" ht="20.100000000000001" customHeight="1" x14ac:dyDescent="0.15">
      <c r="B237" s="58"/>
      <c r="C237" s="10"/>
      <c r="D237" s="10"/>
      <c r="E237" s="10"/>
      <c r="F237" s="10"/>
      <c r="G237" s="7"/>
      <c r="H237" s="8"/>
      <c r="I237" s="8"/>
      <c r="J237" s="8" t="str">
        <f t="shared" si="16"/>
        <v>借</v>
      </c>
      <c r="K237" s="9">
        <f t="shared" si="17"/>
        <v>11113</v>
      </c>
      <c r="L237" s="59"/>
      <c r="M237" s="55"/>
    </row>
    <row r="238" spans="2:13" ht="20.100000000000001" customHeight="1" x14ac:dyDescent="0.15">
      <c r="B238" s="58"/>
      <c r="C238" s="10"/>
      <c r="D238" s="10"/>
      <c r="E238" s="10"/>
      <c r="F238" s="10"/>
      <c r="G238" s="7"/>
      <c r="H238" s="8"/>
      <c r="I238" s="8"/>
      <c r="J238" s="8" t="str">
        <f t="shared" si="16"/>
        <v>借</v>
      </c>
      <c r="K238" s="9">
        <f t="shared" si="17"/>
        <v>11113</v>
      </c>
      <c r="L238" s="59"/>
      <c r="M238" s="55"/>
    </row>
    <row r="239" spans="2:13" ht="20.100000000000001" customHeight="1" x14ac:dyDescent="0.15">
      <c r="B239" s="58"/>
      <c r="C239" s="10"/>
      <c r="D239" s="10"/>
      <c r="E239" s="10"/>
      <c r="F239" s="10"/>
      <c r="G239" s="7"/>
      <c r="H239" s="8"/>
      <c r="I239" s="8"/>
      <c r="J239" s="8" t="str">
        <f t="shared" si="16"/>
        <v>借</v>
      </c>
      <c r="K239" s="9">
        <f t="shared" si="17"/>
        <v>11113</v>
      </c>
      <c r="L239" s="59"/>
      <c r="M239" s="55"/>
    </row>
    <row r="240" spans="2:13" ht="20.100000000000001" customHeight="1" x14ac:dyDescent="0.15">
      <c r="B240" s="58"/>
      <c r="C240" s="10"/>
      <c r="D240" s="10"/>
      <c r="E240" s="10"/>
      <c r="F240" s="10"/>
      <c r="G240" s="7"/>
      <c r="H240" s="8"/>
      <c r="I240" s="8"/>
      <c r="J240" s="8" t="str">
        <f t="shared" si="16"/>
        <v>借</v>
      </c>
      <c r="K240" s="9">
        <f t="shared" si="17"/>
        <v>11113</v>
      </c>
      <c r="L240" s="59"/>
      <c r="M240" s="55"/>
    </row>
    <row r="241" spans="2:13" ht="20.100000000000001" customHeight="1" x14ac:dyDescent="0.15">
      <c r="B241" s="58"/>
      <c r="C241" s="10"/>
      <c r="D241" s="10"/>
      <c r="E241" s="10"/>
      <c r="F241" s="10"/>
      <c r="G241" s="7"/>
      <c r="H241" s="8"/>
      <c r="I241" s="8"/>
      <c r="J241" s="8" t="str">
        <f t="shared" si="16"/>
        <v>借</v>
      </c>
      <c r="K241" s="9">
        <f t="shared" si="17"/>
        <v>11113</v>
      </c>
      <c r="L241" s="59"/>
      <c r="M241" s="55"/>
    </row>
    <row r="242" spans="2:13" ht="20.100000000000001" customHeight="1" x14ac:dyDescent="0.15">
      <c r="B242" s="58"/>
      <c r="C242" s="10"/>
      <c r="D242" s="10"/>
      <c r="E242" s="10"/>
      <c r="F242" s="10"/>
      <c r="G242" s="7"/>
      <c r="H242" s="8"/>
      <c r="I242" s="8"/>
      <c r="J242" s="8" t="str">
        <f t="shared" si="16"/>
        <v>借</v>
      </c>
      <c r="K242" s="9">
        <f t="shared" si="17"/>
        <v>11113</v>
      </c>
      <c r="L242" s="59"/>
      <c r="M242" s="55"/>
    </row>
    <row r="243" spans="2:13" ht="20.100000000000001" customHeight="1" x14ac:dyDescent="0.15">
      <c r="B243" s="58"/>
      <c r="C243" s="10"/>
      <c r="D243" s="10"/>
      <c r="E243" s="10"/>
      <c r="F243" s="10"/>
      <c r="G243" s="7"/>
      <c r="H243" s="8"/>
      <c r="I243" s="8"/>
      <c r="J243" s="8" t="str">
        <f t="shared" si="16"/>
        <v>借</v>
      </c>
      <c r="K243" s="9">
        <f t="shared" si="17"/>
        <v>11113</v>
      </c>
      <c r="L243" s="59"/>
      <c r="M243" s="55"/>
    </row>
    <row r="244" spans="2:13" ht="20.100000000000001" customHeight="1" x14ac:dyDescent="0.15">
      <c r="B244" s="58"/>
      <c r="C244" s="10"/>
      <c r="D244" s="10"/>
      <c r="E244" s="10"/>
      <c r="F244" s="10"/>
      <c r="G244" s="7"/>
      <c r="H244" s="8"/>
      <c r="I244" s="8"/>
      <c r="J244" s="8" t="str">
        <f t="shared" si="16"/>
        <v>借</v>
      </c>
      <c r="K244" s="9">
        <f t="shared" si="17"/>
        <v>11113</v>
      </c>
      <c r="L244" s="59"/>
      <c r="M244" s="55"/>
    </row>
    <row r="245" spans="2:13" ht="20.100000000000001" customHeight="1" x14ac:dyDescent="0.15">
      <c r="B245" s="58"/>
      <c r="C245" s="10"/>
      <c r="D245" s="10"/>
      <c r="E245" s="10"/>
      <c r="F245" s="10"/>
      <c r="G245" s="7"/>
      <c r="H245" s="8"/>
      <c r="I245" s="8"/>
      <c r="J245" s="8" t="str">
        <f t="shared" si="16"/>
        <v>借</v>
      </c>
      <c r="K245" s="9">
        <f t="shared" si="17"/>
        <v>11113</v>
      </c>
      <c r="L245" s="59"/>
      <c r="M245" s="55"/>
    </row>
    <row r="246" spans="2:13" ht="20.100000000000001" customHeight="1" x14ac:dyDescent="0.15">
      <c r="B246" s="58"/>
      <c r="C246" s="10"/>
      <c r="D246" s="10"/>
      <c r="E246" s="10"/>
      <c r="F246" s="10"/>
      <c r="G246" s="7"/>
      <c r="H246" s="8"/>
      <c r="I246" s="8"/>
      <c r="J246" s="8" t="str">
        <f t="shared" si="16"/>
        <v>借</v>
      </c>
      <c r="K246" s="9">
        <f t="shared" si="17"/>
        <v>11113</v>
      </c>
      <c r="L246" s="59"/>
      <c r="M246" s="55"/>
    </row>
    <row r="247" spans="2:13" ht="20.100000000000001" customHeight="1" x14ac:dyDescent="0.15">
      <c r="B247" s="58"/>
      <c r="C247" s="10"/>
      <c r="D247" s="10"/>
      <c r="E247" s="10"/>
      <c r="F247" s="10"/>
      <c r="G247" s="7"/>
      <c r="H247" s="8"/>
      <c r="I247" s="8"/>
      <c r="J247" s="8" t="str">
        <f t="shared" si="16"/>
        <v>借</v>
      </c>
      <c r="K247" s="9">
        <f t="shared" si="17"/>
        <v>11113</v>
      </c>
      <c r="L247" s="70"/>
      <c r="M247" s="55"/>
    </row>
    <row r="248" spans="2:13" ht="20.100000000000001" customHeight="1" x14ac:dyDescent="0.15">
      <c r="B248" s="58"/>
      <c r="C248" s="10"/>
      <c r="D248" s="10"/>
      <c r="E248" s="10"/>
      <c r="F248" s="10"/>
      <c r="G248" s="7"/>
      <c r="H248" s="8"/>
      <c r="I248" s="8"/>
      <c r="J248" s="8" t="str">
        <f t="shared" si="16"/>
        <v>借</v>
      </c>
      <c r="K248" s="9">
        <f t="shared" si="17"/>
        <v>11113</v>
      </c>
      <c r="L248" s="59"/>
      <c r="M248" s="55"/>
    </row>
    <row r="249" spans="2:13" ht="20.100000000000001" customHeight="1" x14ac:dyDescent="0.15">
      <c r="B249" s="58"/>
      <c r="C249" s="10"/>
      <c r="D249" s="10"/>
      <c r="E249" s="10"/>
      <c r="F249" s="10"/>
      <c r="G249" s="7"/>
      <c r="H249" s="8"/>
      <c r="I249" s="8"/>
      <c r="J249" s="8" t="str">
        <f t="shared" si="16"/>
        <v>借</v>
      </c>
      <c r="K249" s="9">
        <f t="shared" si="17"/>
        <v>11113</v>
      </c>
      <c r="L249" s="59"/>
      <c r="M249" s="55"/>
    </row>
    <row r="250" spans="2:13" ht="20.100000000000001" customHeight="1" x14ac:dyDescent="0.15">
      <c r="B250" s="58"/>
      <c r="C250" s="10"/>
      <c r="D250" s="10"/>
      <c r="E250" s="10"/>
      <c r="F250" s="10"/>
      <c r="G250" s="7"/>
      <c r="H250" s="8"/>
      <c r="I250" s="8"/>
      <c r="J250" s="8" t="str">
        <f t="shared" si="16"/>
        <v>借</v>
      </c>
      <c r="K250" s="9">
        <f t="shared" si="17"/>
        <v>11113</v>
      </c>
      <c r="L250" s="59"/>
      <c r="M250" s="55"/>
    </row>
    <row r="251" spans="2:13" ht="20.100000000000001" customHeight="1" x14ac:dyDescent="0.15">
      <c r="B251" s="58"/>
      <c r="C251" s="10"/>
      <c r="D251" s="10"/>
      <c r="E251" s="10"/>
      <c r="F251" s="10"/>
      <c r="G251" s="7"/>
      <c r="H251" s="8"/>
      <c r="I251" s="8"/>
      <c r="J251" s="8" t="str">
        <f t="shared" si="16"/>
        <v>借</v>
      </c>
      <c r="K251" s="9">
        <f t="shared" si="17"/>
        <v>11113</v>
      </c>
      <c r="L251" s="70"/>
      <c r="M251" s="92"/>
    </row>
    <row r="252" spans="2:13" ht="20.100000000000001" customHeight="1" x14ac:dyDescent="0.15">
      <c r="B252" s="58"/>
      <c r="C252" s="10"/>
      <c r="D252" s="10"/>
      <c r="E252" s="10"/>
      <c r="F252" s="10"/>
      <c r="G252" s="7"/>
      <c r="H252" s="8"/>
      <c r="I252" s="8"/>
      <c r="J252" s="8" t="str">
        <f t="shared" si="16"/>
        <v>借</v>
      </c>
      <c r="K252" s="9">
        <f t="shared" si="17"/>
        <v>11113</v>
      </c>
      <c r="L252" s="59"/>
      <c r="M252" s="93"/>
    </row>
    <row r="253" spans="2:13" ht="20.100000000000001" customHeight="1" x14ac:dyDescent="0.15">
      <c r="B253" s="58"/>
      <c r="C253" s="10"/>
      <c r="D253" s="10"/>
      <c r="E253" s="10"/>
      <c r="F253" s="10"/>
      <c r="G253" s="7"/>
      <c r="H253" s="8"/>
      <c r="I253" s="8"/>
      <c r="J253" s="8" t="str">
        <f t="shared" si="16"/>
        <v>借</v>
      </c>
      <c r="K253" s="9">
        <f t="shared" si="17"/>
        <v>11113</v>
      </c>
      <c r="L253" s="59"/>
      <c r="M253" s="93"/>
    </row>
    <row r="254" spans="2:13" ht="20.100000000000001" customHeight="1" x14ac:dyDescent="0.15">
      <c r="B254" s="58"/>
      <c r="C254" s="10"/>
      <c r="D254" s="10"/>
      <c r="E254" s="10"/>
      <c r="F254" s="10"/>
      <c r="G254" s="7"/>
      <c r="H254" s="8"/>
      <c r="I254" s="8"/>
      <c r="J254" s="8" t="str">
        <f t="shared" si="16"/>
        <v>借</v>
      </c>
      <c r="K254" s="9">
        <f t="shared" si="17"/>
        <v>11113</v>
      </c>
      <c r="L254" s="59"/>
      <c r="M254" s="93"/>
    </row>
    <row r="255" spans="2:13" ht="20.100000000000001" customHeight="1" x14ac:dyDescent="0.15">
      <c r="B255" s="58"/>
      <c r="C255" s="10"/>
      <c r="D255" s="10"/>
      <c r="E255" s="10"/>
      <c r="F255" s="10"/>
      <c r="G255" s="7"/>
      <c r="H255" s="8"/>
      <c r="I255" s="8"/>
      <c r="J255" s="8" t="str">
        <f t="shared" si="16"/>
        <v>借</v>
      </c>
      <c r="K255" s="9">
        <f t="shared" si="17"/>
        <v>11113</v>
      </c>
      <c r="L255" s="59"/>
      <c r="M255" s="93"/>
    </row>
    <row r="256" spans="2:13" ht="20.100000000000001" customHeight="1" x14ac:dyDescent="0.15">
      <c r="B256" s="58"/>
      <c r="C256" s="10"/>
      <c r="D256" s="10"/>
      <c r="E256" s="10"/>
      <c r="F256" s="10"/>
      <c r="G256" s="7"/>
      <c r="H256" s="8"/>
      <c r="I256" s="8"/>
      <c r="J256" s="8" t="str">
        <f t="shared" si="16"/>
        <v>借</v>
      </c>
      <c r="K256" s="9">
        <f t="shared" si="17"/>
        <v>11113</v>
      </c>
      <c r="L256" s="59"/>
      <c r="M256" s="64"/>
    </row>
    <row r="257" spans="2:13" ht="20.100000000000001" customHeight="1" x14ac:dyDescent="0.15">
      <c r="B257" s="58"/>
      <c r="C257" s="10"/>
      <c r="D257" s="10"/>
      <c r="E257" s="10"/>
      <c r="F257" s="10"/>
      <c r="G257" s="7"/>
      <c r="H257" s="8"/>
      <c r="I257" s="8"/>
      <c r="J257" s="8" t="str">
        <f t="shared" si="16"/>
        <v>借</v>
      </c>
      <c r="K257" s="9">
        <f t="shared" si="17"/>
        <v>11113</v>
      </c>
      <c r="L257" s="59"/>
      <c r="M257" s="55"/>
    </row>
    <row r="258" spans="2:13" ht="20.100000000000001" customHeight="1" x14ac:dyDescent="0.15">
      <c r="B258" s="58"/>
      <c r="C258" s="10"/>
      <c r="D258" s="10"/>
      <c r="E258" s="10"/>
      <c r="F258" s="10"/>
      <c r="G258" s="7"/>
      <c r="H258" s="8"/>
      <c r="I258" s="8"/>
      <c r="J258" s="8" t="str">
        <f t="shared" si="16"/>
        <v>借</v>
      </c>
      <c r="K258" s="9">
        <f t="shared" si="17"/>
        <v>11113</v>
      </c>
      <c r="L258" s="59"/>
      <c r="M258" s="55"/>
    </row>
    <row r="259" spans="2:13" ht="20.100000000000001" customHeight="1" x14ac:dyDescent="0.15">
      <c r="B259" s="58"/>
      <c r="C259" s="10"/>
      <c r="D259" s="10"/>
      <c r="E259" s="10"/>
      <c r="F259" s="10"/>
      <c r="G259" s="7"/>
      <c r="H259" s="8"/>
      <c r="I259" s="8"/>
      <c r="J259" s="8" t="str">
        <f t="shared" si="16"/>
        <v>借</v>
      </c>
      <c r="K259" s="9">
        <f t="shared" si="17"/>
        <v>11113</v>
      </c>
      <c r="L259" s="59"/>
      <c r="M259" s="55"/>
    </row>
    <row r="260" spans="2:13" ht="20.100000000000001" customHeight="1" x14ac:dyDescent="0.15">
      <c r="B260" s="58"/>
      <c r="C260" s="10"/>
      <c r="D260" s="10"/>
      <c r="E260" s="10"/>
      <c r="F260" s="10"/>
      <c r="G260" s="7"/>
      <c r="H260" s="8"/>
      <c r="I260" s="8"/>
      <c r="J260" s="8" t="str">
        <f t="shared" si="16"/>
        <v>借</v>
      </c>
      <c r="K260" s="9">
        <f t="shared" si="17"/>
        <v>11113</v>
      </c>
      <c r="L260" s="59"/>
      <c r="M260" s="55"/>
    </row>
    <row r="261" spans="2:13" ht="20.100000000000001" customHeight="1" x14ac:dyDescent="0.15">
      <c r="B261" s="58"/>
      <c r="C261" s="5"/>
      <c r="D261" s="10"/>
      <c r="E261" s="16"/>
      <c r="F261" s="10"/>
      <c r="G261" s="7"/>
      <c r="H261" s="8"/>
      <c r="I261" s="8"/>
      <c r="J261" s="8" t="str">
        <f t="shared" si="16"/>
        <v>借</v>
      </c>
      <c r="K261" s="9">
        <f t="shared" si="17"/>
        <v>11113</v>
      </c>
      <c r="L261" s="59"/>
      <c r="M261" s="71"/>
    </row>
    <row r="262" spans="2:13" ht="20.100000000000001" customHeight="1" x14ac:dyDescent="0.15">
      <c r="B262" s="58"/>
      <c r="C262" s="5"/>
      <c r="D262" s="10"/>
      <c r="E262" s="16"/>
      <c r="F262" s="10"/>
      <c r="G262" s="7"/>
      <c r="H262" s="8"/>
      <c r="I262" s="8"/>
      <c r="J262" s="8" t="str">
        <f t="shared" si="16"/>
        <v>借</v>
      </c>
      <c r="K262" s="9">
        <f t="shared" si="17"/>
        <v>11113</v>
      </c>
      <c r="L262" s="59"/>
      <c r="M262" s="55"/>
    </row>
    <row r="263" spans="2:13" ht="20.100000000000001" customHeight="1" x14ac:dyDescent="0.15">
      <c r="B263" s="58"/>
      <c r="C263" s="5"/>
      <c r="D263" s="10"/>
      <c r="E263" s="10"/>
      <c r="F263" s="10"/>
      <c r="G263" s="7"/>
      <c r="H263" s="8"/>
      <c r="I263" s="8"/>
      <c r="J263" s="8" t="str">
        <f t="shared" si="16"/>
        <v>借</v>
      </c>
      <c r="K263" s="9">
        <f t="shared" si="17"/>
        <v>11113</v>
      </c>
      <c r="L263" s="59"/>
      <c r="M263" s="55"/>
    </row>
    <row r="264" spans="2:13" ht="20.100000000000001" customHeight="1" x14ac:dyDescent="0.15">
      <c r="B264" s="58"/>
      <c r="C264" s="5"/>
      <c r="D264" s="10"/>
      <c r="E264" s="10"/>
      <c r="F264" s="10"/>
      <c r="G264" s="7"/>
      <c r="H264" s="8"/>
      <c r="I264" s="8"/>
      <c r="J264" s="8" t="str">
        <f t="shared" ref="J264:J272" si="18">IF((K263+H264-I264)&gt;0,"借","贷")</f>
        <v>借</v>
      </c>
      <c r="K264" s="9">
        <f t="shared" ref="K264:K272" si="19">_xlfn.IFS(J263="借",K263+H264-I264,J263="贷",H264-I264-K263)</f>
        <v>11113</v>
      </c>
      <c r="L264" s="59"/>
      <c r="M264" s="72"/>
    </row>
    <row r="265" spans="2:13" ht="20.100000000000001" customHeight="1" x14ac:dyDescent="0.15">
      <c r="B265" s="58"/>
      <c r="C265" s="5"/>
      <c r="D265" s="10"/>
      <c r="E265" s="10"/>
      <c r="F265" s="10"/>
      <c r="G265" s="7"/>
      <c r="H265" s="8"/>
      <c r="I265" s="8"/>
      <c r="J265" s="8" t="str">
        <f t="shared" si="18"/>
        <v>借</v>
      </c>
      <c r="K265" s="9">
        <f t="shared" si="19"/>
        <v>11113</v>
      </c>
      <c r="L265" s="59"/>
      <c r="M265" s="72"/>
    </row>
    <row r="266" spans="2:13" ht="20.100000000000001" customHeight="1" x14ac:dyDescent="0.15">
      <c r="B266" s="58"/>
      <c r="C266" s="5"/>
      <c r="D266" s="10"/>
      <c r="E266" s="10"/>
      <c r="F266" s="10"/>
      <c r="G266" s="7"/>
      <c r="H266" s="8"/>
      <c r="I266" s="8"/>
      <c r="J266" s="8" t="str">
        <f t="shared" si="18"/>
        <v>借</v>
      </c>
      <c r="K266" s="9">
        <f t="shared" si="19"/>
        <v>11113</v>
      </c>
      <c r="L266" s="59"/>
      <c r="M266" s="72"/>
    </row>
    <row r="267" spans="2:13" ht="20.100000000000001" customHeight="1" x14ac:dyDescent="0.15">
      <c r="B267" s="58"/>
      <c r="C267" s="5"/>
      <c r="D267" s="10"/>
      <c r="E267" s="10"/>
      <c r="F267" s="10"/>
      <c r="G267" s="7"/>
      <c r="H267" s="8"/>
      <c r="I267" s="8"/>
      <c r="J267" s="8" t="str">
        <f t="shared" si="18"/>
        <v>借</v>
      </c>
      <c r="K267" s="9">
        <f t="shared" si="19"/>
        <v>11113</v>
      </c>
      <c r="L267" s="59"/>
      <c r="M267" s="59"/>
    </row>
    <row r="268" spans="2:13" ht="20.100000000000001" customHeight="1" x14ac:dyDescent="0.15">
      <c r="B268" s="58"/>
      <c r="C268" s="10"/>
      <c r="D268" s="10"/>
      <c r="E268" s="10"/>
      <c r="F268" s="10"/>
      <c r="G268" s="7"/>
      <c r="H268" s="8"/>
      <c r="I268" s="8"/>
      <c r="J268" s="8" t="str">
        <f t="shared" si="18"/>
        <v>借</v>
      </c>
      <c r="K268" s="9">
        <f t="shared" si="19"/>
        <v>11113</v>
      </c>
      <c r="L268" s="59"/>
      <c r="M268" s="85"/>
    </row>
    <row r="269" spans="2:13" ht="20.100000000000001" customHeight="1" x14ac:dyDescent="0.15">
      <c r="B269" s="58"/>
      <c r="C269" s="10"/>
      <c r="D269" s="10"/>
      <c r="E269" s="10"/>
      <c r="F269" s="10"/>
      <c r="G269" s="7"/>
      <c r="H269" s="8"/>
      <c r="I269" s="8"/>
      <c r="J269" s="8" t="str">
        <f t="shared" si="18"/>
        <v>借</v>
      </c>
      <c r="K269" s="9">
        <f t="shared" si="19"/>
        <v>11113</v>
      </c>
      <c r="L269" s="59"/>
      <c r="M269" s="87"/>
    </row>
    <row r="270" spans="2:13" ht="20.100000000000001" customHeight="1" x14ac:dyDescent="0.15">
      <c r="B270" s="58"/>
      <c r="C270" s="10"/>
      <c r="D270" s="10"/>
      <c r="E270" s="10"/>
      <c r="F270" s="10"/>
      <c r="G270" s="7"/>
      <c r="H270" s="8"/>
      <c r="I270" s="8"/>
      <c r="J270" s="8" t="str">
        <f t="shared" si="18"/>
        <v>借</v>
      </c>
      <c r="K270" s="9">
        <f t="shared" si="19"/>
        <v>11113</v>
      </c>
      <c r="L270" s="59"/>
      <c r="M270" s="87"/>
    </row>
    <row r="271" spans="2:13" ht="20.100000000000001" customHeight="1" x14ac:dyDescent="0.15">
      <c r="B271" s="58"/>
      <c r="C271" s="10"/>
      <c r="D271" s="10"/>
      <c r="E271" s="10"/>
      <c r="F271" s="10"/>
      <c r="G271" s="7"/>
      <c r="H271" s="8"/>
      <c r="I271" s="8"/>
      <c r="J271" s="8" t="str">
        <f t="shared" si="18"/>
        <v>借</v>
      </c>
      <c r="K271" s="9">
        <f t="shared" si="19"/>
        <v>11113</v>
      </c>
      <c r="L271" s="59"/>
      <c r="M271" s="86"/>
    </row>
    <row r="272" spans="2:13" ht="20.100000000000001" customHeight="1" x14ac:dyDescent="0.15">
      <c r="B272" s="58"/>
      <c r="C272" s="10"/>
      <c r="D272" s="10"/>
      <c r="E272" s="10"/>
      <c r="F272" s="10"/>
      <c r="G272" s="7"/>
      <c r="H272" s="8"/>
      <c r="I272" s="8"/>
      <c r="J272" s="8" t="str">
        <f t="shared" si="18"/>
        <v>借</v>
      </c>
      <c r="K272" s="9">
        <f t="shared" si="19"/>
        <v>11113</v>
      </c>
      <c r="L272" s="10"/>
      <c r="M272" s="55"/>
    </row>
    <row r="273" spans="2:13" ht="20.100000000000001" customHeight="1" x14ac:dyDescent="0.15">
      <c r="B273" s="58"/>
      <c r="C273" s="10"/>
      <c r="D273" s="10"/>
      <c r="E273" s="10"/>
      <c r="F273" s="10"/>
      <c r="G273" s="7"/>
      <c r="H273" s="8"/>
      <c r="I273" s="8"/>
      <c r="J273" s="8" t="str">
        <f t="shared" ref="J273:J295" si="20">IF((K272+H273-I273)&gt;0,"借","贷")</f>
        <v>借</v>
      </c>
      <c r="K273" s="9">
        <f t="shared" ref="K273:K295" si="21">_xlfn.IFS(J272="借",K272+H273-I273,J272="贷",H273-I273-K272)</f>
        <v>11113</v>
      </c>
      <c r="L273" s="10"/>
      <c r="M273" s="55"/>
    </row>
    <row r="274" spans="2:13" ht="20.100000000000001" customHeight="1" x14ac:dyDescent="0.15">
      <c r="B274" s="58"/>
      <c r="C274" s="10"/>
      <c r="D274" s="10"/>
      <c r="E274" s="10"/>
      <c r="F274" s="10"/>
      <c r="G274" s="7"/>
      <c r="H274" s="8"/>
      <c r="I274" s="8"/>
      <c r="J274" s="8" t="str">
        <f t="shared" si="20"/>
        <v>借</v>
      </c>
      <c r="K274" s="9">
        <f t="shared" si="21"/>
        <v>11113</v>
      </c>
      <c r="L274" s="10"/>
      <c r="M274" s="55"/>
    </row>
    <row r="275" spans="2:13" ht="20.100000000000001" customHeight="1" x14ac:dyDescent="0.15">
      <c r="B275" s="58"/>
      <c r="C275" s="10"/>
      <c r="D275" s="10"/>
      <c r="E275" s="10"/>
      <c r="F275" s="10"/>
      <c r="G275" s="7"/>
      <c r="H275" s="8"/>
      <c r="I275" s="8"/>
      <c r="J275" s="8" t="str">
        <f t="shared" si="20"/>
        <v>借</v>
      </c>
      <c r="K275" s="9">
        <f t="shared" si="21"/>
        <v>11113</v>
      </c>
      <c r="L275" s="10"/>
      <c r="M275" s="55"/>
    </row>
    <row r="276" spans="2:13" ht="20.100000000000001" customHeight="1" x14ac:dyDescent="0.15">
      <c r="B276" s="58"/>
      <c r="C276" s="10"/>
      <c r="D276" s="10"/>
      <c r="E276" s="10"/>
      <c r="F276" s="10"/>
      <c r="G276" s="7"/>
      <c r="H276" s="8"/>
      <c r="I276" s="8"/>
      <c r="J276" s="8" t="str">
        <f t="shared" si="20"/>
        <v>借</v>
      </c>
      <c r="K276" s="9">
        <f t="shared" si="21"/>
        <v>11113</v>
      </c>
      <c r="L276" s="59"/>
      <c r="M276" s="55"/>
    </row>
    <row r="277" spans="2:13" ht="20.100000000000001" customHeight="1" x14ac:dyDescent="0.15">
      <c r="B277" s="58"/>
      <c r="C277" s="10"/>
      <c r="D277" s="10"/>
      <c r="E277" s="10"/>
      <c r="F277" s="10"/>
      <c r="G277" s="7"/>
      <c r="H277" s="8"/>
      <c r="I277" s="8"/>
      <c r="J277" s="8" t="str">
        <f t="shared" si="20"/>
        <v>借</v>
      </c>
      <c r="K277" s="9">
        <f t="shared" si="21"/>
        <v>11113</v>
      </c>
      <c r="L277" s="59"/>
      <c r="M277" s="55"/>
    </row>
    <row r="278" spans="2:13" ht="20.100000000000001" customHeight="1" x14ac:dyDescent="0.15">
      <c r="B278" s="58"/>
      <c r="C278" s="10"/>
      <c r="D278" s="10"/>
      <c r="E278" s="10"/>
      <c r="F278" s="10"/>
      <c r="G278" s="7"/>
      <c r="H278" s="8"/>
      <c r="I278" s="8"/>
      <c r="J278" s="8" t="str">
        <f t="shared" si="20"/>
        <v>借</v>
      </c>
      <c r="K278" s="9">
        <f t="shared" si="21"/>
        <v>11113</v>
      </c>
      <c r="L278" s="59"/>
      <c r="M278" s="55"/>
    </row>
    <row r="279" spans="2:13" ht="20.100000000000001" customHeight="1" x14ac:dyDescent="0.15">
      <c r="B279" s="58"/>
      <c r="C279" s="10"/>
      <c r="D279" s="10"/>
      <c r="E279" s="10"/>
      <c r="F279" s="10"/>
      <c r="G279" s="7"/>
      <c r="H279" s="8"/>
      <c r="I279" s="8"/>
      <c r="J279" s="8" t="str">
        <f t="shared" si="20"/>
        <v>借</v>
      </c>
      <c r="K279" s="9">
        <f t="shared" si="21"/>
        <v>11113</v>
      </c>
      <c r="L279" s="59"/>
      <c r="M279" s="55"/>
    </row>
    <row r="280" spans="2:13" ht="20.100000000000001" customHeight="1" x14ac:dyDescent="0.15">
      <c r="B280" s="58"/>
      <c r="C280" s="10"/>
      <c r="D280" s="10"/>
      <c r="E280" s="10"/>
      <c r="F280" s="10"/>
      <c r="G280" s="7"/>
      <c r="H280" s="8"/>
      <c r="I280" s="8"/>
      <c r="J280" s="8" t="str">
        <f t="shared" si="20"/>
        <v>借</v>
      </c>
      <c r="K280" s="9">
        <f t="shared" si="21"/>
        <v>11113</v>
      </c>
      <c r="L280" s="59"/>
      <c r="M280" s="55"/>
    </row>
    <row r="281" spans="2:13" ht="20.100000000000001" customHeight="1" x14ac:dyDescent="0.15">
      <c r="B281" s="58"/>
      <c r="C281" s="10"/>
      <c r="D281" s="10"/>
      <c r="E281" s="10"/>
      <c r="F281" s="10"/>
      <c r="G281" s="7"/>
      <c r="H281" s="8"/>
      <c r="I281" s="8"/>
      <c r="J281" s="8" t="str">
        <f t="shared" si="20"/>
        <v>借</v>
      </c>
      <c r="K281" s="9">
        <f t="shared" si="21"/>
        <v>11113</v>
      </c>
      <c r="L281" s="59"/>
      <c r="M281" s="55"/>
    </row>
    <row r="282" spans="2:13" ht="20.100000000000001" customHeight="1" x14ac:dyDescent="0.15">
      <c r="B282" s="58"/>
      <c r="C282" s="10"/>
      <c r="D282" s="10"/>
      <c r="E282" s="10"/>
      <c r="F282" s="10"/>
      <c r="G282" s="7"/>
      <c r="H282" s="8"/>
      <c r="I282" s="8"/>
      <c r="J282" s="8" t="str">
        <f t="shared" si="20"/>
        <v>借</v>
      </c>
      <c r="K282" s="9">
        <f t="shared" si="21"/>
        <v>11113</v>
      </c>
      <c r="L282" s="59"/>
      <c r="M282" s="55"/>
    </row>
    <row r="283" spans="2:13" ht="20.100000000000001" customHeight="1" x14ac:dyDescent="0.15">
      <c r="B283" s="58"/>
      <c r="C283" s="10"/>
      <c r="D283" s="10"/>
      <c r="E283" s="10"/>
      <c r="F283" s="10"/>
      <c r="G283" s="7"/>
      <c r="H283" s="8"/>
      <c r="I283" s="8"/>
      <c r="J283" s="8" t="str">
        <f t="shared" si="20"/>
        <v>借</v>
      </c>
      <c r="K283" s="9">
        <f t="shared" si="21"/>
        <v>11113</v>
      </c>
      <c r="L283" s="59"/>
      <c r="M283" s="55"/>
    </row>
    <row r="284" spans="2:13" ht="20.100000000000001" customHeight="1" x14ac:dyDescent="0.15">
      <c r="B284" s="58"/>
      <c r="C284" s="10"/>
      <c r="D284" s="10"/>
      <c r="E284" s="10"/>
      <c r="F284" s="10"/>
      <c r="G284" s="7"/>
      <c r="H284" s="8"/>
      <c r="I284" s="8"/>
      <c r="J284" s="8" t="str">
        <f t="shared" si="20"/>
        <v>借</v>
      </c>
      <c r="K284" s="9">
        <f t="shared" si="21"/>
        <v>11113</v>
      </c>
      <c r="L284" s="59"/>
      <c r="M284" s="55"/>
    </row>
    <row r="285" spans="2:13" ht="20.100000000000001" customHeight="1" x14ac:dyDescent="0.15">
      <c r="B285" s="58"/>
      <c r="C285" s="10"/>
      <c r="D285" s="10"/>
      <c r="E285" s="10"/>
      <c r="F285" s="10"/>
      <c r="G285" s="7"/>
      <c r="H285" s="8"/>
      <c r="I285" s="8"/>
      <c r="J285" s="8" t="str">
        <f t="shared" si="20"/>
        <v>借</v>
      </c>
      <c r="K285" s="9">
        <f t="shared" si="21"/>
        <v>11113</v>
      </c>
      <c r="L285" s="59"/>
      <c r="M285" s="55"/>
    </row>
    <row r="286" spans="2:13" ht="20.100000000000001" customHeight="1" x14ac:dyDescent="0.15">
      <c r="B286" s="58"/>
      <c r="C286" s="10"/>
      <c r="D286" s="10"/>
      <c r="E286" s="10"/>
      <c r="F286" s="10"/>
      <c r="G286" s="7"/>
      <c r="H286" s="8"/>
      <c r="I286" s="8"/>
      <c r="J286" s="8" t="str">
        <f t="shared" si="20"/>
        <v>借</v>
      </c>
      <c r="K286" s="9">
        <f t="shared" si="21"/>
        <v>11113</v>
      </c>
      <c r="L286" s="59"/>
      <c r="M286" s="85"/>
    </row>
    <row r="287" spans="2:13" ht="20.100000000000001" customHeight="1" x14ac:dyDescent="0.15">
      <c r="B287" s="58"/>
      <c r="C287" s="10"/>
      <c r="D287" s="10"/>
      <c r="E287" s="10"/>
      <c r="F287" s="10"/>
      <c r="G287" s="7"/>
      <c r="H287" s="8"/>
      <c r="I287" s="8"/>
      <c r="J287" s="8" t="str">
        <f t="shared" si="20"/>
        <v>借</v>
      </c>
      <c r="K287" s="9">
        <f t="shared" si="21"/>
        <v>11113</v>
      </c>
      <c r="L287" s="59"/>
      <c r="M287" s="86"/>
    </row>
    <row r="288" spans="2:13" ht="20.100000000000001" customHeight="1" x14ac:dyDescent="0.15">
      <c r="B288" s="58"/>
      <c r="C288" s="10"/>
      <c r="D288" s="10"/>
      <c r="E288" s="10"/>
      <c r="F288" s="10"/>
      <c r="G288" s="7"/>
      <c r="H288" s="8"/>
      <c r="I288" s="8"/>
      <c r="J288" s="8" t="str">
        <f t="shared" si="20"/>
        <v>借</v>
      </c>
      <c r="K288" s="9">
        <f t="shared" si="21"/>
        <v>11113</v>
      </c>
      <c r="L288" s="59"/>
      <c r="M288" s="55"/>
    </row>
    <row r="289" spans="2:13" ht="20.100000000000001" customHeight="1" x14ac:dyDescent="0.15">
      <c r="B289" s="58"/>
      <c r="C289" s="10"/>
      <c r="D289" s="10"/>
      <c r="E289" s="10"/>
      <c r="F289" s="10"/>
      <c r="G289" s="7"/>
      <c r="H289" s="8"/>
      <c r="I289" s="8"/>
      <c r="J289" s="8" t="str">
        <f t="shared" si="20"/>
        <v>借</v>
      </c>
      <c r="K289" s="9">
        <f t="shared" si="21"/>
        <v>11113</v>
      </c>
      <c r="L289" s="59"/>
      <c r="M289" s="55"/>
    </row>
    <row r="290" spans="2:13" ht="20.100000000000001" customHeight="1" x14ac:dyDescent="0.15">
      <c r="B290" s="58"/>
      <c r="C290" s="10"/>
      <c r="D290" s="10"/>
      <c r="E290" s="10"/>
      <c r="F290" s="10"/>
      <c r="G290" s="7"/>
      <c r="H290" s="8"/>
      <c r="I290" s="8"/>
      <c r="J290" s="8" t="str">
        <f t="shared" si="20"/>
        <v>借</v>
      </c>
      <c r="K290" s="9">
        <f t="shared" si="21"/>
        <v>11113</v>
      </c>
      <c r="L290" s="59"/>
      <c r="M290" s="55"/>
    </row>
    <row r="291" spans="2:13" ht="20.100000000000001" customHeight="1" x14ac:dyDescent="0.15">
      <c r="B291" s="58"/>
      <c r="C291" s="10"/>
      <c r="D291" s="10"/>
      <c r="E291" s="10"/>
      <c r="F291" s="10"/>
      <c r="G291" s="7"/>
      <c r="H291" s="8"/>
      <c r="I291" s="8"/>
      <c r="J291" s="8" t="str">
        <f t="shared" si="20"/>
        <v>借</v>
      </c>
      <c r="K291" s="9">
        <f t="shared" si="21"/>
        <v>11113</v>
      </c>
      <c r="L291" s="59"/>
      <c r="M291" s="55"/>
    </row>
    <row r="292" spans="2:13" ht="20.100000000000001" customHeight="1" x14ac:dyDescent="0.15">
      <c r="B292" s="58"/>
      <c r="C292" s="10"/>
      <c r="D292" s="10"/>
      <c r="E292" s="10"/>
      <c r="F292" s="10"/>
      <c r="G292" s="7"/>
      <c r="H292" s="8"/>
      <c r="I292" s="8"/>
      <c r="J292" s="8" t="str">
        <f t="shared" si="20"/>
        <v>借</v>
      </c>
      <c r="K292" s="9">
        <f t="shared" si="21"/>
        <v>11113</v>
      </c>
      <c r="L292" s="59"/>
      <c r="M292" s="55"/>
    </row>
    <row r="293" spans="2:13" ht="20.100000000000001" customHeight="1" x14ac:dyDescent="0.15">
      <c r="B293" s="58"/>
      <c r="C293" s="10"/>
      <c r="D293" s="10"/>
      <c r="E293" s="10"/>
      <c r="F293" s="10"/>
      <c r="G293" s="7"/>
      <c r="H293" s="8"/>
      <c r="I293" s="8"/>
      <c r="J293" s="8" t="str">
        <f t="shared" si="20"/>
        <v>借</v>
      </c>
      <c r="K293" s="9">
        <f t="shared" si="21"/>
        <v>11113</v>
      </c>
      <c r="L293" s="59"/>
      <c r="M293" s="94"/>
    </row>
    <row r="294" spans="2:13" ht="20.100000000000001" customHeight="1" x14ac:dyDescent="0.15">
      <c r="B294" s="58"/>
      <c r="C294" s="10"/>
      <c r="D294" s="10"/>
      <c r="E294" s="10"/>
      <c r="F294" s="10"/>
      <c r="G294" s="7"/>
      <c r="H294" s="8"/>
      <c r="I294" s="8"/>
      <c r="J294" s="8" t="str">
        <f t="shared" si="20"/>
        <v>借</v>
      </c>
      <c r="K294" s="9">
        <f t="shared" si="21"/>
        <v>11113</v>
      </c>
      <c r="L294" s="59"/>
      <c r="M294" s="95"/>
    </row>
    <row r="295" spans="2:13" ht="20.100000000000001" customHeight="1" x14ac:dyDescent="0.15">
      <c r="B295" s="58"/>
      <c r="C295" s="10"/>
      <c r="D295" s="10"/>
      <c r="E295" s="10"/>
      <c r="F295" s="10"/>
      <c r="G295" s="7"/>
      <c r="H295" s="8"/>
      <c r="I295" s="8"/>
      <c r="J295" s="8" t="str">
        <f t="shared" si="20"/>
        <v>借</v>
      </c>
      <c r="K295" s="9">
        <f t="shared" si="21"/>
        <v>11113</v>
      </c>
      <c r="L295" s="59"/>
      <c r="M295" s="95"/>
    </row>
    <row r="296" spans="2:13" ht="20.100000000000001" customHeight="1" x14ac:dyDescent="0.15">
      <c r="B296" s="58"/>
      <c r="C296" s="10"/>
      <c r="D296" s="10"/>
      <c r="E296" s="10"/>
      <c r="F296" s="10"/>
      <c r="G296" s="7"/>
      <c r="H296" s="8"/>
      <c r="I296" s="8"/>
      <c r="J296" s="8" t="str">
        <f t="shared" ref="J296:J350" si="22">IF((K295+H296-I296)&gt;0,"借","贷")</f>
        <v>借</v>
      </c>
      <c r="K296" s="9">
        <f t="shared" ref="K296:K326" si="23">_xlfn.IFS(J295="借",K295+H296-I296,J295="贷",H296-I296-K295)</f>
        <v>11113</v>
      </c>
      <c r="L296" s="59"/>
      <c r="M296" s="95"/>
    </row>
    <row r="297" spans="2:13" ht="20.100000000000001" customHeight="1" x14ac:dyDescent="0.15">
      <c r="B297" s="58"/>
      <c r="C297" s="10"/>
      <c r="D297" s="10"/>
      <c r="E297" s="10"/>
      <c r="F297" s="10"/>
      <c r="G297" s="7"/>
      <c r="H297" s="8"/>
      <c r="I297" s="8"/>
      <c r="J297" s="8" t="str">
        <f t="shared" si="22"/>
        <v>借</v>
      </c>
      <c r="K297" s="9">
        <f t="shared" si="23"/>
        <v>11113</v>
      </c>
      <c r="L297" s="59"/>
      <c r="M297" s="95"/>
    </row>
    <row r="298" spans="2:13" ht="20.100000000000001" customHeight="1" x14ac:dyDescent="0.15">
      <c r="B298" s="58"/>
      <c r="C298" s="10"/>
      <c r="D298" s="10"/>
      <c r="E298" s="10"/>
      <c r="F298" s="10"/>
      <c r="G298" s="7"/>
      <c r="H298" s="8"/>
      <c r="I298" s="8"/>
      <c r="J298" s="8" t="str">
        <f t="shared" si="22"/>
        <v>借</v>
      </c>
      <c r="K298" s="9">
        <f t="shared" si="23"/>
        <v>11113</v>
      </c>
      <c r="L298" s="59"/>
      <c r="M298" s="95"/>
    </row>
    <row r="299" spans="2:13" ht="20.100000000000001" customHeight="1" x14ac:dyDescent="0.15">
      <c r="B299" s="58"/>
      <c r="C299" s="10"/>
      <c r="D299" s="10"/>
      <c r="E299" s="10"/>
      <c r="F299" s="10"/>
      <c r="G299" s="7"/>
      <c r="H299" s="8"/>
      <c r="I299" s="8"/>
      <c r="J299" s="8" t="str">
        <f t="shared" si="22"/>
        <v>借</v>
      </c>
      <c r="K299" s="9">
        <f t="shared" si="23"/>
        <v>11113</v>
      </c>
      <c r="L299" s="59"/>
      <c r="M299" s="63"/>
    </row>
    <row r="300" spans="2:13" ht="20.100000000000001" customHeight="1" x14ac:dyDescent="0.15">
      <c r="B300" s="58"/>
      <c r="C300" s="10"/>
      <c r="D300" s="10"/>
      <c r="E300" s="10"/>
      <c r="F300" s="10"/>
      <c r="G300" s="7"/>
      <c r="H300" s="8"/>
      <c r="I300" s="8"/>
      <c r="J300" s="8" t="str">
        <f t="shared" si="22"/>
        <v>借</v>
      </c>
      <c r="K300" s="9">
        <f t="shared" si="23"/>
        <v>11113</v>
      </c>
      <c r="L300" s="59"/>
      <c r="M300" s="55"/>
    </row>
    <row r="301" spans="2:13" ht="20.100000000000001" customHeight="1" x14ac:dyDescent="0.15">
      <c r="B301" s="58"/>
      <c r="C301" s="10"/>
      <c r="D301" s="10"/>
      <c r="E301" s="10"/>
      <c r="F301" s="10"/>
      <c r="G301" s="7"/>
      <c r="H301" s="8"/>
      <c r="I301" s="8"/>
      <c r="J301" s="8" t="str">
        <f t="shared" si="22"/>
        <v>借</v>
      </c>
      <c r="K301" s="9">
        <f t="shared" si="23"/>
        <v>11113</v>
      </c>
      <c r="L301" s="59"/>
      <c r="M301" s="55"/>
    </row>
    <row r="302" spans="2:13" ht="20.100000000000001" customHeight="1" x14ac:dyDescent="0.15">
      <c r="B302" s="58"/>
      <c r="C302" s="10"/>
      <c r="D302" s="10"/>
      <c r="E302" s="45"/>
      <c r="F302" s="10"/>
      <c r="G302" s="7"/>
      <c r="H302" s="8"/>
      <c r="I302" s="8"/>
      <c r="J302" s="8" t="str">
        <f t="shared" si="22"/>
        <v>借</v>
      </c>
      <c r="K302" s="9">
        <f t="shared" si="23"/>
        <v>11113</v>
      </c>
      <c r="L302" s="59"/>
      <c r="M302" s="55"/>
    </row>
    <row r="303" spans="2:13" ht="20.100000000000001" customHeight="1" x14ac:dyDescent="0.15">
      <c r="B303" s="58"/>
      <c r="C303" s="10"/>
      <c r="D303" s="10"/>
      <c r="E303" s="10"/>
      <c r="F303" s="10"/>
      <c r="G303" s="7"/>
      <c r="H303" s="8"/>
      <c r="I303" s="8"/>
      <c r="J303" s="8" t="str">
        <f t="shared" si="22"/>
        <v>借</v>
      </c>
      <c r="K303" s="9">
        <f t="shared" si="23"/>
        <v>11113</v>
      </c>
      <c r="L303" s="59"/>
      <c r="M303" s="55"/>
    </row>
    <row r="304" spans="2:13" ht="20.100000000000001" customHeight="1" x14ac:dyDescent="0.15">
      <c r="B304" s="58"/>
      <c r="C304" s="10"/>
      <c r="D304" s="10"/>
      <c r="E304" s="10"/>
      <c r="F304" s="10"/>
      <c r="G304" s="7"/>
      <c r="H304" s="8"/>
      <c r="I304" s="8"/>
      <c r="J304" s="8" t="str">
        <f t="shared" si="22"/>
        <v>借</v>
      </c>
      <c r="K304" s="9">
        <f t="shared" si="23"/>
        <v>11113</v>
      </c>
      <c r="L304" s="59"/>
      <c r="M304" s="55"/>
    </row>
    <row r="305" spans="2:13" ht="20.100000000000001" customHeight="1" x14ac:dyDescent="0.15">
      <c r="B305" s="58"/>
      <c r="C305" s="10"/>
      <c r="D305" s="10"/>
      <c r="E305" s="10"/>
      <c r="F305" s="10"/>
      <c r="G305" s="7"/>
      <c r="H305" s="8"/>
      <c r="I305" s="8"/>
      <c r="J305" s="8" t="str">
        <f t="shared" si="22"/>
        <v>借</v>
      </c>
      <c r="K305" s="9">
        <f t="shared" si="23"/>
        <v>11113</v>
      </c>
      <c r="L305" s="59"/>
      <c r="M305" s="55"/>
    </row>
    <row r="306" spans="2:13" ht="20.100000000000001" customHeight="1" x14ac:dyDescent="0.15">
      <c r="B306" s="58"/>
      <c r="C306" s="10"/>
      <c r="D306" s="10"/>
      <c r="E306" s="10"/>
      <c r="F306" s="10"/>
      <c r="G306" s="7"/>
      <c r="H306" s="8"/>
      <c r="I306" s="8"/>
      <c r="J306" s="8" t="str">
        <f t="shared" si="22"/>
        <v>借</v>
      </c>
      <c r="K306" s="9">
        <f t="shared" si="23"/>
        <v>11113</v>
      </c>
      <c r="L306" s="59"/>
      <c r="M306" s="55"/>
    </row>
    <row r="307" spans="2:13" ht="20.100000000000001" customHeight="1" x14ac:dyDescent="0.15">
      <c r="B307" s="58"/>
      <c r="C307" s="10"/>
      <c r="D307" s="10"/>
      <c r="E307" s="10"/>
      <c r="F307" s="10"/>
      <c r="G307" s="7"/>
      <c r="H307" s="8"/>
      <c r="I307" s="8"/>
      <c r="J307" s="8" t="str">
        <f t="shared" si="22"/>
        <v>借</v>
      </c>
      <c r="K307" s="9">
        <f t="shared" si="23"/>
        <v>11113</v>
      </c>
      <c r="L307" s="59"/>
      <c r="M307" s="55"/>
    </row>
    <row r="308" spans="2:13" ht="20.100000000000001" customHeight="1" x14ac:dyDescent="0.15">
      <c r="B308" s="58"/>
      <c r="C308" s="10"/>
      <c r="D308" s="10"/>
      <c r="E308" s="10"/>
      <c r="F308" s="10"/>
      <c r="G308" s="7"/>
      <c r="H308" s="8"/>
      <c r="I308" s="8"/>
      <c r="J308" s="8" t="str">
        <f t="shared" si="22"/>
        <v>借</v>
      </c>
      <c r="K308" s="9">
        <f t="shared" si="23"/>
        <v>11113</v>
      </c>
      <c r="L308" s="59"/>
      <c r="M308" s="55"/>
    </row>
    <row r="309" spans="2:13" ht="20.100000000000001" customHeight="1" x14ac:dyDescent="0.15">
      <c r="B309" s="58"/>
      <c r="C309" s="10"/>
      <c r="D309" s="10"/>
      <c r="E309" s="10"/>
      <c r="F309" s="10"/>
      <c r="G309" s="7"/>
      <c r="H309" s="8"/>
      <c r="I309" s="8"/>
      <c r="J309" s="8" t="str">
        <f t="shared" si="22"/>
        <v>借</v>
      </c>
      <c r="K309" s="9">
        <f t="shared" si="23"/>
        <v>11113</v>
      </c>
      <c r="L309" s="59"/>
      <c r="M309" s="55"/>
    </row>
    <row r="310" spans="2:13" ht="20.100000000000001" customHeight="1" x14ac:dyDescent="0.15">
      <c r="B310" s="58"/>
      <c r="C310" s="10"/>
      <c r="D310" s="10"/>
      <c r="E310" s="10"/>
      <c r="F310" s="10"/>
      <c r="G310" s="7"/>
      <c r="H310" s="8"/>
      <c r="I310" s="8"/>
      <c r="J310" s="8" t="str">
        <f t="shared" si="22"/>
        <v>借</v>
      </c>
      <c r="K310" s="9">
        <f t="shared" si="23"/>
        <v>11113</v>
      </c>
      <c r="L310" s="59"/>
      <c r="M310" s="55"/>
    </row>
    <row r="311" spans="2:13" ht="20.100000000000001" customHeight="1" x14ac:dyDescent="0.15">
      <c r="B311" s="58"/>
      <c r="C311" s="10"/>
      <c r="D311" s="10"/>
      <c r="E311" s="10"/>
      <c r="F311" s="10"/>
      <c r="G311" s="7"/>
      <c r="H311" s="8"/>
      <c r="I311" s="8"/>
      <c r="J311" s="8" t="str">
        <f t="shared" si="22"/>
        <v>借</v>
      </c>
      <c r="K311" s="9">
        <f t="shared" si="23"/>
        <v>11113</v>
      </c>
      <c r="L311" s="59"/>
      <c r="M311" s="55"/>
    </row>
    <row r="312" spans="2:13" ht="20.100000000000001" customHeight="1" x14ac:dyDescent="0.15">
      <c r="B312" s="58"/>
      <c r="C312" s="10"/>
      <c r="D312" s="10"/>
      <c r="E312" s="10"/>
      <c r="F312" s="10"/>
      <c r="G312" s="7"/>
      <c r="H312" s="8"/>
      <c r="I312" s="8"/>
      <c r="J312" s="8" t="str">
        <f t="shared" si="22"/>
        <v>借</v>
      </c>
      <c r="K312" s="9">
        <f t="shared" si="23"/>
        <v>11113</v>
      </c>
      <c r="L312" s="59"/>
      <c r="M312" s="55"/>
    </row>
    <row r="313" spans="2:13" ht="20.100000000000001" customHeight="1" x14ac:dyDescent="0.15">
      <c r="B313" s="58"/>
      <c r="C313" s="10"/>
      <c r="D313" s="10"/>
      <c r="E313" s="10"/>
      <c r="F313" s="10"/>
      <c r="G313" s="7"/>
      <c r="H313" s="8"/>
      <c r="I313" s="8"/>
      <c r="J313" s="8" t="str">
        <f t="shared" si="22"/>
        <v>借</v>
      </c>
      <c r="K313" s="9">
        <f t="shared" si="23"/>
        <v>11113</v>
      </c>
      <c r="L313" s="59"/>
      <c r="M313" s="55"/>
    </row>
    <row r="314" spans="2:13" ht="20.100000000000001" customHeight="1" x14ac:dyDescent="0.15">
      <c r="B314" s="58"/>
      <c r="C314" s="10"/>
      <c r="D314" s="10"/>
      <c r="E314" s="10"/>
      <c r="F314" s="10"/>
      <c r="G314" s="7"/>
      <c r="H314" s="8"/>
      <c r="I314" s="8"/>
      <c r="J314" s="8" t="str">
        <f t="shared" si="22"/>
        <v>借</v>
      </c>
      <c r="K314" s="9">
        <f t="shared" si="23"/>
        <v>11113</v>
      </c>
      <c r="L314" s="59"/>
      <c r="M314" s="55"/>
    </row>
    <row r="315" spans="2:13" ht="20.100000000000001" customHeight="1" x14ac:dyDescent="0.15">
      <c r="B315" s="58"/>
      <c r="C315" s="10"/>
      <c r="D315" s="10"/>
      <c r="E315" s="10"/>
      <c r="F315" s="10"/>
      <c r="G315" s="7"/>
      <c r="H315" s="8"/>
      <c r="I315" s="8"/>
      <c r="J315" s="8" t="str">
        <f t="shared" si="22"/>
        <v>借</v>
      </c>
      <c r="K315" s="9">
        <f t="shared" si="23"/>
        <v>11113</v>
      </c>
      <c r="L315" s="59"/>
      <c r="M315" s="55"/>
    </row>
    <row r="316" spans="2:13" ht="20.100000000000001" customHeight="1" x14ac:dyDescent="0.15">
      <c r="B316" s="58"/>
      <c r="C316" s="10"/>
      <c r="D316" s="10"/>
      <c r="E316" s="10"/>
      <c r="F316" s="10"/>
      <c r="G316" s="7"/>
      <c r="H316" s="8"/>
      <c r="I316" s="8"/>
      <c r="J316" s="8" t="str">
        <f t="shared" si="22"/>
        <v>借</v>
      </c>
      <c r="K316" s="9">
        <f t="shared" si="23"/>
        <v>11113</v>
      </c>
      <c r="L316" s="59"/>
      <c r="M316" s="55"/>
    </row>
    <row r="317" spans="2:13" ht="20.100000000000001" customHeight="1" x14ac:dyDescent="0.15">
      <c r="B317" s="58"/>
      <c r="C317" s="10"/>
      <c r="D317" s="10"/>
      <c r="E317" s="10"/>
      <c r="F317" s="10"/>
      <c r="G317" s="7"/>
      <c r="H317" s="8"/>
      <c r="I317" s="8"/>
      <c r="J317" s="8" t="str">
        <f t="shared" si="22"/>
        <v>借</v>
      </c>
      <c r="K317" s="9">
        <f t="shared" si="23"/>
        <v>11113</v>
      </c>
      <c r="L317" s="59"/>
      <c r="M317" s="55"/>
    </row>
    <row r="318" spans="2:13" ht="20.100000000000001" customHeight="1" x14ac:dyDescent="0.15">
      <c r="B318" s="58"/>
      <c r="C318" s="10"/>
      <c r="D318" s="10"/>
      <c r="E318" s="10"/>
      <c r="F318" s="10"/>
      <c r="G318" s="7"/>
      <c r="H318" s="8"/>
      <c r="I318" s="8"/>
      <c r="J318" s="8" t="str">
        <f t="shared" si="22"/>
        <v>借</v>
      </c>
      <c r="K318" s="9">
        <f t="shared" si="23"/>
        <v>11113</v>
      </c>
      <c r="L318" s="59"/>
      <c r="M318" s="55"/>
    </row>
    <row r="319" spans="2:13" ht="20.100000000000001" customHeight="1" x14ac:dyDescent="0.15">
      <c r="B319" s="58"/>
      <c r="C319" s="10"/>
      <c r="D319" s="10"/>
      <c r="E319" s="10"/>
      <c r="F319" s="10"/>
      <c r="G319" s="7"/>
      <c r="H319" s="8"/>
      <c r="I319" s="8"/>
      <c r="J319" s="8" t="str">
        <f t="shared" si="22"/>
        <v>借</v>
      </c>
      <c r="K319" s="9">
        <f t="shared" si="23"/>
        <v>11113</v>
      </c>
      <c r="L319" s="59"/>
      <c r="M319" s="55"/>
    </row>
    <row r="320" spans="2:13" ht="20.100000000000001" customHeight="1" x14ac:dyDescent="0.15">
      <c r="B320" s="58"/>
      <c r="C320" s="10"/>
      <c r="D320" s="10"/>
      <c r="E320" s="10"/>
      <c r="F320" s="10"/>
      <c r="G320" s="7"/>
      <c r="H320" s="8"/>
      <c r="I320" s="8"/>
      <c r="J320" s="8" t="str">
        <f t="shared" si="22"/>
        <v>借</v>
      </c>
      <c r="K320" s="9">
        <f t="shared" si="23"/>
        <v>11113</v>
      </c>
      <c r="L320" s="59"/>
      <c r="M320" s="85"/>
    </row>
    <row r="321" spans="2:13" ht="20.100000000000001" customHeight="1" x14ac:dyDescent="0.15">
      <c r="B321" s="58"/>
      <c r="C321" s="10"/>
      <c r="D321" s="10"/>
      <c r="E321" s="10"/>
      <c r="F321" s="10"/>
      <c r="G321" s="7"/>
      <c r="H321" s="8"/>
      <c r="I321" s="8"/>
      <c r="J321" s="8" t="str">
        <f t="shared" si="22"/>
        <v>借</v>
      </c>
      <c r="K321" s="9">
        <f t="shared" si="23"/>
        <v>11113</v>
      </c>
      <c r="L321" s="59"/>
      <c r="M321" s="86"/>
    </row>
    <row r="322" spans="2:13" ht="20.100000000000001" customHeight="1" x14ac:dyDescent="0.15">
      <c r="B322" s="58"/>
      <c r="C322" s="10"/>
      <c r="D322" s="10"/>
      <c r="E322" s="10"/>
      <c r="F322" s="10"/>
      <c r="G322" s="7"/>
      <c r="H322" s="8"/>
      <c r="I322" s="8"/>
      <c r="J322" s="8" t="str">
        <f t="shared" si="22"/>
        <v>借</v>
      </c>
      <c r="K322" s="9">
        <f t="shared" si="23"/>
        <v>11113</v>
      </c>
      <c r="L322" s="59"/>
      <c r="M322" s="55"/>
    </row>
    <row r="323" spans="2:13" ht="20.100000000000001" customHeight="1" x14ac:dyDescent="0.15">
      <c r="B323" s="58"/>
      <c r="C323" s="10"/>
      <c r="D323" s="10"/>
      <c r="E323" s="10"/>
      <c r="F323" s="10"/>
      <c r="G323" s="7"/>
      <c r="H323" s="8"/>
      <c r="I323" s="8"/>
      <c r="J323" s="8" t="str">
        <f t="shared" si="22"/>
        <v>借</v>
      </c>
      <c r="K323" s="9">
        <f t="shared" si="23"/>
        <v>11113</v>
      </c>
      <c r="L323" s="59"/>
      <c r="M323" s="55"/>
    </row>
    <row r="324" spans="2:13" ht="20.100000000000001" customHeight="1" x14ac:dyDescent="0.15">
      <c r="B324" s="58"/>
      <c r="C324" s="10"/>
      <c r="D324" s="10"/>
      <c r="E324" s="10"/>
      <c r="F324" s="10"/>
      <c r="G324" s="7"/>
      <c r="H324" s="8"/>
      <c r="I324" s="8"/>
      <c r="J324" s="8" t="str">
        <f t="shared" si="22"/>
        <v>借</v>
      </c>
      <c r="K324" s="9">
        <f t="shared" si="23"/>
        <v>11113</v>
      </c>
      <c r="L324" s="59"/>
      <c r="M324" s="55"/>
    </row>
    <row r="325" spans="2:13" ht="20.100000000000001" customHeight="1" x14ac:dyDescent="0.15">
      <c r="B325" s="58"/>
      <c r="C325" s="10"/>
      <c r="D325" s="10"/>
      <c r="E325" s="10"/>
      <c r="F325" s="10"/>
      <c r="G325" s="7"/>
      <c r="H325" s="8"/>
      <c r="I325" s="8"/>
      <c r="J325" s="8" t="str">
        <f t="shared" si="22"/>
        <v>借</v>
      </c>
      <c r="K325" s="9">
        <f t="shared" si="23"/>
        <v>11113</v>
      </c>
      <c r="L325" s="59"/>
      <c r="M325" s="55"/>
    </row>
    <row r="326" spans="2:13" ht="20.100000000000001" customHeight="1" x14ac:dyDescent="0.15">
      <c r="B326" s="58"/>
      <c r="C326" s="10"/>
      <c r="D326" s="10"/>
      <c r="E326" s="10"/>
      <c r="F326" s="10"/>
      <c r="G326" s="7"/>
      <c r="H326" s="8"/>
      <c r="I326" s="8"/>
      <c r="J326" s="8" t="str">
        <f t="shared" si="22"/>
        <v>借</v>
      </c>
      <c r="K326" s="9">
        <f t="shared" si="23"/>
        <v>11113</v>
      </c>
      <c r="L326" s="59"/>
      <c r="M326" s="55"/>
    </row>
    <row r="327" spans="2:13" ht="20.100000000000001" customHeight="1" x14ac:dyDescent="0.15">
      <c r="B327" s="58"/>
      <c r="C327" s="10"/>
      <c r="D327" s="10"/>
      <c r="E327" s="10"/>
      <c r="F327" s="10"/>
      <c r="G327" s="7"/>
      <c r="H327" s="8"/>
      <c r="I327" s="8"/>
      <c r="J327" s="8" t="str">
        <f t="shared" si="22"/>
        <v>借</v>
      </c>
      <c r="K327" s="9">
        <f t="shared" ref="K327:K380" si="24">_xlfn.IFS(J326="借",K326+H327-I327,J326="贷",H327-I327-K326)</f>
        <v>11113</v>
      </c>
      <c r="L327" s="59"/>
      <c r="M327" s="55"/>
    </row>
    <row r="328" spans="2:13" ht="20.100000000000001" customHeight="1" x14ac:dyDescent="0.15">
      <c r="B328" s="58"/>
      <c r="C328" s="10"/>
      <c r="D328" s="10"/>
      <c r="E328" s="10"/>
      <c r="F328" s="10"/>
      <c r="G328" s="7"/>
      <c r="H328" s="8"/>
      <c r="I328" s="8"/>
      <c r="J328" s="8" t="str">
        <f t="shared" si="22"/>
        <v>借</v>
      </c>
      <c r="K328" s="9">
        <f t="shared" si="24"/>
        <v>11113</v>
      </c>
      <c r="L328" s="59"/>
      <c r="M328" s="55"/>
    </row>
    <row r="329" spans="2:13" ht="20.100000000000001" customHeight="1" x14ac:dyDescent="0.15">
      <c r="B329" s="58"/>
      <c r="C329" s="10"/>
      <c r="D329" s="10"/>
      <c r="E329" s="10"/>
      <c r="F329" s="10"/>
      <c r="G329" s="7"/>
      <c r="H329" s="8"/>
      <c r="I329" s="8"/>
      <c r="J329" s="8" t="str">
        <f t="shared" si="22"/>
        <v>借</v>
      </c>
      <c r="K329" s="9">
        <f t="shared" si="24"/>
        <v>11113</v>
      </c>
      <c r="L329" s="59"/>
      <c r="M329" s="55"/>
    </row>
    <row r="330" spans="2:13" ht="20.100000000000001" customHeight="1" x14ac:dyDescent="0.15">
      <c r="B330" s="58"/>
      <c r="C330" s="10"/>
      <c r="D330" s="10"/>
      <c r="E330" s="10"/>
      <c r="F330" s="10"/>
      <c r="G330" s="7"/>
      <c r="H330" s="8"/>
      <c r="I330" s="8"/>
      <c r="J330" s="8" t="str">
        <f t="shared" si="22"/>
        <v>借</v>
      </c>
      <c r="K330" s="9">
        <f t="shared" si="24"/>
        <v>11113</v>
      </c>
      <c r="L330" s="59"/>
      <c r="M330" s="55"/>
    </row>
    <row r="331" spans="2:13" ht="20.100000000000001" customHeight="1" x14ac:dyDescent="0.15">
      <c r="B331" s="58"/>
      <c r="C331" s="10"/>
      <c r="D331" s="10"/>
      <c r="E331" s="10"/>
      <c r="F331" s="10"/>
      <c r="G331" s="7"/>
      <c r="H331" s="8"/>
      <c r="I331" s="8"/>
      <c r="J331" s="8" t="str">
        <f t="shared" si="22"/>
        <v>借</v>
      </c>
      <c r="K331" s="9">
        <f t="shared" si="24"/>
        <v>11113</v>
      </c>
      <c r="L331" s="59"/>
      <c r="M331" s="55"/>
    </row>
    <row r="332" spans="2:13" ht="20.100000000000001" customHeight="1" x14ac:dyDescent="0.15">
      <c r="B332" s="58"/>
      <c r="C332" s="10"/>
      <c r="D332" s="10"/>
      <c r="E332" s="10"/>
      <c r="F332" s="10"/>
      <c r="G332" s="7"/>
      <c r="H332" s="8"/>
      <c r="I332" s="8"/>
      <c r="J332" s="8" t="str">
        <f t="shared" si="22"/>
        <v>借</v>
      </c>
      <c r="K332" s="9">
        <f t="shared" si="24"/>
        <v>11113</v>
      </c>
      <c r="L332" s="59"/>
      <c r="M332" s="55"/>
    </row>
    <row r="333" spans="2:13" ht="20.100000000000001" customHeight="1" x14ac:dyDescent="0.15">
      <c r="B333" s="58"/>
      <c r="C333" s="10"/>
      <c r="D333" s="10"/>
      <c r="E333" s="10"/>
      <c r="F333" s="10"/>
      <c r="G333" s="7"/>
      <c r="H333" s="8"/>
      <c r="I333" s="8"/>
      <c r="J333" s="8" t="str">
        <f t="shared" si="22"/>
        <v>借</v>
      </c>
      <c r="K333" s="9">
        <f t="shared" si="24"/>
        <v>11113</v>
      </c>
      <c r="L333" s="59"/>
      <c r="M333" s="55"/>
    </row>
    <row r="334" spans="2:13" ht="20.100000000000001" customHeight="1" x14ac:dyDescent="0.15">
      <c r="B334" s="58"/>
      <c r="C334" s="10"/>
      <c r="D334" s="10"/>
      <c r="E334" s="10"/>
      <c r="F334" s="10"/>
      <c r="G334" s="7"/>
      <c r="H334" s="8"/>
      <c r="I334" s="8"/>
      <c r="J334" s="8" t="str">
        <f t="shared" si="22"/>
        <v>借</v>
      </c>
      <c r="K334" s="9">
        <f t="shared" si="24"/>
        <v>11113</v>
      </c>
      <c r="L334" s="59"/>
      <c r="M334" s="55"/>
    </row>
    <row r="335" spans="2:13" ht="20.100000000000001" customHeight="1" x14ac:dyDescent="0.15">
      <c r="B335" s="58"/>
      <c r="C335" s="10"/>
      <c r="D335" s="10"/>
      <c r="E335" s="10"/>
      <c r="F335" s="10"/>
      <c r="G335" s="7"/>
      <c r="H335" s="8"/>
      <c r="I335" s="8"/>
      <c r="J335" s="8" t="str">
        <f t="shared" si="22"/>
        <v>借</v>
      </c>
      <c r="K335" s="9">
        <f t="shared" si="24"/>
        <v>11113</v>
      </c>
      <c r="L335" s="59"/>
      <c r="M335" s="55"/>
    </row>
    <row r="336" spans="2:13" ht="20.100000000000001" customHeight="1" x14ac:dyDescent="0.15">
      <c r="B336" s="58"/>
      <c r="C336" s="10"/>
      <c r="D336" s="10"/>
      <c r="E336" s="10"/>
      <c r="F336" s="10"/>
      <c r="G336" s="7"/>
      <c r="H336" s="8"/>
      <c r="I336" s="8"/>
      <c r="J336" s="8" t="str">
        <f t="shared" si="22"/>
        <v>借</v>
      </c>
      <c r="K336" s="9">
        <f t="shared" si="24"/>
        <v>11113</v>
      </c>
      <c r="L336" s="59"/>
      <c r="M336" s="55"/>
    </row>
    <row r="337" spans="2:13" ht="20.100000000000001" customHeight="1" x14ac:dyDescent="0.15">
      <c r="B337" s="58"/>
      <c r="C337" s="10"/>
      <c r="D337" s="10"/>
      <c r="E337" s="10"/>
      <c r="F337" s="10"/>
      <c r="G337" s="7"/>
      <c r="H337" s="8"/>
      <c r="I337" s="8"/>
      <c r="J337" s="8" t="str">
        <f t="shared" si="22"/>
        <v>借</v>
      </c>
      <c r="K337" s="9">
        <f t="shared" si="24"/>
        <v>11113</v>
      </c>
      <c r="L337" s="59"/>
      <c r="M337" s="55"/>
    </row>
    <row r="338" spans="2:13" ht="20.100000000000001" customHeight="1" x14ac:dyDescent="0.15">
      <c r="B338" s="58"/>
      <c r="C338" s="10"/>
      <c r="D338" s="10"/>
      <c r="E338" s="10"/>
      <c r="F338" s="10"/>
      <c r="G338" s="7"/>
      <c r="H338" s="8"/>
      <c r="I338" s="8"/>
      <c r="J338" s="8" t="str">
        <f t="shared" si="22"/>
        <v>借</v>
      </c>
      <c r="K338" s="9">
        <f t="shared" si="24"/>
        <v>11113</v>
      </c>
      <c r="L338" s="59"/>
      <c r="M338" s="55"/>
    </row>
    <row r="339" spans="2:13" ht="20.100000000000001" customHeight="1" x14ac:dyDescent="0.15">
      <c r="B339" s="58"/>
      <c r="C339" s="10"/>
      <c r="D339" s="10"/>
      <c r="E339" s="10"/>
      <c r="F339" s="10"/>
      <c r="G339" s="7"/>
      <c r="H339" s="8"/>
      <c r="I339" s="8"/>
      <c r="J339" s="8" t="str">
        <f t="shared" si="22"/>
        <v>借</v>
      </c>
      <c r="K339" s="9">
        <f t="shared" si="24"/>
        <v>11113</v>
      </c>
      <c r="L339" s="59"/>
      <c r="M339" s="55"/>
    </row>
    <row r="340" spans="2:13" ht="20.100000000000001" customHeight="1" x14ac:dyDescent="0.15">
      <c r="B340" s="58"/>
      <c r="C340" s="10"/>
      <c r="D340" s="10"/>
      <c r="E340" s="10"/>
      <c r="F340" s="10"/>
      <c r="G340" s="7"/>
      <c r="H340" s="8"/>
      <c r="I340" s="8"/>
      <c r="J340" s="8" t="str">
        <f t="shared" si="22"/>
        <v>借</v>
      </c>
      <c r="K340" s="9">
        <f t="shared" si="24"/>
        <v>11113</v>
      </c>
      <c r="L340" s="59"/>
      <c r="M340" s="55"/>
    </row>
    <row r="341" spans="2:13" ht="20.100000000000001" customHeight="1" x14ac:dyDescent="0.15">
      <c r="B341" s="58"/>
      <c r="C341" s="10"/>
      <c r="D341" s="10"/>
      <c r="E341" s="10"/>
      <c r="F341" s="10"/>
      <c r="G341" s="7"/>
      <c r="H341" s="8"/>
      <c r="I341" s="8"/>
      <c r="J341" s="8" t="str">
        <f t="shared" si="22"/>
        <v>借</v>
      </c>
      <c r="K341" s="9">
        <f t="shared" si="24"/>
        <v>11113</v>
      </c>
      <c r="L341" s="59"/>
      <c r="M341" s="55"/>
    </row>
    <row r="342" spans="2:13" ht="20.100000000000001" customHeight="1" x14ac:dyDescent="0.15">
      <c r="B342" s="58"/>
      <c r="C342" s="10"/>
      <c r="D342" s="10"/>
      <c r="E342" s="10"/>
      <c r="F342" s="10"/>
      <c r="G342" s="7"/>
      <c r="H342" s="8"/>
      <c r="I342" s="8"/>
      <c r="J342" s="8" t="str">
        <f t="shared" si="22"/>
        <v>借</v>
      </c>
      <c r="K342" s="9">
        <f t="shared" si="24"/>
        <v>11113</v>
      </c>
      <c r="L342" s="59"/>
      <c r="M342" s="55"/>
    </row>
    <row r="343" spans="2:13" ht="20.100000000000001" customHeight="1" x14ac:dyDescent="0.15">
      <c r="B343" s="58"/>
      <c r="C343" s="10"/>
      <c r="D343" s="10"/>
      <c r="E343" s="10"/>
      <c r="F343" s="10"/>
      <c r="G343" s="7"/>
      <c r="H343" s="8"/>
      <c r="I343" s="8"/>
      <c r="J343" s="8" t="str">
        <f t="shared" si="22"/>
        <v>借</v>
      </c>
      <c r="K343" s="9">
        <f t="shared" si="24"/>
        <v>11113</v>
      </c>
      <c r="L343" s="59"/>
      <c r="M343" s="55"/>
    </row>
    <row r="344" spans="2:13" ht="20.100000000000001" customHeight="1" x14ac:dyDescent="0.15">
      <c r="B344" s="58"/>
      <c r="C344" s="10"/>
      <c r="D344" s="10"/>
      <c r="E344" s="10"/>
      <c r="F344" s="10"/>
      <c r="G344" s="7"/>
      <c r="H344" s="8"/>
      <c r="I344" s="8"/>
      <c r="J344" s="8" t="str">
        <f t="shared" si="22"/>
        <v>借</v>
      </c>
      <c r="K344" s="9">
        <f t="shared" si="24"/>
        <v>11113</v>
      </c>
      <c r="L344" s="59"/>
      <c r="M344" s="55"/>
    </row>
    <row r="345" spans="2:13" ht="20.100000000000001" customHeight="1" x14ac:dyDescent="0.15">
      <c r="B345" s="58"/>
      <c r="C345" s="10"/>
      <c r="D345" s="10"/>
      <c r="E345" s="10"/>
      <c r="F345" s="10"/>
      <c r="G345" s="7"/>
      <c r="H345" s="8"/>
      <c r="I345" s="8"/>
      <c r="J345" s="8" t="str">
        <f t="shared" si="22"/>
        <v>借</v>
      </c>
      <c r="K345" s="9">
        <f t="shared" si="24"/>
        <v>11113</v>
      </c>
      <c r="L345" s="59"/>
      <c r="M345" s="55"/>
    </row>
    <row r="346" spans="2:13" ht="20.100000000000001" customHeight="1" x14ac:dyDescent="0.15">
      <c r="B346" s="58"/>
      <c r="C346" s="10"/>
      <c r="D346" s="10"/>
      <c r="E346" s="10"/>
      <c r="F346" s="10"/>
      <c r="G346" s="7"/>
      <c r="H346" s="8"/>
      <c r="I346" s="8"/>
      <c r="J346" s="8" t="str">
        <f t="shared" si="22"/>
        <v>借</v>
      </c>
      <c r="K346" s="9">
        <f t="shared" si="24"/>
        <v>11113</v>
      </c>
      <c r="L346" s="59"/>
      <c r="M346" s="55"/>
    </row>
    <row r="347" spans="2:13" ht="20.100000000000001" customHeight="1" x14ac:dyDescent="0.15">
      <c r="B347" s="58"/>
      <c r="C347" s="10"/>
      <c r="D347" s="10"/>
      <c r="E347" s="10"/>
      <c r="F347" s="10"/>
      <c r="G347" s="7"/>
      <c r="H347" s="8"/>
      <c r="I347" s="8"/>
      <c r="J347" s="8" t="str">
        <f t="shared" si="22"/>
        <v>借</v>
      </c>
      <c r="K347" s="9">
        <f t="shared" si="24"/>
        <v>11113</v>
      </c>
      <c r="L347" s="59"/>
      <c r="M347" s="85"/>
    </row>
    <row r="348" spans="2:13" ht="20.100000000000001" customHeight="1" x14ac:dyDescent="0.15">
      <c r="B348" s="58"/>
      <c r="C348" s="10"/>
      <c r="D348" s="10"/>
      <c r="E348" s="10"/>
      <c r="F348" s="10"/>
      <c r="G348" s="7"/>
      <c r="H348" s="8"/>
      <c r="I348" s="8"/>
      <c r="J348" s="8" t="str">
        <f t="shared" si="22"/>
        <v>借</v>
      </c>
      <c r="K348" s="9">
        <f t="shared" si="24"/>
        <v>11113</v>
      </c>
      <c r="L348" s="59"/>
      <c r="M348" s="86"/>
    </row>
    <row r="349" spans="2:13" ht="20.100000000000001" customHeight="1" x14ac:dyDescent="0.15">
      <c r="B349" s="58"/>
      <c r="C349" s="10"/>
      <c r="D349" s="10"/>
      <c r="E349" s="10"/>
      <c r="F349" s="10"/>
      <c r="G349" s="7"/>
      <c r="H349" s="8"/>
      <c r="I349" s="8"/>
      <c r="J349" s="8" t="str">
        <f t="shared" si="22"/>
        <v>借</v>
      </c>
      <c r="K349" s="9">
        <f t="shared" si="24"/>
        <v>11113</v>
      </c>
      <c r="L349" s="59"/>
      <c r="M349" s="55"/>
    </row>
    <row r="350" spans="2:13" ht="20.100000000000001" customHeight="1" x14ac:dyDescent="0.15">
      <c r="B350" s="58"/>
      <c r="C350" s="10"/>
      <c r="D350" s="10"/>
      <c r="E350" s="10"/>
      <c r="F350" s="10"/>
      <c r="G350" s="7"/>
      <c r="H350" s="8"/>
      <c r="I350" s="8"/>
      <c r="J350" s="8" t="str">
        <f t="shared" si="22"/>
        <v>借</v>
      </c>
      <c r="K350" s="9">
        <f t="shared" si="24"/>
        <v>11113</v>
      </c>
      <c r="L350" s="59"/>
      <c r="M350" s="55"/>
    </row>
    <row r="351" spans="2:13" ht="20.100000000000001" customHeight="1" x14ac:dyDescent="0.15">
      <c r="B351" s="58"/>
      <c r="C351" s="10"/>
      <c r="D351" s="10"/>
      <c r="E351" s="10"/>
      <c r="F351" s="10"/>
      <c r="G351" s="7"/>
      <c r="H351" s="8"/>
      <c r="I351" s="8"/>
      <c r="J351" s="8" t="str">
        <f t="shared" ref="J351:J367" si="25">IF((K350+H351-I351)&gt;0,"借","贷")</f>
        <v>借</v>
      </c>
      <c r="K351" s="9">
        <f t="shared" si="24"/>
        <v>11113</v>
      </c>
      <c r="L351" s="59"/>
      <c r="M351" s="63"/>
    </row>
    <row r="352" spans="2:13" ht="20.100000000000001" customHeight="1" x14ac:dyDescent="0.15">
      <c r="B352" s="58"/>
      <c r="C352" s="10"/>
      <c r="D352" s="10"/>
      <c r="E352" s="10"/>
      <c r="F352" s="10"/>
      <c r="G352" s="7"/>
      <c r="H352" s="8"/>
      <c r="I352" s="8"/>
      <c r="J352" s="8" t="str">
        <f t="shared" si="25"/>
        <v>借</v>
      </c>
      <c r="K352" s="9">
        <f t="shared" si="24"/>
        <v>11113</v>
      </c>
      <c r="L352" s="59"/>
      <c r="M352" s="69"/>
    </row>
    <row r="353" spans="2:13" ht="20.100000000000001" customHeight="1" x14ac:dyDescent="0.15">
      <c r="B353" s="58"/>
      <c r="C353" s="10"/>
      <c r="D353" s="10"/>
      <c r="E353" s="10"/>
      <c r="F353" s="10"/>
      <c r="G353" s="7"/>
      <c r="H353" s="8"/>
      <c r="I353" s="8"/>
      <c r="J353" s="8" t="str">
        <f t="shared" si="25"/>
        <v>借</v>
      </c>
      <c r="K353" s="9">
        <f t="shared" si="24"/>
        <v>11113</v>
      </c>
      <c r="L353" s="59"/>
      <c r="M353" s="69"/>
    </row>
    <row r="354" spans="2:13" ht="20.100000000000001" customHeight="1" x14ac:dyDescent="0.15">
      <c r="B354" s="58"/>
      <c r="C354" s="10"/>
      <c r="D354" s="10"/>
      <c r="E354" s="10"/>
      <c r="F354" s="10"/>
      <c r="G354" s="7"/>
      <c r="H354" s="8"/>
      <c r="I354" s="8"/>
      <c r="J354" s="8" t="str">
        <f t="shared" si="25"/>
        <v>借</v>
      </c>
      <c r="K354" s="9">
        <f t="shared" si="24"/>
        <v>11113</v>
      </c>
      <c r="L354" s="59"/>
      <c r="M354" s="64"/>
    </row>
    <row r="355" spans="2:13" ht="20.100000000000001" customHeight="1" x14ac:dyDescent="0.15">
      <c r="B355" s="58"/>
      <c r="C355" s="10"/>
      <c r="D355" s="10"/>
      <c r="E355" s="10"/>
      <c r="F355" s="10"/>
      <c r="G355" s="7"/>
      <c r="H355" s="8"/>
      <c r="I355" s="8"/>
      <c r="J355" s="8" t="str">
        <f t="shared" si="25"/>
        <v>借</v>
      </c>
      <c r="K355" s="9">
        <f t="shared" si="24"/>
        <v>11113</v>
      </c>
      <c r="L355" s="59"/>
      <c r="M355" s="55"/>
    </row>
    <row r="356" spans="2:13" ht="20.100000000000001" customHeight="1" x14ac:dyDescent="0.15">
      <c r="B356" s="58"/>
      <c r="C356" s="10"/>
      <c r="D356" s="10"/>
      <c r="E356" s="10"/>
      <c r="F356" s="10"/>
      <c r="G356" s="7"/>
      <c r="H356" s="8"/>
      <c r="I356" s="8"/>
      <c r="J356" s="8" t="str">
        <f t="shared" si="25"/>
        <v>借</v>
      </c>
      <c r="K356" s="9">
        <f t="shared" si="24"/>
        <v>11113</v>
      </c>
      <c r="L356" s="59"/>
      <c r="M356" s="55"/>
    </row>
    <row r="357" spans="2:13" ht="20.100000000000001" customHeight="1" x14ac:dyDescent="0.15">
      <c r="B357" s="58"/>
      <c r="C357" s="10"/>
      <c r="D357" s="10"/>
      <c r="E357" s="10"/>
      <c r="F357" s="10"/>
      <c r="G357" s="7"/>
      <c r="H357" s="8"/>
      <c r="I357" s="8"/>
      <c r="J357" s="8" t="str">
        <f t="shared" si="25"/>
        <v>借</v>
      </c>
      <c r="K357" s="9">
        <f t="shared" si="24"/>
        <v>11113</v>
      </c>
      <c r="L357" s="59"/>
      <c r="M357" s="55"/>
    </row>
    <row r="358" spans="2:13" ht="20.100000000000001" customHeight="1" x14ac:dyDescent="0.15">
      <c r="B358" s="58"/>
      <c r="C358" s="10"/>
      <c r="D358" s="16"/>
      <c r="E358" s="10"/>
      <c r="F358" s="10"/>
      <c r="G358" s="7"/>
      <c r="H358" s="8"/>
      <c r="I358" s="8"/>
      <c r="J358" s="8" t="str">
        <f t="shared" si="25"/>
        <v>借</v>
      </c>
      <c r="K358" s="9">
        <f t="shared" si="24"/>
        <v>11113</v>
      </c>
      <c r="L358" s="59"/>
      <c r="M358" s="63"/>
    </row>
    <row r="359" spans="2:13" ht="20.100000000000001" customHeight="1" x14ac:dyDescent="0.15">
      <c r="B359" s="58"/>
      <c r="C359" s="10"/>
      <c r="D359" s="16"/>
      <c r="E359" s="10"/>
      <c r="F359" s="10"/>
      <c r="G359" s="7"/>
      <c r="H359" s="8"/>
      <c r="I359" s="8"/>
      <c r="J359" s="8" t="str">
        <f t="shared" si="25"/>
        <v>借</v>
      </c>
      <c r="K359" s="9">
        <f t="shared" si="24"/>
        <v>11113</v>
      </c>
      <c r="L359" s="59"/>
      <c r="M359" s="64"/>
    </row>
    <row r="360" spans="2:13" ht="20.100000000000001" customHeight="1" x14ac:dyDescent="0.15">
      <c r="B360" s="58"/>
      <c r="C360" s="10"/>
      <c r="D360" s="10"/>
      <c r="E360" s="10"/>
      <c r="F360" s="10"/>
      <c r="G360" s="7"/>
      <c r="H360" s="8"/>
      <c r="I360" s="8"/>
      <c r="J360" s="8" t="str">
        <f t="shared" si="25"/>
        <v>借</v>
      </c>
      <c r="K360" s="9">
        <f t="shared" si="24"/>
        <v>11113</v>
      </c>
      <c r="L360" s="59"/>
      <c r="M360" s="63"/>
    </row>
    <row r="361" spans="2:13" ht="20.100000000000001" customHeight="1" x14ac:dyDescent="0.15">
      <c r="B361" s="58"/>
      <c r="C361" s="10"/>
      <c r="D361" s="10"/>
      <c r="E361" s="10"/>
      <c r="F361" s="10"/>
      <c r="G361" s="7"/>
      <c r="H361" s="8"/>
      <c r="I361" s="8"/>
      <c r="J361" s="8" t="str">
        <f t="shared" si="25"/>
        <v>借</v>
      </c>
      <c r="K361" s="9">
        <f t="shared" si="24"/>
        <v>11113</v>
      </c>
      <c r="L361" s="59"/>
      <c r="M361" s="64"/>
    </row>
    <row r="362" spans="2:13" ht="20.100000000000001" customHeight="1" x14ac:dyDescent="0.15">
      <c r="B362" s="58"/>
      <c r="C362" s="10"/>
      <c r="D362" s="10"/>
      <c r="E362" s="10"/>
      <c r="F362" s="10"/>
      <c r="G362" s="7"/>
      <c r="H362" s="8"/>
      <c r="I362" s="8"/>
      <c r="J362" s="8" t="str">
        <f t="shared" si="25"/>
        <v>借</v>
      </c>
      <c r="K362" s="9">
        <f t="shared" si="24"/>
        <v>11113</v>
      </c>
      <c r="L362" s="59"/>
      <c r="M362" s="55"/>
    </row>
    <row r="363" spans="2:13" ht="20.100000000000001" customHeight="1" x14ac:dyDescent="0.15">
      <c r="B363" s="58"/>
      <c r="C363" s="10"/>
      <c r="D363" s="16"/>
      <c r="E363" s="10"/>
      <c r="F363" s="10"/>
      <c r="G363" s="7"/>
      <c r="H363" s="8"/>
      <c r="I363" s="8"/>
      <c r="J363" s="8" t="str">
        <f t="shared" si="25"/>
        <v>借</v>
      </c>
      <c r="K363" s="9">
        <f t="shared" si="24"/>
        <v>11113</v>
      </c>
      <c r="L363" s="59"/>
      <c r="M363" s="55"/>
    </row>
    <row r="364" spans="2:13" ht="20.100000000000001" customHeight="1" x14ac:dyDescent="0.15">
      <c r="B364" s="58"/>
      <c r="C364" s="10"/>
      <c r="D364" s="16"/>
      <c r="E364" s="10"/>
      <c r="F364" s="10"/>
      <c r="G364" s="7"/>
      <c r="H364" s="8"/>
      <c r="I364" s="8"/>
      <c r="J364" s="8" t="str">
        <f t="shared" si="25"/>
        <v>借</v>
      </c>
      <c r="K364" s="9">
        <f t="shared" si="24"/>
        <v>11113</v>
      </c>
      <c r="L364" s="59"/>
      <c r="M364" s="55"/>
    </row>
    <row r="365" spans="2:13" ht="20.100000000000001" customHeight="1" x14ac:dyDescent="0.15">
      <c r="B365" s="58"/>
      <c r="C365" s="10"/>
      <c r="D365" s="10"/>
      <c r="E365" s="10"/>
      <c r="F365" s="10"/>
      <c r="G365" s="7"/>
      <c r="H365" s="8"/>
      <c r="I365" s="8"/>
      <c r="J365" s="8" t="str">
        <f t="shared" si="25"/>
        <v>借</v>
      </c>
      <c r="K365" s="9">
        <f t="shared" si="24"/>
        <v>11113</v>
      </c>
      <c r="L365" s="59"/>
      <c r="M365" s="55"/>
    </row>
    <row r="366" spans="2:13" ht="20.100000000000001" customHeight="1" x14ac:dyDescent="0.15">
      <c r="B366" s="58"/>
      <c r="C366" s="10"/>
      <c r="D366" s="10"/>
      <c r="E366" s="10"/>
      <c r="F366" s="10"/>
      <c r="G366" s="7"/>
      <c r="H366" s="8"/>
      <c r="I366" s="8"/>
      <c r="J366" s="8" t="str">
        <f t="shared" si="25"/>
        <v>借</v>
      </c>
      <c r="K366" s="9">
        <f t="shared" si="24"/>
        <v>11113</v>
      </c>
      <c r="L366" s="59"/>
      <c r="M366" s="55"/>
    </row>
    <row r="367" spans="2:13" ht="20.100000000000001" customHeight="1" x14ac:dyDescent="0.15">
      <c r="B367" s="58"/>
      <c r="C367" s="10"/>
      <c r="D367" s="10"/>
      <c r="E367" s="10"/>
      <c r="F367" s="10"/>
      <c r="G367" s="7"/>
      <c r="H367" s="8"/>
      <c r="I367" s="8"/>
      <c r="J367" s="8" t="str">
        <f t="shared" si="25"/>
        <v>借</v>
      </c>
      <c r="K367" s="9">
        <f t="shared" si="24"/>
        <v>11113</v>
      </c>
      <c r="L367" s="59"/>
      <c r="M367" s="85"/>
    </row>
    <row r="368" spans="2:13" ht="20.100000000000001" customHeight="1" x14ac:dyDescent="0.15">
      <c r="B368" s="58"/>
      <c r="C368" s="10"/>
      <c r="D368" s="10"/>
      <c r="E368" s="10"/>
      <c r="F368" s="10"/>
      <c r="G368" s="7"/>
      <c r="H368" s="8"/>
      <c r="I368" s="8"/>
      <c r="J368" s="8" t="str">
        <f t="shared" ref="J368:J408" si="26">IF((K367+H368-I368)&gt;0,"借","贷")</f>
        <v>借</v>
      </c>
      <c r="K368" s="9">
        <f t="shared" si="24"/>
        <v>11113</v>
      </c>
      <c r="L368" s="59"/>
      <c r="M368" s="87"/>
    </row>
    <row r="369" spans="2:13" ht="20.100000000000001" customHeight="1" x14ac:dyDescent="0.15">
      <c r="B369" s="58"/>
      <c r="C369" s="10"/>
      <c r="D369" s="10"/>
      <c r="E369" s="10"/>
      <c r="F369" s="10"/>
      <c r="G369" s="7"/>
      <c r="H369" s="8"/>
      <c r="I369" s="8"/>
      <c r="J369" s="8" t="str">
        <f t="shared" si="26"/>
        <v>借</v>
      </c>
      <c r="K369" s="9">
        <f t="shared" si="24"/>
        <v>11113</v>
      </c>
      <c r="L369" s="59"/>
      <c r="M369" s="87"/>
    </row>
    <row r="370" spans="2:13" ht="20.100000000000001" customHeight="1" x14ac:dyDescent="0.15">
      <c r="B370" s="58"/>
      <c r="C370" s="10"/>
      <c r="D370" s="10"/>
      <c r="E370" s="10"/>
      <c r="F370" s="10"/>
      <c r="G370" s="7"/>
      <c r="H370" s="8"/>
      <c r="I370" s="8"/>
      <c r="J370" s="8" t="str">
        <f t="shared" si="26"/>
        <v>借</v>
      </c>
      <c r="K370" s="9">
        <f t="shared" si="24"/>
        <v>11113</v>
      </c>
      <c r="L370" s="59"/>
      <c r="M370" s="87"/>
    </row>
    <row r="371" spans="2:13" ht="20.100000000000001" customHeight="1" x14ac:dyDescent="0.15">
      <c r="B371" s="58"/>
      <c r="C371" s="10"/>
      <c r="D371" s="10"/>
      <c r="E371" s="10"/>
      <c r="F371" s="10"/>
      <c r="G371" s="7"/>
      <c r="H371" s="8"/>
      <c r="I371" s="8"/>
      <c r="J371" s="8" t="str">
        <f t="shared" si="26"/>
        <v>借</v>
      </c>
      <c r="K371" s="9">
        <f t="shared" si="24"/>
        <v>11113</v>
      </c>
      <c r="L371" s="59"/>
      <c r="M371" s="87"/>
    </row>
    <row r="372" spans="2:13" ht="20.100000000000001" customHeight="1" x14ac:dyDescent="0.15">
      <c r="B372" s="58"/>
      <c r="C372" s="10"/>
      <c r="D372" s="10"/>
      <c r="E372" s="10"/>
      <c r="F372" s="10"/>
      <c r="G372" s="7"/>
      <c r="H372" s="8"/>
      <c r="I372" s="8"/>
      <c r="J372" s="8" t="str">
        <f t="shared" si="26"/>
        <v>借</v>
      </c>
      <c r="K372" s="9">
        <f t="shared" si="24"/>
        <v>11113</v>
      </c>
      <c r="L372" s="59"/>
      <c r="M372" s="86"/>
    </row>
    <row r="373" spans="2:13" ht="20.100000000000001" customHeight="1" x14ac:dyDescent="0.15">
      <c r="B373" s="58"/>
      <c r="C373" s="10"/>
      <c r="D373" s="10"/>
      <c r="E373" s="10"/>
      <c r="F373" s="10"/>
      <c r="G373" s="7"/>
      <c r="H373" s="8"/>
      <c r="I373" s="8"/>
      <c r="J373" s="8" t="str">
        <f t="shared" si="26"/>
        <v>借</v>
      </c>
      <c r="K373" s="9">
        <f t="shared" si="24"/>
        <v>11113</v>
      </c>
      <c r="L373" s="59"/>
      <c r="M373" s="96"/>
    </row>
    <row r="374" spans="2:13" ht="20.100000000000001" customHeight="1" x14ac:dyDescent="0.15">
      <c r="B374" s="58"/>
      <c r="C374" s="10"/>
      <c r="D374" s="10"/>
      <c r="E374" s="10"/>
      <c r="F374" s="10"/>
      <c r="G374" s="7"/>
      <c r="H374" s="8"/>
      <c r="I374" s="8"/>
      <c r="J374" s="8" t="str">
        <f t="shared" si="26"/>
        <v>借</v>
      </c>
      <c r="K374" s="9">
        <f t="shared" si="24"/>
        <v>11113</v>
      </c>
      <c r="L374" s="59"/>
      <c r="M374" s="97"/>
    </row>
    <row r="375" spans="2:13" ht="20.100000000000001" customHeight="1" x14ac:dyDescent="0.15">
      <c r="B375" s="58"/>
      <c r="C375" s="10"/>
      <c r="D375" s="10"/>
      <c r="E375" s="10"/>
      <c r="F375" s="10"/>
      <c r="G375" s="7"/>
      <c r="H375" s="8"/>
      <c r="I375" s="8"/>
      <c r="J375" s="8" t="str">
        <f t="shared" si="26"/>
        <v>借</v>
      </c>
      <c r="K375" s="9">
        <f t="shared" si="24"/>
        <v>11113</v>
      </c>
      <c r="L375" s="59"/>
      <c r="M375" s="96"/>
    </row>
    <row r="376" spans="2:13" ht="20.100000000000001" customHeight="1" x14ac:dyDescent="0.15">
      <c r="B376" s="58"/>
      <c r="C376" s="10"/>
      <c r="D376" s="10"/>
      <c r="E376" s="10"/>
      <c r="F376" s="10"/>
      <c r="G376" s="7"/>
      <c r="H376" s="8"/>
      <c r="I376" s="8"/>
      <c r="J376" s="8" t="str">
        <f t="shared" si="26"/>
        <v>借</v>
      </c>
      <c r="K376" s="9">
        <f t="shared" si="24"/>
        <v>11113</v>
      </c>
      <c r="L376" s="59"/>
      <c r="M376" s="98"/>
    </row>
    <row r="377" spans="2:13" ht="20.100000000000001" customHeight="1" x14ac:dyDescent="0.15">
      <c r="B377" s="58"/>
      <c r="C377" s="10"/>
      <c r="D377" s="10"/>
      <c r="E377" s="10"/>
      <c r="F377" s="10"/>
      <c r="G377" s="7"/>
      <c r="H377" s="8"/>
      <c r="I377" s="8"/>
      <c r="J377" s="8" t="str">
        <f t="shared" si="26"/>
        <v>借</v>
      </c>
      <c r="K377" s="9">
        <f t="shared" si="24"/>
        <v>11113</v>
      </c>
      <c r="L377" s="59"/>
      <c r="M377" s="97"/>
    </row>
    <row r="378" spans="2:13" ht="20.100000000000001" customHeight="1" x14ac:dyDescent="0.15">
      <c r="B378" s="58"/>
      <c r="C378" s="10"/>
      <c r="D378" s="10"/>
      <c r="E378" s="10"/>
      <c r="F378" s="10"/>
      <c r="G378" s="7"/>
      <c r="H378" s="8"/>
      <c r="I378" s="8"/>
      <c r="J378" s="8" t="str">
        <f t="shared" si="26"/>
        <v>借</v>
      </c>
      <c r="K378" s="9">
        <f t="shared" si="24"/>
        <v>11113</v>
      </c>
      <c r="L378" s="59"/>
      <c r="M378" s="96"/>
    </row>
    <row r="379" spans="2:13" ht="20.100000000000001" customHeight="1" x14ac:dyDescent="0.15">
      <c r="B379" s="58"/>
      <c r="C379" s="10"/>
      <c r="D379" s="10"/>
      <c r="E379" s="10"/>
      <c r="F379" s="10"/>
      <c r="G379" s="7"/>
      <c r="H379" s="8"/>
      <c r="I379" s="8"/>
      <c r="J379" s="8" t="str">
        <f t="shared" si="26"/>
        <v>借</v>
      </c>
      <c r="K379" s="9">
        <f t="shared" si="24"/>
        <v>11113</v>
      </c>
      <c r="L379" s="59"/>
      <c r="M379" s="97"/>
    </row>
    <row r="380" spans="2:13" ht="20.100000000000001" customHeight="1" x14ac:dyDescent="0.15">
      <c r="B380" s="58"/>
      <c r="C380" s="10"/>
      <c r="D380" s="10"/>
      <c r="E380" s="10"/>
      <c r="F380" s="10"/>
      <c r="G380" s="7"/>
      <c r="H380" s="8"/>
      <c r="I380" s="8"/>
      <c r="J380" s="8" t="str">
        <f t="shared" si="26"/>
        <v>借</v>
      </c>
      <c r="K380" s="9">
        <f t="shared" si="24"/>
        <v>11113</v>
      </c>
      <c r="L380" s="59"/>
      <c r="M380" s="96"/>
    </row>
    <row r="381" spans="2:13" ht="20.100000000000001" customHeight="1" x14ac:dyDescent="0.15">
      <c r="B381" s="58"/>
      <c r="C381" s="10"/>
      <c r="D381" s="10"/>
      <c r="E381" s="10"/>
      <c r="F381" s="10"/>
      <c r="G381" s="7"/>
      <c r="H381" s="8"/>
      <c r="I381" s="8"/>
      <c r="J381" s="8" t="str">
        <f t="shared" si="26"/>
        <v>借</v>
      </c>
      <c r="K381" s="9">
        <f t="shared" ref="K381:K398" si="27">_xlfn.IFS(J380="借",K380+H381-I381,J380="贷",H381-I381-K380)</f>
        <v>11113</v>
      </c>
      <c r="L381" s="59"/>
      <c r="M381" s="98"/>
    </row>
    <row r="382" spans="2:13" ht="20.100000000000001" customHeight="1" x14ac:dyDescent="0.15">
      <c r="B382" s="58"/>
      <c r="C382" s="10"/>
      <c r="D382" s="10"/>
      <c r="E382" s="10"/>
      <c r="F382" s="10"/>
      <c r="G382" s="7"/>
      <c r="H382" s="8"/>
      <c r="I382" s="8"/>
      <c r="J382" s="8" t="str">
        <f t="shared" si="26"/>
        <v>借</v>
      </c>
      <c r="K382" s="9">
        <f t="shared" si="27"/>
        <v>11113</v>
      </c>
      <c r="L382" s="59"/>
      <c r="M382" s="98"/>
    </row>
    <row r="383" spans="2:13" ht="20.100000000000001" customHeight="1" x14ac:dyDescent="0.15">
      <c r="B383" s="58"/>
      <c r="C383" s="10"/>
      <c r="D383" s="10"/>
      <c r="E383" s="10"/>
      <c r="F383" s="10"/>
      <c r="G383" s="7"/>
      <c r="H383" s="8"/>
      <c r="I383" s="8"/>
      <c r="J383" s="8" t="str">
        <f t="shared" si="26"/>
        <v>借</v>
      </c>
      <c r="K383" s="9">
        <f t="shared" si="27"/>
        <v>11113</v>
      </c>
      <c r="L383" s="59"/>
      <c r="M383" s="64"/>
    </row>
    <row r="384" spans="2:13" ht="20.100000000000001" customHeight="1" x14ac:dyDescent="0.15">
      <c r="B384" s="58"/>
      <c r="C384" s="10"/>
      <c r="D384" s="10"/>
      <c r="E384" s="10"/>
      <c r="F384" s="10"/>
      <c r="G384" s="7"/>
      <c r="H384" s="8"/>
      <c r="I384" s="8"/>
      <c r="J384" s="8" t="str">
        <f t="shared" si="26"/>
        <v>借</v>
      </c>
      <c r="K384" s="9">
        <f t="shared" si="27"/>
        <v>11113</v>
      </c>
      <c r="L384" s="59"/>
      <c r="M384" s="55"/>
    </row>
    <row r="385" spans="2:13" ht="20.100000000000001" customHeight="1" x14ac:dyDescent="0.15">
      <c r="B385" s="58"/>
      <c r="C385" s="10"/>
      <c r="D385" s="10"/>
      <c r="E385" s="10"/>
      <c r="F385" s="10"/>
      <c r="G385" s="7"/>
      <c r="H385" s="8"/>
      <c r="I385" s="8"/>
      <c r="J385" s="8" t="str">
        <f t="shared" si="26"/>
        <v>借</v>
      </c>
      <c r="K385" s="9">
        <f t="shared" si="27"/>
        <v>11113</v>
      </c>
      <c r="L385" s="59"/>
      <c r="M385" s="63"/>
    </row>
    <row r="386" spans="2:13" ht="20.100000000000001" customHeight="1" x14ac:dyDescent="0.15">
      <c r="B386" s="58"/>
      <c r="C386" s="10"/>
      <c r="D386" s="10"/>
      <c r="E386" s="10"/>
      <c r="F386" s="10"/>
      <c r="G386" s="7"/>
      <c r="H386" s="8"/>
      <c r="I386" s="8"/>
      <c r="J386" s="8" t="str">
        <f t="shared" si="26"/>
        <v>借</v>
      </c>
      <c r="K386" s="9">
        <f t="shared" si="27"/>
        <v>11113</v>
      </c>
      <c r="L386" s="59"/>
      <c r="M386" s="69"/>
    </row>
    <row r="387" spans="2:13" ht="20.100000000000001" customHeight="1" x14ac:dyDescent="0.15">
      <c r="B387" s="58"/>
      <c r="C387" s="10"/>
      <c r="D387" s="10"/>
      <c r="E387" s="10"/>
      <c r="F387" s="10"/>
      <c r="G387" s="7"/>
      <c r="H387" s="8"/>
      <c r="I387" s="8"/>
      <c r="J387" s="8" t="str">
        <f t="shared" si="26"/>
        <v>借</v>
      </c>
      <c r="K387" s="9">
        <f t="shared" si="27"/>
        <v>11113</v>
      </c>
      <c r="L387" s="59"/>
      <c r="M387" s="69"/>
    </row>
    <row r="388" spans="2:13" ht="20.100000000000001" customHeight="1" x14ac:dyDescent="0.15">
      <c r="B388" s="58"/>
      <c r="C388" s="10"/>
      <c r="D388" s="10"/>
      <c r="E388" s="10"/>
      <c r="F388" s="10"/>
      <c r="G388" s="7"/>
      <c r="H388" s="8"/>
      <c r="I388" s="8"/>
      <c r="J388" s="8" t="str">
        <f t="shared" si="26"/>
        <v>借</v>
      </c>
      <c r="K388" s="9">
        <f t="shared" si="27"/>
        <v>11113</v>
      </c>
      <c r="L388" s="59"/>
      <c r="M388" s="69"/>
    </row>
    <row r="389" spans="2:13" ht="20.100000000000001" customHeight="1" x14ac:dyDescent="0.15">
      <c r="B389" s="58"/>
      <c r="C389" s="10"/>
      <c r="D389" s="10"/>
      <c r="E389" s="10"/>
      <c r="F389" s="10"/>
      <c r="G389" s="7"/>
      <c r="H389" s="8"/>
      <c r="I389" s="8"/>
      <c r="J389" s="8" t="str">
        <f t="shared" si="26"/>
        <v>借</v>
      </c>
      <c r="K389" s="9">
        <f t="shared" si="27"/>
        <v>11113</v>
      </c>
      <c r="L389" s="59"/>
      <c r="M389" s="69"/>
    </row>
    <row r="390" spans="2:13" ht="20.100000000000001" customHeight="1" x14ac:dyDescent="0.15">
      <c r="B390" s="58"/>
      <c r="C390" s="10"/>
      <c r="D390" s="10"/>
      <c r="E390" s="10"/>
      <c r="F390" s="10"/>
      <c r="G390" s="7"/>
      <c r="H390" s="8"/>
      <c r="I390" s="8"/>
      <c r="J390" s="8" t="str">
        <f t="shared" si="26"/>
        <v>借</v>
      </c>
      <c r="K390" s="9">
        <f t="shared" si="27"/>
        <v>11113</v>
      </c>
      <c r="L390" s="59"/>
      <c r="M390" s="69"/>
    </row>
    <row r="391" spans="2:13" ht="20.100000000000001" customHeight="1" x14ac:dyDescent="0.15">
      <c r="B391" s="58"/>
      <c r="C391" s="10"/>
      <c r="D391" s="10"/>
      <c r="E391" s="10"/>
      <c r="F391" s="10"/>
      <c r="G391" s="7"/>
      <c r="H391" s="8"/>
      <c r="I391" s="8"/>
      <c r="J391" s="8" t="str">
        <f t="shared" si="26"/>
        <v>借</v>
      </c>
      <c r="K391" s="9">
        <f t="shared" si="27"/>
        <v>11113</v>
      </c>
      <c r="L391" s="59"/>
      <c r="M391" s="69"/>
    </row>
    <row r="392" spans="2:13" ht="20.100000000000001" customHeight="1" x14ac:dyDescent="0.15">
      <c r="B392" s="58"/>
      <c r="C392" s="10"/>
      <c r="D392" s="10"/>
      <c r="E392" s="10"/>
      <c r="F392" s="10"/>
      <c r="G392" s="7"/>
      <c r="H392" s="8"/>
      <c r="I392" s="8"/>
      <c r="J392" s="8" t="str">
        <f t="shared" si="26"/>
        <v>借</v>
      </c>
      <c r="K392" s="9">
        <f t="shared" si="27"/>
        <v>11113</v>
      </c>
      <c r="L392" s="59"/>
      <c r="M392" s="69"/>
    </row>
    <row r="393" spans="2:13" ht="20.100000000000001" customHeight="1" x14ac:dyDescent="0.15">
      <c r="B393" s="58"/>
      <c r="C393" s="10"/>
      <c r="D393" s="10"/>
      <c r="E393" s="10"/>
      <c r="F393" s="10"/>
      <c r="G393" s="7"/>
      <c r="H393" s="8"/>
      <c r="I393" s="8"/>
      <c r="J393" s="8" t="str">
        <f t="shared" si="26"/>
        <v>借</v>
      </c>
      <c r="K393" s="9">
        <f t="shared" si="27"/>
        <v>11113</v>
      </c>
      <c r="L393" s="59"/>
      <c r="M393" s="69"/>
    </row>
    <row r="394" spans="2:13" ht="20.100000000000001" customHeight="1" x14ac:dyDescent="0.15">
      <c r="B394" s="58"/>
      <c r="C394" s="10"/>
      <c r="D394" s="10"/>
      <c r="E394" s="10"/>
      <c r="F394" s="10"/>
      <c r="G394" s="7"/>
      <c r="H394" s="8"/>
      <c r="I394" s="8"/>
      <c r="J394" s="8" t="str">
        <f t="shared" si="26"/>
        <v>借</v>
      </c>
      <c r="K394" s="9">
        <f t="shared" si="27"/>
        <v>11113</v>
      </c>
      <c r="L394" s="59"/>
      <c r="M394" s="69"/>
    </row>
    <row r="395" spans="2:13" ht="20.100000000000001" customHeight="1" x14ac:dyDescent="0.15">
      <c r="B395" s="58"/>
      <c r="C395" s="10"/>
      <c r="D395" s="10"/>
      <c r="E395" s="10"/>
      <c r="F395" s="10"/>
      <c r="G395" s="7"/>
      <c r="H395" s="8"/>
      <c r="I395" s="8"/>
      <c r="J395" s="8" t="str">
        <f t="shared" si="26"/>
        <v>借</v>
      </c>
      <c r="K395" s="9">
        <f t="shared" si="27"/>
        <v>11113</v>
      </c>
      <c r="L395" s="59"/>
      <c r="M395" s="69"/>
    </row>
    <row r="396" spans="2:13" ht="20.100000000000001" customHeight="1" x14ac:dyDescent="0.15">
      <c r="B396" s="58"/>
      <c r="C396" s="10"/>
      <c r="D396" s="10"/>
      <c r="E396" s="10"/>
      <c r="F396" s="10"/>
      <c r="G396" s="7"/>
      <c r="H396" s="8"/>
      <c r="I396" s="8"/>
      <c r="J396" s="8" t="str">
        <f t="shared" si="26"/>
        <v>借</v>
      </c>
      <c r="K396" s="9">
        <f t="shared" si="27"/>
        <v>11113</v>
      </c>
      <c r="L396" s="59"/>
      <c r="M396" s="69"/>
    </row>
    <row r="397" spans="2:13" ht="20.100000000000001" customHeight="1" x14ac:dyDescent="0.15">
      <c r="B397" s="58"/>
      <c r="C397" s="10"/>
      <c r="D397" s="10"/>
      <c r="E397" s="10"/>
      <c r="F397" s="10"/>
      <c r="G397" s="7"/>
      <c r="H397" s="8"/>
      <c r="I397" s="8"/>
      <c r="J397" s="8" t="str">
        <f t="shared" si="26"/>
        <v>借</v>
      </c>
      <c r="K397" s="9">
        <f t="shared" si="27"/>
        <v>11113</v>
      </c>
      <c r="L397" s="59"/>
      <c r="M397" s="69"/>
    </row>
    <row r="398" spans="2:13" ht="20.100000000000001" customHeight="1" x14ac:dyDescent="0.15">
      <c r="B398" s="58"/>
      <c r="C398" s="10"/>
      <c r="D398" s="10"/>
      <c r="E398" s="10"/>
      <c r="F398" s="10"/>
      <c r="G398" s="7"/>
      <c r="H398" s="8"/>
      <c r="I398" s="8"/>
      <c r="J398" s="8" t="str">
        <f t="shared" si="26"/>
        <v>借</v>
      </c>
      <c r="K398" s="9">
        <f t="shared" si="27"/>
        <v>11113</v>
      </c>
      <c r="L398" s="59"/>
      <c r="M398" s="69"/>
    </row>
    <row r="399" spans="2:13" ht="20.100000000000001" customHeight="1" x14ac:dyDescent="0.15">
      <c r="B399" s="58"/>
      <c r="C399" s="10"/>
      <c r="D399" s="10"/>
      <c r="E399" s="10"/>
      <c r="F399" s="10"/>
      <c r="G399" s="7"/>
      <c r="H399" s="8"/>
      <c r="I399" s="8"/>
      <c r="J399" s="8" t="str">
        <f t="shared" si="26"/>
        <v>借</v>
      </c>
      <c r="K399" s="9">
        <f t="shared" ref="K399:K408" si="28">_xlfn.IFS(J398="借",K398+H399-I399,J398="贷",H399-I399-K398)</f>
        <v>11113</v>
      </c>
      <c r="L399" s="59"/>
      <c r="M399" s="69"/>
    </row>
    <row r="400" spans="2:13" ht="20.100000000000001" customHeight="1" x14ac:dyDescent="0.15">
      <c r="B400" s="58"/>
      <c r="C400" s="10"/>
      <c r="D400" s="10"/>
      <c r="E400" s="10"/>
      <c r="F400" s="10"/>
      <c r="G400" s="7"/>
      <c r="H400" s="8"/>
      <c r="I400" s="8"/>
      <c r="J400" s="8" t="str">
        <f t="shared" si="26"/>
        <v>借</v>
      </c>
      <c r="K400" s="9">
        <f t="shared" si="28"/>
        <v>11113</v>
      </c>
      <c r="L400" s="59"/>
      <c r="M400" s="64"/>
    </row>
    <row r="401" spans="2:13" ht="20.100000000000001" customHeight="1" x14ac:dyDescent="0.15">
      <c r="B401" s="58"/>
      <c r="C401" s="10"/>
      <c r="D401" s="10"/>
      <c r="E401" s="10"/>
      <c r="F401" s="10"/>
      <c r="G401" s="7"/>
      <c r="H401" s="8"/>
      <c r="I401" s="8"/>
      <c r="J401" s="8" t="str">
        <f t="shared" si="26"/>
        <v>借</v>
      </c>
      <c r="K401" s="9">
        <f t="shared" si="28"/>
        <v>11113</v>
      </c>
      <c r="L401" s="59"/>
      <c r="M401" s="96"/>
    </row>
    <row r="402" spans="2:13" ht="20.100000000000001" customHeight="1" x14ac:dyDescent="0.15">
      <c r="B402" s="58"/>
      <c r="C402" s="10"/>
      <c r="D402" s="10"/>
      <c r="E402" s="10"/>
      <c r="F402" s="10"/>
      <c r="G402" s="7"/>
      <c r="H402" s="8"/>
      <c r="I402" s="8"/>
      <c r="J402" s="8" t="str">
        <f t="shared" si="26"/>
        <v>借</v>
      </c>
      <c r="K402" s="9">
        <f t="shared" si="28"/>
        <v>11113</v>
      </c>
      <c r="L402" s="59"/>
      <c r="M402" s="98"/>
    </row>
    <row r="403" spans="2:13" ht="20.100000000000001" customHeight="1" x14ac:dyDescent="0.15">
      <c r="B403" s="58"/>
      <c r="C403" s="10"/>
      <c r="D403" s="10"/>
      <c r="E403" s="10"/>
      <c r="F403" s="10"/>
      <c r="G403" s="7"/>
      <c r="H403" s="8"/>
      <c r="I403" s="8"/>
      <c r="J403" s="8" t="str">
        <f t="shared" si="26"/>
        <v>借</v>
      </c>
      <c r="K403" s="9">
        <f t="shared" si="28"/>
        <v>11113</v>
      </c>
      <c r="L403" s="59"/>
      <c r="M403" s="98"/>
    </row>
    <row r="404" spans="2:13" ht="20.100000000000001" customHeight="1" x14ac:dyDescent="0.15">
      <c r="B404" s="58"/>
      <c r="C404" s="10"/>
      <c r="D404" s="10"/>
      <c r="E404" s="10"/>
      <c r="F404" s="10"/>
      <c r="G404" s="7"/>
      <c r="H404" s="8"/>
      <c r="I404" s="8"/>
      <c r="J404" s="8" t="str">
        <f t="shared" si="26"/>
        <v>借</v>
      </c>
      <c r="K404" s="9">
        <f t="shared" si="28"/>
        <v>11113</v>
      </c>
      <c r="L404" s="59"/>
      <c r="M404" s="98"/>
    </row>
    <row r="405" spans="2:13" ht="20.100000000000001" customHeight="1" x14ac:dyDescent="0.15">
      <c r="B405" s="58"/>
      <c r="C405" s="10"/>
      <c r="D405" s="10"/>
      <c r="E405" s="10"/>
      <c r="F405" s="10"/>
      <c r="G405" s="7"/>
      <c r="H405" s="8"/>
      <c r="I405" s="8"/>
      <c r="J405" s="8" t="str">
        <f t="shared" si="26"/>
        <v>借</v>
      </c>
      <c r="K405" s="9">
        <f t="shared" si="28"/>
        <v>11113</v>
      </c>
      <c r="L405" s="59"/>
      <c r="M405" s="98"/>
    </row>
    <row r="406" spans="2:13" ht="20.100000000000001" customHeight="1" x14ac:dyDescent="0.15">
      <c r="B406" s="58"/>
      <c r="C406" s="10"/>
      <c r="D406" s="10"/>
      <c r="E406" s="10"/>
      <c r="F406" s="10"/>
      <c r="G406" s="7"/>
      <c r="H406" s="8"/>
      <c r="I406" s="8"/>
      <c r="J406" s="8" t="str">
        <f t="shared" si="26"/>
        <v>借</v>
      </c>
      <c r="K406" s="9">
        <f t="shared" si="28"/>
        <v>11113</v>
      </c>
      <c r="L406" s="59"/>
      <c r="M406" s="98"/>
    </row>
    <row r="407" spans="2:13" ht="20.100000000000001" customHeight="1" x14ac:dyDescent="0.15">
      <c r="B407" s="58"/>
      <c r="C407" s="10"/>
      <c r="D407" s="10"/>
      <c r="E407" s="10"/>
      <c r="F407" s="10"/>
      <c r="G407" s="7"/>
      <c r="H407" s="8"/>
      <c r="I407" s="8"/>
      <c r="J407" s="8" t="str">
        <f t="shared" si="26"/>
        <v>借</v>
      </c>
      <c r="K407" s="9">
        <f t="shared" si="28"/>
        <v>11113</v>
      </c>
      <c r="L407" s="59"/>
      <c r="M407" s="98"/>
    </row>
    <row r="408" spans="2:13" ht="20.100000000000001" customHeight="1" x14ac:dyDescent="0.15">
      <c r="B408" s="58"/>
      <c r="C408" s="10"/>
      <c r="D408" s="10"/>
      <c r="E408" s="10"/>
      <c r="F408" s="10"/>
      <c r="G408" s="7"/>
      <c r="H408" s="8"/>
      <c r="I408" s="8"/>
      <c r="J408" s="8" t="str">
        <f t="shared" si="26"/>
        <v>借</v>
      </c>
      <c r="K408" s="9">
        <f t="shared" si="28"/>
        <v>11113</v>
      </c>
      <c r="L408" s="59"/>
      <c r="M408" s="98"/>
    </row>
    <row r="409" spans="2:13" ht="20.100000000000001" customHeight="1" x14ac:dyDescent="0.15">
      <c r="B409" s="58"/>
      <c r="C409" s="10"/>
      <c r="D409" s="10"/>
      <c r="E409" s="10"/>
      <c r="F409" s="10"/>
      <c r="G409" s="7"/>
      <c r="H409" s="8"/>
      <c r="I409" s="8"/>
      <c r="J409" s="8" t="str">
        <f t="shared" ref="J409:J424" si="29">IF((K408+H409-I409)&gt;0,"借","贷")</f>
        <v>借</v>
      </c>
      <c r="K409" s="9">
        <f t="shared" ref="K409:K424" si="30">_xlfn.IFS(J408="借",K408+H409-I409,J408="贷",H409-I409-K408)</f>
        <v>11113</v>
      </c>
      <c r="L409" s="59"/>
      <c r="M409" s="98"/>
    </row>
    <row r="410" spans="2:13" ht="20.100000000000001" customHeight="1" x14ac:dyDescent="0.15">
      <c r="B410" s="58"/>
      <c r="C410" s="10"/>
      <c r="D410" s="10"/>
      <c r="E410" s="10"/>
      <c r="F410" s="10"/>
      <c r="G410" s="7"/>
      <c r="H410" s="8"/>
      <c r="I410" s="8"/>
      <c r="J410" s="8" t="str">
        <f t="shared" si="29"/>
        <v>借</v>
      </c>
      <c r="K410" s="9">
        <f t="shared" si="30"/>
        <v>11113</v>
      </c>
      <c r="L410" s="59"/>
      <c r="M410" s="98"/>
    </row>
    <row r="411" spans="2:13" ht="20.100000000000001" customHeight="1" x14ac:dyDescent="0.15">
      <c r="B411" s="58"/>
      <c r="C411" s="10"/>
      <c r="D411" s="10"/>
      <c r="E411" s="10"/>
      <c r="F411" s="10"/>
      <c r="G411" s="7"/>
      <c r="H411" s="8"/>
      <c r="I411" s="8"/>
      <c r="J411" s="8" t="str">
        <f t="shared" si="29"/>
        <v>借</v>
      </c>
      <c r="K411" s="9">
        <f t="shared" si="30"/>
        <v>11113</v>
      </c>
      <c r="L411" s="59"/>
      <c r="M411" s="98"/>
    </row>
    <row r="412" spans="2:13" ht="20.100000000000001" customHeight="1" x14ac:dyDescent="0.15">
      <c r="B412" s="58"/>
      <c r="C412" s="10"/>
      <c r="D412" s="10"/>
      <c r="E412" s="10"/>
      <c r="F412" s="10"/>
      <c r="G412" s="7"/>
      <c r="H412" s="8"/>
      <c r="I412" s="8"/>
      <c r="J412" s="8" t="str">
        <f t="shared" si="29"/>
        <v>借</v>
      </c>
      <c r="K412" s="9">
        <f t="shared" si="30"/>
        <v>11113</v>
      </c>
      <c r="L412" s="59"/>
      <c r="M412" s="98"/>
    </row>
    <row r="413" spans="2:13" ht="20.100000000000001" customHeight="1" x14ac:dyDescent="0.15">
      <c r="B413" s="58"/>
      <c r="C413" s="10"/>
      <c r="D413" s="10"/>
      <c r="E413" s="10"/>
      <c r="F413" s="10"/>
      <c r="G413" s="7"/>
      <c r="H413" s="8"/>
      <c r="I413" s="8"/>
      <c r="J413" s="8" t="str">
        <f t="shared" si="29"/>
        <v>借</v>
      </c>
      <c r="K413" s="9">
        <f t="shared" si="30"/>
        <v>11113</v>
      </c>
      <c r="L413" s="59"/>
      <c r="M413" s="98"/>
    </row>
    <row r="414" spans="2:13" ht="20.100000000000001" customHeight="1" x14ac:dyDescent="0.15">
      <c r="B414" s="58"/>
      <c r="C414" s="10"/>
      <c r="D414" s="10"/>
      <c r="E414" s="10"/>
      <c r="F414" s="10"/>
      <c r="G414" s="7"/>
      <c r="H414" s="8"/>
      <c r="I414" s="8"/>
      <c r="J414" s="8" t="str">
        <f t="shared" si="29"/>
        <v>借</v>
      </c>
      <c r="K414" s="9">
        <f t="shared" si="30"/>
        <v>11113</v>
      </c>
      <c r="L414" s="59"/>
      <c r="M414" s="98"/>
    </row>
    <row r="415" spans="2:13" ht="20.100000000000001" customHeight="1" x14ac:dyDescent="0.15">
      <c r="B415" s="58"/>
      <c r="C415" s="10"/>
      <c r="D415" s="10"/>
      <c r="E415" s="10"/>
      <c r="F415" s="10"/>
      <c r="G415" s="7"/>
      <c r="H415" s="8"/>
      <c r="I415" s="8"/>
      <c r="J415" s="8" t="str">
        <f t="shared" si="29"/>
        <v>借</v>
      </c>
      <c r="K415" s="9">
        <f t="shared" si="30"/>
        <v>11113</v>
      </c>
      <c r="L415" s="59"/>
      <c r="M415" s="98"/>
    </row>
    <row r="416" spans="2:13" ht="20.100000000000001" customHeight="1" x14ac:dyDescent="0.15">
      <c r="B416" s="58"/>
      <c r="C416" s="10"/>
      <c r="D416" s="10"/>
      <c r="E416" s="10"/>
      <c r="F416" s="10"/>
      <c r="G416" s="7"/>
      <c r="H416" s="8"/>
      <c r="I416" s="8"/>
      <c r="J416" s="8" t="str">
        <f t="shared" si="29"/>
        <v>借</v>
      </c>
      <c r="K416" s="9">
        <f t="shared" si="30"/>
        <v>11113</v>
      </c>
      <c r="L416" s="59"/>
      <c r="M416" s="98"/>
    </row>
    <row r="417" spans="2:13" ht="20.100000000000001" customHeight="1" x14ac:dyDescent="0.15">
      <c r="B417" s="58"/>
      <c r="C417" s="10"/>
      <c r="D417" s="10"/>
      <c r="E417" s="10"/>
      <c r="F417" s="10"/>
      <c r="G417" s="7"/>
      <c r="H417" s="8"/>
      <c r="I417" s="8"/>
      <c r="J417" s="8" t="str">
        <f t="shared" si="29"/>
        <v>借</v>
      </c>
      <c r="K417" s="9">
        <f t="shared" si="30"/>
        <v>11113</v>
      </c>
      <c r="L417" s="59"/>
      <c r="M417" s="98"/>
    </row>
    <row r="418" spans="2:13" ht="20.100000000000001" customHeight="1" x14ac:dyDescent="0.15">
      <c r="B418" s="58"/>
      <c r="C418" s="10"/>
      <c r="D418" s="10"/>
      <c r="E418" s="10"/>
      <c r="F418" s="10"/>
      <c r="G418" s="7"/>
      <c r="H418" s="8"/>
      <c r="I418" s="8"/>
      <c r="J418" s="8" t="str">
        <f t="shared" si="29"/>
        <v>借</v>
      </c>
      <c r="K418" s="9">
        <f t="shared" si="30"/>
        <v>11113</v>
      </c>
      <c r="L418" s="59"/>
      <c r="M418" s="98"/>
    </row>
    <row r="419" spans="2:13" ht="20.100000000000001" customHeight="1" x14ac:dyDescent="0.15">
      <c r="B419" s="58"/>
      <c r="C419" s="10"/>
      <c r="D419" s="10"/>
      <c r="E419" s="10"/>
      <c r="F419" s="10"/>
      <c r="G419" s="7"/>
      <c r="H419" s="8"/>
      <c r="I419" s="8"/>
      <c r="J419" s="8" t="str">
        <f t="shared" si="29"/>
        <v>借</v>
      </c>
      <c r="K419" s="9">
        <f t="shared" si="30"/>
        <v>11113</v>
      </c>
      <c r="L419" s="59"/>
      <c r="M419" s="98"/>
    </row>
    <row r="420" spans="2:13" ht="20.100000000000001" customHeight="1" x14ac:dyDescent="0.15">
      <c r="B420" s="58"/>
      <c r="C420" s="10"/>
      <c r="D420" s="10"/>
      <c r="E420" s="10"/>
      <c r="F420" s="10"/>
      <c r="G420" s="7"/>
      <c r="H420" s="8"/>
      <c r="I420" s="8"/>
      <c r="J420" s="8" t="str">
        <f t="shared" si="29"/>
        <v>借</v>
      </c>
      <c r="K420" s="9">
        <f t="shared" si="30"/>
        <v>11113</v>
      </c>
      <c r="L420" s="59"/>
      <c r="M420" s="98"/>
    </row>
    <row r="421" spans="2:13" ht="20.100000000000001" customHeight="1" x14ac:dyDescent="0.15">
      <c r="B421" s="58"/>
      <c r="C421" s="10"/>
      <c r="D421" s="10"/>
      <c r="E421" s="10"/>
      <c r="F421" s="10"/>
      <c r="G421" s="7"/>
      <c r="H421" s="8"/>
      <c r="I421" s="8"/>
      <c r="J421" s="8" t="str">
        <f t="shared" si="29"/>
        <v>借</v>
      </c>
      <c r="K421" s="9">
        <f t="shared" si="30"/>
        <v>11113</v>
      </c>
      <c r="L421" s="59"/>
      <c r="M421" s="98"/>
    </row>
    <row r="422" spans="2:13" ht="20.100000000000001" customHeight="1" x14ac:dyDescent="0.15">
      <c r="B422" s="58"/>
      <c r="C422" s="10"/>
      <c r="D422" s="10"/>
      <c r="E422" s="10"/>
      <c r="F422" s="10"/>
      <c r="G422" s="7"/>
      <c r="H422" s="8"/>
      <c r="I422" s="8"/>
      <c r="J422" s="8" t="str">
        <f t="shared" si="29"/>
        <v>借</v>
      </c>
      <c r="K422" s="9">
        <f t="shared" si="30"/>
        <v>11113</v>
      </c>
      <c r="L422" s="59"/>
      <c r="M422" s="98"/>
    </row>
    <row r="423" spans="2:13" ht="20.100000000000001" customHeight="1" x14ac:dyDescent="0.15">
      <c r="B423" s="58"/>
      <c r="C423" s="10"/>
      <c r="D423" s="10"/>
      <c r="E423" s="10"/>
      <c r="F423" s="10"/>
      <c r="G423" s="7"/>
      <c r="H423" s="8"/>
      <c r="I423" s="8"/>
      <c r="J423" s="8" t="str">
        <f t="shared" si="29"/>
        <v>借</v>
      </c>
      <c r="K423" s="9">
        <f t="shared" si="30"/>
        <v>11113</v>
      </c>
      <c r="L423" s="59"/>
      <c r="M423" s="98"/>
    </row>
    <row r="424" spans="2:13" ht="20.100000000000001" customHeight="1" x14ac:dyDescent="0.15">
      <c r="B424" s="58"/>
      <c r="C424" s="10"/>
      <c r="D424" s="10"/>
      <c r="E424" s="10"/>
      <c r="F424" s="10"/>
      <c r="G424" s="7"/>
      <c r="H424" s="8"/>
      <c r="I424" s="8"/>
      <c r="J424" s="8" t="str">
        <f t="shared" si="29"/>
        <v>借</v>
      </c>
      <c r="K424" s="9">
        <f t="shared" si="30"/>
        <v>11113</v>
      </c>
      <c r="L424" s="59"/>
      <c r="M424" s="98"/>
    </row>
    <row r="425" spans="2:13" ht="20.100000000000001" customHeight="1" x14ac:dyDescent="0.15">
      <c r="B425" s="58"/>
      <c r="C425" s="10"/>
      <c r="D425" s="10"/>
      <c r="E425" s="10"/>
      <c r="F425" s="10"/>
      <c r="G425" s="7"/>
      <c r="H425" s="8"/>
      <c r="I425" s="8"/>
      <c r="J425" s="8" t="str">
        <f t="shared" ref="J425:J449" si="31">IF((K424+H425-I425)&gt;0,"借","贷")</f>
        <v>借</v>
      </c>
      <c r="K425" s="9">
        <f t="shared" ref="K425:K449" si="32">_xlfn.IFS(J424="借",K424+H425-I425,J424="贷",H425-I425-K424)</f>
        <v>11113</v>
      </c>
      <c r="L425" s="59"/>
      <c r="M425" s="98"/>
    </row>
    <row r="426" spans="2:13" ht="20.100000000000001" customHeight="1" x14ac:dyDescent="0.15">
      <c r="B426" s="58"/>
      <c r="C426" s="10"/>
      <c r="D426" s="10"/>
      <c r="E426" s="10"/>
      <c r="F426" s="10"/>
      <c r="G426" s="7"/>
      <c r="H426" s="8"/>
      <c r="I426" s="8"/>
      <c r="J426" s="8" t="str">
        <f t="shared" si="31"/>
        <v>借</v>
      </c>
      <c r="K426" s="9">
        <f t="shared" si="32"/>
        <v>11113</v>
      </c>
      <c r="L426" s="59"/>
      <c r="M426" s="98"/>
    </row>
    <row r="427" spans="2:13" ht="20.100000000000001" customHeight="1" x14ac:dyDescent="0.15">
      <c r="B427" s="58"/>
      <c r="C427" s="10"/>
      <c r="D427" s="10"/>
      <c r="E427" s="10"/>
      <c r="F427" s="10"/>
      <c r="G427" s="7"/>
      <c r="H427" s="8"/>
      <c r="I427" s="8"/>
      <c r="J427" s="8" t="str">
        <f t="shared" si="31"/>
        <v>借</v>
      </c>
      <c r="K427" s="9">
        <f t="shared" si="32"/>
        <v>11113</v>
      </c>
      <c r="L427" s="59"/>
      <c r="M427" s="98"/>
    </row>
    <row r="428" spans="2:13" ht="20.100000000000001" customHeight="1" x14ac:dyDescent="0.15">
      <c r="B428" s="58"/>
      <c r="C428" s="10"/>
      <c r="D428" s="10"/>
      <c r="E428" s="10"/>
      <c r="F428" s="10"/>
      <c r="G428" s="7"/>
      <c r="H428" s="8"/>
      <c r="I428" s="8"/>
      <c r="J428" s="8" t="str">
        <f t="shared" si="31"/>
        <v>借</v>
      </c>
      <c r="K428" s="9">
        <f t="shared" si="32"/>
        <v>11113</v>
      </c>
      <c r="L428" s="59"/>
      <c r="M428" s="98"/>
    </row>
    <row r="429" spans="2:13" ht="20.100000000000001" customHeight="1" x14ac:dyDescent="0.15">
      <c r="B429" s="58"/>
      <c r="C429" s="10"/>
      <c r="D429" s="10"/>
      <c r="E429" s="10"/>
      <c r="F429" s="10"/>
      <c r="G429" s="7"/>
      <c r="H429" s="8"/>
      <c r="I429" s="8"/>
      <c r="J429" s="8" t="str">
        <f t="shared" si="31"/>
        <v>借</v>
      </c>
      <c r="K429" s="9">
        <f t="shared" si="32"/>
        <v>11113</v>
      </c>
      <c r="L429" s="59"/>
      <c r="M429" s="98"/>
    </row>
    <row r="430" spans="2:13" ht="20.100000000000001" customHeight="1" x14ac:dyDescent="0.15">
      <c r="B430" s="58"/>
      <c r="C430" s="10"/>
      <c r="D430" s="10"/>
      <c r="E430" s="10"/>
      <c r="F430" s="10"/>
      <c r="G430" s="7"/>
      <c r="H430" s="8"/>
      <c r="I430" s="8"/>
      <c r="J430" s="8" t="str">
        <f t="shared" si="31"/>
        <v>借</v>
      </c>
      <c r="K430" s="9">
        <f t="shared" si="32"/>
        <v>11113</v>
      </c>
      <c r="L430" s="59"/>
      <c r="M430" s="98"/>
    </row>
    <row r="431" spans="2:13" ht="20.100000000000001" customHeight="1" x14ac:dyDescent="0.15">
      <c r="B431" s="58"/>
      <c r="C431" s="10"/>
      <c r="D431" s="10"/>
      <c r="E431" s="10"/>
      <c r="F431" s="10"/>
      <c r="G431" s="7"/>
      <c r="H431" s="8"/>
      <c r="I431" s="8"/>
      <c r="J431" s="8" t="str">
        <f t="shared" si="31"/>
        <v>借</v>
      </c>
      <c r="K431" s="9">
        <f t="shared" si="32"/>
        <v>11113</v>
      </c>
      <c r="L431" s="59"/>
      <c r="M431" s="98"/>
    </row>
    <row r="432" spans="2:13" ht="20.100000000000001" customHeight="1" x14ac:dyDescent="0.15">
      <c r="B432" s="58"/>
      <c r="C432" s="10"/>
      <c r="D432" s="10"/>
      <c r="E432" s="10"/>
      <c r="F432" s="10"/>
      <c r="G432" s="7"/>
      <c r="H432" s="8"/>
      <c r="I432" s="8"/>
      <c r="J432" s="8" t="str">
        <f t="shared" si="31"/>
        <v>借</v>
      </c>
      <c r="K432" s="9">
        <f t="shared" si="32"/>
        <v>11113</v>
      </c>
      <c r="L432" s="59"/>
      <c r="M432" s="98"/>
    </row>
    <row r="433" spans="2:13" ht="20.100000000000001" customHeight="1" x14ac:dyDescent="0.15">
      <c r="B433" s="58"/>
      <c r="C433" s="10"/>
      <c r="D433" s="10"/>
      <c r="E433" s="10"/>
      <c r="F433" s="10"/>
      <c r="G433" s="7"/>
      <c r="H433" s="8"/>
      <c r="I433" s="8"/>
      <c r="J433" s="8" t="str">
        <f t="shared" si="31"/>
        <v>借</v>
      </c>
      <c r="K433" s="9">
        <f t="shared" si="32"/>
        <v>11113</v>
      </c>
      <c r="L433" s="59"/>
      <c r="M433" s="98"/>
    </row>
    <row r="434" spans="2:13" ht="20.100000000000001" customHeight="1" x14ac:dyDescent="0.15">
      <c r="B434" s="58"/>
      <c r="C434" s="10"/>
      <c r="D434" s="10"/>
      <c r="E434" s="10"/>
      <c r="F434" s="10"/>
      <c r="G434" s="7"/>
      <c r="H434" s="8"/>
      <c r="I434" s="8"/>
      <c r="J434" s="8" t="str">
        <f t="shared" si="31"/>
        <v>借</v>
      </c>
      <c r="K434" s="9">
        <f t="shared" si="32"/>
        <v>11113</v>
      </c>
      <c r="L434" s="59"/>
      <c r="M434" s="98"/>
    </row>
    <row r="435" spans="2:13" ht="20.100000000000001" customHeight="1" x14ac:dyDescent="0.15">
      <c r="B435" s="58"/>
      <c r="C435" s="10"/>
      <c r="D435" s="10"/>
      <c r="E435" s="10"/>
      <c r="F435" s="10"/>
      <c r="G435" s="7"/>
      <c r="H435" s="8"/>
      <c r="I435" s="8"/>
      <c r="J435" s="8" t="str">
        <f t="shared" si="31"/>
        <v>借</v>
      </c>
      <c r="K435" s="9">
        <f t="shared" si="32"/>
        <v>11113</v>
      </c>
      <c r="L435" s="59"/>
      <c r="M435" s="98"/>
    </row>
    <row r="436" spans="2:13" ht="20.100000000000001" customHeight="1" x14ac:dyDescent="0.15">
      <c r="B436" s="58"/>
      <c r="C436" s="10"/>
      <c r="D436" s="10"/>
      <c r="E436" s="10"/>
      <c r="F436" s="10"/>
      <c r="G436" s="7"/>
      <c r="H436" s="8"/>
      <c r="I436" s="8"/>
      <c r="J436" s="8" t="str">
        <f t="shared" si="31"/>
        <v>借</v>
      </c>
      <c r="K436" s="9">
        <f t="shared" si="32"/>
        <v>11113</v>
      </c>
      <c r="L436" s="59"/>
      <c r="M436" s="98"/>
    </row>
    <row r="437" spans="2:13" ht="20.100000000000001" customHeight="1" x14ac:dyDescent="0.15">
      <c r="B437" s="58"/>
      <c r="C437" s="10"/>
      <c r="D437" s="10"/>
      <c r="E437" s="10"/>
      <c r="F437" s="10"/>
      <c r="G437" s="7"/>
      <c r="H437" s="8"/>
      <c r="I437" s="8"/>
      <c r="J437" s="8" t="str">
        <f t="shared" si="31"/>
        <v>借</v>
      </c>
      <c r="K437" s="9">
        <f t="shared" si="32"/>
        <v>11113</v>
      </c>
      <c r="L437" s="59"/>
      <c r="M437" s="98"/>
    </row>
    <row r="438" spans="2:13" ht="20.100000000000001" customHeight="1" x14ac:dyDescent="0.15">
      <c r="B438" s="58"/>
      <c r="C438" s="10"/>
      <c r="D438" s="10"/>
      <c r="E438" s="10"/>
      <c r="F438" s="10"/>
      <c r="G438" s="7"/>
      <c r="H438" s="8"/>
      <c r="I438" s="8"/>
      <c r="J438" s="8" t="str">
        <f t="shared" si="31"/>
        <v>借</v>
      </c>
      <c r="K438" s="9">
        <f t="shared" si="32"/>
        <v>11113</v>
      </c>
      <c r="L438" s="59"/>
      <c r="M438" s="98"/>
    </row>
    <row r="439" spans="2:13" ht="20.100000000000001" customHeight="1" x14ac:dyDescent="0.15">
      <c r="B439" s="58"/>
      <c r="C439" s="10"/>
      <c r="D439" s="10"/>
      <c r="E439" s="10"/>
      <c r="F439" s="10"/>
      <c r="G439" s="7"/>
      <c r="H439" s="8"/>
      <c r="I439" s="8"/>
      <c r="J439" s="8" t="str">
        <f t="shared" si="31"/>
        <v>借</v>
      </c>
      <c r="K439" s="9">
        <f t="shared" si="32"/>
        <v>11113</v>
      </c>
      <c r="L439" s="59"/>
      <c r="M439" s="98"/>
    </row>
    <row r="440" spans="2:13" ht="20.100000000000001" customHeight="1" x14ac:dyDescent="0.15">
      <c r="B440" s="58"/>
      <c r="C440" s="10"/>
      <c r="D440" s="10"/>
      <c r="E440" s="10"/>
      <c r="F440" s="10"/>
      <c r="G440" s="7"/>
      <c r="H440" s="8"/>
      <c r="I440" s="8"/>
      <c r="J440" s="8" t="str">
        <f t="shared" si="31"/>
        <v>借</v>
      </c>
      <c r="K440" s="9">
        <f t="shared" si="32"/>
        <v>11113</v>
      </c>
      <c r="L440" s="59"/>
      <c r="M440" s="98"/>
    </row>
    <row r="441" spans="2:13" ht="20.100000000000001" customHeight="1" x14ac:dyDescent="0.15">
      <c r="B441" s="58"/>
      <c r="C441" s="10"/>
      <c r="D441" s="10"/>
      <c r="E441" s="10"/>
      <c r="F441" s="10"/>
      <c r="G441" s="7"/>
      <c r="H441" s="8"/>
      <c r="I441" s="8"/>
      <c r="J441" s="8" t="str">
        <f t="shared" si="31"/>
        <v>借</v>
      </c>
      <c r="K441" s="9">
        <f t="shared" si="32"/>
        <v>11113</v>
      </c>
      <c r="L441" s="59"/>
      <c r="M441" s="98"/>
    </row>
    <row r="442" spans="2:13" ht="20.100000000000001" customHeight="1" x14ac:dyDescent="0.15">
      <c r="B442" s="58"/>
      <c r="C442" s="10"/>
      <c r="D442" s="10"/>
      <c r="E442" s="10"/>
      <c r="F442" s="10"/>
      <c r="G442" s="7"/>
      <c r="H442" s="8"/>
      <c r="I442" s="8"/>
      <c r="J442" s="8" t="str">
        <f t="shared" si="31"/>
        <v>借</v>
      </c>
      <c r="K442" s="9">
        <f t="shared" si="32"/>
        <v>11113</v>
      </c>
      <c r="L442" s="59"/>
      <c r="M442" s="98"/>
    </row>
    <row r="443" spans="2:13" ht="20.100000000000001" customHeight="1" x14ac:dyDescent="0.15">
      <c r="B443" s="58"/>
      <c r="C443" s="10"/>
      <c r="D443" s="10"/>
      <c r="E443" s="10"/>
      <c r="F443" s="10"/>
      <c r="G443" s="7"/>
      <c r="H443" s="8"/>
      <c r="I443" s="8"/>
      <c r="J443" s="8" t="str">
        <f t="shared" si="31"/>
        <v>借</v>
      </c>
      <c r="K443" s="9">
        <f t="shared" si="32"/>
        <v>11113</v>
      </c>
      <c r="L443" s="59"/>
      <c r="M443" s="98"/>
    </row>
    <row r="444" spans="2:13" ht="20.100000000000001" customHeight="1" x14ac:dyDescent="0.15">
      <c r="B444" s="58"/>
      <c r="C444" s="10"/>
      <c r="D444" s="10"/>
      <c r="E444" s="10"/>
      <c r="F444" s="10"/>
      <c r="G444" s="7"/>
      <c r="H444" s="8"/>
      <c r="I444" s="8"/>
      <c r="J444" s="8" t="str">
        <f t="shared" si="31"/>
        <v>借</v>
      </c>
      <c r="K444" s="9">
        <f t="shared" si="32"/>
        <v>11113</v>
      </c>
      <c r="L444" s="59"/>
      <c r="M444" s="98"/>
    </row>
    <row r="445" spans="2:13" ht="20.100000000000001" customHeight="1" x14ac:dyDescent="0.15">
      <c r="B445" s="58"/>
      <c r="C445" s="10"/>
      <c r="D445" s="10"/>
      <c r="E445" s="10"/>
      <c r="F445" s="10"/>
      <c r="G445" s="7"/>
      <c r="H445" s="8"/>
      <c r="I445" s="8"/>
      <c r="J445" s="8" t="str">
        <f t="shared" si="31"/>
        <v>借</v>
      </c>
      <c r="K445" s="9">
        <f t="shared" si="32"/>
        <v>11113</v>
      </c>
      <c r="L445" s="59"/>
      <c r="M445" s="97"/>
    </row>
    <row r="446" spans="2:13" ht="20.100000000000001" customHeight="1" x14ac:dyDescent="0.15">
      <c r="B446" s="58"/>
      <c r="C446" s="10"/>
      <c r="D446" s="10"/>
      <c r="E446" s="10"/>
      <c r="F446" s="10"/>
      <c r="G446" s="7"/>
      <c r="H446" s="8"/>
      <c r="I446" s="8"/>
      <c r="J446" s="8" t="str">
        <f t="shared" si="31"/>
        <v>借</v>
      </c>
      <c r="K446" s="9">
        <f t="shared" si="32"/>
        <v>11113</v>
      </c>
      <c r="L446" s="59"/>
      <c r="M446" s="55"/>
    </row>
    <row r="447" spans="2:13" ht="20.100000000000001" customHeight="1" x14ac:dyDescent="0.15">
      <c r="B447" s="58"/>
      <c r="C447" s="10"/>
      <c r="D447" s="10"/>
      <c r="E447" s="10"/>
      <c r="F447" s="10"/>
      <c r="G447" s="7"/>
      <c r="H447" s="8"/>
      <c r="I447" s="8"/>
      <c r="J447" s="8" t="str">
        <f t="shared" si="31"/>
        <v>借</v>
      </c>
      <c r="K447" s="9">
        <f t="shared" si="32"/>
        <v>11113</v>
      </c>
      <c r="L447" s="59"/>
      <c r="M447" s="96"/>
    </row>
    <row r="448" spans="2:13" ht="20.100000000000001" customHeight="1" x14ac:dyDescent="0.15">
      <c r="B448" s="58"/>
      <c r="C448" s="10"/>
      <c r="D448" s="10"/>
      <c r="E448" s="10"/>
      <c r="F448" s="10"/>
      <c r="G448" s="7"/>
      <c r="H448" s="8"/>
      <c r="I448" s="8"/>
      <c r="J448" s="8" t="str">
        <f t="shared" si="31"/>
        <v>借</v>
      </c>
      <c r="K448" s="9">
        <f t="shared" si="32"/>
        <v>11113</v>
      </c>
      <c r="L448" s="59"/>
      <c r="M448" s="98"/>
    </row>
    <row r="449" spans="2:13" ht="20.100000000000001" customHeight="1" x14ac:dyDescent="0.15">
      <c r="B449" s="58"/>
      <c r="C449" s="10"/>
      <c r="D449" s="10"/>
      <c r="E449" s="10"/>
      <c r="F449" s="10"/>
      <c r="G449" s="7"/>
      <c r="H449" s="8"/>
      <c r="I449" s="8"/>
      <c r="J449" s="8" t="str">
        <f t="shared" si="31"/>
        <v>借</v>
      </c>
      <c r="K449" s="9">
        <f t="shared" si="32"/>
        <v>11113</v>
      </c>
      <c r="L449" s="59"/>
      <c r="M449" s="97"/>
    </row>
    <row r="450" spans="2:13" ht="20.100000000000001" customHeight="1" x14ac:dyDescent="0.15">
      <c r="B450" s="58"/>
      <c r="C450" s="10"/>
      <c r="D450" s="10"/>
      <c r="E450" s="10"/>
      <c r="F450" s="10"/>
      <c r="G450" s="7"/>
      <c r="H450" s="8"/>
      <c r="I450" s="8"/>
      <c r="J450" s="8" t="str">
        <f t="shared" ref="J450:J471" si="33">IF((K449+H450-I450)&gt;0,"借","贷")</f>
        <v>借</v>
      </c>
      <c r="K450" s="9">
        <f t="shared" ref="K450:K471" si="34">_xlfn.IFS(J449="借",K449+H450-I450,J449="贷",H450-I450-K449)</f>
        <v>11113</v>
      </c>
      <c r="L450" s="59"/>
      <c r="M450" s="96"/>
    </row>
    <row r="451" spans="2:13" ht="20.100000000000001" customHeight="1" x14ac:dyDescent="0.15">
      <c r="B451" s="58"/>
      <c r="C451" s="10"/>
      <c r="D451" s="10"/>
      <c r="E451" s="10"/>
      <c r="F451" s="10"/>
      <c r="G451" s="7"/>
      <c r="H451" s="8"/>
      <c r="I451" s="8"/>
      <c r="J451" s="8" t="str">
        <f t="shared" si="33"/>
        <v>借</v>
      </c>
      <c r="K451" s="9">
        <f t="shared" si="34"/>
        <v>11113</v>
      </c>
      <c r="L451" s="59"/>
      <c r="M451" s="98"/>
    </row>
    <row r="452" spans="2:13" ht="20.100000000000001" customHeight="1" x14ac:dyDescent="0.15">
      <c r="B452" s="58"/>
      <c r="C452" s="10"/>
      <c r="D452" s="10"/>
      <c r="E452" s="10"/>
      <c r="F452" s="10"/>
      <c r="G452" s="7"/>
      <c r="H452" s="8"/>
      <c r="I452" s="8"/>
      <c r="J452" s="8" t="str">
        <f t="shared" si="33"/>
        <v>借</v>
      </c>
      <c r="K452" s="9">
        <f t="shared" si="34"/>
        <v>11113</v>
      </c>
      <c r="L452" s="59"/>
      <c r="M452" s="97"/>
    </row>
    <row r="453" spans="2:13" ht="20.100000000000001" customHeight="1" x14ac:dyDescent="0.15">
      <c r="B453" s="58"/>
      <c r="C453" s="10"/>
      <c r="D453" s="10"/>
      <c r="E453" s="10"/>
      <c r="F453" s="10"/>
      <c r="G453" s="7"/>
      <c r="H453" s="8"/>
      <c r="I453" s="8"/>
      <c r="J453" s="8" t="str">
        <f t="shared" si="33"/>
        <v>借</v>
      </c>
      <c r="K453" s="9">
        <f t="shared" si="34"/>
        <v>11113</v>
      </c>
      <c r="L453" s="59"/>
      <c r="M453" s="85"/>
    </row>
    <row r="454" spans="2:13" ht="20.100000000000001" customHeight="1" x14ac:dyDescent="0.15">
      <c r="B454" s="58"/>
      <c r="C454" s="10"/>
      <c r="D454" s="10"/>
      <c r="E454" s="10"/>
      <c r="F454" s="10"/>
      <c r="G454" s="7"/>
      <c r="H454" s="8"/>
      <c r="I454" s="8"/>
      <c r="J454" s="8" t="str">
        <f t="shared" si="33"/>
        <v>借</v>
      </c>
      <c r="K454" s="9">
        <f t="shared" si="34"/>
        <v>11113</v>
      </c>
      <c r="L454" s="59"/>
      <c r="M454" s="86"/>
    </row>
    <row r="455" spans="2:13" ht="20.100000000000001" customHeight="1" x14ac:dyDescent="0.15">
      <c r="B455" s="58"/>
      <c r="C455" s="10"/>
      <c r="D455" s="10"/>
      <c r="E455" s="10"/>
      <c r="F455" s="10"/>
      <c r="G455" s="7"/>
      <c r="H455" s="8"/>
      <c r="I455" s="8"/>
      <c r="J455" s="8" t="str">
        <f t="shared" si="33"/>
        <v>借</v>
      </c>
      <c r="K455" s="9">
        <f t="shared" si="34"/>
        <v>11113</v>
      </c>
      <c r="L455" s="59"/>
      <c r="M455" s="55"/>
    </row>
    <row r="456" spans="2:13" ht="20.100000000000001" customHeight="1" x14ac:dyDescent="0.15">
      <c r="B456" s="58"/>
      <c r="C456" s="10"/>
      <c r="D456" s="10"/>
      <c r="E456" s="10"/>
      <c r="F456" s="10"/>
      <c r="G456" s="7"/>
      <c r="H456" s="8"/>
      <c r="I456" s="8"/>
      <c r="J456" s="8" t="str">
        <f t="shared" si="33"/>
        <v>借</v>
      </c>
      <c r="K456" s="9">
        <f t="shared" si="34"/>
        <v>11113</v>
      </c>
      <c r="L456" s="59"/>
      <c r="M456" s="55"/>
    </row>
    <row r="457" spans="2:13" ht="20.100000000000001" customHeight="1" x14ac:dyDescent="0.15">
      <c r="B457" s="58"/>
      <c r="C457" s="10"/>
      <c r="D457" s="10"/>
      <c r="E457" s="10"/>
      <c r="F457" s="10"/>
      <c r="G457" s="7"/>
      <c r="H457" s="8"/>
      <c r="I457" s="8"/>
      <c r="J457" s="8" t="str">
        <f t="shared" si="33"/>
        <v>借</v>
      </c>
      <c r="K457" s="9">
        <f t="shared" si="34"/>
        <v>11113</v>
      </c>
      <c r="L457" s="59"/>
      <c r="M457" s="55"/>
    </row>
    <row r="458" spans="2:13" ht="20.100000000000001" customHeight="1" x14ac:dyDescent="0.15">
      <c r="B458" s="58"/>
      <c r="C458" s="10"/>
      <c r="D458" s="10"/>
      <c r="E458" s="10"/>
      <c r="F458" s="10"/>
      <c r="G458" s="7"/>
      <c r="H458" s="8"/>
      <c r="I458" s="8"/>
      <c r="J458" s="8" t="str">
        <f t="shared" si="33"/>
        <v>借</v>
      </c>
      <c r="K458" s="9">
        <f t="shared" si="34"/>
        <v>11113</v>
      </c>
      <c r="L458" s="59"/>
      <c r="M458" s="55"/>
    </row>
    <row r="459" spans="2:13" ht="20.100000000000001" customHeight="1" x14ac:dyDescent="0.15">
      <c r="B459" s="58"/>
      <c r="C459" s="10"/>
      <c r="D459" s="10"/>
      <c r="E459" s="10"/>
      <c r="F459" s="10"/>
      <c r="G459" s="7"/>
      <c r="H459" s="8"/>
      <c r="I459" s="8"/>
      <c r="J459" s="8" t="str">
        <f t="shared" si="33"/>
        <v>借</v>
      </c>
      <c r="K459" s="9">
        <f t="shared" si="34"/>
        <v>11113</v>
      </c>
      <c r="L459" s="59"/>
      <c r="M459" s="55"/>
    </row>
    <row r="460" spans="2:13" ht="20.100000000000001" customHeight="1" x14ac:dyDescent="0.15">
      <c r="B460" s="58"/>
      <c r="C460" s="10"/>
      <c r="D460" s="10"/>
      <c r="E460" s="10"/>
      <c r="F460" s="10"/>
      <c r="G460" s="7"/>
      <c r="H460" s="8"/>
      <c r="I460" s="8"/>
      <c r="J460" s="8" t="str">
        <f t="shared" si="33"/>
        <v>借</v>
      </c>
      <c r="K460" s="9">
        <f t="shared" si="34"/>
        <v>11113</v>
      </c>
      <c r="L460" s="59"/>
      <c r="M460" s="55"/>
    </row>
    <row r="461" spans="2:13" ht="20.100000000000001" customHeight="1" x14ac:dyDescent="0.15">
      <c r="B461" s="58"/>
      <c r="C461" s="10"/>
      <c r="D461" s="10"/>
      <c r="E461" s="10"/>
      <c r="F461" s="10"/>
      <c r="G461" s="7"/>
      <c r="H461" s="8"/>
      <c r="I461" s="8"/>
      <c r="J461" s="8" t="str">
        <f t="shared" si="33"/>
        <v>借</v>
      </c>
      <c r="K461" s="9">
        <f t="shared" si="34"/>
        <v>11113</v>
      </c>
      <c r="L461" s="59"/>
      <c r="M461" s="55"/>
    </row>
    <row r="462" spans="2:13" ht="20.100000000000001" customHeight="1" x14ac:dyDescent="0.15">
      <c r="B462" s="58"/>
      <c r="C462" s="10"/>
      <c r="D462" s="10"/>
      <c r="E462" s="10"/>
      <c r="F462" s="10"/>
      <c r="G462" s="7"/>
      <c r="H462" s="8"/>
      <c r="I462" s="8"/>
      <c r="J462" s="8" t="str">
        <f t="shared" si="33"/>
        <v>借</v>
      </c>
      <c r="K462" s="9">
        <f t="shared" si="34"/>
        <v>11113</v>
      </c>
      <c r="L462" s="59"/>
      <c r="M462" s="55"/>
    </row>
    <row r="463" spans="2:13" ht="20.100000000000001" customHeight="1" x14ac:dyDescent="0.15">
      <c r="B463" s="58"/>
      <c r="C463" s="10"/>
      <c r="D463" s="10"/>
      <c r="E463" s="10"/>
      <c r="F463" s="10"/>
      <c r="G463" s="7"/>
      <c r="H463" s="8"/>
      <c r="I463" s="8"/>
      <c r="J463" s="8" t="str">
        <f t="shared" si="33"/>
        <v>借</v>
      </c>
      <c r="K463" s="9">
        <f t="shared" si="34"/>
        <v>11113</v>
      </c>
      <c r="L463" s="59"/>
      <c r="M463" s="55"/>
    </row>
    <row r="464" spans="2:13" ht="20.100000000000001" customHeight="1" x14ac:dyDescent="0.15">
      <c r="B464" s="58"/>
      <c r="C464" s="10"/>
      <c r="D464" s="10"/>
      <c r="E464" s="10"/>
      <c r="F464" s="10"/>
      <c r="G464" s="7"/>
      <c r="H464" s="8"/>
      <c r="I464" s="8"/>
      <c r="J464" s="8" t="str">
        <f t="shared" si="33"/>
        <v>借</v>
      </c>
      <c r="K464" s="9">
        <f t="shared" si="34"/>
        <v>11113</v>
      </c>
      <c r="L464" s="59"/>
      <c r="M464" s="55"/>
    </row>
    <row r="465" spans="2:13" ht="20.100000000000001" customHeight="1" x14ac:dyDescent="0.15">
      <c r="B465" s="58"/>
      <c r="C465" s="10"/>
      <c r="D465" s="10"/>
      <c r="E465" s="10"/>
      <c r="F465" s="10"/>
      <c r="G465" s="7"/>
      <c r="H465" s="8"/>
      <c r="I465" s="8"/>
      <c r="J465" s="8" t="str">
        <f t="shared" si="33"/>
        <v>借</v>
      </c>
      <c r="K465" s="9">
        <f t="shared" si="34"/>
        <v>11113</v>
      </c>
      <c r="L465" s="59"/>
      <c r="M465" s="55"/>
    </row>
    <row r="466" spans="2:13" ht="20.100000000000001" customHeight="1" x14ac:dyDescent="0.15">
      <c r="B466" s="58"/>
      <c r="C466" s="10"/>
      <c r="D466" s="10"/>
      <c r="E466" s="10"/>
      <c r="F466" s="10"/>
      <c r="G466" s="7"/>
      <c r="H466" s="8"/>
      <c r="I466" s="8"/>
      <c r="J466" s="8" t="str">
        <f t="shared" si="33"/>
        <v>借</v>
      </c>
      <c r="K466" s="9">
        <f t="shared" si="34"/>
        <v>11113</v>
      </c>
      <c r="L466" s="59"/>
      <c r="M466" s="55"/>
    </row>
    <row r="467" spans="2:13" ht="20.100000000000001" customHeight="1" x14ac:dyDescent="0.15">
      <c r="B467" s="58"/>
      <c r="C467" s="10"/>
      <c r="D467" s="10"/>
      <c r="E467" s="10"/>
      <c r="F467" s="10"/>
      <c r="G467" s="7"/>
      <c r="H467" s="8"/>
      <c r="I467" s="8"/>
      <c r="J467" s="8" t="str">
        <f t="shared" si="33"/>
        <v>借</v>
      </c>
      <c r="K467" s="9">
        <f t="shared" si="34"/>
        <v>11113</v>
      </c>
      <c r="L467" s="59"/>
      <c r="M467" s="63"/>
    </row>
    <row r="468" spans="2:13" ht="20.100000000000001" customHeight="1" x14ac:dyDescent="0.15">
      <c r="B468" s="58"/>
      <c r="C468" s="10"/>
      <c r="D468" s="10"/>
      <c r="E468" s="10"/>
      <c r="F468" s="10"/>
      <c r="G468" s="7"/>
      <c r="H468" s="8"/>
      <c r="I468" s="8"/>
      <c r="J468" s="8" t="str">
        <f t="shared" si="33"/>
        <v>借</v>
      </c>
      <c r="K468" s="9">
        <f t="shared" si="34"/>
        <v>11113</v>
      </c>
      <c r="L468" s="59"/>
      <c r="M468" s="64"/>
    </row>
    <row r="469" spans="2:13" ht="20.100000000000001" customHeight="1" x14ac:dyDescent="0.15">
      <c r="B469" s="58"/>
      <c r="C469" s="10"/>
      <c r="D469" s="10"/>
      <c r="E469" s="10"/>
      <c r="F469" s="10"/>
      <c r="G469" s="7"/>
      <c r="H469" s="8"/>
      <c r="I469" s="8"/>
      <c r="J469" s="8" t="str">
        <f t="shared" si="33"/>
        <v>借</v>
      </c>
      <c r="K469" s="9">
        <f t="shared" si="34"/>
        <v>11113</v>
      </c>
      <c r="L469" s="59"/>
      <c r="M469" s="64"/>
    </row>
    <row r="470" spans="2:13" ht="20.100000000000001" customHeight="1" x14ac:dyDescent="0.15">
      <c r="B470" s="58"/>
      <c r="C470" s="10"/>
      <c r="D470" s="10"/>
      <c r="E470" s="10"/>
      <c r="F470" s="10"/>
      <c r="G470" s="7"/>
      <c r="H470" s="8"/>
      <c r="I470" s="8"/>
      <c r="J470" s="8" t="str">
        <f t="shared" si="33"/>
        <v>借</v>
      </c>
      <c r="K470" s="9">
        <f t="shared" si="34"/>
        <v>11113</v>
      </c>
      <c r="L470" s="59"/>
      <c r="M470" s="64"/>
    </row>
    <row r="471" spans="2:13" ht="20.100000000000001" customHeight="1" x14ac:dyDescent="0.15">
      <c r="B471" s="58"/>
      <c r="C471" s="10"/>
      <c r="D471" s="10"/>
      <c r="E471" s="10"/>
      <c r="F471" s="10"/>
      <c r="G471" s="7"/>
      <c r="H471" s="8"/>
      <c r="I471" s="8"/>
      <c r="J471" s="8" t="str">
        <f t="shared" si="33"/>
        <v>借</v>
      </c>
      <c r="K471" s="9">
        <f t="shared" si="34"/>
        <v>11113</v>
      </c>
      <c r="L471" s="59"/>
      <c r="M471" s="64"/>
    </row>
    <row r="472" spans="2:13" ht="20.100000000000001" customHeight="1" x14ac:dyDescent="0.15">
      <c r="B472" s="58"/>
      <c r="C472" s="10"/>
      <c r="D472" s="10"/>
      <c r="E472" s="10"/>
      <c r="F472" s="10"/>
      <c r="G472" s="7"/>
      <c r="H472" s="8"/>
      <c r="I472" s="8"/>
      <c r="J472" s="8" t="str">
        <f t="shared" ref="J472:J531" si="35">IF((K471+H472-I472)&gt;0,"借","贷")</f>
        <v>借</v>
      </c>
      <c r="K472" s="9">
        <f t="shared" ref="K472:K499" si="36">_xlfn.IFS(J471="借",K471+H472-I472,J471="贷",H472-I472-K471)</f>
        <v>11113</v>
      </c>
      <c r="L472" s="59"/>
      <c r="M472" s="55"/>
    </row>
    <row r="473" spans="2:13" ht="20.100000000000001" customHeight="1" x14ac:dyDescent="0.15">
      <c r="B473" s="58"/>
      <c r="C473" s="10"/>
      <c r="D473" s="10"/>
      <c r="E473" s="10"/>
      <c r="F473" s="10"/>
      <c r="G473" s="7"/>
      <c r="H473" s="8"/>
      <c r="I473" s="8"/>
      <c r="J473" s="8" t="str">
        <f t="shared" si="35"/>
        <v>借</v>
      </c>
      <c r="K473" s="9">
        <f t="shared" si="36"/>
        <v>11113</v>
      </c>
      <c r="L473" s="59"/>
      <c r="M473" s="55"/>
    </row>
    <row r="474" spans="2:13" ht="20.100000000000001" customHeight="1" x14ac:dyDescent="0.15">
      <c r="B474" s="58"/>
      <c r="C474" s="10"/>
      <c r="D474" s="10"/>
      <c r="E474" s="10"/>
      <c r="F474" s="10"/>
      <c r="G474" s="7"/>
      <c r="H474" s="8"/>
      <c r="I474" s="8"/>
      <c r="J474" s="8" t="str">
        <f t="shared" si="35"/>
        <v>借</v>
      </c>
      <c r="K474" s="9">
        <f t="shared" si="36"/>
        <v>11113</v>
      </c>
      <c r="L474" s="59"/>
      <c r="M474" s="55"/>
    </row>
    <row r="475" spans="2:13" ht="20.100000000000001" customHeight="1" x14ac:dyDescent="0.15">
      <c r="B475" s="58"/>
      <c r="C475" s="10"/>
      <c r="D475" s="10"/>
      <c r="E475" s="10"/>
      <c r="F475" s="10"/>
      <c r="G475" s="7"/>
      <c r="H475" s="8"/>
      <c r="I475" s="8"/>
      <c r="J475" s="8" t="str">
        <f t="shared" si="35"/>
        <v>借</v>
      </c>
      <c r="K475" s="9">
        <f t="shared" si="36"/>
        <v>11113</v>
      </c>
      <c r="L475" s="59"/>
      <c r="M475" s="85"/>
    </row>
    <row r="476" spans="2:13" ht="20.100000000000001" customHeight="1" x14ac:dyDescent="0.15">
      <c r="B476" s="58"/>
      <c r="C476" s="10"/>
      <c r="D476" s="10"/>
      <c r="E476" s="10"/>
      <c r="F476" s="10"/>
      <c r="G476" s="7"/>
      <c r="H476" s="8"/>
      <c r="I476" s="8"/>
      <c r="J476" s="8" t="str">
        <f t="shared" si="35"/>
        <v>借</v>
      </c>
      <c r="K476" s="9">
        <f t="shared" si="36"/>
        <v>11113</v>
      </c>
      <c r="L476" s="59"/>
      <c r="M476" s="87"/>
    </row>
    <row r="477" spans="2:13" ht="20.100000000000001" customHeight="1" x14ac:dyDescent="0.15">
      <c r="B477" s="58"/>
      <c r="C477" s="10"/>
      <c r="D477" s="10"/>
      <c r="E477" s="16"/>
      <c r="F477" s="10"/>
      <c r="G477" s="7"/>
      <c r="H477" s="8"/>
      <c r="I477" s="8"/>
      <c r="J477" s="8" t="str">
        <f t="shared" si="35"/>
        <v>借</v>
      </c>
      <c r="K477" s="9">
        <f t="shared" si="36"/>
        <v>11113</v>
      </c>
      <c r="L477" s="59"/>
      <c r="M477" s="85"/>
    </row>
    <row r="478" spans="2:13" ht="20.100000000000001" customHeight="1" x14ac:dyDescent="0.15">
      <c r="B478" s="58"/>
      <c r="C478" s="10"/>
      <c r="D478" s="10"/>
      <c r="E478" s="16"/>
      <c r="F478" s="10"/>
      <c r="G478" s="7"/>
      <c r="H478" s="8"/>
      <c r="I478" s="8"/>
      <c r="J478" s="8" t="str">
        <f t="shared" si="35"/>
        <v>借</v>
      </c>
      <c r="K478" s="9">
        <f t="shared" si="36"/>
        <v>11113</v>
      </c>
      <c r="L478" s="59"/>
      <c r="M478" s="87"/>
    </row>
    <row r="479" spans="2:13" ht="20.100000000000001" customHeight="1" x14ac:dyDescent="0.15">
      <c r="B479" s="58"/>
      <c r="C479" s="10"/>
      <c r="D479" s="10"/>
      <c r="E479" s="10"/>
      <c r="F479" s="10"/>
      <c r="G479" s="7"/>
      <c r="H479" s="8"/>
      <c r="I479" s="8"/>
      <c r="J479" s="8" t="str">
        <f t="shared" si="35"/>
        <v>借</v>
      </c>
      <c r="K479" s="9">
        <f t="shared" si="36"/>
        <v>11113</v>
      </c>
      <c r="L479" s="59"/>
      <c r="M479" s="87"/>
    </row>
    <row r="480" spans="2:13" ht="20.100000000000001" customHeight="1" x14ac:dyDescent="0.15">
      <c r="B480" s="58"/>
      <c r="C480" s="10"/>
      <c r="D480" s="10"/>
      <c r="E480" s="10"/>
      <c r="F480" s="10"/>
      <c r="G480" s="7"/>
      <c r="H480" s="8"/>
      <c r="I480" s="8"/>
      <c r="J480" s="8" t="str">
        <f t="shared" si="35"/>
        <v>借</v>
      </c>
      <c r="K480" s="9">
        <f t="shared" si="36"/>
        <v>11113</v>
      </c>
      <c r="L480" s="59"/>
      <c r="M480" s="86"/>
    </row>
    <row r="481" spans="2:13" ht="20.100000000000001" customHeight="1" x14ac:dyDescent="0.15">
      <c r="B481" s="58"/>
      <c r="C481" s="10"/>
      <c r="D481" s="10"/>
      <c r="E481" s="10"/>
      <c r="F481" s="10"/>
      <c r="G481" s="7"/>
      <c r="H481" s="8"/>
      <c r="I481" s="8"/>
      <c r="J481" s="8" t="str">
        <f t="shared" si="35"/>
        <v>借</v>
      </c>
      <c r="K481" s="9">
        <f t="shared" si="36"/>
        <v>11113</v>
      </c>
      <c r="L481" s="59"/>
      <c r="M481" s="55"/>
    </row>
    <row r="482" spans="2:13" ht="20.100000000000001" customHeight="1" x14ac:dyDescent="0.15">
      <c r="B482" s="58"/>
      <c r="C482" s="10"/>
      <c r="D482" s="10"/>
      <c r="E482" s="10"/>
      <c r="F482" s="10"/>
      <c r="G482" s="7"/>
      <c r="H482" s="8"/>
      <c r="I482" s="8"/>
      <c r="J482" s="8" t="str">
        <f t="shared" si="35"/>
        <v>借</v>
      </c>
      <c r="K482" s="9">
        <f t="shared" si="36"/>
        <v>11113</v>
      </c>
      <c r="L482" s="59"/>
      <c r="M482" s="55"/>
    </row>
    <row r="483" spans="2:13" ht="20.100000000000001" customHeight="1" x14ac:dyDescent="0.15">
      <c r="B483" s="58"/>
      <c r="C483" s="10"/>
      <c r="D483" s="10"/>
      <c r="E483" s="10"/>
      <c r="F483" s="10"/>
      <c r="G483" s="7"/>
      <c r="H483" s="8"/>
      <c r="I483" s="8"/>
      <c r="J483" s="8" t="str">
        <f t="shared" si="35"/>
        <v>借</v>
      </c>
      <c r="K483" s="9">
        <f t="shared" si="36"/>
        <v>11113</v>
      </c>
      <c r="L483" s="59"/>
      <c r="M483" s="55"/>
    </row>
    <row r="484" spans="2:13" ht="20.100000000000001" customHeight="1" x14ac:dyDescent="0.15">
      <c r="B484" s="58"/>
      <c r="C484" s="10"/>
      <c r="D484" s="10"/>
      <c r="E484" s="10"/>
      <c r="F484" s="10"/>
      <c r="G484" s="7"/>
      <c r="H484" s="8"/>
      <c r="I484" s="8"/>
      <c r="J484" s="8" t="str">
        <f t="shared" si="35"/>
        <v>借</v>
      </c>
      <c r="K484" s="9">
        <f t="shared" si="36"/>
        <v>11113</v>
      </c>
      <c r="L484" s="59"/>
      <c r="M484" s="55"/>
    </row>
    <row r="485" spans="2:13" ht="20.100000000000001" customHeight="1" x14ac:dyDescent="0.15">
      <c r="B485" s="58"/>
      <c r="C485" s="10"/>
      <c r="D485" s="10"/>
      <c r="E485" s="10"/>
      <c r="F485" s="10"/>
      <c r="G485" s="7"/>
      <c r="H485" s="8"/>
      <c r="I485" s="8"/>
      <c r="J485" s="8" t="str">
        <f t="shared" si="35"/>
        <v>借</v>
      </c>
      <c r="K485" s="9">
        <f t="shared" si="36"/>
        <v>11113</v>
      </c>
      <c r="L485" s="59"/>
      <c r="M485" s="55"/>
    </row>
    <row r="486" spans="2:13" ht="20.100000000000001" customHeight="1" x14ac:dyDescent="0.15">
      <c r="B486" s="58"/>
      <c r="C486" s="10"/>
      <c r="D486" s="10"/>
      <c r="E486" s="10"/>
      <c r="F486" s="10"/>
      <c r="G486" s="7"/>
      <c r="H486" s="8"/>
      <c r="I486" s="8"/>
      <c r="J486" s="8" t="str">
        <f t="shared" si="35"/>
        <v>借</v>
      </c>
      <c r="K486" s="9">
        <f t="shared" si="36"/>
        <v>11113</v>
      </c>
      <c r="L486" s="59"/>
      <c r="M486" s="55"/>
    </row>
    <row r="487" spans="2:13" ht="20.100000000000001" customHeight="1" x14ac:dyDescent="0.15">
      <c r="B487" s="58"/>
      <c r="C487" s="10"/>
      <c r="D487" s="10"/>
      <c r="E487" s="10"/>
      <c r="F487" s="10"/>
      <c r="G487" s="7"/>
      <c r="H487" s="8"/>
      <c r="I487" s="8"/>
      <c r="J487" s="8" t="str">
        <f t="shared" si="35"/>
        <v>借</v>
      </c>
      <c r="K487" s="9">
        <f t="shared" si="36"/>
        <v>11113</v>
      </c>
      <c r="L487" s="59"/>
      <c r="M487" s="55"/>
    </row>
    <row r="488" spans="2:13" ht="20.100000000000001" customHeight="1" x14ac:dyDescent="0.15">
      <c r="B488" s="58"/>
      <c r="C488" s="10"/>
      <c r="D488" s="10"/>
      <c r="E488" s="10"/>
      <c r="F488" s="10"/>
      <c r="G488" s="7"/>
      <c r="H488" s="8"/>
      <c r="I488" s="8"/>
      <c r="J488" s="8" t="str">
        <f t="shared" si="35"/>
        <v>借</v>
      </c>
      <c r="K488" s="9">
        <f t="shared" si="36"/>
        <v>11113</v>
      </c>
      <c r="L488" s="59"/>
      <c r="M488" s="55"/>
    </row>
    <row r="489" spans="2:13" ht="20.100000000000001" customHeight="1" x14ac:dyDescent="0.15">
      <c r="B489" s="58"/>
      <c r="C489" s="10"/>
      <c r="D489" s="10"/>
      <c r="E489" s="10"/>
      <c r="F489" s="10"/>
      <c r="G489" s="7"/>
      <c r="H489" s="8"/>
      <c r="I489" s="8"/>
      <c r="J489" s="8" t="str">
        <f t="shared" si="35"/>
        <v>借</v>
      </c>
      <c r="K489" s="9">
        <f t="shared" si="36"/>
        <v>11113</v>
      </c>
      <c r="L489" s="59"/>
      <c r="M489" s="85"/>
    </row>
    <row r="490" spans="2:13" ht="20.100000000000001" customHeight="1" x14ac:dyDescent="0.15">
      <c r="B490" s="58"/>
      <c r="C490" s="10"/>
      <c r="D490" s="10"/>
      <c r="E490" s="10"/>
      <c r="F490" s="10"/>
      <c r="G490" s="7"/>
      <c r="H490" s="8"/>
      <c r="I490" s="8"/>
      <c r="J490" s="8" t="str">
        <f t="shared" si="35"/>
        <v>借</v>
      </c>
      <c r="K490" s="9">
        <f t="shared" si="36"/>
        <v>11113</v>
      </c>
      <c r="L490" s="59"/>
      <c r="M490" s="86"/>
    </row>
    <row r="491" spans="2:13" ht="20.100000000000001" customHeight="1" x14ac:dyDescent="0.15">
      <c r="B491" s="58"/>
      <c r="C491" s="10"/>
      <c r="D491" s="10"/>
      <c r="E491" s="10"/>
      <c r="F491" s="10"/>
      <c r="G491" s="7"/>
      <c r="H491" s="8"/>
      <c r="I491" s="8"/>
      <c r="J491" s="8" t="str">
        <f t="shared" si="35"/>
        <v>借</v>
      </c>
      <c r="K491" s="9">
        <f t="shared" si="36"/>
        <v>11113</v>
      </c>
      <c r="L491" s="59"/>
    </row>
    <row r="492" spans="2:13" ht="20.100000000000001" customHeight="1" x14ac:dyDescent="0.15">
      <c r="B492" s="58"/>
      <c r="C492" s="10"/>
      <c r="D492" s="10"/>
      <c r="E492" s="10"/>
      <c r="F492" s="10"/>
      <c r="G492" s="7"/>
      <c r="H492" s="8"/>
      <c r="I492" s="8"/>
      <c r="J492" s="8" t="str">
        <f t="shared" si="35"/>
        <v>借</v>
      </c>
      <c r="K492" s="9">
        <f t="shared" si="36"/>
        <v>11113</v>
      </c>
      <c r="L492" s="59"/>
      <c r="M492" s="55"/>
    </row>
    <row r="493" spans="2:13" ht="20.100000000000001" customHeight="1" x14ac:dyDescent="0.15">
      <c r="B493" s="58"/>
      <c r="C493" s="10"/>
      <c r="D493" s="10"/>
      <c r="E493" s="10"/>
      <c r="F493" s="10"/>
      <c r="G493" s="7"/>
      <c r="H493" s="8"/>
      <c r="I493" s="8"/>
      <c r="J493" s="8" t="str">
        <f t="shared" si="35"/>
        <v>借</v>
      </c>
      <c r="K493" s="9">
        <f t="shared" si="36"/>
        <v>11113</v>
      </c>
      <c r="L493" s="59"/>
    </row>
    <row r="494" spans="2:13" ht="20.100000000000001" customHeight="1" x14ac:dyDescent="0.15">
      <c r="B494" s="58"/>
      <c r="C494" s="10"/>
      <c r="D494" s="10"/>
      <c r="E494" s="10"/>
      <c r="F494" s="10"/>
      <c r="G494" s="7"/>
      <c r="H494" s="8"/>
      <c r="I494" s="8"/>
      <c r="J494" s="8" t="str">
        <f t="shared" si="35"/>
        <v>借</v>
      </c>
      <c r="K494" s="9">
        <f t="shared" si="36"/>
        <v>11113</v>
      </c>
      <c r="L494" s="59"/>
      <c r="M494" s="55"/>
    </row>
    <row r="495" spans="2:13" ht="20.100000000000001" customHeight="1" x14ac:dyDescent="0.15">
      <c r="B495" s="58"/>
      <c r="C495" s="10"/>
      <c r="D495" s="10"/>
      <c r="E495" s="10"/>
      <c r="F495" s="10"/>
      <c r="G495" s="7"/>
      <c r="H495" s="8"/>
      <c r="I495" s="8"/>
      <c r="J495" s="8" t="str">
        <f t="shared" si="35"/>
        <v>借</v>
      </c>
      <c r="K495" s="9">
        <f t="shared" si="36"/>
        <v>11113</v>
      </c>
      <c r="L495" s="59"/>
      <c r="M495" s="55"/>
    </row>
    <row r="496" spans="2:13" ht="20.100000000000001" customHeight="1" x14ac:dyDescent="0.15">
      <c r="B496" s="58"/>
      <c r="C496" s="10"/>
      <c r="D496" s="10"/>
      <c r="E496" s="10"/>
      <c r="F496" s="10"/>
      <c r="G496" s="7"/>
      <c r="H496" s="8"/>
      <c r="I496" s="8"/>
      <c r="J496" s="8" t="str">
        <f t="shared" si="35"/>
        <v>借</v>
      </c>
      <c r="K496" s="9">
        <f t="shared" si="36"/>
        <v>11113</v>
      </c>
      <c r="L496" s="59"/>
      <c r="M496" s="55"/>
    </row>
    <row r="497" spans="2:13" ht="20.100000000000001" customHeight="1" x14ac:dyDescent="0.15">
      <c r="B497" s="58"/>
      <c r="C497" s="10"/>
      <c r="D497" s="10"/>
      <c r="E497" s="10"/>
      <c r="F497" s="10"/>
      <c r="G497" s="7"/>
      <c r="H497" s="8"/>
      <c r="I497" s="8"/>
      <c r="J497" s="8" t="str">
        <f t="shared" si="35"/>
        <v>借</v>
      </c>
      <c r="K497" s="9">
        <f t="shared" si="36"/>
        <v>11113</v>
      </c>
      <c r="L497" s="59"/>
      <c r="M497" s="55"/>
    </row>
    <row r="498" spans="2:13" ht="20.100000000000001" customHeight="1" x14ac:dyDescent="0.15">
      <c r="B498" s="58"/>
      <c r="C498" s="10"/>
      <c r="D498" s="10"/>
      <c r="E498" s="10"/>
      <c r="F498" s="10"/>
      <c r="G498" s="7"/>
      <c r="H498" s="8"/>
      <c r="I498" s="8"/>
      <c r="J498" s="8" t="str">
        <f t="shared" si="35"/>
        <v>借</v>
      </c>
      <c r="K498" s="9">
        <f t="shared" si="36"/>
        <v>11113</v>
      </c>
      <c r="L498" s="59"/>
      <c r="M498" s="55"/>
    </row>
    <row r="499" spans="2:13" ht="20.100000000000001" customHeight="1" x14ac:dyDescent="0.15">
      <c r="B499" s="58"/>
      <c r="C499" s="10"/>
      <c r="D499" s="10"/>
      <c r="E499" s="10"/>
      <c r="F499" s="10"/>
      <c r="G499" s="7"/>
      <c r="H499" s="8"/>
      <c r="I499" s="8"/>
      <c r="J499" s="8" t="str">
        <f t="shared" si="35"/>
        <v>借</v>
      </c>
      <c r="K499" s="9">
        <f t="shared" si="36"/>
        <v>11113</v>
      </c>
      <c r="L499" s="59"/>
      <c r="M499" s="55"/>
    </row>
    <row r="500" spans="2:13" ht="20.100000000000001" customHeight="1" x14ac:dyDescent="0.15">
      <c r="B500" s="58"/>
      <c r="C500" s="10"/>
      <c r="D500" s="10"/>
      <c r="E500" s="10"/>
      <c r="F500" s="10"/>
      <c r="G500" s="7"/>
      <c r="H500" s="8"/>
      <c r="I500" s="8"/>
      <c r="J500" s="8" t="str">
        <f t="shared" si="35"/>
        <v>借</v>
      </c>
      <c r="K500" s="9">
        <f t="shared" ref="K500:K531" si="37">_xlfn.IFS(J499="借",K499+H500-I500,J499="贷",H500-I500-K499)</f>
        <v>11113</v>
      </c>
      <c r="L500" s="59"/>
      <c r="M500" s="55"/>
    </row>
    <row r="501" spans="2:13" ht="20.100000000000001" customHeight="1" x14ac:dyDescent="0.15">
      <c r="B501" s="58"/>
      <c r="C501" s="10"/>
      <c r="D501" s="10"/>
      <c r="E501" s="10"/>
      <c r="F501" s="10"/>
      <c r="G501" s="7"/>
      <c r="H501" s="8"/>
      <c r="I501" s="8"/>
      <c r="J501" s="8" t="str">
        <f t="shared" si="35"/>
        <v>借</v>
      </c>
      <c r="K501" s="9">
        <f t="shared" si="37"/>
        <v>11113</v>
      </c>
      <c r="L501" s="59"/>
      <c r="M501" s="55"/>
    </row>
    <row r="502" spans="2:13" ht="20.100000000000001" customHeight="1" x14ac:dyDescent="0.15">
      <c r="B502" s="58"/>
      <c r="C502" s="10"/>
      <c r="D502" s="10"/>
      <c r="E502" s="10"/>
      <c r="F502" s="10"/>
      <c r="G502" s="7"/>
      <c r="H502" s="8"/>
      <c r="I502" s="8"/>
      <c r="J502" s="8" t="str">
        <f t="shared" si="35"/>
        <v>借</v>
      </c>
      <c r="K502" s="9">
        <f t="shared" si="37"/>
        <v>11113</v>
      </c>
      <c r="L502" s="59"/>
      <c r="M502" s="55"/>
    </row>
    <row r="503" spans="2:13" ht="20.100000000000001" customHeight="1" x14ac:dyDescent="0.15">
      <c r="B503" s="58"/>
      <c r="C503" s="10"/>
      <c r="D503" s="10"/>
      <c r="E503" s="10"/>
      <c r="F503" s="10"/>
      <c r="G503" s="7"/>
      <c r="H503" s="8"/>
      <c r="I503" s="8"/>
      <c r="J503" s="8" t="str">
        <f t="shared" si="35"/>
        <v>借</v>
      </c>
      <c r="K503" s="9">
        <f t="shared" si="37"/>
        <v>11113</v>
      </c>
      <c r="L503" s="59"/>
      <c r="M503" s="55"/>
    </row>
    <row r="504" spans="2:13" ht="20.100000000000001" customHeight="1" x14ac:dyDescent="0.15">
      <c r="B504" s="58"/>
      <c r="C504" s="10"/>
      <c r="D504" s="10"/>
      <c r="E504" s="10"/>
      <c r="F504" s="10"/>
      <c r="G504" s="7"/>
      <c r="H504" s="8"/>
      <c r="I504" s="8"/>
      <c r="J504" s="8" t="str">
        <f t="shared" si="35"/>
        <v>借</v>
      </c>
      <c r="K504" s="9">
        <f t="shared" si="37"/>
        <v>11113</v>
      </c>
      <c r="L504" s="59"/>
      <c r="M504" s="55"/>
    </row>
    <row r="505" spans="2:13" ht="20.100000000000001" customHeight="1" x14ac:dyDescent="0.15">
      <c r="B505" s="58"/>
      <c r="C505" s="10"/>
      <c r="D505" s="10"/>
      <c r="E505" s="10"/>
      <c r="F505" s="10"/>
      <c r="G505" s="7"/>
      <c r="H505" s="8"/>
      <c r="I505" s="8"/>
      <c r="J505" s="8" t="str">
        <f t="shared" si="35"/>
        <v>借</v>
      </c>
      <c r="K505" s="9">
        <f t="shared" si="37"/>
        <v>11113</v>
      </c>
      <c r="L505" s="59"/>
      <c r="M505" s="55"/>
    </row>
    <row r="506" spans="2:13" ht="20.100000000000001" customHeight="1" x14ac:dyDescent="0.15">
      <c r="B506" s="58"/>
      <c r="C506" s="10"/>
      <c r="D506" s="10"/>
      <c r="E506" s="10"/>
      <c r="F506" s="10"/>
      <c r="G506" s="7"/>
      <c r="H506" s="8"/>
      <c r="I506" s="8"/>
      <c r="J506" s="8" t="str">
        <f t="shared" si="35"/>
        <v>借</v>
      </c>
      <c r="K506" s="9">
        <f t="shared" si="37"/>
        <v>11113</v>
      </c>
      <c r="L506" s="59"/>
      <c r="M506" s="55"/>
    </row>
    <row r="507" spans="2:13" ht="20.100000000000001" customHeight="1" x14ac:dyDescent="0.15">
      <c r="B507" s="58"/>
      <c r="C507" s="10"/>
      <c r="D507" s="10"/>
      <c r="E507" s="10"/>
      <c r="F507" s="10"/>
      <c r="G507" s="7"/>
      <c r="H507" s="8"/>
      <c r="I507" s="8"/>
      <c r="J507" s="8" t="str">
        <f t="shared" si="35"/>
        <v>借</v>
      </c>
      <c r="K507" s="9">
        <f t="shared" si="37"/>
        <v>11113</v>
      </c>
      <c r="L507" s="59"/>
      <c r="M507" s="55"/>
    </row>
    <row r="508" spans="2:13" ht="20.100000000000001" customHeight="1" x14ac:dyDescent="0.15">
      <c r="B508" s="58"/>
      <c r="C508" s="10"/>
      <c r="D508" s="10"/>
      <c r="E508" s="10"/>
      <c r="F508" s="10"/>
      <c r="G508" s="7"/>
      <c r="H508" s="8"/>
      <c r="I508" s="8"/>
      <c r="J508" s="8" t="str">
        <f t="shared" si="35"/>
        <v>借</v>
      </c>
      <c r="K508" s="9">
        <f t="shared" si="37"/>
        <v>11113</v>
      </c>
      <c r="L508" s="59"/>
      <c r="M508" s="55"/>
    </row>
    <row r="509" spans="2:13" ht="20.100000000000001" customHeight="1" x14ac:dyDescent="0.15">
      <c r="B509" s="58"/>
      <c r="C509" s="10"/>
      <c r="D509" s="10"/>
      <c r="E509" s="10"/>
      <c r="F509" s="10"/>
      <c r="G509" s="7"/>
      <c r="H509" s="8"/>
      <c r="I509" s="8"/>
      <c r="J509" s="8" t="str">
        <f t="shared" si="35"/>
        <v>借</v>
      </c>
      <c r="K509" s="9">
        <f t="shared" si="37"/>
        <v>11113</v>
      </c>
      <c r="L509" s="59"/>
      <c r="M509" s="55"/>
    </row>
    <row r="510" spans="2:13" ht="20.100000000000001" customHeight="1" x14ac:dyDescent="0.15">
      <c r="B510" s="58"/>
      <c r="C510" s="10"/>
      <c r="D510" s="10"/>
      <c r="E510" s="10"/>
      <c r="F510" s="10"/>
      <c r="G510" s="7"/>
      <c r="H510" s="8"/>
      <c r="I510" s="8"/>
      <c r="J510" s="8" t="str">
        <f t="shared" si="35"/>
        <v>借</v>
      </c>
      <c r="K510" s="9">
        <f t="shared" si="37"/>
        <v>11113</v>
      </c>
      <c r="L510" s="59"/>
      <c r="M510" s="55"/>
    </row>
    <row r="511" spans="2:13" ht="20.100000000000001" customHeight="1" x14ac:dyDescent="0.15">
      <c r="B511" s="58"/>
      <c r="C511" s="10"/>
      <c r="D511" s="10"/>
      <c r="E511" s="10"/>
      <c r="F511" s="10"/>
      <c r="G511" s="7"/>
      <c r="H511" s="8"/>
      <c r="I511" s="8"/>
      <c r="J511" s="8" t="str">
        <f t="shared" si="35"/>
        <v>借</v>
      </c>
      <c r="K511" s="9">
        <f t="shared" si="37"/>
        <v>11113</v>
      </c>
      <c r="L511" s="59"/>
      <c r="M511" s="55"/>
    </row>
    <row r="512" spans="2:13" ht="20.100000000000001" customHeight="1" x14ac:dyDescent="0.15">
      <c r="B512" s="58"/>
      <c r="C512" s="10"/>
      <c r="D512" s="10"/>
      <c r="E512" s="10"/>
      <c r="F512" s="10"/>
      <c r="G512" s="7"/>
      <c r="H512" s="8"/>
      <c r="I512" s="8"/>
      <c r="J512" s="8" t="str">
        <f t="shared" si="35"/>
        <v>借</v>
      </c>
      <c r="K512" s="9">
        <f t="shared" si="37"/>
        <v>11113</v>
      </c>
      <c r="L512" s="59"/>
      <c r="M512" s="55"/>
    </row>
    <row r="513" spans="2:13" ht="20.100000000000001" customHeight="1" x14ac:dyDescent="0.15">
      <c r="B513" s="58"/>
      <c r="C513" s="10"/>
      <c r="D513" s="10"/>
      <c r="E513" s="10"/>
      <c r="F513" s="10"/>
      <c r="G513" s="7"/>
      <c r="H513" s="8"/>
      <c r="I513" s="8"/>
      <c r="J513" s="8" t="str">
        <f t="shared" si="35"/>
        <v>借</v>
      </c>
      <c r="K513" s="9">
        <f t="shared" si="37"/>
        <v>11113</v>
      </c>
      <c r="L513" s="59"/>
      <c r="M513" s="55"/>
    </row>
    <row r="514" spans="2:13" ht="20.100000000000001" customHeight="1" x14ac:dyDescent="0.15">
      <c r="B514" s="58"/>
      <c r="C514" s="10"/>
      <c r="D514" s="10"/>
      <c r="E514" s="10"/>
      <c r="F514" s="10"/>
      <c r="G514" s="7"/>
      <c r="H514" s="8"/>
      <c r="I514" s="8"/>
      <c r="J514" s="8" t="str">
        <f t="shared" si="35"/>
        <v>借</v>
      </c>
      <c r="K514" s="9">
        <f t="shared" si="37"/>
        <v>11113</v>
      </c>
      <c r="L514" s="59"/>
      <c r="M514" s="55"/>
    </row>
    <row r="515" spans="2:13" ht="20.100000000000001" customHeight="1" x14ac:dyDescent="0.15">
      <c r="B515" s="58"/>
      <c r="C515" s="10"/>
      <c r="D515" s="10"/>
      <c r="E515" s="10"/>
      <c r="F515" s="10"/>
      <c r="G515" s="7"/>
      <c r="H515" s="8"/>
      <c r="I515" s="8"/>
      <c r="J515" s="8" t="str">
        <f t="shared" si="35"/>
        <v>借</v>
      </c>
      <c r="K515" s="9">
        <f t="shared" si="37"/>
        <v>11113</v>
      </c>
      <c r="L515" s="59"/>
      <c r="M515" s="55"/>
    </row>
    <row r="516" spans="2:13" ht="20.100000000000001" customHeight="1" x14ac:dyDescent="0.15">
      <c r="B516" s="58"/>
      <c r="C516" s="10"/>
      <c r="D516" s="10"/>
      <c r="E516" s="10"/>
      <c r="F516" s="10"/>
      <c r="G516" s="7"/>
      <c r="H516" s="8"/>
      <c r="I516" s="8"/>
      <c r="J516" s="8" t="str">
        <f t="shared" si="35"/>
        <v>借</v>
      </c>
      <c r="K516" s="9">
        <f t="shared" si="37"/>
        <v>11113</v>
      </c>
      <c r="L516" s="59"/>
      <c r="M516" s="63"/>
    </row>
    <row r="517" spans="2:13" ht="20.100000000000001" customHeight="1" x14ac:dyDescent="0.15">
      <c r="B517" s="58"/>
      <c r="C517" s="10"/>
      <c r="D517" s="10"/>
      <c r="E517" s="10"/>
      <c r="F517" s="10"/>
      <c r="G517" s="7"/>
      <c r="H517" s="8"/>
      <c r="I517" s="8"/>
      <c r="J517" s="8" t="str">
        <f t="shared" si="35"/>
        <v>借</v>
      </c>
      <c r="K517" s="9">
        <f t="shared" si="37"/>
        <v>11113</v>
      </c>
      <c r="L517" s="59"/>
      <c r="M517" s="64"/>
    </row>
    <row r="518" spans="2:13" ht="20.100000000000001" customHeight="1" x14ac:dyDescent="0.15">
      <c r="B518" s="58"/>
      <c r="C518" s="10"/>
      <c r="D518" s="10"/>
      <c r="E518" s="10"/>
      <c r="F518" s="10"/>
      <c r="G518" s="7"/>
      <c r="H518" s="8"/>
      <c r="I518" s="8"/>
      <c r="J518" s="8" t="str">
        <f t="shared" si="35"/>
        <v>借</v>
      </c>
      <c r="K518" s="9">
        <f t="shared" si="37"/>
        <v>11113</v>
      </c>
      <c r="L518" s="59"/>
      <c r="M518" s="55"/>
    </row>
    <row r="519" spans="2:13" ht="20.100000000000001" customHeight="1" x14ac:dyDescent="0.15">
      <c r="B519" s="58"/>
      <c r="C519" s="10"/>
      <c r="D519" s="10"/>
      <c r="E519" s="10"/>
      <c r="F519" s="10"/>
      <c r="G519" s="7"/>
      <c r="H519" s="8"/>
      <c r="I519" s="8"/>
      <c r="J519" s="8" t="str">
        <f t="shared" si="35"/>
        <v>借</v>
      </c>
      <c r="K519" s="9">
        <f t="shared" si="37"/>
        <v>11113</v>
      </c>
      <c r="L519" s="59"/>
      <c r="M519" s="55"/>
    </row>
    <row r="520" spans="2:13" ht="20.100000000000001" customHeight="1" x14ac:dyDescent="0.15">
      <c r="B520" s="58"/>
      <c r="C520" s="10"/>
      <c r="D520" s="10"/>
      <c r="E520" s="10"/>
      <c r="F520" s="10"/>
      <c r="G520" s="7"/>
      <c r="H520" s="8"/>
      <c r="I520" s="8"/>
      <c r="J520" s="8" t="str">
        <f t="shared" si="35"/>
        <v>借</v>
      </c>
      <c r="K520" s="9">
        <f t="shared" si="37"/>
        <v>11113</v>
      </c>
      <c r="L520" s="59"/>
      <c r="M520" s="55"/>
    </row>
    <row r="521" spans="2:13" ht="20.100000000000001" customHeight="1" x14ac:dyDescent="0.15">
      <c r="B521" s="58"/>
      <c r="C521" s="10"/>
      <c r="D521" s="10"/>
      <c r="E521" s="10"/>
      <c r="F521" s="10"/>
      <c r="G521" s="7"/>
      <c r="H521" s="8"/>
      <c r="I521" s="8"/>
      <c r="J521" s="8" t="str">
        <f t="shared" si="35"/>
        <v>借</v>
      </c>
      <c r="K521" s="9">
        <f t="shared" si="37"/>
        <v>11113</v>
      </c>
      <c r="L521" s="59"/>
      <c r="M521" s="55"/>
    </row>
    <row r="522" spans="2:13" ht="20.100000000000001" customHeight="1" x14ac:dyDescent="0.15">
      <c r="B522" s="58"/>
      <c r="C522" s="10"/>
      <c r="D522" s="10"/>
      <c r="E522" s="10"/>
      <c r="F522" s="10"/>
      <c r="G522" s="7"/>
      <c r="H522" s="8"/>
      <c r="I522" s="8"/>
      <c r="J522" s="8" t="str">
        <f t="shared" si="35"/>
        <v>借</v>
      </c>
      <c r="K522" s="9">
        <f t="shared" si="37"/>
        <v>11113</v>
      </c>
      <c r="L522" s="59"/>
      <c r="M522" s="55"/>
    </row>
    <row r="523" spans="2:13" ht="20.100000000000001" customHeight="1" x14ac:dyDescent="0.15">
      <c r="B523" s="58"/>
      <c r="C523" s="10"/>
      <c r="D523" s="10"/>
      <c r="E523" s="10"/>
      <c r="F523" s="10"/>
      <c r="G523" s="7"/>
      <c r="H523" s="8"/>
      <c r="I523" s="8"/>
      <c r="J523" s="8" t="str">
        <f t="shared" si="35"/>
        <v>借</v>
      </c>
      <c r="K523" s="9">
        <f t="shared" si="37"/>
        <v>11113</v>
      </c>
      <c r="L523" s="59"/>
      <c r="M523" s="55"/>
    </row>
    <row r="524" spans="2:13" ht="20.100000000000001" customHeight="1" x14ac:dyDescent="0.15">
      <c r="B524" s="58"/>
      <c r="C524" s="10"/>
      <c r="D524" s="10"/>
      <c r="E524" s="10"/>
      <c r="F524" s="10"/>
      <c r="G524" s="7"/>
      <c r="H524" s="8"/>
      <c r="I524" s="8"/>
      <c r="J524" s="8" t="str">
        <f t="shared" si="35"/>
        <v>借</v>
      </c>
      <c r="K524" s="9">
        <f t="shared" si="37"/>
        <v>11113</v>
      </c>
      <c r="L524" s="59"/>
      <c r="M524" s="55"/>
    </row>
    <row r="525" spans="2:13" ht="20.100000000000001" customHeight="1" x14ac:dyDescent="0.15">
      <c r="B525" s="58"/>
      <c r="C525" s="10"/>
      <c r="D525" s="10"/>
      <c r="E525" s="10"/>
      <c r="F525" s="10"/>
      <c r="G525" s="7"/>
      <c r="H525" s="8"/>
      <c r="I525" s="8"/>
      <c r="J525" s="8" t="str">
        <f t="shared" si="35"/>
        <v>借</v>
      </c>
      <c r="K525" s="9">
        <f t="shared" si="37"/>
        <v>11113</v>
      </c>
      <c r="L525" s="59"/>
      <c r="M525" s="55"/>
    </row>
    <row r="526" spans="2:13" ht="20.100000000000001" customHeight="1" x14ac:dyDescent="0.15">
      <c r="B526" s="58"/>
      <c r="C526" s="10"/>
      <c r="D526" s="10"/>
      <c r="E526" s="10"/>
      <c r="F526" s="10"/>
      <c r="G526" s="7"/>
      <c r="H526" s="8"/>
      <c r="I526" s="8"/>
      <c r="J526" s="8" t="str">
        <f t="shared" si="35"/>
        <v>借</v>
      </c>
      <c r="K526" s="9">
        <f t="shared" si="37"/>
        <v>11113</v>
      </c>
      <c r="L526" s="59"/>
      <c r="M526" s="55"/>
    </row>
    <row r="527" spans="2:13" ht="20.100000000000001" customHeight="1" x14ac:dyDescent="0.15">
      <c r="B527" s="58"/>
      <c r="C527" s="10"/>
      <c r="D527" s="10"/>
      <c r="E527" s="10"/>
      <c r="F527" s="10"/>
      <c r="G527" s="7"/>
      <c r="H527" s="8"/>
      <c r="I527" s="8"/>
      <c r="J527" s="8" t="str">
        <f t="shared" si="35"/>
        <v>借</v>
      </c>
      <c r="K527" s="9">
        <f t="shared" si="37"/>
        <v>11113</v>
      </c>
      <c r="L527" s="59"/>
      <c r="M527" s="55"/>
    </row>
    <row r="528" spans="2:13" ht="20.100000000000001" customHeight="1" x14ac:dyDescent="0.15">
      <c r="B528" s="58"/>
      <c r="C528" s="10"/>
      <c r="D528" s="10"/>
      <c r="E528" s="10"/>
      <c r="F528" s="10"/>
      <c r="G528" s="7"/>
      <c r="H528" s="8"/>
      <c r="I528" s="8"/>
      <c r="J528" s="8" t="str">
        <f t="shared" si="35"/>
        <v>借</v>
      </c>
      <c r="K528" s="9">
        <f t="shared" si="37"/>
        <v>11113</v>
      </c>
      <c r="L528" s="59"/>
      <c r="M528" s="55"/>
    </row>
    <row r="529" spans="2:13" ht="20.100000000000001" customHeight="1" x14ac:dyDescent="0.15">
      <c r="B529" s="58"/>
      <c r="C529" s="10"/>
      <c r="D529" s="10"/>
      <c r="E529" s="10"/>
      <c r="F529" s="10"/>
      <c r="G529" s="7"/>
      <c r="H529" s="8"/>
      <c r="I529" s="8"/>
      <c r="J529" s="8" t="str">
        <f t="shared" si="35"/>
        <v>借</v>
      </c>
      <c r="K529" s="9">
        <f t="shared" si="37"/>
        <v>11113</v>
      </c>
      <c r="L529" s="59"/>
      <c r="M529" s="55"/>
    </row>
    <row r="530" spans="2:13" ht="20.100000000000001" customHeight="1" x14ac:dyDescent="0.15">
      <c r="B530" s="58"/>
      <c r="C530" s="10"/>
      <c r="D530" s="10"/>
      <c r="E530" s="10"/>
      <c r="F530" s="10"/>
      <c r="G530" s="7"/>
      <c r="H530" s="8"/>
      <c r="I530" s="8"/>
      <c r="J530" s="8" t="str">
        <f t="shared" si="35"/>
        <v>借</v>
      </c>
      <c r="K530" s="9">
        <f t="shared" si="37"/>
        <v>11113</v>
      </c>
      <c r="L530" s="59"/>
      <c r="M530" s="55"/>
    </row>
    <row r="531" spans="2:13" ht="20.100000000000001" customHeight="1" x14ac:dyDescent="0.15">
      <c r="B531" s="58"/>
      <c r="C531" s="10"/>
      <c r="D531" s="10"/>
      <c r="E531" s="10"/>
      <c r="F531" s="10"/>
      <c r="G531" s="7"/>
      <c r="H531" s="8"/>
      <c r="I531" s="8"/>
      <c r="J531" s="8" t="str">
        <f t="shared" si="35"/>
        <v>借</v>
      </c>
      <c r="K531" s="9">
        <f t="shared" si="37"/>
        <v>11113</v>
      </c>
      <c r="L531" s="59"/>
    </row>
    <row r="532" spans="2:13" ht="20.100000000000001" customHeight="1" x14ac:dyDescent="0.15">
      <c r="B532" s="58"/>
      <c r="C532" s="10"/>
      <c r="D532" s="10"/>
      <c r="E532" s="10"/>
      <c r="F532" s="10"/>
      <c r="G532" s="7"/>
      <c r="H532" s="8"/>
      <c r="I532" s="8"/>
      <c r="J532" s="23" t="str">
        <f t="shared" ref="J532:J580" si="38">IF((K531+H532-I532)&gt;0,"借","贷")</f>
        <v>借</v>
      </c>
      <c r="K532" s="9">
        <f t="shared" ref="K532:K579" si="39">_xlfn.IFS(J531="借",K531+H532-I532,J531="贷",H532-I532-K531)</f>
        <v>11113</v>
      </c>
      <c r="L532" s="59"/>
    </row>
    <row r="533" spans="2:13" ht="20.100000000000001" customHeight="1" x14ac:dyDescent="0.15">
      <c r="B533" s="58"/>
      <c r="C533" s="10"/>
      <c r="D533" s="10"/>
      <c r="E533" s="10"/>
      <c r="F533" s="10"/>
      <c r="G533" s="7"/>
      <c r="H533" s="8"/>
      <c r="I533" s="8"/>
      <c r="J533" s="8" t="str">
        <f t="shared" si="38"/>
        <v>借</v>
      </c>
      <c r="K533" s="9">
        <f t="shared" si="39"/>
        <v>11113</v>
      </c>
      <c r="L533" s="59"/>
    </row>
    <row r="534" spans="2:13" ht="20.100000000000001" customHeight="1" x14ac:dyDescent="0.15">
      <c r="B534" s="58"/>
      <c r="C534" s="10"/>
      <c r="D534" s="10"/>
      <c r="E534" s="10"/>
      <c r="F534" s="10"/>
      <c r="G534" s="7"/>
      <c r="H534" s="8"/>
      <c r="I534" s="8"/>
      <c r="J534" s="23" t="str">
        <f t="shared" si="38"/>
        <v>借</v>
      </c>
      <c r="K534" s="9">
        <f t="shared" si="39"/>
        <v>11113</v>
      </c>
      <c r="L534" s="59"/>
    </row>
    <row r="535" spans="2:13" ht="20.100000000000001" customHeight="1" x14ac:dyDescent="0.15">
      <c r="B535" s="58"/>
      <c r="C535" s="10"/>
      <c r="D535" s="10"/>
      <c r="E535" s="10"/>
      <c r="F535" s="10"/>
      <c r="G535" s="7"/>
      <c r="H535" s="8"/>
      <c r="I535" s="8"/>
      <c r="J535" s="8" t="str">
        <f t="shared" si="38"/>
        <v>借</v>
      </c>
      <c r="K535" s="9">
        <f t="shared" si="39"/>
        <v>11113</v>
      </c>
      <c r="L535" s="59"/>
    </row>
    <row r="536" spans="2:13" ht="20.100000000000001" customHeight="1" x14ac:dyDescent="0.15">
      <c r="B536" s="58"/>
      <c r="C536" s="10"/>
      <c r="D536" s="10"/>
      <c r="E536" s="10"/>
      <c r="F536" s="10"/>
      <c r="G536" s="7"/>
      <c r="H536" s="8"/>
      <c r="I536" s="8"/>
      <c r="J536" s="23" t="str">
        <f t="shared" si="38"/>
        <v>借</v>
      </c>
      <c r="K536" s="43">
        <f t="shared" si="39"/>
        <v>11113</v>
      </c>
      <c r="L536" s="59"/>
    </row>
    <row r="537" spans="2:13" ht="20.100000000000001" customHeight="1" x14ac:dyDescent="0.15">
      <c r="B537" s="58"/>
      <c r="C537" s="10"/>
      <c r="D537" s="10"/>
      <c r="E537" s="10"/>
      <c r="F537" s="10"/>
      <c r="G537" s="7"/>
      <c r="H537" s="8"/>
      <c r="I537" s="8"/>
      <c r="J537" s="8" t="str">
        <f t="shared" si="38"/>
        <v>借</v>
      </c>
      <c r="K537" s="41">
        <f t="shared" si="39"/>
        <v>11113</v>
      </c>
      <c r="L537" s="59"/>
    </row>
    <row r="538" spans="2:13" ht="20.100000000000001" customHeight="1" x14ac:dyDescent="0.15">
      <c r="B538" s="58"/>
      <c r="C538" s="10"/>
      <c r="D538" s="10"/>
      <c r="E538" s="10"/>
      <c r="F538" s="10"/>
      <c r="G538" s="7"/>
      <c r="H538" s="8"/>
      <c r="I538" s="8"/>
      <c r="J538" s="23" t="str">
        <f t="shared" si="38"/>
        <v>借</v>
      </c>
      <c r="K538" s="41">
        <f t="shared" si="39"/>
        <v>11113</v>
      </c>
      <c r="L538" s="59"/>
    </row>
    <row r="539" spans="2:13" ht="20.100000000000001" customHeight="1" x14ac:dyDescent="0.15">
      <c r="B539" s="58"/>
      <c r="C539" s="10"/>
      <c r="D539" s="10"/>
      <c r="E539" s="10"/>
      <c r="F539" s="10"/>
      <c r="G539" s="7"/>
      <c r="H539" s="8"/>
      <c r="I539" s="8"/>
      <c r="J539" s="8" t="str">
        <f t="shared" si="38"/>
        <v>借</v>
      </c>
      <c r="K539" s="43">
        <f t="shared" si="39"/>
        <v>11113</v>
      </c>
      <c r="L539" s="9"/>
    </row>
    <row r="540" spans="2:13" ht="20.100000000000001" customHeight="1" x14ac:dyDescent="0.15">
      <c r="B540" s="58"/>
      <c r="C540" s="10"/>
      <c r="D540" s="10"/>
      <c r="E540" s="10"/>
      <c r="F540" s="10"/>
      <c r="G540" s="7"/>
      <c r="H540" s="8"/>
      <c r="I540" s="8"/>
      <c r="J540" s="23" t="str">
        <f t="shared" si="38"/>
        <v>借</v>
      </c>
      <c r="K540" s="41">
        <f t="shared" si="39"/>
        <v>11113</v>
      </c>
      <c r="L540" s="9"/>
    </row>
    <row r="541" spans="2:13" ht="20.100000000000001" customHeight="1" x14ac:dyDescent="0.15">
      <c r="B541" s="58"/>
      <c r="C541" s="10"/>
      <c r="D541" s="10"/>
      <c r="E541" s="10"/>
      <c r="F541" s="10"/>
      <c r="G541" s="7"/>
      <c r="H541" s="8"/>
      <c r="I541" s="8"/>
      <c r="J541" s="8" t="str">
        <f t="shared" si="38"/>
        <v>借</v>
      </c>
      <c r="K541" s="41">
        <f t="shared" si="39"/>
        <v>11113</v>
      </c>
      <c r="L541" s="9"/>
    </row>
    <row r="542" spans="2:13" ht="20.100000000000001" customHeight="1" x14ac:dyDescent="0.15">
      <c r="B542" s="72"/>
      <c r="C542" s="10"/>
      <c r="D542" s="10"/>
      <c r="E542" s="10"/>
      <c r="F542" s="10"/>
      <c r="G542" s="7"/>
      <c r="H542" s="8"/>
      <c r="I542" s="8"/>
      <c r="J542" s="23" t="str">
        <f t="shared" si="38"/>
        <v>借</v>
      </c>
      <c r="K542" s="43">
        <f t="shared" si="39"/>
        <v>11113</v>
      </c>
      <c r="L542" s="9"/>
    </row>
    <row r="543" spans="2:13" ht="20.100000000000001" customHeight="1" x14ac:dyDescent="0.15">
      <c r="B543" s="72"/>
      <c r="C543" s="10"/>
      <c r="D543" s="10"/>
      <c r="E543" s="10"/>
      <c r="F543" s="10"/>
      <c r="G543" s="7"/>
      <c r="H543" s="8"/>
      <c r="I543" s="8"/>
      <c r="J543" s="8" t="str">
        <f t="shared" si="38"/>
        <v>借</v>
      </c>
      <c r="K543" s="41">
        <f t="shared" si="39"/>
        <v>11113</v>
      </c>
      <c r="L543" s="9"/>
    </row>
    <row r="544" spans="2:13" ht="20.100000000000001" customHeight="1" x14ac:dyDescent="0.15">
      <c r="B544" s="72"/>
      <c r="C544" s="10"/>
      <c r="D544" s="10"/>
      <c r="E544" s="10"/>
      <c r="F544" s="10"/>
      <c r="G544" s="7"/>
      <c r="H544" s="8"/>
      <c r="I544" s="8"/>
      <c r="J544" s="23" t="str">
        <f t="shared" si="38"/>
        <v>借</v>
      </c>
      <c r="K544" s="41">
        <f t="shared" si="39"/>
        <v>11113</v>
      </c>
      <c r="L544" s="9"/>
    </row>
    <row r="545" spans="2:13" ht="20.100000000000001" customHeight="1" x14ac:dyDescent="0.15">
      <c r="B545" s="72"/>
      <c r="C545" s="10"/>
      <c r="D545" s="10"/>
      <c r="E545" s="10"/>
      <c r="F545" s="10"/>
      <c r="G545" s="7"/>
      <c r="H545" s="8"/>
      <c r="I545" s="8"/>
      <c r="J545" s="8" t="str">
        <f t="shared" si="38"/>
        <v>借</v>
      </c>
      <c r="K545" s="43">
        <f t="shared" si="39"/>
        <v>11113</v>
      </c>
      <c r="L545" s="9"/>
    </row>
    <row r="546" spans="2:13" ht="20.100000000000001" customHeight="1" x14ac:dyDescent="0.15">
      <c r="B546" s="72"/>
      <c r="C546" s="10"/>
      <c r="D546" s="10"/>
      <c r="E546" s="10"/>
      <c r="F546" s="10"/>
      <c r="G546" s="7"/>
      <c r="H546" s="8"/>
      <c r="I546" s="8"/>
      <c r="J546" s="23" t="str">
        <f t="shared" si="38"/>
        <v>借</v>
      </c>
      <c r="K546" s="41">
        <f t="shared" si="39"/>
        <v>11113</v>
      </c>
      <c r="L546" s="9"/>
    </row>
    <row r="547" spans="2:13" ht="20.100000000000001" customHeight="1" x14ac:dyDescent="0.15">
      <c r="B547" s="72"/>
      <c r="C547" s="10"/>
      <c r="D547" s="10"/>
      <c r="E547" s="10"/>
      <c r="F547" s="10"/>
      <c r="G547" s="7"/>
      <c r="H547" s="8"/>
      <c r="I547" s="8"/>
      <c r="J547" s="8" t="str">
        <f t="shared" si="38"/>
        <v>借</v>
      </c>
      <c r="K547" s="41">
        <f t="shared" si="39"/>
        <v>11113</v>
      </c>
      <c r="L547" s="9"/>
    </row>
    <row r="548" spans="2:13" ht="20.100000000000001" customHeight="1" x14ac:dyDescent="0.15">
      <c r="B548" s="72"/>
      <c r="C548" s="10"/>
      <c r="D548" s="10"/>
      <c r="E548" s="10"/>
      <c r="F548" s="10"/>
      <c r="G548" s="7"/>
      <c r="H548" s="8"/>
      <c r="I548" s="8"/>
      <c r="J548" s="23" t="str">
        <f t="shared" si="38"/>
        <v>借</v>
      </c>
      <c r="K548" s="43">
        <f t="shared" si="39"/>
        <v>11113</v>
      </c>
      <c r="L548" s="9"/>
    </row>
    <row r="549" spans="2:13" ht="20.100000000000001" customHeight="1" x14ac:dyDescent="0.15">
      <c r="B549" s="72"/>
      <c r="C549" s="10"/>
      <c r="D549" s="10"/>
      <c r="E549" s="10"/>
      <c r="F549" s="10"/>
      <c r="G549" s="7"/>
      <c r="H549" s="8"/>
      <c r="I549" s="8"/>
      <c r="J549" s="8" t="str">
        <f t="shared" si="38"/>
        <v>借</v>
      </c>
      <c r="K549" s="41">
        <f t="shared" si="39"/>
        <v>11113</v>
      </c>
      <c r="L549" s="9"/>
    </row>
    <row r="550" spans="2:13" ht="20.100000000000001" customHeight="1" x14ac:dyDescent="0.15">
      <c r="B550" s="72"/>
      <c r="C550" s="10"/>
      <c r="D550" s="10"/>
      <c r="E550" s="10"/>
      <c r="F550" s="10"/>
      <c r="G550" s="7"/>
      <c r="H550" s="8"/>
      <c r="I550" s="8"/>
      <c r="J550" s="23" t="str">
        <f t="shared" si="38"/>
        <v>借</v>
      </c>
      <c r="K550" s="41">
        <f t="shared" si="39"/>
        <v>11113</v>
      </c>
      <c r="L550" s="9"/>
    </row>
    <row r="551" spans="2:13" ht="20.100000000000001" customHeight="1" x14ac:dyDescent="0.15">
      <c r="B551" s="72"/>
      <c r="C551" s="10"/>
      <c r="D551" s="10"/>
      <c r="E551" s="10"/>
      <c r="F551" s="10"/>
      <c r="G551" s="7"/>
      <c r="H551" s="8"/>
      <c r="I551" s="8"/>
      <c r="J551" s="8" t="str">
        <f t="shared" si="38"/>
        <v>借</v>
      </c>
      <c r="K551" s="43">
        <f t="shared" si="39"/>
        <v>11113</v>
      </c>
      <c r="L551" s="9"/>
    </row>
    <row r="552" spans="2:13" ht="20.100000000000001" customHeight="1" x14ac:dyDescent="0.15">
      <c r="B552" s="72"/>
      <c r="C552" s="10"/>
      <c r="D552" s="10"/>
      <c r="E552" s="10"/>
      <c r="F552" s="10"/>
      <c r="G552" s="7"/>
      <c r="H552" s="8"/>
      <c r="I552" s="8"/>
      <c r="J552" s="23" t="str">
        <f t="shared" si="38"/>
        <v>借</v>
      </c>
      <c r="K552" s="41">
        <f t="shared" si="39"/>
        <v>11113</v>
      </c>
      <c r="L552" s="9"/>
    </row>
    <row r="553" spans="2:13" ht="20.100000000000001" customHeight="1" x14ac:dyDescent="0.15">
      <c r="B553" s="72"/>
      <c r="C553" s="10"/>
      <c r="D553" s="10"/>
      <c r="E553" s="10"/>
      <c r="F553" s="10"/>
      <c r="G553" s="7"/>
      <c r="H553" s="8"/>
      <c r="I553" s="8"/>
      <c r="J553" s="8" t="str">
        <f t="shared" si="38"/>
        <v>借</v>
      </c>
      <c r="K553" s="41">
        <f t="shared" si="39"/>
        <v>11113</v>
      </c>
      <c r="L553" s="9"/>
    </row>
    <row r="554" spans="2:13" ht="20.100000000000001" customHeight="1" x14ac:dyDescent="0.15">
      <c r="B554" s="72"/>
      <c r="C554" s="10"/>
      <c r="D554" s="10"/>
      <c r="E554" s="16"/>
      <c r="F554" s="10"/>
      <c r="G554" s="7"/>
      <c r="H554" s="8"/>
      <c r="I554" s="8"/>
      <c r="J554" s="23" t="str">
        <f t="shared" si="38"/>
        <v>借</v>
      </c>
      <c r="K554" s="43">
        <f t="shared" si="39"/>
        <v>11113</v>
      </c>
      <c r="L554" s="9"/>
    </row>
    <row r="555" spans="2:13" ht="20.100000000000001" customHeight="1" x14ac:dyDescent="0.15">
      <c r="B555" s="72"/>
      <c r="C555" s="10"/>
      <c r="D555" s="10"/>
      <c r="E555" s="16"/>
      <c r="F555" s="10"/>
      <c r="G555" s="7"/>
      <c r="H555" s="8"/>
      <c r="I555" s="8"/>
      <c r="J555" s="8" t="str">
        <f t="shared" si="38"/>
        <v>借</v>
      </c>
      <c r="K555" s="41">
        <f t="shared" si="39"/>
        <v>11113</v>
      </c>
      <c r="L555" s="9"/>
    </row>
    <row r="556" spans="2:13" ht="20.100000000000001" customHeight="1" x14ac:dyDescent="0.15">
      <c r="B556" s="72"/>
      <c r="C556" s="10"/>
      <c r="D556" s="10"/>
      <c r="E556" s="10"/>
      <c r="F556" s="10"/>
      <c r="G556" s="7"/>
      <c r="H556" s="8"/>
      <c r="I556" s="8"/>
      <c r="J556" s="23" t="str">
        <f t="shared" si="38"/>
        <v>借</v>
      </c>
      <c r="K556" s="41">
        <f t="shared" si="39"/>
        <v>11113</v>
      </c>
      <c r="L556" s="9"/>
    </row>
    <row r="557" spans="2:13" ht="20.100000000000001" customHeight="1" x14ac:dyDescent="0.15">
      <c r="B557" s="72"/>
      <c r="C557" s="10"/>
      <c r="D557" s="10"/>
      <c r="E557" s="10"/>
      <c r="F557" s="10"/>
      <c r="G557" s="7"/>
      <c r="H557" s="8"/>
      <c r="I557" s="8"/>
      <c r="J557" s="8" t="str">
        <f t="shared" si="38"/>
        <v>借</v>
      </c>
      <c r="K557" s="43">
        <f t="shared" si="39"/>
        <v>11113</v>
      </c>
      <c r="L557" s="9"/>
      <c r="M557" s="73"/>
    </row>
    <row r="558" spans="2:13" ht="20.100000000000001" customHeight="1" x14ac:dyDescent="0.15">
      <c r="B558" s="72"/>
      <c r="C558" s="10"/>
      <c r="D558" s="10"/>
      <c r="E558" s="10"/>
      <c r="F558" s="10"/>
      <c r="G558" s="7"/>
      <c r="H558" s="8"/>
      <c r="I558" s="8"/>
      <c r="J558" s="23" t="str">
        <f t="shared" si="38"/>
        <v>借</v>
      </c>
      <c r="K558" s="41">
        <f t="shared" si="39"/>
        <v>11113</v>
      </c>
      <c r="L558" s="9"/>
    </row>
    <row r="559" spans="2:13" ht="20.100000000000001" customHeight="1" x14ac:dyDescent="0.15">
      <c r="B559" s="72"/>
      <c r="C559" s="10"/>
      <c r="D559" s="10"/>
      <c r="E559" s="10"/>
      <c r="F559" s="10"/>
      <c r="G559" s="7"/>
      <c r="H559" s="8"/>
      <c r="I559" s="8"/>
      <c r="J559" s="8" t="str">
        <f t="shared" si="38"/>
        <v>借</v>
      </c>
      <c r="K559" s="41">
        <f t="shared" si="39"/>
        <v>11113</v>
      </c>
      <c r="L559" s="9"/>
    </row>
    <row r="560" spans="2:13" ht="20.100000000000001" customHeight="1" x14ac:dyDescent="0.15">
      <c r="B560" s="72"/>
      <c r="C560" s="10"/>
      <c r="D560" s="10"/>
      <c r="E560" s="16"/>
      <c r="F560" s="10"/>
      <c r="G560" s="7"/>
      <c r="H560" s="8"/>
      <c r="I560" s="8"/>
      <c r="J560" s="23" t="str">
        <f t="shared" si="38"/>
        <v>借</v>
      </c>
      <c r="K560" s="43">
        <f t="shared" si="39"/>
        <v>11113</v>
      </c>
      <c r="L560" s="9"/>
      <c r="M560" s="99"/>
    </row>
    <row r="561" spans="2:13" ht="20.100000000000001" customHeight="1" x14ac:dyDescent="0.15">
      <c r="B561" s="72"/>
      <c r="C561" s="10"/>
      <c r="D561" s="10"/>
      <c r="E561" s="16"/>
      <c r="F561" s="10"/>
      <c r="G561" s="7"/>
      <c r="H561" s="8"/>
      <c r="I561" s="8"/>
      <c r="J561" s="8" t="str">
        <f t="shared" si="38"/>
        <v>借</v>
      </c>
      <c r="K561" s="41">
        <f t="shared" si="39"/>
        <v>11113</v>
      </c>
      <c r="L561" s="9"/>
      <c r="M561" s="99"/>
    </row>
    <row r="562" spans="2:13" ht="20.100000000000001" customHeight="1" x14ac:dyDescent="0.15">
      <c r="B562" s="72"/>
      <c r="C562" s="10"/>
      <c r="D562" s="10"/>
      <c r="E562" s="10"/>
      <c r="F562" s="10"/>
      <c r="G562" s="7"/>
      <c r="H562" s="8"/>
      <c r="I562" s="8"/>
      <c r="J562" s="23" t="str">
        <f t="shared" si="38"/>
        <v>借</v>
      </c>
      <c r="K562" s="41">
        <f t="shared" si="39"/>
        <v>11113</v>
      </c>
      <c r="L562" s="9"/>
      <c r="M562" s="99"/>
    </row>
    <row r="563" spans="2:13" ht="20.100000000000001" customHeight="1" x14ac:dyDescent="0.15">
      <c r="B563" s="72"/>
      <c r="C563" s="10"/>
      <c r="D563" s="10"/>
      <c r="E563" s="10"/>
      <c r="F563" s="10"/>
      <c r="G563" s="7"/>
      <c r="H563" s="8"/>
      <c r="I563" s="8"/>
      <c r="J563" s="8" t="str">
        <f t="shared" si="38"/>
        <v>借</v>
      </c>
      <c r="K563" s="43">
        <f t="shared" si="39"/>
        <v>11113</v>
      </c>
      <c r="L563" s="9"/>
    </row>
    <row r="564" spans="2:13" ht="20.100000000000001" customHeight="1" x14ac:dyDescent="0.15">
      <c r="B564" s="72"/>
      <c r="C564" s="10"/>
      <c r="D564" s="10"/>
      <c r="E564" s="10"/>
      <c r="F564" s="10"/>
      <c r="G564" s="7"/>
      <c r="H564" s="8"/>
      <c r="I564" s="8"/>
      <c r="J564" s="23" t="str">
        <f t="shared" si="38"/>
        <v>借</v>
      </c>
      <c r="K564" s="41">
        <f t="shared" si="39"/>
        <v>11113</v>
      </c>
      <c r="L564" s="9"/>
    </row>
    <row r="565" spans="2:13" ht="20.100000000000001" customHeight="1" x14ac:dyDescent="0.15">
      <c r="B565" s="72"/>
      <c r="C565" s="10"/>
      <c r="D565" s="10"/>
      <c r="E565" s="10"/>
      <c r="F565" s="10"/>
      <c r="G565" s="7"/>
      <c r="H565" s="8"/>
      <c r="I565" s="8"/>
      <c r="J565" s="8" t="str">
        <f t="shared" si="38"/>
        <v>借</v>
      </c>
      <c r="K565" s="41">
        <f t="shared" si="39"/>
        <v>11113</v>
      </c>
      <c r="L565" s="9"/>
    </row>
    <row r="566" spans="2:13" ht="20.100000000000001" customHeight="1" x14ac:dyDescent="0.15">
      <c r="B566" s="72"/>
      <c r="C566" s="10"/>
      <c r="D566" s="10"/>
      <c r="E566" s="10"/>
      <c r="F566" s="10"/>
      <c r="G566" s="7"/>
      <c r="H566" s="8"/>
      <c r="I566" s="8"/>
      <c r="J566" s="23" t="str">
        <f t="shared" si="38"/>
        <v>借</v>
      </c>
      <c r="K566" s="43">
        <f t="shared" si="39"/>
        <v>11113</v>
      </c>
      <c r="L566" s="9"/>
    </row>
    <row r="567" spans="2:13" ht="20.100000000000001" customHeight="1" x14ac:dyDescent="0.15">
      <c r="B567" s="72"/>
      <c r="C567" s="10"/>
      <c r="D567" s="10"/>
      <c r="E567" s="10"/>
      <c r="F567" s="10"/>
      <c r="G567" s="7"/>
      <c r="H567" s="8"/>
      <c r="I567" s="8"/>
      <c r="J567" s="8" t="str">
        <f t="shared" si="38"/>
        <v>借</v>
      </c>
      <c r="K567" s="41">
        <f t="shared" si="39"/>
        <v>11113</v>
      </c>
      <c r="L567" s="9"/>
    </row>
    <row r="568" spans="2:13" ht="20.100000000000001" customHeight="1" x14ac:dyDescent="0.15">
      <c r="B568" s="72"/>
      <c r="C568" s="10"/>
      <c r="D568" s="10"/>
      <c r="E568" s="10"/>
      <c r="F568" s="10"/>
      <c r="G568" s="7"/>
      <c r="H568" s="8"/>
      <c r="I568" s="8"/>
      <c r="J568" s="23" t="str">
        <f t="shared" si="38"/>
        <v>借</v>
      </c>
      <c r="K568" s="43">
        <f t="shared" si="39"/>
        <v>11113</v>
      </c>
      <c r="L568" s="9"/>
    </row>
    <row r="569" spans="2:13" ht="20.100000000000001" customHeight="1" x14ac:dyDescent="0.15">
      <c r="B569" s="72"/>
      <c r="C569" s="10"/>
      <c r="D569" s="10"/>
      <c r="E569" s="10"/>
      <c r="F569" s="10"/>
      <c r="G569" s="7"/>
      <c r="H569" s="8"/>
      <c r="I569" s="8"/>
      <c r="J569" s="8" t="str">
        <f t="shared" si="38"/>
        <v>借</v>
      </c>
      <c r="K569" s="41">
        <f t="shared" si="39"/>
        <v>11113</v>
      </c>
      <c r="L569" s="9"/>
    </row>
    <row r="570" spans="2:13" ht="20.100000000000001" customHeight="1" x14ac:dyDescent="0.15">
      <c r="B570" s="72"/>
      <c r="C570" s="10"/>
      <c r="D570" s="10"/>
      <c r="E570" s="10"/>
      <c r="F570" s="10"/>
      <c r="G570" s="7"/>
      <c r="H570" s="8"/>
      <c r="I570" s="8"/>
      <c r="J570" s="23" t="str">
        <f t="shared" si="38"/>
        <v>借</v>
      </c>
      <c r="K570" s="43">
        <f t="shared" si="39"/>
        <v>11113</v>
      </c>
      <c r="L570" s="9"/>
    </row>
    <row r="571" spans="2:13" ht="20.100000000000001" customHeight="1" x14ac:dyDescent="0.15">
      <c r="B571" s="72"/>
      <c r="C571" s="10"/>
      <c r="D571" s="10"/>
      <c r="E571" s="10"/>
      <c r="F571" s="10"/>
      <c r="G571" s="7"/>
      <c r="H571" s="8"/>
      <c r="I571" s="8"/>
      <c r="J571" s="8" t="str">
        <f t="shared" si="38"/>
        <v>借</v>
      </c>
      <c r="K571" s="41">
        <f t="shared" si="39"/>
        <v>11113</v>
      </c>
      <c r="L571" s="9"/>
    </row>
    <row r="572" spans="2:13" ht="20.100000000000001" customHeight="1" x14ac:dyDescent="0.15">
      <c r="B572" s="72"/>
      <c r="C572" s="10"/>
      <c r="D572" s="10"/>
      <c r="E572" s="10"/>
      <c r="F572" s="10"/>
      <c r="G572" s="7"/>
      <c r="H572" s="8"/>
      <c r="I572" s="8"/>
      <c r="J572" s="23" t="str">
        <f t="shared" si="38"/>
        <v>借</v>
      </c>
      <c r="K572" s="41">
        <f t="shared" si="39"/>
        <v>11113</v>
      </c>
      <c r="L572" s="9"/>
    </row>
    <row r="573" spans="2:13" ht="20.100000000000001" customHeight="1" x14ac:dyDescent="0.15">
      <c r="B573" s="72"/>
      <c r="C573" s="10"/>
      <c r="D573" s="10"/>
      <c r="E573" s="10"/>
      <c r="F573" s="10"/>
      <c r="G573" s="7"/>
      <c r="H573" s="8"/>
      <c r="I573" s="8"/>
      <c r="J573" s="23" t="str">
        <f t="shared" si="38"/>
        <v>借</v>
      </c>
      <c r="K573" s="43">
        <f t="shared" si="39"/>
        <v>11113</v>
      </c>
      <c r="L573" s="9"/>
    </row>
    <row r="574" spans="2:13" ht="20.100000000000001" customHeight="1" x14ac:dyDescent="0.15">
      <c r="B574" s="72"/>
      <c r="C574" s="10"/>
      <c r="D574" s="10"/>
      <c r="E574" s="10"/>
      <c r="F574" s="10"/>
      <c r="G574" s="7"/>
      <c r="H574" s="8"/>
      <c r="I574" s="8"/>
      <c r="J574" s="8" t="str">
        <f t="shared" si="38"/>
        <v>借</v>
      </c>
      <c r="K574" s="41">
        <f t="shared" si="39"/>
        <v>11113</v>
      </c>
      <c r="L574" s="9"/>
    </row>
    <row r="575" spans="2:13" ht="20.100000000000001" customHeight="1" x14ac:dyDescent="0.15">
      <c r="B575" s="72"/>
      <c r="C575" s="10"/>
      <c r="D575" s="10"/>
      <c r="E575" s="10"/>
      <c r="F575" s="10"/>
      <c r="G575" s="7"/>
      <c r="H575" s="8"/>
      <c r="I575" s="8"/>
      <c r="J575" s="8" t="str">
        <f t="shared" si="38"/>
        <v>借</v>
      </c>
      <c r="K575" s="43">
        <f t="shared" si="39"/>
        <v>11113</v>
      </c>
      <c r="L575" s="9"/>
    </row>
    <row r="576" spans="2:13" ht="20.100000000000001" customHeight="1" x14ac:dyDescent="0.15">
      <c r="B576" s="72"/>
      <c r="C576" s="10"/>
      <c r="D576" s="10"/>
      <c r="E576" s="10"/>
      <c r="F576" s="10"/>
      <c r="G576" s="7"/>
      <c r="H576" s="8"/>
      <c r="I576" s="8"/>
      <c r="J576" s="23" t="str">
        <f t="shared" si="38"/>
        <v>借</v>
      </c>
      <c r="K576" s="41">
        <f t="shared" si="39"/>
        <v>11113</v>
      </c>
      <c r="L576" s="9"/>
    </row>
    <row r="577" spans="2:13" ht="20.100000000000001" customHeight="1" x14ac:dyDescent="0.15">
      <c r="B577" s="72"/>
      <c r="C577" s="10"/>
      <c r="D577" s="10"/>
      <c r="E577" s="10"/>
      <c r="F577" s="10"/>
      <c r="G577" s="7"/>
      <c r="H577" s="8"/>
      <c r="I577" s="8"/>
      <c r="J577" s="8" t="str">
        <f t="shared" si="38"/>
        <v>借</v>
      </c>
      <c r="K577" s="43">
        <f t="shared" si="39"/>
        <v>11113</v>
      </c>
      <c r="L577" s="9"/>
    </row>
    <row r="578" spans="2:13" ht="20.100000000000001" customHeight="1" x14ac:dyDescent="0.15">
      <c r="B578" s="72"/>
      <c r="C578" s="10"/>
      <c r="D578" s="10"/>
      <c r="E578" s="10"/>
      <c r="F578" s="10"/>
      <c r="G578" s="7"/>
      <c r="H578" s="8"/>
      <c r="I578" s="8"/>
      <c r="J578" s="8" t="str">
        <f t="shared" si="38"/>
        <v>借</v>
      </c>
      <c r="K578" s="41">
        <f t="shared" si="39"/>
        <v>11113</v>
      </c>
      <c r="L578" s="9"/>
    </row>
    <row r="579" spans="2:13" ht="20.100000000000001" customHeight="1" x14ac:dyDescent="0.15">
      <c r="B579" s="72"/>
      <c r="C579" s="10"/>
      <c r="D579" s="10"/>
      <c r="E579" s="10"/>
      <c r="F579" s="10"/>
      <c r="G579" s="7"/>
      <c r="H579" s="8"/>
      <c r="I579" s="8"/>
      <c r="J579" s="8" t="str">
        <f t="shared" si="38"/>
        <v>借</v>
      </c>
      <c r="K579" s="43">
        <f t="shared" si="39"/>
        <v>11113</v>
      </c>
      <c r="L579" s="9"/>
    </row>
    <row r="580" spans="2:13" ht="20.100000000000001" customHeight="1" x14ac:dyDescent="0.15">
      <c r="B580" s="72"/>
      <c r="C580" s="10"/>
      <c r="D580" s="10"/>
      <c r="E580" s="10"/>
      <c r="F580" s="10"/>
      <c r="G580" s="7"/>
      <c r="H580" s="8"/>
      <c r="I580" s="8"/>
      <c r="J580" s="8" t="str">
        <f t="shared" si="38"/>
        <v>借</v>
      </c>
      <c r="K580" s="43">
        <f t="shared" ref="K580:K596" si="40">_xlfn.IFS(J579="借",K579+H580-I580,J579="贷",H580-I580-K579)</f>
        <v>11113</v>
      </c>
      <c r="L580" s="9"/>
    </row>
    <row r="581" spans="2:13" ht="20.100000000000001" customHeight="1" x14ac:dyDescent="0.15">
      <c r="B581" s="72"/>
      <c r="C581" s="10"/>
      <c r="D581" s="10"/>
      <c r="E581" s="10"/>
      <c r="F581" s="10"/>
      <c r="G581" s="7"/>
      <c r="H581" s="8"/>
      <c r="I581" s="8"/>
      <c r="J581" s="8" t="str">
        <f t="shared" ref="J581:J597" si="41">IF((K580+H581-I581)&gt;0,"借","贷")</f>
        <v>借</v>
      </c>
      <c r="K581" s="41">
        <f t="shared" si="40"/>
        <v>11113</v>
      </c>
      <c r="L581" s="9"/>
    </row>
    <row r="582" spans="2:13" ht="20.100000000000001" customHeight="1" x14ac:dyDescent="0.15">
      <c r="B582" s="72"/>
      <c r="C582" s="10"/>
      <c r="D582" s="10"/>
      <c r="E582" s="10"/>
      <c r="F582" s="10"/>
      <c r="G582" s="7"/>
      <c r="H582" s="8"/>
      <c r="I582" s="8"/>
      <c r="J582" s="8" t="str">
        <f t="shared" si="41"/>
        <v>借</v>
      </c>
      <c r="K582" s="43">
        <f t="shared" si="40"/>
        <v>11113</v>
      </c>
      <c r="L582" s="9"/>
    </row>
    <row r="583" spans="2:13" ht="20.100000000000001" customHeight="1" x14ac:dyDescent="0.15">
      <c r="B583" s="72"/>
      <c r="C583" s="10"/>
      <c r="D583" s="10"/>
      <c r="E583" s="10"/>
      <c r="F583" s="10"/>
      <c r="G583" s="7"/>
      <c r="H583" s="8"/>
      <c r="I583" s="8"/>
      <c r="J583" s="23" t="str">
        <f t="shared" si="41"/>
        <v>借</v>
      </c>
      <c r="K583" s="41">
        <f t="shared" si="40"/>
        <v>11113</v>
      </c>
      <c r="L583" s="9"/>
    </row>
    <row r="584" spans="2:13" ht="20.100000000000001" customHeight="1" x14ac:dyDescent="0.15">
      <c r="B584" s="72"/>
      <c r="C584" s="10"/>
      <c r="D584" s="10"/>
      <c r="E584" s="10"/>
      <c r="F584" s="10"/>
      <c r="G584" s="7"/>
      <c r="H584" s="8"/>
      <c r="I584" s="8"/>
      <c r="J584" s="8" t="str">
        <f t="shared" si="41"/>
        <v>借</v>
      </c>
      <c r="K584" s="43">
        <f t="shared" si="40"/>
        <v>11113</v>
      </c>
      <c r="L584" s="9"/>
    </row>
    <row r="585" spans="2:13" ht="20.100000000000001" customHeight="1" x14ac:dyDescent="0.15">
      <c r="B585" s="72"/>
      <c r="C585" s="10"/>
      <c r="D585" s="10"/>
      <c r="E585" s="10"/>
      <c r="F585" s="10"/>
      <c r="G585" s="7"/>
      <c r="H585" s="8"/>
      <c r="I585" s="8"/>
      <c r="J585" s="8" t="str">
        <f t="shared" si="41"/>
        <v>借</v>
      </c>
      <c r="K585" s="41">
        <f t="shared" si="40"/>
        <v>11113</v>
      </c>
      <c r="L585" s="9"/>
    </row>
    <row r="586" spans="2:13" ht="20.100000000000001" customHeight="1" x14ac:dyDescent="0.15">
      <c r="B586" s="72"/>
      <c r="C586" s="10"/>
      <c r="D586" s="10"/>
      <c r="E586" s="10"/>
      <c r="F586" s="10"/>
      <c r="G586" s="7"/>
      <c r="H586" s="8"/>
      <c r="I586" s="8"/>
      <c r="J586" s="23" t="str">
        <f t="shared" si="41"/>
        <v>借</v>
      </c>
      <c r="K586" s="43">
        <f t="shared" si="40"/>
        <v>11113</v>
      </c>
      <c r="L586" s="9"/>
    </row>
    <row r="587" spans="2:13" ht="20.100000000000001" customHeight="1" x14ac:dyDescent="0.15">
      <c r="B587" s="72"/>
      <c r="C587" s="10"/>
      <c r="E587" s="10"/>
      <c r="F587" s="10"/>
      <c r="G587" s="7"/>
      <c r="H587" s="8"/>
      <c r="I587" s="8"/>
      <c r="J587" s="8" t="str">
        <f t="shared" si="41"/>
        <v>借</v>
      </c>
      <c r="K587" s="41">
        <f t="shared" si="40"/>
        <v>11113</v>
      </c>
      <c r="L587" s="9"/>
      <c r="M587" s="99"/>
    </row>
    <row r="588" spans="2:13" ht="20.100000000000001" customHeight="1" x14ac:dyDescent="0.15">
      <c r="B588" s="72"/>
      <c r="C588" s="10"/>
      <c r="D588" s="10"/>
      <c r="E588" s="10"/>
      <c r="F588" s="10"/>
      <c r="G588" s="7"/>
      <c r="H588" s="8"/>
      <c r="I588" s="8"/>
      <c r="J588" s="8" t="str">
        <f t="shared" si="41"/>
        <v>借</v>
      </c>
      <c r="K588" s="43">
        <f t="shared" si="40"/>
        <v>11113</v>
      </c>
      <c r="L588" s="9"/>
      <c r="M588" s="99"/>
    </row>
    <row r="589" spans="2:13" ht="20.100000000000001" customHeight="1" x14ac:dyDescent="0.15">
      <c r="B589" s="72"/>
      <c r="C589" s="10"/>
      <c r="D589" s="10"/>
      <c r="E589" s="10"/>
      <c r="F589" s="10"/>
      <c r="G589" s="7"/>
      <c r="H589" s="8"/>
      <c r="I589" s="8"/>
      <c r="J589" s="23" t="str">
        <f t="shared" si="41"/>
        <v>借</v>
      </c>
      <c r="K589" s="41">
        <f t="shared" si="40"/>
        <v>11113</v>
      </c>
      <c r="L589" s="9"/>
      <c r="M589" s="99"/>
    </row>
    <row r="590" spans="2:13" ht="20.100000000000001" customHeight="1" x14ac:dyDescent="0.15">
      <c r="B590" s="72"/>
      <c r="C590" s="10"/>
      <c r="D590" s="10"/>
      <c r="E590" s="10"/>
      <c r="F590" s="10"/>
      <c r="G590" s="7"/>
      <c r="H590" s="8"/>
      <c r="I590" s="8"/>
      <c r="J590" s="8" t="str">
        <f t="shared" si="41"/>
        <v>借</v>
      </c>
      <c r="K590" s="43">
        <f t="shared" si="40"/>
        <v>11113</v>
      </c>
      <c r="L590" s="9"/>
      <c r="M590" s="99"/>
    </row>
    <row r="591" spans="2:13" ht="20.100000000000001" customHeight="1" x14ac:dyDescent="0.15">
      <c r="B591" s="72"/>
      <c r="C591" s="10"/>
      <c r="D591" s="10"/>
      <c r="E591" s="10"/>
      <c r="F591" s="10"/>
      <c r="G591" s="7"/>
      <c r="H591" s="8"/>
      <c r="I591" s="8"/>
      <c r="J591" s="8" t="str">
        <f t="shared" si="41"/>
        <v>借</v>
      </c>
      <c r="K591" s="41">
        <f t="shared" si="40"/>
        <v>11113</v>
      </c>
      <c r="L591" s="9"/>
    </row>
    <row r="592" spans="2:13" ht="20.100000000000001" customHeight="1" x14ac:dyDescent="0.15">
      <c r="B592" s="72"/>
      <c r="C592" s="10"/>
      <c r="D592" s="10"/>
      <c r="E592" s="10"/>
      <c r="F592" s="10"/>
      <c r="G592" s="7"/>
      <c r="H592" s="8"/>
      <c r="I592" s="8"/>
      <c r="J592" s="23" t="str">
        <f t="shared" si="41"/>
        <v>借</v>
      </c>
      <c r="K592" s="43">
        <f t="shared" si="40"/>
        <v>11113</v>
      </c>
      <c r="L592" s="9"/>
    </row>
    <row r="593" spans="2:13" ht="20.100000000000001" customHeight="1" x14ac:dyDescent="0.15">
      <c r="B593" s="72"/>
      <c r="C593" s="10"/>
      <c r="D593" s="10"/>
      <c r="E593" s="10"/>
      <c r="F593" s="10"/>
      <c r="G593" s="7"/>
      <c r="H593" s="8"/>
      <c r="I593" s="8"/>
      <c r="J593" s="8" t="str">
        <f t="shared" si="41"/>
        <v>借</v>
      </c>
      <c r="K593" s="41">
        <f t="shared" si="40"/>
        <v>11113</v>
      </c>
      <c r="L593" s="9"/>
    </row>
    <row r="594" spans="2:13" ht="20.100000000000001" customHeight="1" x14ac:dyDescent="0.15">
      <c r="B594" s="72"/>
      <c r="C594" s="10"/>
      <c r="D594" s="10"/>
      <c r="E594" s="10"/>
      <c r="F594" s="10"/>
      <c r="G594" s="7"/>
      <c r="H594" s="8"/>
      <c r="I594" s="8"/>
      <c r="J594" s="8" t="str">
        <f t="shared" si="41"/>
        <v>借</v>
      </c>
      <c r="K594" s="43">
        <f t="shared" si="40"/>
        <v>11113</v>
      </c>
      <c r="L594" s="9"/>
    </row>
    <row r="595" spans="2:13" ht="20.100000000000001" customHeight="1" x14ac:dyDescent="0.15">
      <c r="B595" s="72"/>
      <c r="C595" s="10"/>
      <c r="D595" s="10"/>
      <c r="E595" s="10"/>
      <c r="F595" s="10"/>
      <c r="G595" s="7"/>
      <c r="H595" s="8"/>
      <c r="I595" s="8"/>
      <c r="J595" s="23" t="str">
        <f t="shared" si="41"/>
        <v>借</v>
      </c>
      <c r="K595" s="41">
        <f t="shared" si="40"/>
        <v>11113</v>
      </c>
      <c r="L595" s="9"/>
    </row>
    <row r="596" spans="2:13" ht="20.100000000000001" customHeight="1" x14ac:dyDescent="0.15">
      <c r="B596" s="72"/>
      <c r="C596" s="10"/>
      <c r="D596" s="10"/>
      <c r="E596" s="10"/>
      <c r="F596" s="10"/>
      <c r="G596" s="7"/>
      <c r="H596" s="8"/>
      <c r="I596" s="8"/>
      <c r="J596" s="8" t="str">
        <f t="shared" si="41"/>
        <v>借</v>
      </c>
      <c r="K596" s="43">
        <f t="shared" si="40"/>
        <v>11113</v>
      </c>
      <c r="L596" s="9"/>
      <c r="M596" s="99"/>
    </row>
    <row r="597" spans="2:13" ht="20.100000000000001" customHeight="1" x14ac:dyDescent="0.15">
      <c r="B597" s="72"/>
      <c r="C597" s="10"/>
      <c r="D597" s="10"/>
      <c r="E597" s="10"/>
      <c r="F597" s="10"/>
      <c r="G597" s="7"/>
      <c r="H597" s="8"/>
      <c r="I597" s="8"/>
      <c r="J597" s="8" t="str">
        <f t="shared" si="41"/>
        <v>借</v>
      </c>
      <c r="K597" s="43">
        <f t="shared" ref="K597:K629" si="42">_xlfn.IFS(J596="借",K596+H597-I597,J596="贷",H597-I597-K596)</f>
        <v>11113</v>
      </c>
      <c r="L597" s="9"/>
      <c r="M597" s="99"/>
    </row>
    <row r="598" spans="2:13" ht="20.100000000000001" customHeight="1" x14ac:dyDescent="0.15">
      <c r="B598" s="72"/>
      <c r="C598" s="10"/>
      <c r="D598" s="10"/>
      <c r="E598" s="10"/>
      <c r="F598" s="10"/>
      <c r="G598" s="7"/>
      <c r="H598" s="8"/>
      <c r="I598" s="8"/>
      <c r="J598" s="8" t="str">
        <f t="shared" ref="J598:J630" si="43">IF((K597+H598-I598)&gt;0,"借","贷")</f>
        <v>借</v>
      </c>
      <c r="K598" s="43">
        <f t="shared" si="42"/>
        <v>11113</v>
      </c>
      <c r="L598" s="9"/>
    </row>
    <row r="599" spans="2:13" ht="20.100000000000001" customHeight="1" x14ac:dyDescent="0.15">
      <c r="B599" s="72"/>
      <c r="C599" s="10"/>
      <c r="D599" s="10"/>
      <c r="E599" s="10"/>
      <c r="F599" s="10"/>
      <c r="G599" s="7"/>
      <c r="H599" s="8"/>
      <c r="I599" s="8"/>
      <c r="J599" s="23" t="str">
        <f t="shared" si="43"/>
        <v>借</v>
      </c>
      <c r="K599" s="43">
        <f t="shared" si="42"/>
        <v>11113</v>
      </c>
      <c r="L599" s="9"/>
    </row>
    <row r="600" spans="2:13" ht="20.100000000000001" customHeight="1" x14ac:dyDescent="0.15">
      <c r="B600" s="72"/>
      <c r="C600" s="10"/>
      <c r="D600" s="10"/>
      <c r="E600" s="10"/>
      <c r="F600" s="10"/>
      <c r="G600" s="7"/>
      <c r="H600" s="8"/>
      <c r="I600" s="8"/>
      <c r="J600" s="8" t="str">
        <f t="shared" si="43"/>
        <v>借</v>
      </c>
      <c r="K600" s="43">
        <f t="shared" si="42"/>
        <v>11113</v>
      </c>
      <c r="L600" s="9"/>
    </row>
    <row r="601" spans="2:13" ht="20.100000000000001" customHeight="1" x14ac:dyDescent="0.15">
      <c r="B601" s="72"/>
      <c r="C601" s="10"/>
      <c r="D601" s="10"/>
      <c r="E601" s="10"/>
      <c r="F601" s="10"/>
      <c r="G601" s="7"/>
      <c r="H601" s="8"/>
      <c r="I601" s="8"/>
      <c r="J601" s="8" t="str">
        <f t="shared" si="43"/>
        <v>借</v>
      </c>
      <c r="K601" s="43">
        <f t="shared" si="42"/>
        <v>11113</v>
      </c>
      <c r="L601" s="9"/>
    </row>
    <row r="602" spans="2:13" ht="20.100000000000001" customHeight="1" x14ac:dyDescent="0.15">
      <c r="B602" s="72"/>
      <c r="C602" s="10"/>
      <c r="D602" s="10"/>
      <c r="E602" s="10"/>
      <c r="F602" s="10"/>
      <c r="G602" s="7"/>
      <c r="H602" s="8"/>
      <c r="I602" s="8"/>
      <c r="J602" s="8" t="str">
        <f t="shared" si="43"/>
        <v>借</v>
      </c>
      <c r="K602" s="43">
        <f t="shared" si="42"/>
        <v>11113</v>
      </c>
      <c r="L602" s="9"/>
    </row>
    <row r="603" spans="2:13" ht="20.100000000000001" customHeight="1" x14ac:dyDescent="0.15">
      <c r="B603" s="72"/>
      <c r="C603" s="10"/>
      <c r="D603" s="10"/>
      <c r="E603" s="10"/>
      <c r="F603" s="10"/>
      <c r="G603" s="7"/>
      <c r="H603" s="8"/>
      <c r="I603" s="8"/>
      <c r="J603" s="23" t="str">
        <f t="shared" si="43"/>
        <v>借</v>
      </c>
      <c r="K603" s="43">
        <f t="shared" si="42"/>
        <v>11113</v>
      </c>
      <c r="L603" s="9"/>
    </row>
    <row r="604" spans="2:13" ht="20.100000000000001" customHeight="1" x14ac:dyDescent="0.15">
      <c r="B604" s="72"/>
      <c r="C604" s="10"/>
      <c r="D604" s="10"/>
      <c r="E604" s="10"/>
      <c r="F604" s="10"/>
      <c r="G604" s="7"/>
      <c r="H604" s="8"/>
      <c r="I604" s="8"/>
      <c r="J604" s="8" t="str">
        <f t="shared" si="43"/>
        <v>借</v>
      </c>
      <c r="K604" s="43">
        <f t="shared" si="42"/>
        <v>11113</v>
      </c>
      <c r="L604" s="9"/>
    </row>
    <row r="605" spans="2:13" ht="20.100000000000001" customHeight="1" x14ac:dyDescent="0.15">
      <c r="B605" s="72"/>
      <c r="C605" s="10"/>
      <c r="D605" s="10"/>
      <c r="E605" s="10"/>
      <c r="F605" s="10"/>
      <c r="G605" s="7"/>
      <c r="H605" s="8"/>
      <c r="I605" s="8"/>
      <c r="J605" s="8" t="str">
        <f t="shared" si="43"/>
        <v>借</v>
      </c>
      <c r="K605" s="43">
        <f t="shared" si="42"/>
        <v>11113</v>
      </c>
      <c r="L605" s="9"/>
    </row>
    <row r="606" spans="2:13" ht="20.100000000000001" customHeight="1" x14ac:dyDescent="0.15">
      <c r="B606" s="72"/>
      <c r="C606" s="10"/>
      <c r="D606" s="10"/>
      <c r="E606" s="10"/>
      <c r="F606" s="10"/>
      <c r="G606" s="7"/>
      <c r="H606" s="8"/>
      <c r="I606" s="8"/>
      <c r="J606" s="8" t="str">
        <f t="shared" si="43"/>
        <v>借</v>
      </c>
      <c r="K606" s="43">
        <f t="shared" si="42"/>
        <v>11113</v>
      </c>
      <c r="L606" s="9"/>
    </row>
    <row r="607" spans="2:13" ht="20.100000000000001" customHeight="1" x14ac:dyDescent="0.15">
      <c r="B607" s="72"/>
      <c r="C607" s="10"/>
      <c r="D607" s="10"/>
      <c r="E607" s="10"/>
      <c r="F607" s="10"/>
      <c r="G607" s="7"/>
      <c r="H607" s="8"/>
      <c r="I607" s="8"/>
      <c r="J607" s="23" t="str">
        <f t="shared" si="43"/>
        <v>借</v>
      </c>
      <c r="K607" s="43">
        <f t="shared" si="42"/>
        <v>11113</v>
      </c>
      <c r="L607" s="9"/>
    </row>
    <row r="608" spans="2:13" ht="20.100000000000001" customHeight="1" x14ac:dyDescent="0.15">
      <c r="B608" s="72"/>
      <c r="C608" s="10"/>
      <c r="D608" s="10"/>
      <c r="E608" s="10"/>
      <c r="F608" s="10"/>
      <c r="G608" s="7"/>
      <c r="H608" s="8"/>
      <c r="I608" s="8"/>
      <c r="J608" s="8" t="str">
        <f t="shared" si="43"/>
        <v>借</v>
      </c>
      <c r="K608" s="43">
        <f t="shared" si="42"/>
        <v>11113</v>
      </c>
      <c r="L608" s="9"/>
      <c r="M608" s="99"/>
    </row>
    <row r="609" spans="2:13" ht="20.100000000000001" customHeight="1" x14ac:dyDescent="0.15">
      <c r="B609" s="72"/>
      <c r="C609" s="10"/>
      <c r="D609" s="10"/>
      <c r="E609" s="10"/>
      <c r="F609" s="10"/>
      <c r="G609" s="7"/>
      <c r="H609" s="8"/>
      <c r="I609" s="8"/>
      <c r="J609" s="8" t="str">
        <f t="shared" si="43"/>
        <v>借</v>
      </c>
      <c r="K609" s="43">
        <f t="shared" si="42"/>
        <v>11113</v>
      </c>
      <c r="L609" s="9"/>
      <c r="M609" s="99"/>
    </row>
    <row r="610" spans="2:13" ht="20.100000000000001" customHeight="1" x14ac:dyDescent="0.15">
      <c r="B610" s="72"/>
      <c r="C610" s="10"/>
      <c r="D610" s="10"/>
      <c r="E610" s="10"/>
      <c r="F610" s="10"/>
      <c r="G610" s="7"/>
      <c r="H610" s="8"/>
      <c r="I610" s="8"/>
      <c r="J610" s="8" t="str">
        <f t="shared" si="43"/>
        <v>借</v>
      </c>
      <c r="K610" s="43">
        <f t="shared" si="42"/>
        <v>11113</v>
      </c>
      <c r="L610" s="9"/>
      <c r="M610" s="99"/>
    </row>
    <row r="611" spans="2:13" ht="20.100000000000001" customHeight="1" x14ac:dyDescent="0.15">
      <c r="B611" s="72"/>
      <c r="C611" s="10"/>
      <c r="D611" s="10"/>
      <c r="E611" s="10"/>
      <c r="F611" s="10"/>
      <c r="G611" s="7"/>
      <c r="H611" s="8"/>
      <c r="I611" s="8"/>
      <c r="J611" s="23" t="str">
        <f t="shared" si="43"/>
        <v>借</v>
      </c>
      <c r="K611" s="43">
        <f t="shared" si="42"/>
        <v>11113</v>
      </c>
      <c r="L611" s="9"/>
      <c r="M611" s="99"/>
    </row>
    <row r="612" spans="2:13" ht="20.100000000000001" customHeight="1" x14ac:dyDescent="0.15">
      <c r="B612" s="72"/>
      <c r="C612" s="10"/>
      <c r="D612" s="10"/>
      <c r="E612" s="10"/>
      <c r="F612" s="10"/>
      <c r="G612" s="7"/>
      <c r="H612" s="8"/>
      <c r="I612" s="8"/>
      <c r="J612" s="8" t="str">
        <f t="shared" si="43"/>
        <v>借</v>
      </c>
      <c r="K612" s="43">
        <f t="shared" si="42"/>
        <v>11113</v>
      </c>
      <c r="L612" s="9"/>
    </row>
    <row r="613" spans="2:13" ht="20.100000000000001" customHeight="1" x14ac:dyDescent="0.15">
      <c r="B613" s="72"/>
      <c r="C613" s="10"/>
      <c r="D613" s="10"/>
      <c r="E613" s="10"/>
      <c r="F613" s="10"/>
      <c r="G613" s="7"/>
      <c r="H613" s="8"/>
      <c r="I613" s="8"/>
      <c r="J613" s="8" t="str">
        <f t="shared" si="43"/>
        <v>借</v>
      </c>
      <c r="K613" s="43">
        <f t="shared" si="42"/>
        <v>11113</v>
      </c>
      <c r="L613" s="9"/>
    </row>
    <row r="614" spans="2:13" ht="20.100000000000001" customHeight="1" x14ac:dyDescent="0.15">
      <c r="B614" s="72"/>
      <c r="C614" s="10"/>
      <c r="D614" s="10"/>
      <c r="E614" s="10"/>
      <c r="F614" s="10"/>
      <c r="G614" s="7"/>
      <c r="H614" s="8"/>
      <c r="I614" s="8"/>
      <c r="J614" s="8" t="str">
        <f t="shared" si="43"/>
        <v>借</v>
      </c>
      <c r="K614" s="43">
        <f t="shared" si="42"/>
        <v>11113</v>
      </c>
      <c r="L614" s="9"/>
    </row>
    <row r="615" spans="2:13" ht="20.100000000000001" customHeight="1" x14ac:dyDescent="0.15">
      <c r="B615" s="72"/>
      <c r="C615" s="10"/>
      <c r="D615" s="10"/>
      <c r="E615" s="10"/>
      <c r="F615" s="10"/>
      <c r="G615" s="7"/>
      <c r="H615" s="8"/>
      <c r="I615" s="8"/>
      <c r="J615" s="23" t="str">
        <f t="shared" si="43"/>
        <v>借</v>
      </c>
      <c r="K615" s="43">
        <f t="shared" si="42"/>
        <v>11113</v>
      </c>
      <c r="L615" s="9"/>
    </row>
    <row r="616" spans="2:13" ht="20.100000000000001" customHeight="1" x14ac:dyDescent="0.15">
      <c r="B616" s="72"/>
      <c r="C616" s="10"/>
      <c r="D616" s="10"/>
      <c r="E616" s="10"/>
      <c r="F616" s="10"/>
      <c r="G616" s="7"/>
      <c r="H616" s="8"/>
      <c r="I616" s="8"/>
      <c r="J616" s="8" t="str">
        <f t="shared" si="43"/>
        <v>借</v>
      </c>
      <c r="K616" s="43">
        <f t="shared" si="42"/>
        <v>11113</v>
      </c>
      <c r="L616" s="9"/>
    </row>
    <row r="617" spans="2:13" ht="20.100000000000001" customHeight="1" x14ac:dyDescent="0.15">
      <c r="B617" s="72"/>
      <c r="C617" s="10"/>
      <c r="D617" s="10"/>
      <c r="E617" s="10"/>
      <c r="F617" s="10"/>
      <c r="G617" s="7"/>
      <c r="H617" s="8"/>
      <c r="I617" s="8"/>
      <c r="J617" s="8" t="str">
        <f t="shared" si="43"/>
        <v>借</v>
      </c>
      <c r="K617" s="43">
        <f t="shared" si="42"/>
        <v>11113</v>
      </c>
      <c r="L617" s="9"/>
    </row>
    <row r="618" spans="2:13" ht="20.100000000000001" customHeight="1" x14ac:dyDescent="0.15">
      <c r="B618" s="72"/>
      <c r="C618" s="10"/>
      <c r="D618" s="10"/>
      <c r="E618" s="10"/>
      <c r="F618" s="10"/>
      <c r="G618" s="7"/>
      <c r="H618" s="8"/>
      <c r="I618" s="8"/>
      <c r="J618" s="8" t="str">
        <f t="shared" si="43"/>
        <v>借</v>
      </c>
      <c r="K618" s="43">
        <f t="shared" si="42"/>
        <v>11113</v>
      </c>
      <c r="L618" s="9"/>
    </row>
    <row r="619" spans="2:13" ht="20.100000000000001" customHeight="1" x14ac:dyDescent="0.15">
      <c r="B619" s="72"/>
      <c r="C619" s="10"/>
      <c r="D619" s="10"/>
      <c r="E619" s="10"/>
      <c r="F619" s="10"/>
      <c r="G619" s="7"/>
      <c r="H619" s="8"/>
      <c r="I619" s="8"/>
      <c r="J619" s="23" t="str">
        <f t="shared" si="43"/>
        <v>借</v>
      </c>
      <c r="K619" s="43">
        <f t="shared" si="42"/>
        <v>11113</v>
      </c>
      <c r="L619" s="9"/>
    </row>
    <row r="620" spans="2:13" ht="20.100000000000001" customHeight="1" x14ac:dyDescent="0.15">
      <c r="B620" s="72"/>
      <c r="C620" s="10"/>
      <c r="D620" s="10"/>
      <c r="E620" s="10"/>
      <c r="F620" s="10"/>
      <c r="G620" s="7"/>
      <c r="H620" s="8"/>
      <c r="I620" s="8"/>
      <c r="J620" s="8" t="str">
        <f t="shared" si="43"/>
        <v>借</v>
      </c>
      <c r="K620" s="43">
        <f t="shared" si="42"/>
        <v>11113</v>
      </c>
      <c r="L620" s="9"/>
    </row>
    <row r="621" spans="2:13" ht="20.100000000000001" customHeight="1" x14ac:dyDescent="0.15">
      <c r="B621" s="72"/>
      <c r="C621" s="10"/>
      <c r="D621" s="10"/>
      <c r="E621" s="10"/>
      <c r="F621" s="10"/>
      <c r="G621" s="7"/>
      <c r="H621" s="8"/>
      <c r="I621" s="8"/>
      <c r="J621" s="8" t="str">
        <f t="shared" si="43"/>
        <v>借</v>
      </c>
      <c r="K621" s="43">
        <f t="shared" si="42"/>
        <v>11113</v>
      </c>
      <c r="L621" s="9"/>
    </row>
    <row r="622" spans="2:13" ht="20.100000000000001" customHeight="1" x14ac:dyDescent="0.15">
      <c r="B622" s="72"/>
      <c r="C622" s="10"/>
      <c r="D622" s="10"/>
      <c r="E622" s="10"/>
      <c r="F622" s="10"/>
      <c r="G622" s="7"/>
      <c r="H622" s="8"/>
      <c r="I622" s="8"/>
      <c r="J622" s="8" t="str">
        <f t="shared" si="43"/>
        <v>借</v>
      </c>
      <c r="K622" s="43">
        <f t="shared" si="42"/>
        <v>11113</v>
      </c>
      <c r="L622" s="9"/>
    </row>
    <row r="623" spans="2:13" ht="20.100000000000001" customHeight="1" x14ac:dyDescent="0.15">
      <c r="B623" s="72"/>
      <c r="C623" s="10"/>
      <c r="D623" s="10"/>
      <c r="E623" s="10"/>
      <c r="F623" s="10"/>
      <c r="G623" s="7"/>
      <c r="H623" s="8"/>
      <c r="I623" s="8"/>
      <c r="J623" s="23" t="str">
        <f t="shared" si="43"/>
        <v>借</v>
      </c>
      <c r="K623" s="43">
        <f t="shared" si="42"/>
        <v>11113</v>
      </c>
      <c r="L623" s="9"/>
    </row>
    <row r="624" spans="2:13" ht="20.100000000000001" customHeight="1" x14ac:dyDescent="0.15">
      <c r="B624" s="72"/>
      <c r="C624" s="10"/>
      <c r="D624" s="10"/>
      <c r="E624" s="10"/>
      <c r="F624" s="10"/>
      <c r="G624" s="7"/>
      <c r="H624" s="8"/>
      <c r="I624" s="8"/>
      <c r="J624" s="8" t="str">
        <f t="shared" si="43"/>
        <v>借</v>
      </c>
      <c r="K624" s="43">
        <f t="shared" si="42"/>
        <v>11113</v>
      </c>
      <c r="L624" s="9"/>
    </row>
    <row r="625" spans="2:13" ht="20.100000000000001" customHeight="1" x14ac:dyDescent="0.15">
      <c r="B625" s="72"/>
      <c r="C625" s="10"/>
      <c r="D625" s="10"/>
      <c r="E625" s="10"/>
      <c r="F625" s="10"/>
      <c r="G625" s="7"/>
      <c r="H625" s="8"/>
      <c r="I625" s="8"/>
      <c r="J625" s="8" t="str">
        <f t="shared" si="43"/>
        <v>借</v>
      </c>
      <c r="K625" s="43">
        <f t="shared" si="42"/>
        <v>11113</v>
      </c>
      <c r="L625" s="9"/>
    </row>
    <row r="626" spans="2:13" ht="20.100000000000001" customHeight="1" x14ac:dyDescent="0.15">
      <c r="B626" s="72"/>
      <c r="C626" s="10"/>
      <c r="D626" s="10"/>
      <c r="E626" s="10"/>
      <c r="F626" s="10"/>
      <c r="G626" s="7"/>
      <c r="H626" s="8"/>
      <c r="I626" s="8"/>
      <c r="J626" s="8" t="str">
        <f t="shared" si="43"/>
        <v>借</v>
      </c>
      <c r="K626" s="43">
        <f t="shared" si="42"/>
        <v>11113</v>
      </c>
      <c r="L626" s="9"/>
    </row>
    <row r="627" spans="2:13" ht="20.100000000000001" customHeight="1" x14ac:dyDescent="0.15">
      <c r="B627" s="72"/>
      <c r="C627" s="10"/>
      <c r="D627" s="10"/>
      <c r="E627" s="10"/>
      <c r="F627" s="10"/>
      <c r="G627" s="7"/>
      <c r="H627" s="8"/>
      <c r="I627" s="8"/>
      <c r="J627" s="8" t="str">
        <f t="shared" si="43"/>
        <v>借</v>
      </c>
      <c r="K627" s="43">
        <f t="shared" si="42"/>
        <v>11113</v>
      </c>
      <c r="L627" s="9"/>
    </row>
    <row r="628" spans="2:13" ht="20.100000000000001" customHeight="1" x14ac:dyDescent="0.15">
      <c r="B628" s="72"/>
      <c r="C628" s="10"/>
      <c r="D628" s="10"/>
      <c r="E628" s="10"/>
      <c r="F628" s="10"/>
      <c r="G628" s="7"/>
      <c r="H628" s="8"/>
      <c r="I628" s="8"/>
      <c r="J628" s="8" t="str">
        <f t="shared" si="43"/>
        <v>借</v>
      </c>
      <c r="K628" s="43">
        <f t="shared" si="42"/>
        <v>11113</v>
      </c>
      <c r="L628" s="9"/>
      <c r="M628" s="99"/>
    </row>
    <row r="629" spans="2:13" ht="20.100000000000001" customHeight="1" x14ac:dyDescent="0.15">
      <c r="B629" s="72"/>
      <c r="C629" s="10"/>
      <c r="D629" s="10"/>
      <c r="E629" s="10"/>
      <c r="F629" s="10"/>
      <c r="G629" s="7"/>
      <c r="H629" s="8"/>
      <c r="I629" s="8"/>
      <c r="J629" s="8" t="str">
        <f t="shared" si="43"/>
        <v>借</v>
      </c>
      <c r="K629" s="43">
        <f t="shared" si="42"/>
        <v>11113</v>
      </c>
      <c r="L629" s="9"/>
      <c r="M629" s="99"/>
    </row>
    <row r="630" spans="2:13" ht="20.100000000000001" customHeight="1" x14ac:dyDescent="0.15">
      <c r="B630" s="72"/>
      <c r="C630" s="10"/>
      <c r="D630" s="10"/>
      <c r="E630" s="10"/>
      <c r="F630" s="10"/>
      <c r="G630" s="7"/>
      <c r="H630" s="8"/>
      <c r="I630" s="8"/>
      <c r="J630" s="8" t="str">
        <f t="shared" si="43"/>
        <v>借</v>
      </c>
      <c r="K630" s="43">
        <f t="shared" ref="K630:K652" si="44">_xlfn.IFS(J629="借",K629+H630-I630,J629="贷",H630-I630-K629)</f>
        <v>11113</v>
      </c>
      <c r="L630" s="9"/>
    </row>
    <row r="631" spans="2:13" ht="20.100000000000001" customHeight="1" x14ac:dyDescent="0.15">
      <c r="B631" s="72"/>
      <c r="C631" s="10"/>
      <c r="D631" s="10"/>
      <c r="E631" s="10"/>
      <c r="F631" s="10"/>
      <c r="G631" s="7"/>
      <c r="H631" s="8"/>
      <c r="I631" s="8"/>
      <c r="J631" s="8" t="str">
        <f t="shared" ref="J631:J685" si="45">IF((K630+H631-I631)&gt;0,"借","贷")</f>
        <v>借</v>
      </c>
      <c r="K631" s="43">
        <f t="shared" si="44"/>
        <v>11113</v>
      </c>
      <c r="L631" s="9"/>
    </row>
    <row r="632" spans="2:13" ht="20.100000000000001" customHeight="1" x14ac:dyDescent="0.15">
      <c r="B632" s="72"/>
      <c r="C632" s="10"/>
      <c r="D632" s="10"/>
      <c r="E632" s="10"/>
      <c r="F632" s="10"/>
      <c r="G632" s="7"/>
      <c r="H632" s="8"/>
      <c r="I632" s="8"/>
      <c r="J632" s="23" t="str">
        <f t="shared" si="45"/>
        <v>借</v>
      </c>
      <c r="K632" s="43">
        <f t="shared" si="44"/>
        <v>11113</v>
      </c>
      <c r="L632" s="9"/>
    </row>
    <row r="633" spans="2:13" ht="20.100000000000001" customHeight="1" x14ac:dyDescent="0.15">
      <c r="B633" s="72"/>
      <c r="C633" s="10"/>
      <c r="D633" s="10"/>
      <c r="E633" s="10"/>
      <c r="F633" s="10"/>
      <c r="G633" s="7"/>
      <c r="H633" s="8"/>
      <c r="I633" s="8"/>
      <c r="J633" s="8" t="str">
        <f t="shared" si="45"/>
        <v>借</v>
      </c>
      <c r="K633" s="43">
        <f t="shared" si="44"/>
        <v>11113</v>
      </c>
      <c r="L633" s="9"/>
    </row>
    <row r="634" spans="2:13" ht="20.100000000000001" customHeight="1" x14ac:dyDescent="0.15">
      <c r="B634" s="72"/>
      <c r="C634" s="10"/>
      <c r="D634" s="10"/>
      <c r="E634" s="10"/>
      <c r="F634" s="10"/>
      <c r="G634" s="7"/>
      <c r="H634" s="8"/>
      <c r="I634" s="8"/>
      <c r="J634" s="8" t="str">
        <f t="shared" si="45"/>
        <v>借</v>
      </c>
      <c r="K634" s="43">
        <f t="shared" si="44"/>
        <v>11113</v>
      </c>
      <c r="L634" s="9"/>
    </row>
    <row r="635" spans="2:13" ht="20.100000000000001" customHeight="1" x14ac:dyDescent="0.15">
      <c r="B635" s="72"/>
      <c r="C635" s="10"/>
      <c r="D635" s="10"/>
      <c r="E635" s="10"/>
      <c r="F635" s="10"/>
      <c r="G635" s="7"/>
      <c r="H635" s="8"/>
      <c r="I635" s="8"/>
      <c r="J635" s="8" t="str">
        <f t="shared" si="45"/>
        <v>借</v>
      </c>
      <c r="K635" s="43">
        <f t="shared" si="44"/>
        <v>11113</v>
      </c>
      <c r="L635" s="9"/>
      <c r="M635" s="73"/>
    </row>
    <row r="636" spans="2:13" ht="20.100000000000001" customHeight="1" x14ac:dyDescent="0.15">
      <c r="B636" s="72"/>
      <c r="C636" s="10"/>
      <c r="D636" s="10"/>
      <c r="E636" s="10"/>
      <c r="F636" s="10"/>
      <c r="G636" s="7"/>
      <c r="H636" s="8"/>
      <c r="I636" s="8"/>
      <c r="J636" s="23" t="str">
        <f t="shared" si="45"/>
        <v>借</v>
      </c>
      <c r="K636" s="43">
        <f t="shared" si="44"/>
        <v>11113</v>
      </c>
      <c r="L636" s="9"/>
    </row>
    <row r="637" spans="2:13" ht="20.100000000000001" customHeight="1" x14ac:dyDescent="0.15">
      <c r="B637" s="72"/>
      <c r="C637" s="10"/>
      <c r="D637" s="10"/>
      <c r="E637" s="10"/>
      <c r="F637" s="10"/>
      <c r="G637" s="7"/>
      <c r="H637" s="8"/>
      <c r="I637" s="8"/>
      <c r="J637" s="8" t="str">
        <f t="shared" si="45"/>
        <v>借</v>
      </c>
      <c r="K637" s="43">
        <f t="shared" si="44"/>
        <v>11113</v>
      </c>
      <c r="L637" s="9"/>
    </row>
    <row r="638" spans="2:13" ht="20.100000000000001" customHeight="1" x14ac:dyDescent="0.15">
      <c r="B638" s="72"/>
      <c r="C638" s="10"/>
      <c r="D638" s="10"/>
      <c r="E638" s="10"/>
      <c r="F638" s="10"/>
      <c r="G638" s="7"/>
      <c r="H638" s="8"/>
      <c r="I638" s="8"/>
      <c r="J638" s="8" t="str">
        <f t="shared" si="45"/>
        <v>借</v>
      </c>
      <c r="K638" s="43">
        <f t="shared" si="44"/>
        <v>11113</v>
      </c>
      <c r="L638" s="9"/>
    </row>
    <row r="639" spans="2:13" ht="20.100000000000001" customHeight="1" x14ac:dyDescent="0.15">
      <c r="B639" s="72"/>
      <c r="C639" s="10"/>
      <c r="D639" s="10"/>
      <c r="E639" s="10"/>
      <c r="F639" s="10"/>
      <c r="G639" s="7"/>
      <c r="H639" s="8"/>
      <c r="I639" s="8"/>
      <c r="J639" s="8" t="str">
        <f t="shared" si="45"/>
        <v>借</v>
      </c>
      <c r="K639" s="43">
        <f t="shared" si="44"/>
        <v>11113</v>
      </c>
      <c r="L639" s="9"/>
    </row>
    <row r="640" spans="2:13" ht="20.100000000000001" customHeight="1" x14ac:dyDescent="0.15">
      <c r="B640" s="72"/>
      <c r="C640" s="10"/>
      <c r="D640" s="10"/>
      <c r="E640" s="16"/>
      <c r="F640" s="10"/>
      <c r="G640" s="7"/>
      <c r="H640" s="8"/>
      <c r="I640" s="8"/>
      <c r="J640" s="23" t="str">
        <f t="shared" si="45"/>
        <v>借</v>
      </c>
      <c r="K640" s="43">
        <f t="shared" si="44"/>
        <v>11113</v>
      </c>
      <c r="L640" s="9"/>
    </row>
    <row r="641" spans="2:13" ht="20.100000000000001" customHeight="1" x14ac:dyDescent="0.15">
      <c r="B641" s="72"/>
      <c r="C641" s="10"/>
      <c r="D641" s="10"/>
      <c r="E641" s="16"/>
      <c r="F641" s="10"/>
      <c r="G641" s="7"/>
      <c r="H641" s="8"/>
      <c r="I641" s="8"/>
      <c r="J641" s="8" t="str">
        <f t="shared" si="45"/>
        <v>借</v>
      </c>
      <c r="K641" s="43">
        <f t="shared" si="44"/>
        <v>11113</v>
      </c>
      <c r="L641" s="9"/>
    </row>
    <row r="642" spans="2:13" ht="20.100000000000001" customHeight="1" x14ac:dyDescent="0.15">
      <c r="B642" s="72"/>
      <c r="C642" s="10"/>
      <c r="D642" s="10"/>
      <c r="E642" s="10"/>
      <c r="F642" s="10"/>
      <c r="G642" s="7"/>
      <c r="H642" s="8"/>
      <c r="I642" s="8"/>
      <c r="J642" s="8" t="str">
        <f t="shared" si="45"/>
        <v>借</v>
      </c>
      <c r="K642" s="43">
        <f t="shared" si="44"/>
        <v>11113</v>
      </c>
      <c r="L642" s="9"/>
      <c r="M642" s="99"/>
    </row>
    <row r="643" spans="2:13" ht="20.100000000000001" customHeight="1" x14ac:dyDescent="0.15">
      <c r="B643" s="72"/>
      <c r="C643" s="10"/>
      <c r="D643" s="10"/>
      <c r="E643" s="10"/>
      <c r="F643" s="10"/>
      <c r="G643" s="7"/>
      <c r="H643" s="8"/>
      <c r="I643" s="8"/>
      <c r="J643" s="8" t="str">
        <f t="shared" si="45"/>
        <v>借</v>
      </c>
      <c r="K643" s="43">
        <f t="shared" si="44"/>
        <v>11113</v>
      </c>
      <c r="L643" s="9"/>
      <c r="M643" s="99"/>
    </row>
    <row r="644" spans="2:13" ht="20.100000000000001" customHeight="1" x14ac:dyDescent="0.15">
      <c r="B644" s="72"/>
      <c r="C644" s="10"/>
      <c r="D644" s="10"/>
      <c r="E644" s="10"/>
      <c r="F644" s="10"/>
      <c r="G644" s="7"/>
      <c r="H644" s="8"/>
      <c r="I644" s="8"/>
      <c r="J644" s="23" t="str">
        <f t="shared" si="45"/>
        <v>借</v>
      </c>
      <c r="K644" s="43">
        <f t="shared" si="44"/>
        <v>11113</v>
      </c>
      <c r="L644" s="9"/>
      <c r="M644" s="99"/>
    </row>
    <row r="645" spans="2:13" ht="20.100000000000001" customHeight="1" x14ac:dyDescent="0.15">
      <c r="B645" s="72"/>
      <c r="C645" s="10"/>
      <c r="D645" s="10"/>
      <c r="E645" s="10"/>
      <c r="F645" s="10"/>
      <c r="G645" s="7"/>
      <c r="H645" s="8"/>
      <c r="I645" s="8"/>
      <c r="J645" s="8" t="str">
        <f t="shared" si="45"/>
        <v>借</v>
      </c>
      <c r="K645" s="43">
        <f t="shared" si="44"/>
        <v>11113</v>
      </c>
      <c r="L645" s="9"/>
    </row>
    <row r="646" spans="2:13" ht="20.100000000000001" customHeight="1" x14ac:dyDescent="0.15">
      <c r="B646" s="72"/>
      <c r="C646" s="10"/>
      <c r="D646" s="10"/>
      <c r="E646" s="10"/>
      <c r="F646" s="10"/>
      <c r="G646" s="7"/>
      <c r="H646" s="8"/>
      <c r="I646" s="8"/>
      <c r="J646" s="8" t="str">
        <f t="shared" si="45"/>
        <v>借</v>
      </c>
      <c r="K646" s="43">
        <f t="shared" si="44"/>
        <v>11113</v>
      </c>
      <c r="L646" s="9"/>
    </row>
    <row r="647" spans="2:13" ht="20.100000000000001" customHeight="1" x14ac:dyDescent="0.15">
      <c r="B647" s="72"/>
      <c r="C647" s="10"/>
      <c r="D647" s="10"/>
      <c r="E647" s="10"/>
      <c r="F647" s="10"/>
      <c r="G647" s="7"/>
      <c r="H647" s="8"/>
      <c r="I647" s="8"/>
      <c r="J647" s="8" t="str">
        <f t="shared" si="45"/>
        <v>借</v>
      </c>
      <c r="K647" s="43">
        <f t="shared" si="44"/>
        <v>11113</v>
      </c>
      <c r="L647" s="9"/>
    </row>
    <row r="648" spans="2:13" ht="20.100000000000001" customHeight="1" x14ac:dyDescent="0.15">
      <c r="B648" s="72"/>
      <c r="C648" s="10"/>
      <c r="D648" s="10"/>
      <c r="E648" s="10"/>
      <c r="F648" s="10"/>
      <c r="G648" s="7"/>
      <c r="H648" s="8"/>
      <c r="I648" s="8"/>
      <c r="J648" s="23" t="str">
        <f t="shared" si="45"/>
        <v>借</v>
      </c>
      <c r="K648" s="43">
        <f t="shared" si="44"/>
        <v>11113</v>
      </c>
      <c r="L648" s="9"/>
    </row>
    <row r="649" spans="2:13" ht="20.100000000000001" customHeight="1" x14ac:dyDescent="0.15">
      <c r="B649" s="72"/>
      <c r="C649" s="10"/>
      <c r="D649" s="10"/>
      <c r="E649" s="10"/>
      <c r="F649" s="10"/>
      <c r="G649" s="7"/>
      <c r="H649" s="8"/>
      <c r="I649" s="8"/>
      <c r="J649" s="8" t="str">
        <f t="shared" si="45"/>
        <v>借</v>
      </c>
      <c r="K649" s="43">
        <f t="shared" si="44"/>
        <v>11113</v>
      </c>
      <c r="L649" s="9"/>
    </row>
    <row r="650" spans="2:13" ht="20.100000000000001" customHeight="1" x14ac:dyDescent="0.15">
      <c r="B650" s="72"/>
      <c r="C650" s="10"/>
      <c r="D650" s="10"/>
      <c r="E650" s="10"/>
      <c r="F650" s="10"/>
      <c r="G650" s="7"/>
      <c r="H650" s="8"/>
      <c r="I650" s="8"/>
      <c r="J650" s="8" t="str">
        <f t="shared" si="45"/>
        <v>借</v>
      </c>
      <c r="K650" s="43">
        <f t="shared" si="44"/>
        <v>11113</v>
      </c>
      <c r="L650" s="9"/>
    </row>
    <row r="651" spans="2:13" ht="20.100000000000001" customHeight="1" x14ac:dyDescent="0.15">
      <c r="B651" s="72"/>
      <c r="C651" s="10"/>
      <c r="D651" s="10"/>
      <c r="E651" s="10"/>
      <c r="F651" s="10"/>
      <c r="G651" s="7"/>
      <c r="H651" s="8"/>
      <c r="I651" s="8"/>
      <c r="J651" s="8" t="str">
        <f t="shared" si="45"/>
        <v>借</v>
      </c>
      <c r="K651" s="43">
        <f t="shared" si="44"/>
        <v>11113</v>
      </c>
      <c r="L651" s="9"/>
    </row>
    <row r="652" spans="2:13" ht="20.100000000000001" customHeight="1" x14ac:dyDescent="0.15">
      <c r="B652" s="72"/>
      <c r="C652" s="10"/>
      <c r="D652" s="10"/>
      <c r="E652" s="10"/>
      <c r="F652" s="10"/>
      <c r="G652" s="7"/>
      <c r="H652" s="8"/>
      <c r="I652" s="8"/>
      <c r="J652" s="23" t="str">
        <f t="shared" si="45"/>
        <v>借</v>
      </c>
      <c r="K652" s="43">
        <f t="shared" si="44"/>
        <v>11113</v>
      </c>
      <c r="L652" s="9"/>
      <c r="M652" s="99"/>
    </row>
    <row r="653" spans="2:13" ht="20.100000000000001" customHeight="1" x14ac:dyDescent="0.15">
      <c r="B653" s="72"/>
      <c r="C653" s="10"/>
      <c r="D653" s="10"/>
      <c r="E653" s="10"/>
      <c r="F653" s="10"/>
      <c r="G653" s="7"/>
      <c r="H653" s="8"/>
      <c r="I653" s="8"/>
      <c r="J653" s="8" t="str">
        <f t="shared" si="45"/>
        <v>借</v>
      </c>
      <c r="K653" s="43">
        <f t="shared" ref="K653:K686" si="46">_xlfn.IFS(J652="借",K652+H653-I653,J652="贷",H653-I653-K652)</f>
        <v>11113</v>
      </c>
      <c r="L653" s="9"/>
      <c r="M653" s="99"/>
    </row>
    <row r="654" spans="2:13" ht="20.100000000000001" customHeight="1" x14ac:dyDescent="0.15">
      <c r="B654" s="72"/>
      <c r="C654" s="10"/>
      <c r="D654" s="10"/>
      <c r="E654" s="10"/>
      <c r="F654" s="10"/>
      <c r="G654" s="7"/>
      <c r="H654" s="8"/>
      <c r="I654" s="8"/>
      <c r="J654" s="8" t="str">
        <f t="shared" si="45"/>
        <v>借</v>
      </c>
      <c r="K654" s="43">
        <f t="shared" si="46"/>
        <v>11113</v>
      </c>
      <c r="L654" s="9"/>
      <c r="M654" s="99"/>
    </row>
    <row r="655" spans="2:13" ht="20.100000000000001" customHeight="1" x14ac:dyDescent="0.15">
      <c r="B655" s="72"/>
      <c r="C655" s="10"/>
      <c r="D655" s="10"/>
      <c r="E655" s="10"/>
      <c r="F655" s="10"/>
      <c r="G655" s="7"/>
      <c r="H655" s="8"/>
      <c r="I655" s="8"/>
      <c r="J655" s="23" t="str">
        <f t="shared" si="45"/>
        <v>借</v>
      </c>
      <c r="K655" s="43">
        <f t="shared" si="46"/>
        <v>11113</v>
      </c>
      <c r="L655" s="9"/>
    </row>
    <row r="656" spans="2:13" ht="20.100000000000001" customHeight="1" x14ac:dyDescent="0.15">
      <c r="B656" s="72"/>
      <c r="C656" s="10"/>
      <c r="D656" s="10"/>
      <c r="E656" s="10"/>
      <c r="F656" s="10"/>
      <c r="G656" s="7"/>
      <c r="H656" s="8"/>
      <c r="I656" s="8"/>
      <c r="J656" s="8" t="str">
        <f t="shared" si="45"/>
        <v>借</v>
      </c>
      <c r="K656" s="43">
        <f t="shared" si="46"/>
        <v>11113</v>
      </c>
      <c r="L656" s="9"/>
    </row>
    <row r="657" spans="2:13" ht="20.100000000000001" customHeight="1" x14ac:dyDescent="0.15">
      <c r="B657" s="72"/>
      <c r="C657" s="10"/>
      <c r="D657" s="10"/>
      <c r="E657" s="16"/>
      <c r="F657" s="10"/>
      <c r="G657" s="7"/>
      <c r="H657" s="8"/>
      <c r="I657" s="8"/>
      <c r="J657" s="8" t="str">
        <f t="shared" si="45"/>
        <v>借</v>
      </c>
      <c r="K657" s="43">
        <f t="shared" si="46"/>
        <v>11113</v>
      </c>
      <c r="L657" s="9"/>
    </row>
    <row r="658" spans="2:13" ht="20.100000000000001" customHeight="1" x14ac:dyDescent="0.15">
      <c r="B658" s="72"/>
      <c r="C658" s="10"/>
      <c r="D658" s="10"/>
      <c r="E658" s="16"/>
      <c r="F658" s="10"/>
      <c r="G658" s="7"/>
      <c r="H658" s="8"/>
      <c r="I658" s="8"/>
      <c r="J658" s="23" t="str">
        <f t="shared" si="45"/>
        <v>借</v>
      </c>
      <c r="K658" s="43">
        <f t="shared" si="46"/>
        <v>11113</v>
      </c>
      <c r="L658" s="9"/>
    </row>
    <row r="659" spans="2:13" ht="20.100000000000001" customHeight="1" x14ac:dyDescent="0.15">
      <c r="B659" s="72"/>
      <c r="C659" s="10"/>
      <c r="D659" s="10"/>
      <c r="E659" s="10"/>
      <c r="F659" s="10"/>
      <c r="G659" s="7"/>
      <c r="H659" s="8"/>
      <c r="I659" s="8"/>
      <c r="J659" s="8" t="str">
        <f t="shared" si="45"/>
        <v>借</v>
      </c>
      <c r="K659" s="43">
        <f t="shared" si="46"/>
        <v>11113</v>
      </c>
      <c r="L659" s="9"/>
    </row>
    <row r="660" spans="2:13" ht="20.100000000000001" customHeight="1" x14ac:dyDescent="0.15">
      <c r="B660" s="72"/>
      <c r="C660" s="10"/>
      <c r="D660" s="10"/>
      <c r="E660" s="10"/>
      <c r="F660" s="10"/>
      <c r="G660" s="7"/>
      <c r="H660" s="8"/>
      <c r="I660" s="8"/>
      <c r="J660" s="8" t="str">
        <f t="shared" si="45"/>
        <v>借</v>
      </c>
      <c r="K660" s="43">
        <f t="shared" si="46"/>
        <v>11113</v>
      </c>
      <c r="L660" s="9"/>
    </row>
    <row r="661" spans="2:13" ht="20.100000000000001" customHeight="1" x14ac:dyDescent="0.15">
      <c r="B661" s="72"/>
      <c r="C661" s="10"/>
      <c r="D661" s="10"/>
      <c r="E661" s="10"/>
      <c r="F661" s="10"/>
      <c r="G661" s="7"/>
      <c r="H661" s="8"/>
      <c r="I661" s="8"/>
      <c r="J661" s="8" t="str">
        <f t="shared" si="45"/>
        <v>借</v>
      </c>
      <c r="K661" s="43">
        <f t="shared" si="46"/>
        <v>11113</v>
      </c>
      <c r="L661" s="9"/>
    </row>
    <row r="662" spans="2:13" ht="20.100000000000001" customHeight="1" x14ac:dyDescent="0.15">
      <c r="B662" s="72"/>
      <c r="C662" s="10"/>
      <c r="D662" s="10"/>
      <c r="E662" s="10"/>
      <c r="F662" s="10"/>
      <c r="G662" s="7"/>
      <c r="H662" s="8"/>
      <c r="I662" s="8"/>
      <c r="J662" s="23" t="str">
        <f t="shared" si="45"/>
        <v>借</v>
      </c>
      <c r="K662" s="43">
        <f t="shared" si="46"/>
        <v>11113</v>
      </c>
      <c r="L662" s="9"/>
    </row>
    <row r="663" spans="2:13" ht="20.100000000000001" customHeight="1" x14ac:dyDescent="0.15">
      <c r="B663" s="72"/>
      <c r="C663" s="10"/>
      <c r="D663" s="10"/>
      <c r="E663" s="10"/>
      <c r="F663" s="10"/>
      <c r="G663" s="7"/>
      <c r="H663" s="8"/>
      <c r="I663" s="8"/>
      <c r="J663" s="8" t="str">
        <f t="shared" si="45"/>
        <v>借</v>
      </c>
      <c r="K663" s="43">
        <f t="shared" si="46"/>
        <v>11113</v>
      </c>
      <c r="L663" s="9"/>
    </row>
    <row r="664" spans="2:13" ht="20.100000000000001" customHeight="1" x14ac:dyDescent="0.15">
      <c r="B664" s="72"/>
      <c r="C664" s="10"/>
      <c r="D664" s="10"/>
      <c r="E664" s="10"/>
      <c r="F664" s="10"/>
      <c r="G664" s="7"/>
      <c r="H664" s="8"/>
      <c r="I664" s="8"/>
      <c r="J664" s="8" t="str">
        <f t="shared" si="45"/>
        <v>借</v>
      </c>
      <c r="K664" s="43">
        <f t="shared" si="46"/>
        <v>11113</v>
      </c>
      <c r="L664" s="9"/>
    </row>
    <row r="665" spans="2:13" ht="20.100000000000001" customHeight="1" x14ac:dyDescent="0.15">
      <c r="B665" s="72"/>
      <c r="C665" s="10"/>
      <c r="D665" s="10"/>
      <c r="E665" s="10"/>
      <c r="F665" s="10"/>
      <c r="G665" s="7"/>
      <c r="H665" s="8"/>
      <c r="I665" s="8"/>
      <c r="J665" s="8" t="str">
        <f t="shared" si="45"/>
        <v>借</v>
      </c>
      <c r="K665" s="43">
        <f t="shared" si="46"/>
        <v>11113</v>
      </c>
      <c r="L665" s="9"/>
    </row>
    <row r="666" spans="2:13" ht="20.100000000000001" customHeight="1" x14ac:dyDescent="0.15">
      <c r="B666" s="72"/>
      <c r="C666" s="10"/>
      <c r="D666" s="10"/>
      <c r="E666" s="10"/>
      <c r="F666" s="10"/>
      <c r="G666" s="7"/>
      <c r="H666" s="8"/>
      <c r="I666" s="8"/>
      <c r="J666" s="23" t="str">
        <f t="shared" si="45"/>
        <v>借</v>
      </c>
      <c r="K666" s="43">
        <f t="shared" si="46"/>
        <v>11113</v>
      </c>
      <c r="L666" s="9"/>
      <c r="M666" s="99"/>
    </row>
    <row r="667" spans="2:13" ht="20.100000000000001" customHeight="1" x14ac:dyDescent="0.15">
      <c r="B667" s="72"/>
      <c r="C667" s="10"/>
      <c r="D667" s="10"/>
      <c r="E667" s="10"/>
      <c r="F667" s="10"/>
      <c r="G667" s="7"/>
      <c r="H667" s="8"/>
      <c r="I667" s="8"/>
      <c r="J667" s="8" t="str">
        <f t="shared" si="45"/>
        <v>借</v>
      </c>
      <c r="K667" s="43">
        <f t="shared" si="46"/>
        <v>11113</v>
      </c>
      <c r="L667" s="9"/>
      <c r="M667" s="99"/>
    </row>
    <row r="668" spans="2:13" ht="20.100000000000001" customHeight="1" x14ac:dyDescent="0.15">
      <c r="B668" s="72"/>
      <c r="C668" s="10"/>
      <c r="D668" s="10"/>
      <c r="E668" s="10"/>
      <c r="F668" s="10"/>
      <c r="G668" s="7"/>
      <c r="H668" s="8"/>
      <c r="I668" s="8"/>
      <c r="J668" s="8" t="str">
        <f t="shared" si="45"/>
        <v>借</v>
      </c>
      <c r="K668" s="43">
        <f t="shared" si="46"/>
        <v>11113</v>
      </c>
      <c r="L668" s="9"/>
    </row>
    <row r="669" spans="2:13" ht="20.100000000000001" customHeight="1" x14ac:dyDescent="0.15">
      <c r="B669" s="72"/>
      <c r="C669" s="10"/>
      <c r="D669" s="10"/>
      <c r="E669" s="10"/>
      <c r="F669" s="10"/>
      <c r="G669" s="7"/>
      <c r="H669" s="8"/>
      <c r="I669" s="8"/>
      <c r="J669" s="8" t="str">
        <f t="shared" si="45"/>
        <v>借</v>
      </c>
      <c r="K669" s="43">
        <f t="shared" si="46"/>
        <v>11113</v>
      </c>
      <c r="L669" s="9"/>
    </row>
    <row r="670" spans="2:13" ht="20.100000000000001" customHeight="1" x14ac:dyDescent="0.15">
      <c r="B670" s="72"/>
      <c r="C670" s="10"/>
      <c r="D670" s="10"/>
      <c r="E670" s="10"/>
      <c r="F670" s="10"/>
      <c r="G670" s="7"/>
      <c r="H670" s="8"/>
      <c r="I670" s="8"/>
      <c r="J670" s="23" t="str">
        <f t="shared" si="45"/>
        <v>借</v>
      </c>
      <c r="K670" s="43">
        <f t="shared" si="46"/>
        <v>11113</v>
      </c>
      <c r="L670" s="9"/>
    </row>
    <row r="671" spans="2:13" ht="20.100000000000001" customHeight="1" x14ac:dyDescent="0.15">
      <c r="B671" s="72"/>
      <c r="C671" s="10"/>
      <c r="D671" s="10"/>
      <c r="E671" s="10"/>
      <c r="F671" s="10"/>
      <c r="G671" s="7"/>
      <c r="H671" s="8"/>
      <c r="I671" s="8"/>
      <c r="J671" s="8" t="str">
        <f t="shared" si="45"/>
        <v>借</v>
      </c>
      <c r="K671" s="43">
        <f t="shared" si="46"/>
        <v>11113</v>
      </c>
      <c r="L671" s="9"/>
    </row>
    <row r="672" spans="2:13" ht="20.100000000000001" customHeight="1" x14ac:dyDescent="0.15">
      <c r="B672" s="72"/>
      <c r="C672" s="10"/>
      <c r="D672" s="10"/>
      <c r="E672" s="10"/>
      <c r="F672" s="10"/>
      <c r="G672" s="7"/>
      <c r="H672" s="8"/>
      <c r="I672" s="8"/>
      <c r="J672" s="8" t="str">
        <f t="shared" si="45"/>
        <v>借</v>
      </c>
      <c r="K672" s="43">
        <f t="shared" si="46"/>
        <v>11113</v>
      </c>
      <c r="L672" s="9"/>
    </row>
    <row r="673" spans="2:12" ht="20.100000000000001" customHeight="1" x14ac:dyDescent="0.15">
      <c r="B673" s="72"/>
      <c r="C673" s="10"/>
      <c r="D673" s="10"/>
      <c r="E673" s="10"/>
      <c r="F673" s="10"/>
      <c r="G673" s="7"/>
      <c r="H673" s="8"/>
      <c r="I673" s="8"/>
      <c r="J673" s="8" t="str">
        <f t="shared" si="45"/>
        <v>借</v>
      </c>
      <c r="K673" s="43">
        <f t="shared" si="46"/>
        <v>11113</v>
      </c>
      <c r="L673" s="9"/>
    </row>
    <row r="674" spans="2:12" ht="20.100000000000001" customHeight="1" x14ac:dyDescent="0.15">
      <c r="B674" s="72"/>
      <c r="C674" s="10"/>
      <c r="D674" s="10"/>
      <c r="E674" s="10"/>
      <c r="F674" s="10"/>
      <c r="G674" s="7"/>
      <c r="H674" s="8"/>
      <c r="I674" s="8"/>
      <c r="J674" s="23" t="str">
        <f t="shared" si="45"/>
        <v>借</v>
      </c>
      <c r="K674" s="43">
        <f t="shared" si="46"/>
        <v>11113</v>
      </c>
      <c r="L674" s="9"/>
    </row>
    <row r="675" spans="2:12" ht="20.100000000000001" customHeight="1" x14ac:dyDescent="0.15">
      <c r="B675" s="72"/>
      <c r="C675" s="10"/>
      <c r="D675" s="10"/>
      <c r="E675" s="10"/>
      <c r="F675" s="10"/>
      <c r="G675" s="7"/>
      <c r="H675" s="8"/>
      <c r="I675" s="8"/>
      <c r="J675" s="8" t="str">
        <f t="shared" si="45"/>
        <v>借</v>
      </c>
      <c r="K675" s="43">
        <f t="shared" si="46"/>
        <v>11113</v>
      </c>
      <c r="L675" s="9"/>
    </row>
    <row r="676" spans="2:12" ht="20.100000000000001" customHeight="1" x14ac:dyDescent="0.15">
      <c r="B676" s="72"/>
      <c r="C676" s="10"/>
      <c r="D676" s="10"/>
      <c r="E676" s="10"/>
      <c r="F676" s="10"/>
      <c r="G676" s="7"/>
      <c r="H676" s="8"/>
      <c r="I676" s="8"/>
      <c r="J676" s="8" t="str">
        <f t="shared" si="45"/>
        <v>借</v>
      </c>
      <c r="K676" s="43">
        <f t="shared" si="46"/>
        <v>11113</v>
      </c>
      <c r="L676" s="9"/>
    </row>
    <row r="677" spans="2:12" ht="20.100000000000001" customHeight="1" x14ac:dyDescent="0.15">
      <c r="B677" s="72"/>
      <c r="C677" s="10"/>
      <c r="D677" s="10"/>
      <c r="E677" s="10"/>
      <c r="F677" s="10"/>
      <c r="G677" s="7"/>
      <c r="H677" s="8"/>
      <c r="I677" s="8"/>
      <c r="J677" s="8" t="str">
        <f t="shared" si="45"/>
        <v>借</v>
      </c>
      <c r="K677" s="43">
        <f t="shared" si="46"/>
        <v>11113</v>
      </c>
      <c r="L677" s="9"/>
    </row>
    <row r="678" spans="2:12" ht="20.100000000000001" customHeight="1" x14ac:dyDescent="0.15">
      <c r="B678" s="72"/>
      <c r="C678" s="10"/>
      <c r="D678" s="10"/>
      <c r="E678" s="10"/>
      <c r="F678" s="10"/>
      <c r="G678" s="7"/>
      <c r="H678" s="8"/>
      <c r="I678" s="8"/>
      <c r="J678" s="23" t="str">
        <f t="shared" si="45"/>
        <v>借</v>
      </c>
      <c r="K678" s="43">
        <f t="shared" si="46"/>
        <v>11113</v>
      </c>
      <c r="L678" s="9"/>
    </row>
    <row r="679" spans="2:12" ht="20.100000000000001" customHeight="1" x14ac:dyDescent="0.15">
      <c r="B679" s="72"/>
      <c r="C679" s="10"/>
      <c r="D679" s="10"/>
      <c r="E679" s="10"/>
      <c r="F679" s="10"/>
      <c r="G679" s="7"/>
      <c r="H679" s="8"/>
      <c r="I679" s="8"/>
      <c r="J679" s="8" t="str">
        <f t="shared" si="45"/>
        <v>借</v>
      </c>
      <c r="K679" s="43">
        <f t="shared" si="46"/>
        <v>11113</v>
      </c>
      <c r="L679" s="9"/>
    </row>
    <row r="680" spans="2:12" ht="20.100000000000001" customHeight="1" x14ac:dyDescent="0.15">
      <c r="B680" s="72"/>
      <c r="C680" s="10"/>
      <c r="E680" s="74"/>
      <c r="F680" s="10"/>
      <c r="G680" s="7"/>
      <c r="H680" s="75"/>
      <c r="I680" s="75"/>
      <c r="J680" s="8" t="str">
        <f t="shared" si="45"/>
        <v>借</v>
      </c>
      <c r="K680" s="43">
        <f t="shared" si="46"/>
        <v>11113</v>
      </c>
      <c r="L680" s="9"/>
    </row>
    <row r="681" spans="2:12" ht="20.100000000000001" customHeight="1" x14ac:dyDescent="0.15">
      <c r="B681" s="72"/>
      <c r="C681" s="10"/>
      <c r="D681" s="10"/>
      <c r="E681" s="10"/>
      <c r="F681" s="10"/>
      <c r="G681" s="7"/>
      <c r="H681" s="8"/>
      <c r="I681" s="8"/>
      <c r="J681" s="8" t="str">
        <f t="shared" si="45"/>
        <v>借</v>
      </c>
      <c r="K681" s="43">
        <f t="shared" si="46"/>
        <v>11113</v>
      </c>
      <c r="L681" s="9"/>
    </row>
    <row r="682" spans="2:12" ht="20.100000000000001" customHeight="1" x14ac:dyDescent="0.15">
      <c r="B682" s="72"/>
      <c r="C682" s="10"/>
      <c r="D682" s="10"/>
      <c r="E682" s="10"/>
      <c r="F682" s="10"/>
      <c r="G682" s="7"/>
      <c r="H682" s="8"/>
      <c r="I682" s="8"/>
      <c r="J682" s="23" t="str">
        <f t="shared" si="45"/>
        <v>借</v>
      </c>
      <c r="K682" s="43">
        <f t="shared" si="46"/>
        <v>11113</v>
      </c>
      <c r="L682" s="9"/>
    </row>
    <row r="683" spans="2:12" ht="20.100000000000001" customHeight="1" x14ac:dyDescent="0.15">
      <c r="B683" s="72"/>
      <c r="C683" s="10"/>
      <c r="D683" s="10"/>
      <c r="E683" s="10"/>
      <c r="F683" s="10"/>
      <c r="G683" s="7"/>
      <c r="H683" s="8"/>
      <c r="I683" s="8"/>
      <c r="J683" s="8" t="str">
        <f t="shared" si="45"/>
        <v>借</v>
      </c>
      <c r="K683" s="43">
        <f t="shared" si="46"/>
        <v>11113</v>
      </c>
      <c r="L683" s="9"/>
    </row>
    <row r="684" spans="2:12" ht="20.100000000000001" customHeight="1" x14ac:dyDescent="0.15">
      <c r="B684" s="72"/>
      <c r="C684" s="10"/>
      <c r="D684" s="10"/>
      <c r="E684" s="10"/>
      <c r="F684" s="10"/>
      <c r="G684" s="7"/>
      <c r="H684" s="8"/>
      <c r="I684" s="8"/>
      <c r="J684" s="23" t="str">
        <f t="shared" si="45"/>
        <v>借</v>
      </c>
      <c r="K684" s="43">
        <f t="shared" si="46"/>
        <v>11113</v>
      </c>
      <c r="L684" s="9"/>
    </row>
    <row r="685" spans="2:12" ht="20.100000000000001" customHeight="1" x14ac:dyDescent="0.15">
      <c r="B685" s="72"/>
      <c r="C685" s="10"/>
      <c r="D685" s="10"/>
      <c r="E685" s="10"/>
      <c r="F685" s="10"/>
      <c r="G685" s="7"/>
      <c r="H685" s="8"/>
      <c r="I685" s="8"/>
      <c r="J685" s="8" t="str">
        <f t="shared" si="45"/>
        <v>借</v>
      </c>
      <c r="K685" s="43">
        <f t="shared" si="46"/>
        <v>11113</v>
      </c>
      <c r="L685" s="9"/>
    </row>
    <row r="686" spans="2:12" ht="20.100000000000001" customHeight="1" x14ac:dyDescent="0.15">
      <c r="B686" s="72"/>
      <c r="C686" s="10"/>
      <c r="D686" s="10"/>
      <c r="E686" s="10"/>
      <c r="F686" s="10"/>
      <c r="G686" s="7"/>
      <c r="H686" s="8"/>
      <c r="I686" s="8"/>
      <c r="J686" s="8" t="str">
        <f t="shared" ref="J686:J708" si="47">IF((K685+H686-I686)&gt;0,"借","贷")</f>
        <v>借</v>
      </c>
      <c r="K686" s="43">
        <f t="shared" si="46"/>
        <v>11113</v>
      </c>
      <c r="L686" s="9"/>
    </row>
    <row r="687" spans="2:12" ht="20.100000000000001" customHeight="1" x14ac:dyDescent="0.15">
      <c r="B687" s="72"/>
      <c r="C687" s="10"/>
      <c r="D687" s="10"/>
      <c r="E687" s="10"/>
      <c r="F687" s="10"/>
      <c r="G687" s="7"/>
      <c r="H687" s="8"/>
      <c r="I687" s="8"/>
      <c r="J687" s="23" t="str">
        <f t="shared" si="47"/>
        <v>借</v>
      </c>
      <c r="K687" s="43">
        <f t="shared" ref="K687:K708" si="48">_xlfn.IFS(J686="借",K686+H687-I687,J686="贷",H687-I687-K686)</f>
        <v>11113</v>
      </c>
      <c r="L687" s="9"/>
    </row>
    <row r="688" spans="2:12" ht="20.100000000000001" customHeight="1" x14ac:dyDescent="0.15">
      <c r="B688" s="72"/>
      <c r="C688" s="10"/>
      <c r="D688" s="10"/>
      <c r="E688" s="10"/>
      <c r="F688" s="10"/>
      <c r="G688" s="7"/>
      <c r="H688" s="8"/>
      <c r="I688" s="8"/>
      <c r="J688" s="8" t="str">
        <f t="shared" si="47"/>
        <v>借</v>
      </c>
      <c r="K688" s="43">
        <f t="shared" si="48"/>
        <v>11113</v>
      </c>
      <c r="L688" s="9"/>
    </row>
    <row r="689" spans="2:12" ht="20.100000000000001" customHeight="1" x14ac:dyDescent="0.15">
      <c r="B689" s="72"/>
      <c r="C689" s="10"/>
      <c r="D689" s="10"/>
      <c r="E689" s="10"/>
      <c r="F689" s="10"/>
      <c r="G689" s="7"/>
      <c r="H689" s="8"/>
      <c r="I689" s="8"/>
      <c r="J689" s="8" t="str">
        <f t="shared" si="47"/>
        <v>借</v>
      </c>
      <c r="K689" s="43">
        <f t="shared" si="48"/>
        <v>11113</v>
      </c>
      <c r="L689" s="9"/>
    </row>
    <row r="690" spans="2:12" ht="20.100000000000001" customHeight="1" x14ac:dyDescent="0.15">
      <c r="B690" s="72"/>
      <c r="C690" s="10"/>
      <c r="D690" s="10"/>
      <c r="E690" s="10"/>
      <c r="F690" s="10"/>
      <c r="G690" s="7"/>
      <c r="H690" s="8"/>
      <c r="I690" s="8"/>
      <c r="J690" s="8" t="str">
        <f t="shared" si="47"/>
        <v>借</v>
      </c>
      <c r="K690" s="43">
        <f t="shared" si="48"/>
        <v>11113</v>
      </c>
      <c r="L690" s="9"/>
    </row>
    <row r="691" spans="2:12" ht="20.100000000000001" customHeight="1" x14ac:dyDescent="0.15">
      <c r="B691" s="72"/>
      <c r="C691" s="10"/>
      <c r="D691" s="10"/>
      <c r="E691" s="10"/>
      <c r="F691" s="10"/>
      <c r="G691" s="7"/>
      <c r="H691" s="8"/>
      <c r="I691" s="8"/>
      <c r="J691" s="23" t="str">
        <f t="shared" si="47"/>
        <v>借</v>
      </c>
      <c r="K691" s="43">
        <f t="shared" si="48"/>
        <v>11113</v>
      </c>
      <c r="L691" s="9"/>
    </row>
    <row r="692" spans="2:12" ht="20.100000000000001" customHeight="1" x14ac:dyDescent="0.15">
      <c r="B692" s="72"/>
      <c r="C692" s="10"/>
      <c r="D692" s="10"/>
      <c r="E692" s="10"/>
      <c r="F692" s="10"/>
      <c r="G692" s="7"/>
      <c r="H692" s="8"/>
      <c r="I692" s="8"/>
      <c r="J692" s="8" t="str">
        <f t="shared" si="47"/>
        <v>借</v>
      </c>
      <c r="K692" s="43">
        <f t="shared" si="48"/>
        <v>11113</v>
      </c>
      <c r="L692" s="9"/>
    </row>
    <row r="693" spans="2:12" ht="20.100000000000001" customHeight="1" x14ac:dyDescent="0.15">
      <c r="B693" s="72"/>
      <c r="C693" s="10"/>
      <c r="D693" s="10"/>
      <c r="E693" s="10"/>
      <c r="F693" s="10"/>
      <c r="G693" s="7"/>
      <c r="H693" s="8"/>
      <c r="I693" s="8"/>
      <c r="J693" s="8" t="str">
        <f t="shared" si="47"/>
        <v>借</v>
      </c>
      <c r="K693" s="43">
        <f t="shared" si="48"/>
        <v>11113</v>
      </c>
      <c r="L693" s="9"/>
    </row>
    <row r="694" spans="2:12" ht="20.100000000000001" customHeight="1" x14ac:dyDescent="0.15">
      <c r="B694" s="72"/>
      <c r="C694" s="10"/>
      <c r="D694" s="10"/>
      <c r="E694" s="10"/>
      <c r="F694" s="10"/>
      <c r="G694" s="7"/>
      <c r="H694" s="8"/>
      <c r="I694" s="8"/>
      <c r="J694" s="8" t="str">
        <f t="shared" si="47"/>
        <v>借</v>
      </c>
      <c r="K694" s="43">
        <f t="shared" si="48"/>
        <v>11113</v>
      </c>
      <c r="L694" s="9"/>
    </row>
    <row r="695" spans="2:12" ht="20.100000000000001" customHeight="1" x14ac:dyDescent="0.15">
      <c r="B695" s="72"/>
      <c r="C695" s="10"/>
      <c r="D695" s="10"/>
      <c r="E695" s="10"/>
      <c r="F695" s="10"/>
      <c r="G695" s="7"/>
      <c r="H695" s="8"/>
      <c r="I695" s="8"/>
      <c r="J695" s="23" t="str">
        <f t="shared" si="47"/>
        <v>借</v>
      </c>
      <c r="K695" s="43">
        <f t="shared" si="48"/>
        <v>11113</v>
      </c>
      <c r="L695" s="9"/>
    </row>
    <row r="696" spans="2:12" ht="20.100000000000001" customHeight="1" x14ac:dyDescent="0.15">
      <c r="B696" s="72"/>
      <c r="C696" s="10"/>
      <c r="D696" s="10"/>
      <c r="E696" s="10"/>
      <c r="F696" s="10"/>
      <c r="G696" s="7"/>
      <c r="H696" s="8"/>
      <c r="I696" s="8"/>
      <c r="J696" s="8" t="str">
        <f t="shared" si="47"/>
        <v>借</v>
      </c>
      <c r="K696" s="43">
        <f t="shared" si="48"/>
        <v>11113</v>
      </c>
      <c r="L696" s="9"/>
    </row>
    <row r="697" spans="2:12" ht="20.100000000000001" customHeight="1" x14ac:dyDescent="0.15">
      <c r="B697" s="72"/>
      <c r="C697" s="10"/>
      <c r="D697" s="10"/>
      <c r="E697" s="10"/>
      <c r="F697" s="10"/>
      <c r="G697" s="7"/>
      <c r="H697" s="8"/>
      <c r="I697" s="8"/>
      <c r="J697" s="8" t="str">
        <f t="shared" si="47"/>
        <v>借</v>
      </c>
      <c r="K697" s="43">
        <f t="shared" si="48"/>
        <v>11113</v>
      </c>
      <c r="L697" s="9"/>
    </row>
    <row r="698" spans="2:12" ht="20.100000000000001" customHeight="1" x14ac:dyDescent="0.15">
      <c r="B698" s="72"/>
      <c r="C698" s="10"/>
      <c r="D698" s="10"/>
      <c r="E698" s="10"/>
      <c r="F698" s="10"/>
      <c r="G698" s="7"/>
      <c r="H698" s="8"/>
      <c r="I698" s="8"/>
      <c r="J698" s="8" t="str">
        <f t="shared" si="47"/>
        <v>借</v>
      </c>
      <c r="K698" s="43">
        <f t="shared" si="48"/>
        <v>11113</v>
      </c>
      <c r="L698" s="9"/>
    </row>
    <row r="699" spans="2:12" ht="20.100000000000001" customHeight="1" x14ac:dyDescent="0.15">
      <c r="B699" s="72"/>
      <c r="C699" s="10"/>
      <c r="D699" s="10"/>
      <c r="E699" s="10"/>
      <c r="F699" s="10"/>
      <c r="G699" s="7"/>
      <c r="H699" s="8"/>
      <c r="I699" s="8"/>
      <c r="J699" s="23" t="str">
        <f t="shared" si="47"/>
        <v>借</v>
      </c>
      <c r="K699" s="43">
        <f t="shared" si="48"/>
        <v>11113</v>
      </c>
      <c r="L699" s="9"/>
    </row>
    <row r="700" spans="2:12" ht="20.100000000000001" customHeight="1" x14ac:dyDescent="0.15">
      <c r="B700" s="72"/>
      <c r="C700" s="10"/>
      <c r="D700" s="10"/>
      <c r="E700" s="10"/>
      <c r="F700" s="10"/>
      <c r="G700" s="7"/>
      <c r="H700" s="8"/>
      <c r="I700" s="8"/>
      <c r="J700" s="8" t="str">
        <f t="shared" si="47"/>
        <v>借</v>
      </c>
      <c r="K700" s="43">
        <f t="shared" si="48"/>
        <v>11113</v>
      </c>
      <c r="L700" s="9"/>
    </row>
    <row r="701" spans="2:12" ht="20.100000000000001" customHeight="1" x14ac:dyDescent="0.15">
      <c r="B701" s="72"/>
      <c r="C701" s="10"/>
      <c r="D701" s="10"/>
      <c r="E701" s="10"/>
      <c r="F701" s="10"/>
      <c r="G701" s="7"/>
      <c r="H701" s="8"/>
      <c r="I701" s="8"/>
      <c r="J701" s="8" t="str">
        <f t="shared" si="47"/>
        <v>借</v>
      </c>
      <c r="K701" s="43">
        <f t="shared" si="48"/>
        <v>11113</v>
      </c>
      <c r="L701" s="9"/>
    </row>
    <row r="702" spans="2:12" ht="20.100000000000001" customHeight="1" x14ac:dyDescent="0.15">
      <c r="B702" s="72"/>
      <c r="C702" s="10"/>
      <c r="D702" s="10"/>
      <c r="E702" s="10"/>
      <c r="F702" s="10"/>
      <c r="G702" s="7"/>
      <c r="H702" s="8"/>
      <c r="I702" s="8"/>
      <c r="J702" s="8" t="str">
        <f t="shared" si="47"/>
        <v>借</v>
      </c>
      <c r="K702" s="43">
        <f t="shared" si="48"/>
        <v>11113</v>
      </c>
      <c r="L702" s="9"/>
    </row>
    <row r="703" spans="2:12" ht="20.100000000000001" customHeight="1" x14ac:dyDescent="0.15">
      <c r="B703" s="72"/>
      <c r="C703" s="10"/>
      <c r="D703" s="10"/>
      <c r="E703" s="10"/>
      <c r="F703" s="10"/>
      <c r="G703" s="7"/>
      <c r="H703" s="8"/>
      <c r="I703" s="8"/>
      <c r="J703" s="23" t="str">
        <f t="shared" si="47"/>
        <v>借</v>
      </c>
      <c r="K703" s="43">
        <f t="shared" si="48"/>
        <v>11113</v>
      </c>
      <c r="L703" s="9"/>
    </row>
    <row r="704" spans="2:12" ht="20.100000000000001" customHeight="1" x14ac:dyDescent="0.15">
      <c r="B704" s="72"/>
      <c r="C704" s="10"/>
      <c r="D704" s="10"/>
      <c r="E704" s="10"/>
      <c r="F704" s="10"/>
      <c r="G704" s="7"/>
      <c r="H704" s="8"/>
      <c r="I704" s="8"/>
      <c r="J704" s="8" t="str">
        <f t="shared" si="47"/>
        <v>借</v>
      </c>
      <c r="K704" s="43">
        <f t="shared" si="48"/>
        <v>11113</v>
      </c>
      <c r="L704" s="9"/>
    </row>
    <row r="705" spans="2:13" ht="20.100000000000001" customHeight="1" x14ac:dyDescent="0.15">
      <c r="B705" s="72"/>
      <c r="C705" s="10"/>
      <c r="D705" s="10"/>
      <c r="E705" s="10"/>
      <c r="F705" s="10"/>
      <c r="G705" s="7"/>
      <c r="H705" s="8"/>
      <c r="I705" s="8"/>
      <c r="J705" s="8" t="str">
        <f t="shared" si="47"/>
        <v>借</v>
      </c>
      <c r="K705" s="43">
        <f t="shared" si="48"/>
        <v>11113</v>
      </c>
      <c r="L705" s="9"/>
    </row>
    <row r="706" spans="2:13" ht="20.100000000000001" customHeight="1" x14ac:dyDescent="0.15">
      <c r="B706" s="72"/>
      <c r="C706" s="10"/>
      <c r="D706" s="10"/>
      <c r="E706" s="10"/>
      <c r="F706" s="10"/>
      <c r="G706" s="7"/>
      <c r="H706" s="8"/>
      <c r="I706" s="8"/>
      <c r="J706" s="8" t="str">
        <f t="shared" si="47"/>
        <v>借</v>
      </c>
      <c r="K706" s="43">
        <f t="shared" si="48"/>
        <v>11113</v>
      </c>
      <c r="L706" s="9"/>
    </row>
    <row r="707" spans="2:13" ht="20.100000000000001" customHeight="1" x14ac:dyDescent="0.15">
      <c r="B707" s="72"/>
      <c r="C707" s="10"/>
      <c r="D707" s="10"/>
      <c r="E707" s="10"/>
      <c r="F707" s="10"/>
      <c r="G707" s="7"/>
      <c r="H707" s="8"/>
      <c r="I707" s="8"/>
      <c r="J707" s="23" t="str">
        <f t="shared" si="47"/>
        <v>借</v>
      </c>
      <c r="K707" s="43">
        <f t="shared" si="48"/>
        <v>11113</v>
      </c>
      <c r="L707" s="9"/>
    </row>
    <row r="708" spans="2:13" ht="20.100000000000001" customHeight="1" x14ac:dyDescent="0.15">
      <c r="B708" s="72"/>
      <c r="C708" s="10"/>
      <c r="D708" s="10"/>
      <c r="E708" s="10"/>
      <c r="F708" s="10"/>
      <c r="G708" s="7"/>
      <c r="H708" s="8"/>
      <c r="I708" s="8"/>
      <c r="J708" s="8" t="str">
        <f t="shared" si="47"/>
        <v>借</v>
      </c>
      <c r="K708" s="43">
        <f t="shared" si="48"/>
        <v>11113</v>
      </c>
      <c r="L708" s="9"/>
    </row>
    <row r="709" spans="2:13" ht="20.100000000000001" customHeight="1" x14ac:dyDescent="0.15">
      <c r="B709" s="72"/>
      <c r="C709" s="10"/>
      <c r="D709" s="10"/>
      <c r="E709" s="10"/>
      <c r="F709" s="10"/>
      <c r="G709" s="7"/>
      <c r="H709" s="8"/>
      <c r="I709" s="8"/>
      <c r="J709" s="8" t="str">
        <f t="shared" ref="J709:J730" si="49">IF((K708+H709-I709)&gt;0,"借","贷")</f>
        <v>借</v>
      </c>
      <c r="K709" s="43">
        <f t="shared" ref="K709:K730" si="50">_xlfn.IFS(J708="借",K708+H709-I709,J708="贷",H709-I709-K708)</f>
        <v>11113</v>
      </c>
      <c r="L709" s="9"/>
    </row>
    <row r="710" spans="2:13" ht="20.100000000000001" customHeight="1" x14ac:dyDescent="0.15">
      <c r="B710" s="72"/>
      <c r="C710" s="10"/>
      <c r="D710" s="10"/>
      <c r="E710" s="10"/>
      <c r="F710" s="10"/>
      <c r="G710" s="7"/>
      <c r="H710" s="8"/>
      <c r="I710" s="8"/>
      <c r="J710" s="8" t="str">
        <f t="shared" si="49"/>
        <v>借</v>
      </c>
      <c r="K710" s="43">
        <f t="shared" si="50"/>
        <v>11113</v>
      </c>
      <c r="L710" s="9"/>
    </row>
    <row r="711" spans="2:13" ht="20.100000000000001" customHeight="1" x14ac:dyDescent="0.15">
      <c r="B711" s="72"/>
      <c r="C711" s="10"/>
      <c r="D711" s="10"/>
      <c r="E711" s="10"/>
      <c r="F711" s="10"/>
      <c r="G711" s="7"/>
      <c r="H711" s="8"/>
      <c r="I711" s="8"/>
      <c r="J711" s="8" t="str">
        <f t="shared" si="49"/>
        <v>借</v>
      </c>
      <c r="K711" s="43">
        <f t="shared" si="50"/>
        <v>11113</v>
      </c>
      <c r="L711" s="9"/>
    </row>
    <row r="712" spans="2:13" ht="20.100000000000001" customHeight="1" x14ac:dyDescent="0.15">
      <c r="B712" s="72"/>
      <c r="C712" s="10"/>
      <c r="D712" s="10"/>
      <c r="E712" s="10"/>
      <c r="F712" s="10"/>
      <c r="G712" s="7"/>
      <c r="H712" s="8"/>
      <c r="I712" s="8"/>
      <c r="J712" s="8" t="str">
        <f t="shared" si="49"/>
        <v>借</v>
      </c>
      <c r="K712" s="43">
        <f t="shared" si="50"/>
        <v>11113</v>
      </c>
      <c r="L712" s="9"/>
      <c r="M712" s="55"/>
    </row>
    <row r="713" spans="2:13" ht="20.100000000000001" customHeight="1" x14ac:dyDescent="0.15">
      <c r="B713" s="72"/>
      <c r="C713" s="10"/>
      <c r="D713" s="10"/>
      <c r="E713" s="10"/>
      <c r="F713" s="10"/>
      <c r="G713" s="7"/>
      <c r="H713" s="8"/>
      <c r="I713" s="8"/>
      <c r="J713" s="8" t="str">
        <f t="shared" si="49"/>
        <v>借</v>
      </c>
      <c r="K713" s="43">
        <f t="shared" si="50"/>
        <v>11113</v>
      </c>
      <c r="L713" s="9"/>
    </row>
    <row r="714" spans="2:13" ht="20.100000000000001" customHeight="1" x14ac:dyDescent="0.15">
      <c r="B714" s="72"/>
      <c r="C714" s="10"/>
      <c r="D714" s="10"/>
      <c r="E714" s="10"/>
      <c r="F714" s="10"/>
      <c r="G714" s="7"/>
      <c r="H714" s="8"/>
      <c r="I714" s="8"/>
      <c r="J714" s="8" t="str">
        <f t="shared" si="49"/>
        <v>借</v>
      </c>
      <c r="K714" s="43">
        <f t="shared" si="50"/>
        <v>11113</v>
      </c>
      <c r="L714" s="9"/>
    </row>
    <row r="715" spans="2:13" ht="20.100000000000001" customHeight="1" x14ac:dyDescent="0.15">
      <c r="B715" s="72"/>
      <c r="C715" s="10"/>
      <c r="D715" s="10"/>
      <c r="E715" s="10"/>
      <c r="F715" s="10"/>
      <c r="G715" s="7"/>
      <c r="H715" s="8"/>
      <c r="I715" s="8"/>
      <c r="J715" s="8" t="str">
        <f t="shared" si="49"/>
        <v>借</v>
      </c>
      <c r="K715" s="43">
        <f t="shared" si="50"/>
        <v>11113</v>
      </c>
      <c r="L715" s="9"/>
    </row>
    <row r="716" spans="2:13" ht="20.100000000000001" customHeight="1" x14ac:dyDescent="0.15">
      <c r="B716" s="72"/>
      <c r="C716" s="10"/>
      <c r="D716" s="10"/>
      <c r="E716" s="10"/>
      <c r="F716" s="10"/>
      <c r="G716" s="7"/>
      <c r="H716" s="8"/>
      <c r="I716" s="8"/>
      <c r="J716" s="8" t="str">
        <f t="shared" si="49"/>
        <v>借</v>
      </c>
      <c r="K716" s="43">
        <f t="shared" si="50"/>
        <v>11113</v>
      </c>
      <c r="L716" s="9"/>
    </row>
    <row r="717" spans="2:13" ht="20.100000000000001" customHeight="1" x14ac:dyDescent="0.15">
      <c r="B717" s="72"/>
      <c r="C717" s="10"/>
      <c r="D717" s="10"/>
      <c r="E717" s="10"/>
      <c r="F717" s="10"/>
      <c r="G717" s="7"/>
      <c r="H717" s="8"/>
      <c r="I717" s="8"/>
      <c r="J717" s="8" t="str">
        <f t="shared" si="49"/>
        <v>借</v>
      </c>
      <c r="K717" s="43">
        <f t="shared" si="50"/>
        <v>11113</v>
      </c>
      <c r="L717" s="9"/>
    </row>
    <row r="718" spans="2:13" ht="20.100000000000001" customHeight="1" x14ac:dyDescent="0.15">
      <c r="B718" s="72"/>
      <c r="C718" s="10"/>
      <c r="D718" s="10"/>
      <c r="E718" s="10"/>
      <c r="F718" s="10"/>
      <c r="G718" s="7"/>
      <c r="H718" s="8"/>
      <c r="I718" s="8"/>
      <c r="J718" s="8" t="str">
        <f t="shared" si="49"/>
        <v>借</v>
      </c>
      <c r="K718" s="43">
        <f t="shared" si="50"/>
        <v>11113</v>
      </c>
      <c r="L718" s="9"/>
    </row>
    <row r="719" spans="2:13" ht="20.100000000000001" customHeight="1" x14ac:dyDescent="0.15">
      <c r="B719" s="72"/>
      <c r="C719" s="10"/>
      <c r="D719" s="10"/>
      <c r="E719" s="10"/>
      <c r="F719" s="10"/>
      <c r="G719" s="7"/>
      <c r="H719" s="8"/>
      <c r="I719" s="8"/>
      <c r="J719" s="8" t="str">
        <f t="shared" si="49"/>
        <v>借</v>
      </c>
      <c r="K719" s="43">
        <f t="shared" si="50"/>
        <v>11113</v>
      </c>
      <c r="L719" s="9"/>
    </row>
    <row r="720" spans="2:13" ht="20.100000000000001" customHeight="1" x14ac:dyDescent="0.15">
      <c r="B720" s="72"/>
      <c r="C720" s="10"/>
      <c r="D720" s="10"/>
      <c r="E720" s="10"/>
      <c r="F720" s="10"/>
      <c r="G720" s="7"/>
      <c r="H720" s="8"/>
      <c r="I720" s="8"/>
      <c r="J720" s="8" t="str">
        <f t="shared" si="49"/>
        <v>借</v>
      </c>
      <c r="K720" s="43">
        <f t="shared" si="50"/>
        <v>11113</v>
      </c>
      <c r="L720" s="9"/>
    </row>
    <row r="721" spans="2:13" ht="20.100000000000001" customHeight="1" x14ac:dyDescent="0.15">
      <c r="B721" s="72"/>
      <c r="C721" s="10"/>
      <c r="D721" s="10"/>
      <c r="E721" s="10"/>
      <c r="F721" s="10"/>
      <c r="G721" s="7"/>
      <c r="H721" s="8"/>
      <c r="I721" s="8"/>
      <c r="J721" s="8" t="str">
        <f t="shared" si="49"/>
        <v>借</v>
      </c>
      <c r="K721" s="43">
        <f t="shared" si="50"/>
        <v>11113</v>
      </c>
      <c r="L721" s="9"/>
    </row>
    <row r="722" spans="2:13" ht="20.100000000000001" customHeight="1" x14ac:dyDescent="0.15">
      <c r="B722" s="72"/>
      <c r="C722" s="10"/>
      <c r="D722" s="10"/>
      <c r="E722" s="10"/>
      <c r="F722" s="10"/>
      <c r="G722" s="7"/>
      <c r="H722" s="8"/>
      <c r="I722" s="8"/>
      <c r="J722" s="23" t="str">
        <f t="shared" si="49"/>
        <v>借</v>
      </c>
      <c r="K722" s="43">
        <f t="shared" si="50"/>
        <v>11113</v>
      </c>
      <c r="L722" s="9"/>
    </row>
    <row r="723" spans="2:13" ht="20.100000000000001" customHeight="1" x14ac:dyDescent="0.15">
      <c r="B723" s="72"/>
      <c r="C723" s="10"/>
      <c r="D723" s="10"/>
      <c r="E723" s="10"/>
      <c r="F723" s="10"/>
      <c r="G723" s="7"/>
      <c r="H723" s="8"/>
      <c r="I723" s="8"/>
      <c r="J723" s="8" t="str">
        <f t="shared" si="49"/>
        <v>借</v>
      </c>
      <c r="K723" s="43">
        <f t="shared" si="50"/>
        <v>11113</v>
      </c>
      <c r="L723" s="9"/>
    </row>
    <row r="724" spans="2:13" ht="20.100000000000001" customHeight="1" x14ac:dyDescent="0.15">
      <c r="B724" s="72"/>
      <c r="C724" s="10"/>
      <c r="D724" s="10"/>
      <c r="E724" s="10"/>
      <c r="F724" s="10"/>
      <c r="G724" s="7"/>
      <c r="H724" s="8"/>
      <c r="I724" s="8"/>
      <c r="J724" s="8" t="str">
        <f t="shared" si="49"/>
        <v>借</v>
      </c>
      <c r="K724" s="43">
        <f t="shared" si="50"/>
        <v>11113</v>
      </c>
      <c r="L724" s="9"/>
    </row>
    <row r="725" spans="2:13" ht="20.100000000000001" customHeight="1" x14ac:dyDescent="0.15">
      <c r="B725" s="72"/>
      <c r="C725" s="10"/>
      <c r="D725" s="10"/>
      <c r="E725" s="10"/>
      <c r="F725" s="10"/>
      <c r="G725" s="7"/>
      <c r="H725" s="8"/>
      <c r="I725" s="8"/>
      <c r="J725" s="8" t="str">
        <f t="shared" si="49"/>
        <v>借</v>
      </c>
      <c r="K725" s="43">
        <f t="shared" si="50"/>
        <v>11113</v>
      </c>
      <c r="L725" s="9"/>
      <c r="M725" s="99"/>
    </row>
    <row r="726" spans="2:13" ht="20.100000000000001" customHeight="1" x14ac:dyDescent="0.15">
      <c r="B726" s="72"/>
      <c r="C726" s="10"/>
      <c r="D726" s="10"/>
      <c r="E726" s="10"/>
      <c r="F726" s="10"/>
      <c r="G726" s="7"/>
      <c r="H726" s="8"/>
      <c r="I726" s="8"/>
      <c r="J726" s="8" t="str">
        <f t="shared" si="49"/>
        <v>借</v>
      </c>
      <c r="K726" s="43">
        <f t="shared" si="50"/>
        <v>11113</v>
      </c>
      <c r="L726" s="9"/>
      <c r="M726" s="99"/>
    </row>
    <row r="727" spans="2:13" ht="20.100000000000001" customHeight="1" x14ac:dyDescent="0.15">
      <c r="B727" s="72"/>
      <c r="C727" s="10"/>
      <c r="D727" s="10"/>
      <c r="E727" s="10"/>
      <c r="F727" s="10"/>
      <c r="G727" s="7"/>
      <c r="H727" s="8"/>
      <c r="I727" s="8"/>
      <c r="J727" s="8" t="str">
        <f t="shared" si="49"/>
        <v>借</v>
      </c>
      <c r="K727" s="43">
        <f t="shared" si="50"/>
        <v>11113</v>
      </c>
      <c r="L727" s="9"/>
    </row>
    <row r="728" spans="2:13" ht="20.100000000000001" customHeight="1" x14ac:dyDescent="0.15">
      <c r="B728" s="72"/>
      <c r="C728" s="10"/>
      <c r="D728" s="10"/>
      <c r="E728" s="10"/>
      <c r="F728" s="10"/>
      <c r="G728" s="7"/>
      <c r="H728" s="8"/>
      <c r="I728" s="8"/>
      <c r="J728" s="8" t="str">
        <f t="shared" si="49"/>
        <v>借</v>
      </c>
      <c r="K728" s="43">
        <f t="shared" si="50"/>
        <v>11113</v>
      </c>
      <c r="L728" s="9"/>
    </row>
    <row r="729" spans="2:13" ht="20.100000000000001" customHeight="1" x14ac:dyDescent="0.15">
      <c r="B729" s="72"/>
      <c r="C729" s="10"/>
      <c r="D729" s="10"/>
      <c r="E729" s="10"/>
      <c r="F729" s="10"/>
      <c r="G729" s="7"/>
      <c r="H729" s="8"/>
      <c r="I729" s="8"/>
      <c r="J729" s="8" t="str">
        <f t="shared" si="49"/>
        <v>借</v>
      </c>
      <c r="K729" s="43">
        <f t="shared" si="50"/>
        <v>11113</v>
      </c>
      <c r="L729" s="9"/>
    </row>
    <row r="730" spans="2:13" ht="20.100000000000001" customHeight="1" x14ac:dyDescent="0.15">
      <c r="B730" s="72"/>
      <c r="C730" s="10"/>
      <c r="D730" s="10"/>
      <c r="E730" s="10"/>
      <c r="F730" s="10"/>
      <c r="G730" s="7"/>
      <c r="H730" s="8"/>
      <c r="I730" s="8"/>
      <c r="J730" s="8" t="str">
        <f t="shared" si="49"/>
        <v>借</v>
      </c>
      <c r="K730" s="43">
        <f t="shared" si="50"/>
        <v>11113</v>
      </c>
      <c r="L730" s="9"/>
    </row>
    <row r="731" spans="2:13" ht="20.100000000000001" customHeight="1" x14ac:dyDescent="0.15">
      <c r="B731" s="72"/>
      <c r="C731" s="10"/>
      <c r="D731" s="10"/>
      <c r="E731" s="10"/>
      <c r="F731" s="10"/>
      <c r="G731" s="7"/>
      <c r="H731" s="8"/>
      <c r="I731" s="8"/>
      <c r="J731" s="8" t="str">
        <f t="shared" ref="J731:J749" si="51">IF((K730+H731-I731)&gt;0,"借","贷")</f>
        <v>借</v>
      </c>
      <c r="K731" s="43">
        <f t="shared" ref="K731:K749" si="52">_xlfn.IFS(J730="借",K730+H731-I731,J730="贷",H731-I731-K730)</f>
        <v>11113</v>
      </c>
      <c r="L731" s="9"/>
    </row>
    <row r="732" spans="2:13" ht="20.100000000000001" customHeight="1" x14ac:dyDescent="0.15">
      <c r="B732" s="72"/>
      <c r="C732" s="10"/>
      <c r="D732" s="10"/>
      <c r="E732" s="10"/>
      <c r="F732" s="10"/>
      <c r="G732" s="7"/>
      <c r="H732" s="8"/>
      <c r="I732" s="8"/>
      <c r="J732" s="8" t="str">
        <f t="shared" si="51"/>
        <v>借</v>
      </c>
      <c r="K732" s="43">
        <f t="shared" si="52"/>
        <v>11113</v>
      </c>
      <c r="L732" s="9"/>
    </row>
    <row r="733" spans="2:13" ht="20.100000000000001" customHeight="1" x14ac:dyDescent="0.15">
      <c r="B733" s="72"/>
      <c r="C733" s="10"/>
      <c r="D733" s="10"/>
      <c r="E733" s="10"/>
      <c r="F733" s="10"/>
      <c r="G733" s="7"/>
      <c r="H733" s="8"/>
      <c r="I733" s="8"/>
      <c r="J733" s="8" t="str">
        <f t="shared" si="51"/>
        <v>借</v>
      </c>
      <c r="K733" s="43">
        <f t="shared" si="52"/>
        <v>11113</v>
      </c>
      <c r="L733" s="9"/>
    </row>
    <row r="734" spans="2:13" ht="20.100000000000001" customHeight="1" x14ac:dyDescent="0.15">
      <c r="B734" s="72"/>
      <c r="C734" s="10"/>
      <c r="D734" s="10"/>
      <c r="E734" s="10"/>
      <c r="F734" s="10"/>
      <c r="G734" s="7"/>
      <c r="H734" s="8"/>
      <c r="I734" s="8"/>
      <c r="J734" s="23" t="str">
        <f t="shared" si="51"/>
        <v>借</v>
      </c>
      <c r="K734" s="43">
        <f t="shared" si="52"/>
        <v>11113</v>
      </c>
      <c r="L734" s="9"/>
    </row>
    <row r="735" spans="2:13" ht="20.100000000000001" customHeight="1" x14ac:dyDescent="0.15">
      <c r="B735" s="72"/>
      <c r="C735" s="10"/>
      <c r="D735" s="10"/>
      <c r="E735" s="10"/>
      <c r="F735" s="10"/>
      <c r="G735" s="7"/>
      <c r="H735" s="8"/>
      <c r="I735" s="8"/>
      <c r="J735" s="8" t="str">
        <f t="shared" si="51"/>
        <v>借</v>
      </c>
      <c r="K735" s="43">
        <f t="shared" si="52"/>
        <v>11113</v>
      </c>
      <c r="L735" s="9"/>
    </row>
    <row r="736" spans="2:13" ht="20.100000000000001" customHeight="1" x14ac:dyDescent="0.15">
      <c r="B736" s="72"/>
      <c r="C736" s="10"/>
      <c r="D736" s="10"/>
      <c r="E736" s="10"/>
      <c r="F736" s="10"/>
      <c r="G736" s="7"/>
      <c r="H736" s="8"/>
      <c r="I736" s="8"/>
      <c r="J736" s="8" t="str">
        <f t="shared" si="51"/>
        <v>借</v>
      </c>
      <c r="K736" s="43">
        <f t="shared" si="52"/>
        <v>11113</v>
      </c>
      <c r="L736" s="9"/>
    </row>
    <row r="737" spans="2:13" ht="20.100000000000001" customHeight="1" x14ac:dyDescent="0.15">
      <c r="B737" s="72"/>
      <c r="C737" s="10"/>
      <c r="D737" s="10"/>
      <c r="E737" s="10"/>
      <c r="F737" s="10"/>
      <c r="G737" s="7"/>
      <c r="H737" s="8"/>
      <c r="I737" s="8"/>
      <c r="J737" s="8" t="str">
        <f t="shared" si="51"/>
        <v>借</v>
      </c>
      <c r="K737" s="43">
        <f t="shared" si="52"/>
        <v>11113</v>
      </c>
      <c r="L737" s="9"/>
    </row>
    <row r="738" spans="2:13" ht="20.100000000000001" customHeight="1" x14ac:dyDescent="0.15">
      <c r="B738" s="72"/>
      <c r="C738" s="10"/>
      <c r="D738" s="10"/>
      <c r="E738" s="10"/>
      <c r="F738" s="10"/>
      <c r="G738" s="7"/>
      <c r="H738" s="8"/>
      <c r="I738" s="8"/>
      <c r="J738" s="23" t="str">
        <f t="shared" si="51"/>
        <v>借</v>
      </c>
      <c r="K738" s="43">
        <f t="shared" si="52"/>
        <v>11113</v>
      </c>
      <c r="L738" s="9"/>
    </row>
    <row r="739" spans="2:13" ht="20.100000000000001" customHeight="1" x14ac:dyDescent="0.15">
      <c r="B739" s="72"/>
      <c r="C739" s="10"/>
      <c r="D739" s="10"/>
      <c r="E739" s="10"/>
      <c r="F739" s="10"/>
      <c r="G739" s="7"/>
      <c r="H739" s="8"/>
      <c r="I739" s="8"/>
      <c r="J739" s="8" t="str">
        <f t="shared" si="51"/>
        <v>借</v>
      </c>
      <c r="K739" s="43">
        <f t="shared" si="52"/>
        <v>11113</v>
      </c>
      <c r="L739" s="9"/>
    </row>
    <row r="740" spans="2:13" ht="20.100000000000001" customHeight="1" x14ac:dyDescent="0.15">
      <c r="B740" s="72"/>
      <c r="C740" s="10"/>
      <c r="D740" s="10"/>
      <c r="E740" s="10"/>
      <c r="F740" s="10"/>
      <c r="G740" s="7"/>
      <c r="H740" s="8"/>
      <c r="I740" s="8"/>
      <c r="J740" s="8" t="str">
        <f t="shared" si="51"/>
        <v>借</v>
      </c>
      <c r="K740" s="43">
        <f t="shared" si="52"/>
        <v>11113</v>
      </c>
      <c r="L740" s="9"/>
    </row>
    <row r="741" spans="2:13" ht="20.100000000000001" customHeight="1" x14ac:dyDescent="0.15">
      <c r="B741" s="72"/>
      <c r="C741" s="10"/>
      <c r="D741" s="10"/>
      <c r="E741" s="10"/>
      <c r="F741" s="10"/>
      <c r="G741" s="7"/>
      <c r="H741" s="8"/>
      <c r="I741" s="8"/>
      <c r="J741" s="8" t="str">
        <f t="shared" si="51"/>
        <v>借</v>
      </c>
      <c r="K741" s="43">
        <f t="shared" si="52"/>
        <v>11113</v>
      </c>
      <c r="L741" s="9"/>
    </row>
    <row r="742" spans="2:13" ht="20.100000000000001" customHeight="1" x14ac:dyDescent="0.15">
      <c r="B742" s="72"/>
      <c r="C742" s="10"/>
      <c r="D742" s="10"/>
      <c r="E742" s="10"/>
      <c r="F742" s="10"/>
      <c r="G742" s="7"/>
      <c r="H742" s="8"/>
      <c r="I742" s="8"/>
      <c r="J742" s="23" t="str">
        <f t="shared" si="51"/>
        <v>借</v>
      </c>
      <c r="K742" s="43">
        <f t="shared" si="52"/>
        <v>11113</v>
      </c>
      <c r="L742" s="9"/>
    </row>
    <row r="743" spans="2:13" ht="20.100000000000001" customHeight="1" x14ac:dyDescent="0.15">
      <c r="B743" s="72"/>
      <c r="C743" s="10"/>
      <c r="D743" s="10"/>
      <c r="E743" s="10"/>
      <c r="F743" s="10"/>
      <c r="G743" s="7"/>
      <c r="H743" s="8"/>
      <c r="I743" s="8"/>
      <c r="J743" s="8" t="str">
        <f t="shared" si="51"/>
        <v>借</v>
      </c>
      <c r="K743" s="43">
        <f t="shared" si="52"/>
        <v>11113</v>
      </c>
      <c r="L743" s="9"/>
    </row>
    <row r="744" spans="2:13" ht="20.100000000000001" customHeight="1" x14ac:dyDescent="0.15">
      <c r="B744" s="72"/>
      <c r="C744" s="10"/>
      <c r="D744" s="10"/>
      <c r="E744" s="10"/>
      <c r="F744" s="10"/>
      <c r="G744" s="7"/>
      <c r="H744" s="8"/>
      <c r="I744" s="8"/>
      <c r="J744" s="8" t="str">
        <f t="shared" si="51"/>
        <v>借</v>
      </c>
      <c r="K744" s="43">
        <f t="shared" si="52"/>
        <v>11113</v>
      </c>
      <c r="L744" s="9"/>
    </row>
    <row r="745" spans="2:13" ht="20.100000000000001" customHeight="1" x14ac:dyDescent="0.15">
      <c r="B745" s="72"/>
      <c r="C745" s="10"/>
      <c r="D745" s="10"/>
      <c r="E745" s="10"/>
      <c r="F745" s="10"/>
      <c r="G745" s="7"/>
      <c r="H745" s="8"/>
      <c r="I745" s="8"/>
      <c r="J745" s="8" t="str">
        <f t="shared" si="51"/>
        <v>借</v>
      </c>
      <c r="K745" s="43">
        <f t="shared" si="52"/>
        <v>11113</v>
      </c>
      <c r="L745" s="9"/>
    </row>
    <row r="746" spans="2:13" ht="20.100000000000001" customHeight="1" x14ac:dyDescent="0.15">
      <c r="B746" s="72"/>
      <c r="C746" s="10"/>
      <c r="D746" s="10"/>
      <c r="E746" s="10"/>
      <c r="F746" s="10"/>
      <c r="G746" s="7"/>
      <c r="H746" s="8"/>
      <c r="I746" s="8"/>
      <c r="J746" s="23" t="str">
        <f t="shared" si="51"/>
        <v>借</v>
      </c>
      <c r="K746" s="43">
        <f t="shared" si="52"/>
        <v>11113</v>
      </c>
      <c r="L746" s="9"/>
    </row>
    <row r="747" spans="2:13" ht="20.100000000000001" customHeight="1" x14ac:dyDescent="0.15">
      <c r="B747" s="72"/>
      <c r="C747" s="10"/>
      <c r="D747" s="10"/>
      <c r="E747" s="10"/>
      <c r="F747" s="10"/>
      <c r="G747" s="7"/>
      <c r="H747" s="8"/>
      <c r="I747" s="8"/>
      <c r="J747" s="8" t="str">
        <f t="shared" si="51"/>
        <v>借</v>
      </c>
      <c r="K747" s="43">
        <f t="shared" si="52"/>
        <v>11113</v>
      </c>
      <c r="L747" s="9"/>
    </row>
    <row r="748" spans="2:13" ht="20.100000000000001" customHeight="1" x14ac:dyDescent="0.15">
      <c r="B748" s="72"/>
      <c r="C748" s="10"/>
      <c r="D748" s="10"/>
      <c r="E748" s="10"/>
      <c r="F748" s="10"/>
      <c r="G748" s="7"/>
      <c r="H748" s="8"/>
      <c r="I748" s="8"/>
      <c r="J748" s="8" t="str">
        <f t="shared" si="51"/>
        <v>借</v>
      </c>
      <c r="K748" s="43">
        <f t="shared" si="52"/>
        <v>11113</v>
      </c>
      <c r="L748" s="9"/>
    </row>
    <row r="749" spans="2:13" ht="20.100000000000001" customHeight="1" x14ac:dyDescent="0.15">
      <c r="B749" s="72"/>
      <c r="C749" s="10"/>
      <c r="D749" s="10"/>
      <c r="E749" s="10"/>
      <c r="F749" s="10"/>
      <c r="G749" s="7"/>
      <c r="H749" s="8"/>
      <c r="I749" s="8"/>
      <c r="J749" s="8" t="str">
        <f t="shared" si="51"/>
        <v>借</v>
      </c>
      <c r="K749" s="43">
        <f t="shared" si="52"/>
        <v>11113</v>
      </c>
      <c r="L749" s="9"/>
    </row>
    <row r="750" spans="2:13" ht="20.100000000000001" customHeight="1" x14ac:dyDescent="0.15">
      <c r="B750" s="72"/>
      <c r="C750" s="10"/>
      <c r="D750" s="10"/>
      <c r="E750" s="10"/>
      <c r="F750" s="10"/>
      <c r="G750" s="7"/>
      <c r="H750" s="23"/>
      <c r="I750" s="23"/>
      <c r="J750" s="8" t="str">
        <f t="shared" ref="J750:J769" si="53">IF((K749+H750-I750)&gt;0,"借","贷")</f>
        <v>借</v>
      </c>
      <c r="K750" s="43">
        <f t="shared" ref="K750:K769" si="54">_xlfn.IFS(J749="借",K749+H750-I750,J749="贷",H750-I750-K749)</f>
        <v>11113</v>
      </c>
      <c r="L750" s="9"/>
    </row>
    <row r="751" spans="2:13" ht="20.100000000000001" customHeight="1" x14ac:dyDescent="0.15">
      <c r="B751" s="72"/>
      <c r="C751" s="10"/>
      <c r="D751" s="61"/>
      <c r="E751" s="61"/>
      <c r="F751" s="61"/>
      <c r="G751" s="7"/>
      <c r="H751" s="23"/>
      <c r="I751" s="23"/>
      <c r="J751" s="8" t="str">
        <f t="shared" si="53"/>
        <v>借</v>
      </c>
      <c r="K751" s="43">
        <f t="shared" si="54"/>
        <v>11113</v>
      </c>
      <c r="L751" s="9"/>
      <c r="M751" s="99"/>
    </row>
    <row r="752" spans="2:13" ht="20.100000000000001" customHeight="1" x14ac:dyDescent="0.15">
      <c r="B752" s="72"/>
      <c r="C752" s="10"/>
      <c r="D752" s="10"/>
      <c r="E752" s="10"/>
      <c r="F752" s="10"/>
      <c r="G752" s="7"/>
      <c r="H752" s="8"/>
      <c r="I752" s="8"/>
      <c r="J752" s="8" t="str">
        <f t="shared" si="53"/>
        <v>借</v>
      </c>
      <c r="K752" s="43">
        <f t="shared" si="54"/>
        <v>11113</v>
      </c>
      <c r="L752" s="10"/>
      <c r="M752" s="99"/>
    </row>
    <row r="753" spans="2:12" ht="20.100000000000001" customHeight="1" x14ac:dyDescent="0.15">
      <c r="B753" s="72"/>
      <c r="C753" s="10"/>
      <c r="D753" s="10"/>
      <c r="E753" s="10"/>
      <c r="F753" s="10"/>
      <c r="G753" s="7"/>
      <c r="H753" s="8"/>
      <c r="I753" s="8"/>
      <c r="J753" s="8" t="str">
        <f t="shared" si="53"/>
        <v>借</v>
      </c>
      <c r="K753" s="43">
        <f t="shared" si="54"/>
        <v>11113</v>
      </c>
      <c r="L753" s="10"/>
    </row>
    <row r="754" spans="2:12" ht="20.100000000000001" customHeight="1" x14ac:dyDescent="0.15">
      <c r="B754" s="72"/>
      <c r="C754" s="10"/>
      <c r="D754" s="61"/>
      <c r="E754" s="61"/>
      <c r="F754" s="10"/>
      <c r="G754" s="7"/>
      <c r="H754" s="23"/>
      <c r="I754" s="23"/>
      <c r="J754" s="8" t="str">
        <f t="shared" si="53"/>
        <v>借</v>
      </c>
      <c r="K754" s="43">
        <f t="shared" si="54"/>
        <v>11113</v>
      </c>
      <c r="L754" s="9"/>
    </row>
    <row r="755" spans="2:12" ht="20.100000000000001" customHeight="1" x14ac:dyDescent="0.15">
      <c r="B755" s="72"/>
      <c r="C755" s="10"/>
      <c r="D755" s="10"/>
      <c r="E755" s="10"/>
      <c r="F755" s="10"/>
      <c r="G755" s="7"/>
      <c r="H755" s="8"/>
      <c r="I755" s="8"/>
      <c r="J755" s="8" t="str">
        <f t="shared" si="53"/>
        <v>借</v>
      </c>
      <c r="K755" s="43">
        <f t="shared" si="54"/>
        <v>11113</v>
      </c>
      <c r="L755" s="10"/>
    </row>
    <row r="756" spans="2:12" ht="20.100000000000001" customHeight="1" x14ac:dyDescent="0.15">
      <c r="B756" s="72"/>
      <c r="C756" s="10"/>
      <c r="D756" s="10"/>
      <c r="E756" s="10"/>
      <c r="F756" s="10"/>
      <c r="G756" s="7"/>
      <c r="H756" s="8"/>
      <c r="I756" s="8"/>
      <c r="J756" s="23" t="str">
        <f t="shared" si="53"/>
        <v>借</v>
      </c>
      <c r="K756" s="43">
        <f t="shared" si="54"/>
        <v>11113</v>
      </c>
      <c r="L756" s="10"/>
    </row>
    <row r="757" spans="2:12" ht="20.100000000000001" customHeight="1" x14ac:dyDescent="0.15">
      <c r="B757" s="72"/>
      <c r="C757" s="10"/>
      <c r="D757" s="10"/>
      <c r="E757" s="61"/>
      <c r="F757" s="10"/>
      <c r="G757" s="7"/>
      <c r="H757" s="23"/>
      <c r="I757" s="23"/>
      <c r="J757" s="23" t="str">
        <f t="shared" si="53"/>
        <v>借</v>
      </c>
      <c r="K757" s="43">
        <f t="shared" si="54"/>
        <v>11113</v>
      </c>
      <c r="L757" s="9"/>
    </row>
    <row r="758" spans="2:12" ht="20.100000000000001" customHeight="1" x14ac:dyDescent="0.15">
      <c r="B758" s="72"/>
      <c r="C758" s="10"/>
      <c r="D758" s="10"/>
      <c r="E758" s="10"/>
      <c r="F758" s="10"/>
      <c r="G758" s="7"/>
      <c r="H758" s="8"/>
      <c r="I758" s="8"/>
      <c r="J758" s="23" t="str">
        <f t="shared" si="53"/>
        <v>借</v>
      </c>
      <c r="K758" s="43">
        <f t="shared" si="54"/>
        <v>11113</v>
      </c>
      <c r="L758" s="10"/>
    </row>
    <row r="759" spans="2:12" ht="20.100000000000001" customHeight="1" x14ac:dyDescent="0.15">
      <c r="B759" s="72"/>
      <c r="C759" s="10"/>
      <c r="D759" s="10"/>
      <c r="E759" s="10"/>
      <c r="F759" s="10"/>
      <c r="G759" s="7"/>
      <c r="H759" s="8"/>
      <c r="I759" s="8"/>
      <c r="J759" s="23" t="str">
        <f t="shared" si="53"/>
        <v>借</v>
      </c>
      <c r="K759" s="43">
        <f t="shared" si="54"/>
        <v>11113</v>
      </c>
      <c r="L759" s="10"/>
    </row>
    <row r="760" spans="2:12" ht="20.100000000000001" customHeight="1" x14ac:dyDescent="0.15">
      <c r="B760" s="72"/>
      <c r="C760" s="10"/>
      <c r="D760" s="10"/>
      <c r="E760" s="10"/>
      <c r="F760" s="10"/>
      <c r="G760" s="7"/>
      <c r="H760" s="8"/>
      <c r="I760" s="8"/>
      <c r="J760" s="23" t="str">
        <f t="shared" si="53"/>
        <v>借</v>
      </c>
      <c r="K760" s="43">
        <f t="shared" si="54"/>
        <v>11113</v>
      </c>
      <c r="L760" s="10"/>
    </row>
    <row r="761" spans="2:12" ht="20.100000000000001" customHeight="1" x14ac:dyDescent="0.15">
      <c r="B761" s="72"/>
      <c r="C761" s="10"/>
      <c r="D761" s="10"/>
      <c r="E761" s="10"/>
      <c r="F761" s="10"/>
      <c r="G761" s="7"/>
      <c r="H761" s="8"/>
      <c r="I761" s="8"/>
      <c r="J761" s="23" t="str">
        <f t="shared" si="53"/>
        <v>借</v>
      </c>
      <c r="K761" s="43">
        <f t="shared" si="54"/>
        <v>11113</v>
      </c>
      <c r="L761" s="10"/>
    </row>
    <row r="762" spans="2:12" ht="20.100000000000001" customHeight="1" x14ac:dyDescent="0.15">
      <c r="B762" s="72"/>
      <c r="C762" s="10"/>
      <c r="D762" s="10"/>
      <c r="E762" s="10"/>
      <c r="F762" s="10"/>
      <c r="G762" s="7"/>
      <c r="H762" s="8"/>
      <c r="I762" s="8"/>
      <c r="J762" s="23" t="str">
        <f t="shared" si="53"/>
        <v>借</v>
      </c>
      <c r="K762" s="43">
        <f t="shared" si="54"/>
        <v>11113</v>
      </c>
      <c r="L762" s="10"/>
    </row>
    <row r="763" spans="2:12" ht="20.100000000000001" customHeight="1" x14ac:dyDescent="0.15">
      <c r="B763" s="72"/>
      <c r="C763" s="10"/>
      <c r="D763" s="10"/>
      <c r="E763" s="10"/>
      <c r="F763" s="10"/>
      <c r="G763" s="7"/>
      <c r="H763" s="8"/>
      <c r="I763" s="8"/>
      <c r="J763" s="23" t="str">
        <f t="shared" si="53"/>
        <v>借</v>
      </c>
      <c r="K763" s="43">
        <f t="shared" si="54"/>
        <v>11113</v>
      </c>
      <c r="L763" s="10"/>
    </row>
    <row r="764" spans="2:12" ht="20.100000000000001" customHeight="1" x14ac:dyDescent="0.15">
      <c r="B764" s="72"/>
      <c r="C764" s="10"/>
      <c r="D764" s="10"/>
      <c r="E764" s="10"/>
      <c r="F764" s="10"/>
      <c r="G764" s="7"/>
      <c r="H764" s="8"/>
      <c r="I764" s="8"/>
      <c r="J764" s="23" t="str">
        <f t="shared" si="53"/>
        <v>借</v>
      </c>
      <c r="K764" s="43">
        <f t="shared" si="54"/>
        <v>11113</v>
      </c>
      <c r="L764" s="10"/>
    </row>
    <row r="765" spans="2:12" ht="20.100000000000001" customHeight="1" x14ac:dyDescent="0.15">
      <c r="B765" s="72"/>
      <c r="C765" s="10"/>
      <c r="D765" s="10"/>
      <c r="E765" s="10"/>
      <c r="F765" s="10"/>
      <c r="G765" s="7"/>
      <c r="H765" s="8"/>
      <c r="I765" s="8"/>
      <c r="J765" s="23" t="str">
        <f t="shared" si="53"/>
        <v>借</v>
      </c>
      <c r="K765" s="43">
        <f t="shared" si="54"/>
        <v>11113</v>
      </c>
      <c r="L765" s="10"/>
    </row>
    <row r="766" spans="2:12" ht="20.100000000000001" customHeight="1" x14ac:dyDescent="0.15">
      <c r="B766" s="72"/>
      <c r="C766" s="10"/>
      <c r="D766" s="10"/>
      <c r="E766" s="10"/>
      <c r="F766" s="10"/>
      <c r="G766" s="7"/>
      <c r="H766" s="8"/>
      <c r="I766" s="8"/>
      <c r="J766" s="23" t="str">
        <f t="shared" si="53"/>
        <v>借</v>
      </c>
      <c r="K766" s="43">
        <f t="shared" si="54"/>
        <v>11113</v>
      </c>
      <c r="L766" s="10"/>
    </row>
    <row r="767" spans="2:12" ht="20.100000000000001" customHeight="1" x14ac:dyDescent="0.15">
      <c r="B767" s="72"/>
      <c r="C767" s="10"/>
      <c r="D767" s="10"/>
      <c r="E767" s="10"/>
      <c r="F767" s="10"/>
      <c r="G767" s="7"/>
      <c r="H767" s="8"/>
      <c r="I767" s="8"/>
      <c r="J767" s="23" t="str">
        <f t="shared" si="53"/>
        <v>借</v>
      </c>
      <c r="K767" s="43">
        <f t="shared" si="54"/>
        <v>11113</v>
      </c>
      <c r="L767" s="10"/>
    </row>
    <row r="768" spans="2:12" ht="20.100000000000001" customHeight="1" x14ac:dyDescent="0.15">
      <c r="B768" s="72"/>
      <c r="C768" s="10"/>
      <c r="D768" s="61"/>
      <c r="E768" s="61"/>
      <c r="F768" s="10"/>
      <c r="G768" s="7"/>
      <c r="H768" s="23"/>
      <c r="I768" s="23"/>
      <c r="J768" s="23" t="str">
        <f t="shared" si="53"/>
        <v>借</v>
      </c>
      <c r="K768" s="43">
        <f t="shared" si="54"/>
        <v>11113</v>
      </c>
      <c r="L768" s="10"/>
    </row>
    <row r="769" spans="2:13" ht="20.100000000000001" customHeight="1" x14ac:dyDescent="0.15">
      <c r="B769" s="72"/>
      <c r="C769" s="10"/>
      <c r="D769" s="10"/>
      <c r="E769" s="10"/>
      <c r="F769" s="61"/>
      <c r="G769" s="7"/>
      <c r="H769" s="8"/>
      <c r="I769" s="8"/>
      <c r="J769" s="23" t="str">
        <f t="shared" si="53"/>
        <v>借</v>
      </c>
      <c r="K769" s="43">
        <f t="shared" si="54"/>
        <v>11113</v>
      </c>
      <c r="L769" s="9"/>
    </row>
    <row r="770" spans="2:13" ht="20.100000000000001" customHeight="1" x14ac:dyDescent="0.15">
      <c r="B770" s="72"/>
      <c r="C770" s="10"/>
      <c r="D770" s="10"/>
      <c r="E770" s="10"/>
      <c r="F770" s="10"/>
      <c r="G770" s="7"/>
      <c r="H770" s="8"/>
      <c r="I770" s="8"/>
      <c r="J770" s="23" t="str">
        <f t="shared" ref="J770:J773" si="55">IF((K769+H770-I770)&gt;0,"借","贷")</f>
        <v>借</v>
      </c>
      <c r="K770" s="43">
        <f t="shared" ref="K770:K773" si="56">_xlfn.IFS(J769="借",K769+H770-I770,J769="贷",H770-I770-K769)</f>
        <v>11113</v>
      </c>
      <c r="L770" s="10"/>
      <c r="M770" s="73"/>
    </row>
    <row r="771" spans="2:13" ht="20.100000000000001" customHeight="1" x14ac:dyDescent="0.15">
      <c r="B771" s="72"/>
      <c r="C771" s="10"/>
      <c r="D771" s="10"/>
      <c r="E771" s="10"/>
      <c r="F771" s="10"/>
      <c r="G771" s="7"/>
      <c r="H771" s="23"/>
      <c r="I771" s="23"/>
      <c r="J771" s="23" t="str">
        <f t="shared" si="55"/>
        <v>借</v>
      </c>
      <c r="K771" s="43">
        <f t="shared" si="56"/>
        <v>11113</v>
      </c>
      <c r="L771" s="10"/>
      <c r="M771" s="99"/>
    </row>
    <row r="772" spans="2:13" ht="20.100000000000001" customHeight="1" x14ac:dyDescent="0.15">
      <c r="B772" s="72"/>
      <c r="C772" s="10"/>
      <c r="D772" s="10"/>
      <c r="E772" s="61"/>
      <c r="F772" s="10"/>
      <c r="G772" s="7"/>
      <c r="H772" s="23"/>
      <c r="I772" s="23"/>
      <c r="J772" s="23" t="str">
        <f t="shared" si="55"/>
        <v>借</v>
      </c>
      <c r="K772" s="43">
        <f t="shared" si="56"/>
        <v>11113</v>
      </c>
      <c r="L772" s="9"/>
      <c r="M772" s="99"/>
    </row>
    <row r="773" spans="2:13" ht="20.100000000000001" customHeight="1" x14ac:dyDescent="0.15">
      <c r="B773" s="72"/>
      <c r="C773" s="10"/>
      <c r="D773" s="61"/>
      <c r="E773" s="61"/>
      <c r="F773" s="61"/>
      <c r="G773" s="7"/>
      <c r="H773" s="23"/>
      <c r="I773" s="23"/>
      <c r="J773" s="23" t="str">
        <f t="shared" si="55"/>
        <v>借</v>
      </c>
      <c r="K773" s="43">
        <f t="shared" si="56"/>
        <v>11113</v>
      </c>
      <c r="L773" s="10"/>
    </row>
    <row r="774" spans="2:13" ht="20.100000000000001" customHeight="1" x14ac:dyDescent="0.15">
      <c r="B774" s="72"/>
      <c r="C774" s="10"/>
      <c r="D774" s="10"/>
      <c r="E774" s="10"/>
      <c r="F774" s="10"/>
      <c r="G774" s="7"/>
      <c r="H774" s="8"/>
      <c r="I774" s="8"/>
      <c r="J774" s="23" t="str">
        <f t="shared" ref="J774:J786" si="57">IF((K773+H774-I774)&gt;0,"借","贷")</f>
        <v>借</v>
      </c>
      <c r="K774" s="43">
        <f t="shared" ref="K774:K786" si="58">_xlfn.IFS(J773="借",K773+H774-I774,J773="贷",H774-I774-K773)</f>
        <v>11113</v>
      </c>
      <c r="L774" s="10"/>
    </row>
    <row r="775" spans="2:13" ht="20.100000000000001" customHeight="1" x14ac:dyDescent="0.15">
      <c r="B775" s="72"/>
      <c r="C775" s="10"/>
      <c r="D775" s="10"/>
      <c r="E775" s="10"/>
      <c r="F775" s="10"/>
      <c r="G775" s="7"/>
      <c r="H775" s="8"/>
      <c r="I775" s="8"/>
      <c r="J775" s="23" t="str">
        <f t="shared" si="57"/>
        <v>借</v>
      </c>
      <c r="K775" s="43">
        <f t="shared" si="58"/>
        <v>11113</v>
      </c>
      <c r="L775" s="9"/>
    </row>
    <row r="776" spans="2:13" ht="20.100000000000001" customHeight="1" x14ac:dyDescent="0.15">
      <c r="B776" s="72"/>
      <c r="C776" s="10"/>
      <c r="D776" s="10"/>
      <c r="E776" s="61"/>
      <c r="F776" s="10"/>
      <c r="G776" s="7"/>
      <c r="H776" s="23"/>
      <c r="I776" s="23"/>
      <c r="J776" s="23" t="str">
        <f t="shared" si="57"/>
        <v>借</v>
      </c>
      <c r="K776" s="43">
        <f t="shared" si="58"/>
        <v>11113</v>
      </c>
      <c r="L776" s="10"/>
    </row>
    <row r="777" spans="2:13" ht="20.100000000000001" customHeight="1" x14ac:dyDescent="0.15">
      <c r="B777" s="72"/>
      <c r="C777" s="10"/>
      <c r="D777" s="10"/>
      <c r="E777" s="10"/>
      <c r="F777" s="10"/>
      <c r="G777" s="7"/>
      <c r="H777" s="8"/>
      <c r="I777" s="8"/>
      <c r="J777" s="23" t="str">
        <f t="shared" si="57"/>
        <v>借</v>
      </c>
      <c r="K777" s="43">
        <f t="shared" si="58"/>
        <v>11113</v>
      </c>
      <c r="L777" s="10"/>
      <c r="M777" s="76"/>
    </row>
    <row r="778" spans="2:13" ht="20.100000000000001" customHeight="1" x14ac:dyDescent="0.15">
      <c r="B778" s="72"/>
      <c r="C778" s="10"/>
      <c r="D778" s="61"/>
      <c r="E778" s="61"/>
      <c r="F778" s="61"/>
      <c r="G778" s="7"/>
      <c r="H778" s="23"/>
      <c r="I778" s="23"/>
      <c r="J778" s="23" t="str">
        <f t="shared" si="57"/>
        <v>借</v>
      </c>
      <c r="K778" s="43">
        <f t="shared" si="58"/>
        <v>11113</v>
      </c>
      <c r="L778" s="9"/>
      <c r="M778" s="95"/>
    </row>
    <row r="779" spans="2:13" ht="20.100000000000001" customHeight="1" x14ac:dyDescent="0.15">
      <c r="B779" s="72"/>
      <c r="C779" s="10"/>
      <c r="D779" s="61"/>
      <c r="E779" s="61"/>
      <c r="F779" s="61"/>
      <c r="G779" s="7"/>
      <c r="H779" s="8"/>
      <c r="I779" s="8"/>
      <c r="J779" s="23" t="str">
        <f t="shared" si="57"/>
        <v>借</v>
      </c>
      <c r="K779" s="43">
        <f t="shared" si="58"/>
        <v>11113</v>
      </c>
      <c r="L779" s="10"/>
      <c r="M779" s="95"/>
    </row>
    <row r="780" spans="2:13" ht="20.100000000000001" customHeight="1" x14ac:dyDescent="0.15">
      <c r="B780" s="72"/>
      <c r="C780" s="10"/>
      <c r="D780" s="10"/>
      <c r="E780" s="10"/>
      <c r="F780" s="10"/>
      <c r="G780" s="7"/>
      <c r="H780" s="8"/>
      <c r="I780" s="8"/>
      <c r="J780" s="23" t="str">
        <f t="shared" si="57"/>
        <v>借</v>
      </c>
      <c r="K780" s="43">
        <f t="shared" si="58"/>
        <v>11113</v>
      </c>
      <c r="L780" s="10"/>
    </row>
    <row r="781" spans="2:13" ht="20.100000000000001" customHeight="1" x14ac:dyDescent="0.15">
      <c r="B781" s="72"/>
      <c r="C781" s="10"/>
      <c r="D781" s="61"/>
      <c r="E781" s="61"/>
      <c r="F781" s="10"/>
      <c r="G781" s="7"/>
      <c r="H781" s="23"/>
      <c r="I781" s="23"/>
      <c r="J781" s="23" t="str">
        <f t="shared" si="57"/>
        <v>借</v>
      </c>
      <c r="K781" s="43">
        <f t="shared" si="58"/>
        <v>11113</v>
      </c>
      <c r="L781" s="9"/>
    </row>
    <row r="782" spans="2:13" ht="20.100000000000001" customHeight="1" x14ac:dyDescent="0.15">
      <c r="B782" s="72"/>
      <c r="C782" s="10"/>
      <c r="D782" s="10"/>
      <c r="E782" s="10"/>
      <c r="F782" s="10"/>
      <c r="G782" s="7"/>
      <c r="H782" s="8"/>
      <c r="I782" s="8"/>
      <c r="J782" s="23" t="str">
        <f t="shared" si="57"/>
        <v>借</v>
      </c>
      <c r="K782" s="43">
        <f t="shared" si="58"/>
        <v>11113</v>
      </c>
      <c r="L782" s="10"/>
    </row>
    <row r="783" spans="2:13" ht="20.100000000000001" customHeight="1" x14ac:dyDescent="0.15">
      <c r="B783" s="72"/>
      <c r="C783" s="10"/>
      <c r="D783" s="10"/>
      <c r="E783" s="10"/>
      <c r="F783" s="10"/>
      <c r="G783" s="7"/>
      <c r="H783" s="8"/>
      <c r="I783" s="8"/>
      <c r="J783" s="23" t="str">
        <f t="shared" si="57"/>
        <v>借</v>
      </c>
      <c r="K783" s="43">
        <f t="shared" si="58"/>
        <v>11113</v>
      </c>
      <c r="L783" s="10"/>
    </row>
    <row r="784" spans="2:13" ht="20.100000000000001" customHeight="1" x14ac:dyDescent="0.15">
      <c r="B784" s="72"/>
      <c r="C784" s="10"/>
      <c r="D784" s="61"/>
      <c r="E784" s="61"/>
      <c r="F784" s="10"/>
      <c r="G784" s="7"/>
      <c r="H784" s="23"/>
      <c r="I784" s="23"/>
      <c r="J784" s="23" t="str">
        <f t="shared" si="57"/>
        <v>借</v>
      </c>
      <c r="K784" s="43">
        <f t="shared" si="58"/>
        <v>11113</v>
      </c>
      <c r="L784" s="9"/>
    </row>
    <row r="785" spans="2:13" ht="20.100000000000001" customHeight="1" x14ac:dyDescent="0.15">
      <c r="B785" s="72"/>
      <c r="C785" s="10"/>
      <c r="D785" s="10"/>
      <c r="E785" s="10"/>
      <c r="F785" s="10"/>
      <c r="G785" s="7"/>
      <c r="H785" s="8"/>
      <c r="I785" s="8"/>
      <c r="J785" s="23" t="str">
        <f t="shared" si="57"/>
        <v>借</v>
      </c>
      <c r="K785" s="43">
        <f t="shared" si="58"/>
        <v>11113</v>
      </c>
      <c r="L785" s="10"/>
      <c r="M785" s="99"/>
    </row>
    <row r="786" spans="2:13" ht="20.100000000000001" customHeight="1" x14ac:dyDescent="0.15">
      <c r="B786" s="72"/>
      <c r="C786" s="10"/>
      <c r="D786" s="10"/>
      <c r="E786" s="10"/>
      <c r="F786" s="10"/>
      <c r="G786" s="7"/>
      <c r="H786" s="8"/>
      <c r="I786" s="8"/>
      <c r="J786" s="23" t="str">
        <f t="shared" si="57"/>
        <v>借</v>
      </c>
      <c r="K786" s="43">
        <f t="shared" si="58"/>
        <v>11113</v>
      </c>
      <c r="L786" s="10"/>
      <c r="M786" s="99"/>
    </row>
    <row r="787" spans="2:13" ht="20.100000000000001" customHeight="1" x14ac:dyDescent="0.15">
      <c r="B787" s="72"/>
      <c r="C787" s="10"/>
      <c r="D787" s="61"/>
      <c r="E787" s="61"/>
      <c r="F787" s="10"/>
      <c r="G787" s="7"/>
      <c r="H787" s="23"/>
      <c r="I787" s="23"/>
      <c r="J787" s="23" t="str">
        <f t="shared" ref="J787:J801" si="59">IF((K786+H787-I787)&gt;0,"借","贷")</f>
        <v>借</v>
      </c>
      <c r="K787" s="43">
        <f t="shared" ref="K787:K801" si="60">_xlfn.IFS(J786="借",K786+H787-I787,J786="贷",H787-I787-K786)</f>
        <v>11113</v>
      </c>
      <c r="L787" s="10"/>
      <c r="M787" s="27"/>
    </row>
    <row r="788" spans="2:13" ht="20.100000000000001" customHeight="1" x14ac:dyDescent="0.15">
      <c r="B788" s="72"/>
      <c r="C788" s="10"/>
      <c r="D788" s="61"/>
      <c r="E788" s="61"/>
      <c r="F788" s="10"/>
      <c r="G788" s="7"/>
      <c r="H788" s="23"/>
      <c r="I788" s="23"/>
      <c r="J788" s="23" t="str">
        <f t="shared" si="59"/>
        <v>借</v>
      </c>
      <c r="K788" s="43">
        <f t="shared" si="60"/>
        <v>11113</v>
      </c>
      <c r="L788" s="9"/>
    </row>
    <row r="789" spans="2:13" ht="20.100000000000001" customHeight="1" x14ac:dyDescent="0.15">
      <c r="B789" s="72"/>
      <c r="C789" s="10"/>
      <c r="D789" s="61"/>
      <c r="E789" s="61"/>
      <c r="F789" s="10"/>
      <c r="G789" s="7"/>
      <c r="H789" s="23"/>
      <c r="I789" s="23"/>
      <c r="J789" s="23" t="str">
        <f t="shared" si="59"/>
        <v>借</v>
      </c>
      <c r="K789" s="43">
        <f t="shared" si="60"/>
        <v>11113</v>
      </c>
      <c r="L789" s="9"/>
    </row>
    <row r="790" spans="2:13" ht="20.100000000000001" customHeight="1" x14ac:dyDescent="0.15">
      <c r="B790" s="72"/>
      <c r="C790" s="10"/>
      <c r="D790" s="10"/>
      <c r="E790" s="10"/>
      <c r="F790" s="10"/>
      <c r="G790" s="7"/>
      <c r="H790" s="8"/>
      <c r="I790" s="8"/>
      <c r="J790" s="23" t="str">
        <f t="shared" si="59"/>
        <v>借</v>
      </c>
      <c r="K790" s="43">
        <f t="shared" si="60"/>
        <v>11113</v>
      </c>
      <c r="L790" s="10"/>
    </row>
    <row r="791" spans="2:13" ht="20.100000000000001" customHeight="1" x14ac:dyDescent="0.15">
      <c r="B791" s="72"/>
      <c r="C791" s="10"/>
      <c r="D791" s="61"/>
      <c r="E791" s="10"/>
      <c r="F791" s="10"/>
      <c r="G791" s="7"/>
      <c r="H791" s="8"/>
      <c r="I791" s="8"/>
      <c r="J791" s="23" t="str">
        <f t="shared" si="59"/>
        <v>借</v>
      </c>
      <c r="K791" s="43">
        <f t="shared" si="60"/>
        <v>11113</v>
      </c>
      <c r="L791" s="10"/>
    </row>
    <row r="792" spans="2:13" ht="20.100000000000001" customHeight="1" x14ac:dyDescent="0.15">
      <c r="B792" s="72"/>
      <c r="C792" s="10"/>
      <c r="D792" s="10"/>
      <c r="E792" s="10"/>
      <c r="F792" s="10"/>
      <c r="G792" s="7"/>
      <c r="H792" s="8"/>
      <c r="I792" s="8"/>
      <c r="J792" s="23" t="str">
        <f t="shared" si="59"/>
        <v>借</v>
      </c>
      <c r="K792" s="43">
        <f t="shared" si="60"/>
        <v>11113</v>
      </c>
      <c r="L792" s="10"/>
    </row>
    <row r="793" spans="2:13" ht="20.100000000000001" customHeight="1" x14ac:dyDescent="0.15">
      <c r="B793" s="72"/>
      <c r="C793" s="10"/>
      <c r="D793" s="61"/>
      <c r="E793" s="61"/>
      <c r="F793" s="10"/>
      <c r="G793" s="7"/>
      <c r="H793" s="23"/>
      <c r="I793" s="23"/>
      <c r="J793" s="23" t="str">
        <f t="shared" si="59"/>
        <v>借</v>
      </c>
      <c r="K793" s="43">
        <f t="shared" si="60"/>
        <v>11113</v>
      </c>
      <c r="L793" s="9"/>
    </row>
    <row r="794" spans="2:13" ht="20.100000000000001" customHeight="1" x14ac:dyDescent="0.15">
      <c r="B794" s="72"/>
      <c r="C794" s="10"/>
      <c r="D794" s="10"/>
      <c r="E794" s="10"/>
      <c r="F794" s="10"/>
      <c r="G794" s="7"/>
      <c r="H794" s="8"/>
      <c r="I794" s="8"/>
      <c r="J794" s="23" t="str">
        <f t="shared" si="59"/>
        <v>借</v>
      </c>
      <c r="K794" s="43">
        <f t="shared" si="60"/>
        <v>11113</v>
      </c>
      <c r="L794" s="10"/>
    </row>
    <row r="795" spans="2:13" ht="20.100000000000001" customHeight="1" x14ac:dyDescent="0.15">
      <c r="B795" s="72"/>
      <c r="C795" s="10"/>
      <c r="D795" s="61"/>
      <c r="E795" s="10"/>
      <c r="F795" s="10"/>
      <c r="G795" s="7"/>
      <c r="H795" s="8"/>
      <c r="I795" s="8"/>
      <c r="J795" s="23" t="str">
        <f t="shared" si="59"/>
        <v>借</v>
      </c>
      <c r="K795" s="43">
        <f t="shared" si="60"/>
        <v>11113</v>
      </c>
      <c r="L795" s="10"/>
    </row>
    <row r="796" spans="2:13" ht="20.100000000000001" customHeight="1" x14ac:dyDescent="0.15">
      <c r="B796" s="72"/>
      <c r="C796" s="10"/>
      <c r="D796" s="10"/>
      <c r="E796" s="10"/>
      <c r="F796" s="10"/>
      <c r="G796" s="7"/>
      <c r="H796" s="8"/>
      <c r="I796" s="8"/>
      <c r="J796" s="23" t="str">
        <f t="shared" si="59"/>
        <v>借</v>
      </c>
      <c r="K796" s="43">
        <f t="shared" si="60"/>
        <v>11113</v>
      </c>
      <c r="L796" s="10"/>
    </row>
    <row r="797" spans="2:13" ht="20.100000000000001" customHeight="1" x14ac:dyDescent="0.15">
      <c r="B797" s="72"/>
      <c r="C797" s="10"/>
      <c r="D797" s="10"/>
      <c r="E797" s="61"/>
      <c r="F797" s="10"/>
      <c r="G797" s="7"/>
      <c r="H797" s="23"/>
      <c r="I797" s="23"/>
      <c r="J797" s="23" t="str">
        <f t="shared" si="59"/>
        <v>借</v>
      </c>
      <c r="K797" s="43">
        <f t="shared" si="60"/>
        <v>11113</v>
      </c>
      <c r="L797" s="9"/>
    </row>
    <row r="798" spans="2:13" ht="20.100000000000001" customHeight="1" x14ac:dyDescent="0.15">
      <c r="B798" s="72"/>
      <c r="C798" s="10"/>
      <c r="D798" s="10"/>
      <c r="E798" s="61"/>
      <c r="F798" s="10"/>
      <c r="G798" s="7"/>
      <c r="H798" s="23"/>
      <c r="I798" s="23"/>
      <c r="J798" s="23" t="str">
        <f t="shared" si="59"/>
        <v>借</v>
      </c>
      <c r="K798" s="43">
        <f t="shared" si="60"/>
        <v>11113</v>
      </c>
      <c r="L798" s="9"/>
    </row>
    <row r="799" spans="2:13" ht="20.100000000000001" customHeight="1" x14ac:dyDescent="0.15">
      <c r="B799" s="72"/>
      <c r="C799" s="10"/>
      <c r="D799" s="10"/>
      <c r="E799" s="10"/>
      <c r="F799" s="10"/>
      <c r="G799" s="7"/>
      <c r="H799" s="8"/>
      <c r="I799" s="8"/>
      <c r="J799" s="23" t="str">
        <f t="shared" si="59"/>
        <v>借</v>
      </c>
      <c r="K799" s="43">
        <f t="shared" si="60"/>
        <v>11113</v>
      </c>
      <c r="L799" s="10"/>
    </row>
    <row r="800" spans="2:13" ht="20.100000000000001" customHeight="1" x14ac:dyDescent="0.15">
      <c r="B800" s="72"/>
      <c r="C800" s="10"/>
      <c r="E800" s="10"/>
      <c r="F800" s="10"/>
      <c r="G800" s="7"/>
      <c r="H800" s="8"/>
      <c r="I800" s="8"/>
      <c r="J800" s="23" t="str">
        <f t="shared" si="59"/>
        <v>借</v>
      </c>
      <c r="K800" s="43">
        <f t="shared" si="60"/>
        <v>11113</v>
      </c>
      <c r="L800" s="10"/>
    </row>
    <row r="801" spans="2:12" ht="20.100000000000001" customHeight="1" x14ac:dyDescent="0.15">
      <c r="B801" s="72"/>
      <c r="C801" s="10"/>
      <c r="D801" s="10"/>
      <c r="E801" s="61"/>
      <c r="F801" s="10"/>
      <c r="G801" s="7"/>
      <c r="H801" s="23"/>
      <c r="I801" s="23"/>
      <c r="J801" s="23" t="str">
        <f t="shared" si="59"/>
        <v>借</v>
      </c>
      <c r="K801" s="43">
        <f t="shared" si="60"/>
        <v>11113</v>
      </c>
      <c r="L801" s="9"/>
    </row>
    <row r="802" spans="2:12" ht="20.100000000000001" customHeight="1" x14ac:dyDescent="0.15">
      <c r="B802" s="72"/>
      <c r="C802" s="10"/>
      <c r="D802" s="10"/>
      <c r="E802" s="10"/>
      <c r="F802" s="10"/>
      <c r="G802" s="7"/>
      <c r="H802" s="8"/>
      <c r="I802" s="8"/>
      <c r="J802" s="23" t="str">
        <f t="shared" ref="J802:J840" si="61">IF((K801+H802-I802)&gt;0,"借","贷")</f>
        <v>借</v>
      </c>
      <c r="K802" s="43">
        <f t="shared" ref="K802:K840" si="62">_xlfn.IFS(J801="借",K801+H802-I802,J801="贷",H802-I802-K801)</f>
        <v>11113</v>
      </c>
      <c r="L802" s="10"/>
    </row>
    <row r="803" spans="2:12" ht="20.100000000000001" customHeight="1" x14ac:dyDescent="0.15">
      <c r="B803" s="72"/>
      <c r="C803" s="10"/>
      <c r="D803" s="10"/>
      <c r="E803" s="10"/>
      <c r="F803" s="10"/>
      <c r="G803" s="7"/>
      <c r="H803" s="8"/>
      <c r="I803" s="8"/>
      <c r="J803" s="23" t="str">
        <f t="shared" si="61"/>
        <v>借</v>
      </c>
      <c r="K803" s="43">
        <f t="shared" si="62"/>
        <v>11113</v>
      </c>
      <c r="L803" s="10"/>
    </row>
    <row r="804" spans="2:12" ht="20.100000000000001" customHeight="1" x14ac:dyDescent="0.15">
      <c r="B804" s="72"/>
      <c r="C804" s="10"/>
      <c r="D804" s="10"/>
      <c r="E804" s="10"/>
      <c r="F804" s="10"/>
      <c r="G804" s="7"/>
      <c r="H804" s="23"/>
      <c r="I804" s="23"/>
      <c r="J804" s="23" t="str">
        <f t="shared" si="61"/>
        <v>借</v>
      </c>
      <c r="K804" s="43">
        <f t="shared" si="62"/>
        <v>11113</v>
      </c>
      <c r="L804" s="9"/>
    </row>
    <row r="805" spans="2:12" ht="20.100000000000001" customHeight="1" x14ac:dyDescent="0.15">
      <c r="B805" s="72"/>
      <c r="C805" s="10"/>
      <c r="D805" s="10"/>
      <c r="E805" s="10"/>
      <c r="F805" s="10"/>
      <c r="G805" s="7"/>
      <c r="H805" s="8"/>
      <c r="I805" s="8"/>
      <c r="J805" s="23" t="str">
        <f t="shared" si="61"/>
        <v>借</v>
      </c>
      <c r="K805" s="43">
        <f t="shared" si="62"/>
        <v>11113</v>
      </c>
      <c r="L805" s="10"/>
    </row>
    <row r="806" spans="2:12" ht="20.100000000000001" customHeight="1" x14ac:dyDescent="0.15">
      <c r="B806" s="72"/>
      <c r="C806" s="10"/>
      <c r="D806" s="10"/>
      <c r="E806" s="10"/>
      <c r="F806" s="10"/>
      <c r="G806" s="7"/>
      <c r="H806" s="8"/>
      <c r="I806" s="8"/>
      <c r="J806" s="23" t="str">
        <f t="shared" si="61"/>
        <v>借</v>
      </c>
      <c r="K806" s="43">
        <f t="shared" si="62"/>
        <v>11113</v>
      </c>
      <c r="L806" s="10"/>
    </row>
    <row r="807" spans="2:12" ht="20.100000000000001" customHeight="1" x14ac:dyDescent="0.15">
      <c r="B807" s="72"/>
      <c r="C807" s="10"/>
      <c r="D807" s="61"/>
      <c r="E807" s="61"/>
      <c r="F807" s="10"/>
      <c r="G807" s="7"/>
      <c r="H807" s="23"/>
      <c r="I807" s="23"/>
      <c r="J807" s="23" t="str">
        <f t="shared" si="61"/>
        <v>借</v>
      </c>
      <c r="K807" s="43">
        <f t="shared" si="62"/>
        <v>11113</v>
      </c>
      <c r="L807" s="9"/>
    </row>
    <row r="808" spans="2:12" ht="20.100000000000001" customHeight="1" x14ac:dyDescent="0.15">
      <c r="B808" s="72"/>
      <c r="C808" s="10"/>
      <c r="D808" s="10"/>
      <c r="E808" s="10"/>
      <c r="F808" s="10"/>
      <c r="G808" s="7"/>
      <c r="H808" s="8"/>
      <c r="I808" s="8"/>
      <c r="J808" s="23" t="str">
        <f t="shared" si="61"/>
        <v>借</v>
      </c>
      <c r="K808" s="43">
        <f t="shared" si="62"/>
        <v>11113</v>
      </c>
      <c r="L808" s="10"/>
    </row>
    <row r="809" spans="2:12" ht="20.100000000000001" customHeight="1" x14ac:dyDescent="0.15">
      <c r="B809" s="72"/>
      <c r="C809" s="10"/>
      <c r="D809" s="10"/>
      <c r="E809" s="10"/>
      <c r="F809" s="10"/>
      <c r="G809" s="7"/>
      <c r="H809" s="8"/>
      <c r="I809" s="8"/>
      <c r="J809" s="23" t="str">
        <f t="shared" si="61"/>
        <v>借</v>
      </c>
      <c r="K809" s="43">
        <f t="shared" si="62"/>
        <v>11113</v>
      </c>
      <c r="L809" s="10"/>
    </row>
    <row r="810" spans="2:12" ht="20.100000000000001" customHeight="1" x14ac:dyDescent="0.15">
      <c r="B810" s="72"/>
      <c r="C810" s="10"/>
      <c r="D810" s="61"/>
      <c r="E810" s="61"/>
      <c r="F810" s="61"/>
      <c r="G810" s="7"/>
      <c r="H810" s="23"/>
      <c r="I810" s="23"/>
      <c r="J810" s="23" t="str">
        <f t="shared" si="61"/>
        <v>借</v>
      </c>
      <c r="K810" s="43">
        <f t="shared" si="62"/>
        <v>11113</v>
      </c>
      <c r="L810" s="9"/>
    </row>
    <row r="811" spans="2:12" ht="20.100000000000001" customHeight="1" x14ac:dyDescent="0.15">
      <c r="B811" s="72"/>
      <c r="C811" s="10"/>
      <c r="D811" s="10"/>
      <c r="E811" s="10"/>
      <c r="F811" s="10"/>
      <c r="G811" s="7"/>
      <c r="H811" s="8"/>
      <c r="I811" s="8"/>
      <c r="J811" s="23" t="str">
        <f t="shared" si="61"/>
        <v>借</v>
      </c>
      <c r="K811" s="43">
        <f t="shared" si="62"/>
        <v>11113</v>
      </c>
      <c r="L811" s="10"/>
    </row>
    <row r="812" spans="2:12" ht="20.100000000000001" customHeight="1" x14ac:dyDescent="0.15">
      <c r="B812" s="72"/>
      <c r="C812" s="10"/>
      <c r="D812" s="10"/>
      <c r="E812" s="10"/>
      <c r="F812" s="61"/>
      <c r="G812" s="7"/>
      <c r="H812" s="8"/>
      <c r="I812" s="8"/>
      <c r="J812" s="23" t="str">
        <f t="shared" si="61"/>
        <v>借</v>
      </c>
      <c r="K812" s="43">
        <f t="shared" si="62"/>
        <v>11113</v>
      </c>
      <c r="L812" s="10"/>
    </row>
    <row r="813" spans="2:12" ht="20.100000000000001" customHeight="1" x14ac:dyDescent="0.15">
      <c r="B813" s="72"/>
      <c r="C813" s="10"/>
      <c r="D813" s="10"/>
      <c r="E813" s="61"/>
      <c r="F813" s="61"/>
      <c r="G813" s="7"/>
      <c r="H813" s="23"/>
      <c r="I813" s="23"/>
      <c r="J813" s="23" t="str">
        <f t="shared" si="61"/>
        <v>借</v>
      </c>
      <c r="K813" s="43">
        <f t="shared" si="62"/>
        <v>11113</v>
      </c>
      <c r="L813" s="9"/>
    </row>
    <row r="814" spans="2:12" ht="20.100000000000001" customHeight="1" x14ac:dyDescent="0.15">
      <c r="B814" s="72"/>
      <c r="C814" s="10"/>
      <c r="D814" s="10"/>
      <c r="E814" s="10"/>
      <c r="F814" s="61"/>
      <c r="G814" s="7"/>
      <c r="H814" s="8"/>
      <c r="I814" s="8"/>
      <c r="J814" s="23" t="str">
        <f t="shared" si="61"/>
        <v>借</v>
      </c>
      <c r="K814" s="43">
        <f t="shared" si="62"/>
        <v>11113</v>
      </c>
      <c r="L814" s="10"/>
    </row>
    <row r="815" spans="2:12" ht="20.100000000000001" customHeight="1" x14ac:dyDescent="0.15">
      <c r="B815" s="72"/>
      <c r="C815" s="10"/>
      <c r="D815" s="10"/>
      <c r="E815" s="10"/>
      <c r="F815" s="61"/>
      <c r="G815" s="7"/>
      <c r="H815" s="8"/>
      <c r="I815" s="8"/>
      <c r="J815" s="23" t="str">
        <f t="shared" si="61"/>
        <v>借</v>
      </c>
      <c r="K815" s="43">
        <f t="shared" si="62"/>
        <v>11113</v>
      </c>
      <c r="L815" s="10"/>
    </row>
    <row r="816" spans="2:12" ht="20.100000000000001" customHeight="1" x14ac:dyDescent="0.15">
      <c r="B816" s="72"/>
      <c r="C816" s="10"/>
      <c r="D816" s="61"/>
      <c r="E816" s="61"/>
      <c r="F816" s="61"/>
      <c r="G816" s="7"/>
      <c r="H816" s="23"/>
      <c r="I816" s="23"/>
      <c r="J816" s="23" t="str">
        <f t="shared" si="61"/>
        <v>借</v>
      </c>
      <c r="K816" s="43">
        <f t="shared" si="62"/>
        <v>11113</v>
      </c>
      <c r="L816" s="9"/>
    </row>
    <row r="817" spans="2:13" ht="20.100000000000001" customHeight="1" x14ac:dyDescent="0.15">
      <c r="B817" s="72"/>
      <c r="C817" s="10"/>
      <c r="D817" s="10"/>
      <c r="E817" s="10"/>
      <c r="F817" s="10"/>
      <c r="G817" s="7"/>
      <c r="H817" s="8"/>
      <c r="I817" s="8"/>
      <c r="J817" s="23" t="str">
        <f t="shared" si="61"/>
        <v>借</v>
      </c>
      <c r="K817" s="43">
        <f t="shared" si="62"/>
        <v>11113</v>
      </c>
      <c r="L817" s="10"/>
    </row>
    <row r="818" spans="2:13" ht="20.100000000000001" customHeight="1" x14ac:dyDescent="0.15">
      <c r="B818" s="72"/>
      <c r="C818" s="10"/>
      <c r="D818" s="10"/>
      <c r="E818" s="10"/>
      <c r="F818" s="10"/>
      <c r="G818" s="7"/>
      <c r="H818" s="8"/>
      <c r="I818" s="8"/>
      <c r="J818" s="23" t="str">
        <f t="shared" si="61"/>
        <v>借</v>
      </c>
      <c r="K818" s="43">
        <f t="shared" si="62"/>
        <v>11113</v>
      </c>
      <c r="L818" s="10"/>
    </row>
    <row r="819" spans="2:13" ht="20.100000000000001" customHeight="1" x14ac:dyDescent="0.15">
      <c r="B819" s="72"/>
      <c r="C819" s="10"/>
      <c r="D819" s="10"/>
      <c r="E819" s="61"/>
      <c r="F819" s="10"/>
      <c r="G819" s="7"/>
      <c r="H819" s="23"/>
      <c r="I819" s="23"/>
      <c r="J819" s="23" t="str">
        <f t="shared" si="61"/>
        <v>借</v>
      </c>
      <c r="K819" s="43">
        <f t="shared" si="62"/>
        <v>11113</v>
      </c>
      <c r="L819" s="9"/>
    </row>
    <row r="820" spans="2:13" ht="20.100000000000001" customHeight="1" x14ac:dyDescent="0.15">
      <c r="B820" s="72"/>
      <c r="C820" s="10"/>
      <c r="D820" s="10"/>
      <c r="E820" s="10"/>
      <c r="F820" s="61"/>
      <c r="G820" s="7"/>
      <c r="H820" s="8"/>
      <c r="I820" s="23"/>
      <c r="J820" s="23" t="str">
        <f t="shared" si="61"/>
        <v>借</v>
      </c>
      <c r="K820" s="43">
        <f t="shared" si="62"/>
        <v>11113</v>
      </c>
      <c r="L820" s="10"/>
    </row>
    <row r="821" spans="2:13" ht="20.100000000000001" customHeight="1" x14ac:dyDescent="0.15">
      <c r="B821" s="72"/>
      <c r="C821" s="10"/>
      <c r="D821" s="10"/>
      <c r="E821" s="10"/>
      <c r="F821" s="61"/>
      <c r="G821" s="7"/>
      <c r="H821" s="8"/>
      <c r="I821" s="8"/>
      <c r="J821" s="23" t="str">
        <f t="shared" si="61"/>
        <v>借</v>
      </c>
      <c r="K821" s="43">
        <f t="shared" si="62"/>
        <v>11113</v>
      </c>
      <c r="L821" s="10"/>
    </row>
    <row r="822" spans="2:13" ht="20.100000000000001" customHeight="1" x14ac:dyDescent="0.15">
      <c r="B822" s="72"/>
      <c r="C822" s="10"/>
      <c r="D822" s="10"/>
      <c r="E822" s="61"/>
      <c r="F822" s="61"/>
      <c r="G822" s="7"/>
      <c r="H822" s="23"/>
      <c r="I822" s="23"/>
      <c r="J822" s="23" t="str">
        <f t="shared" si="61"/>
        <v>借</v>
      </c>
      <c r="K822" s="43">
        <f t="shared" si="62"/>
        <v>11113</v>
      </c>
      <c r="L822" s="9"/>
      <c r="M822" s="73"/>
    </row>
    <row r="823" spans="2:13" ht="20.100000000000001" customHeight="1" x14ac:dyDescent="0.15">
      <c r="B823" s="72"/>
      <c r="C823" s="10"/>
      <c r="D823" s="10"/>
      <c r="E823" s="10"/>
      <c r="F823" s="10"/>
      <c r="G823" s="7"/>
      <c r="H823" s="8"/>
      <c r="I823" s="8"/>
      <c r="J823" s="23" t="str">
        <f t="shared" si="61"/>
        <v>借</v>
      </c>
      <c r="K823" s="43">
        <f t="shared" si="62"/>
        <v>11113</v>
      </c>
      <c r="L823" s="10"/>
    </row>
    <row r="824" spans="2:13" ht="20.100000000000001" customHeight="1" x14ac:dyDescent="0.15">
      <c r="B824" s="72"/>
      <c r="C824" s="10"/>
      <c r="D824" s="10"/>
      <c r="E824" s="10"/>
      <c r="F824" s="61"/>
      <c r="G824" s="7"/>
      <c r="H824" s="8"/>
      <c r="I824" s="8"/>
      <c r="J824" s="23" t="str">
        <f t="shared" si="61"/>
        <v>借</v>
      </c>
      <c r="K824" s="43">
        <f t="shared" si="62"/>
        <v>11113</v>
      </c>
      <c r="L824" s="10"/>
    </row>
    <row r="825" spans="2:13" ht="20.100000000000001" customHeight="1" x14ac:dyDescent="0.15">
      <c r="B825" s="72"/>
      <c r="C825" s="10"/>
      <c r="D825" s="61"/>
      <c r="E825" s="61"/>
      <c r="F825" s="61"/>
      <c r="G825" s="7"/>
      <c r="H825" s="23"/>
      <c r="I825" s="23"/>
      <c r="J825" s="23" t="str">
        <f t="shared" si="61"/>
        <v>借</v>
      </c>
      <c r="K825" s="43">
        <f t="shared" si="62"/>
        <v>11113</v>
      </c>
      <c r="L825" s="9"/>
    </row>
    <row r="826" spans="2:13" ht="20.100000000000001" customHeight="1" x14ac:dyDescent="0.15">
      <c r="B826" s="72"/>
      <c r="C826" s="10"/>
      <c r="D826" s="10"/>
      <c r="E826" s="10"/>
      <c r="F826" s="10"/>
      <c r="G826" s="7"/>
      <c r="H826" s="8"/>
      <c r="I826" s="8"/>
      <c r="J826" s="23" t="str">
        <f t="shared" si="61"/>
        <v>借</v>
      </c>
      <c r="K826" s="43">
        <f t="shared" si="62"/>
        <v>11113</v>
      </c>
      <c r="L826" s="10"/>
    </row>
    <row r="827" spans="2:13" ht="20.100000000000001" customHeight="1" x14ac:dyDescent="0.15">
      <c r="B827" s="72"/>
      <c r="C827" s="10"/>
      <c r="D827" s="61"/>
      <c r="E827" s="10"/>
      <c r="F827" s="10"/>
      <c r="G827" s="7"/>
      <c r="H827" s="8"/>
      <c r="I827" s="8"/>
      <c r="J827" s="23" t="str">
        <f t="shared" si="61"/>
        <v>借</v>
      </c>
      <c r="K827" s="43">
        <f t="shared" si="62"/>
        <v>11113</v>
      </c>
      <c r="L827" s="10"/>
    </row>
    <row r="828" spans="2:13" ht="20.100000000000001" customHeight="1" x14ac:dyDescent="0.15">
      <c r="B828" s="72"/>
      <c r="C828" s="10"/>
      <c r="D828" s="61"/>
      <c r="E828" s="61"/>
      <c r="F828" s="10"/>
      <c r="G828" s="7"/>
      <c r="H828" s="23"/>
      <c r="I828" s="23"/>
      <c r="J828" s="23" t="str">
        <f t="shared" si="61"/>
        <v>借</v>
      </c>
      <c r="K828" s="43">
        <f t="shared" si="62"/>
        <v>11113</v>
      </c>
      <c r="L828" s="9"/>
    </row>
    <row r="829" spans="2:13" ht="20.100000000000001" customHeight="1" x14ac:dyDescent="0.15">
      <c r="B829" s="72"/>
      <c r="C829" s="10"/>
      <c r="D829" s="10"/>
      <c r="E829" s="10"/>
      <c r="F829" s="10"/>
      <c r="G829" s="7"/>
      <c r="H829" s="8"/>
      <c r="I829" s="8"/>
      <c r="J829" s="23" t="str">
        <f t="shared" si="61"/>
        <v>借</v>
      </c>
      <c r="K829" s="43">
        <f t="shared" si="62"/>
        <v>11113</v>
      </c>
      <c r="L829" s="10"/>
    </row>
    <row r="830" spans="2:13" ht="20.100000000000001" customHeight="1" x14ac:dyDescent="0.15">
      <c r="B830" s="72"/>
      <c r="C830" s="10"/>
      <c r="D830" s="10"/>
      <c r="E830" s="10"/>
      <c r="F830" s="10"/>
      <c r="G830" s="7"/>
      <c r="H830" s="8"/>
      <c r="I830" s="8"/>
      <c r="J830" s="23" t="str">
        <f t="shared" si="61"/>
        <v>借</v>
      </c>
      <c r="K830" s="43">
        <f t="shared" si="62"/>
        <v>11113</v>
      </c>
      <c r="L830" s="10"/>
    </row>
    <row r="831" spans="2:13" ht="20.100000000000001" customHeight="1" x14ac:dyDescent="0.15">
      <c r="B831" s="72"/>
      <c r="C831" s="10"/>
      <c r="D831" s="61"/>
      <c r="E831" s="61"/>
      <c r="F831" s="61"/>
      <c r="G831" s="7"/>
      <c r="H831" s="23"/>
      <c r="I831" s="23"/>
      <c r="J831" s="23" t="str">
        <f t="shared" si="61"/>
        <v>借</v>
      </c>
      <c r="K831" s="43">
        <f t="shared" si="62"/>
        <v>11113</v>
      </c>
      <c r="L831" s="9"/>
    </row>
    <row r="832" spans="2:13" ht="20.100000000000001" customHeight="1" x14ac:dyDescent="0.15">
      <c r="B832" s="72"/>
      <c r="C832" s="10"/>
      <c r="D832" s="10"/>
      <c r="E832" s="10"/>
      <c r="F832" s="61"/>
      <c r="G832" s="7"/>
      <c r="H832" s="8"/>
      <c r="I832" s="8"/>
      <c r="J832" s="23" t="str">
        <f t="shared" si="61"/>
        <v>借</v>
      </c>
      <c r="K832" s="43">
        <f t="shared" si="62"/>
        <v>11113</v>
      </c>
      <c r="L832" s="10"/>
    </row>
    <row r="833" spans="2:13" ht="20.100000000000001" customHeight="1" x14ac:dyDescent="0.15">
      <c r="B833" s="72"/>
      <c r="C833" s="10"/>
      <c r="D833" s="61"/>
      <c r="E833" s="10"/>
      <c r="F833" s="10"/>
      <c r="G833" s="7"/>
      <c r="H833" s="8"/>
      <c r="I833" s="8"/>
      <c r="J833" s="23" t="str">
        <f t="shared" si="61"/>
        <v>借</v>
      </c>
      <c r="K833" s="43">
        <f t="shared" si="62"/>
        <v>11113</v>
      </c>
      <c r="L833" s="10"/>
    </row>
    <row r="834" spans="2:13" ht="20.100000000000001" customHeight="1" x14ac:dyDescent="0.15">
      <c r="B834" s="72"/>
      <c r="C834" s="10"/>
      <c r="D834" s="61"/>
      <c r="E834" s="61"/>
      <c r="F834" s="61"/>
      <c r="G834" s="7"/>
      <c r="H834" s="23"/>
      <c r="I834" s="23"/>
      <c r="J834" s="23" t="str">
        <f t="shared" si="61"/>
        <v>借</v>
      </c>
      <c r="K834" s="43">
        <f t="shared" si="62"/>
        <v>11113</v>
      </c>
      <c r="L834" s="9"/>
      <c r="M834" s="99"/>
    </row>
    <row r="835" spans="2:13" ht="20.100000000000001" customHeight="1" x14ac:dyDescent="0.15">
      <c r="B835" s="72"/>
      <c r="C835" s="10"/>
      <c r="D835" s="61"/>
      <c r="E835" s="61"/>
      <c r="F835" s="61"/>
      <c r="G835" s="7"/>
      <c r="H835" s="23"/>
      <c r="I835" s="23"/>
      <c r="J835" s="23" t="str">
        <f t="shared" si="61"/>
        <v>借</v>
      </c>
      <c r="K835" s="43">
        <f t="shared" si="62"/>
        <v>11113</v>
      </c>
      <c r="L835" s="9"/>
      <c r="M835" s="99"/>
    </row>
    <row r="836" spans="2:13" ht="20.100000000000001" customHeight="1" x14ac:dyDescent="0.15">
      <c r="B836" s="72"/>
      <c r="C836" s="10"/>
      <c r="D836" s="61"/>
      <c r="E836" s="61"/>
      <c r="F836" s="61"/>
      <c r="G836" s="7"/>
      <c r="H836" s="23"/>
      <c r="I836" s="23"/>
      <c r="J836" s="23" t="str">
        <f t="shared" si="61"/>
        <v>借</v>
      </c>
      <c r="K836" s="43">
        <f t="shared" si="62"/>
        <v>11113</v>
      </c>
      <c r="L836" s="9"/>
      <c r="M836" s="99"/>
    </row>
    <row r="837" spans="2:13" ht="20.100000000000001" customHeight="1" x14ac:dyDescent="0.15">
      <c r="B837" s="72"/>
      <c r="C837" s="10"/>
      <c r="D837" s="10"/>
      <c r="E837" s="10"/>
      <c r="F837" s="10"/>
      <c r="G837" s="7"/>
      <c r="H837" s="8"/>
      <c r="I837" s="8"/>
      <c r="J837" s="23" t="str">
        <f t="shared" si="61"/>
        <v>借</v>
      </c>
      <c r="K837" s="43">
        <f t="shared" si="62"/>
        <v>11113</v>
      </c>
      <c r="L837" s="10"/>
    </row>
    <row r="838" spans="2:13" ht="20.100000000000001" customHeight="1" x14ac:dyDescent="0.15">
      <c r="B838" s="72"/>
      <c r="C838" s="10"/>
      <c r="D838" s="10"/>
      <c r="E838" s="10"/>
      <c r="F838" s="10"/>
      <c r="G838" s="7"/>
      <c r="H838" s="8"/>
      <c r="I838" s="8"/>
      <c r="J838" s="23" t="str">
        <f t="shared" si="61"/>
        <v>借</v>
      </c>
      <c r="K838" s="43">
        <f t="shared" si="62"/>
        <v>11113</v>
      </c>
      <c r="L838" s="10"/>
    </row>
    <row r="839" spans="2:13" ht="20.100000000000001" customHeight="1" x14ac:dyDescent="0.15">
      <c r="B839" s="72"/>
      <c r="C839" s="10"/>
      <c r="D839" s="10"/>
      <c r="E839" s="10"/>
      <c r="F839" s="10"/>
      <c r="G839" s="7"/>
      <c r="H839" s="8"/>
      <c r="I839" s="8"/>
      <c r="J839" s="23" t="str">
        <f t="shared" si="61"/>
        <v>借</v>
      </c>
      <c r="K839" s="43">
        <f t="shared" si="62"/>
        <v>11113</v>
      </c>
      <c r="L839" s="9"/>
    </row>
    <row r="840" spans="2:13" ht="20.100000000000001" customHeight="1" x14ac:dyDescent="0.15">
      <c r="B840" s="72"/>
      <c r="C840" s="10"/>
      <c r="D840" s="10"/>
      <c r="E840" s="10"/>
      <c r="F840" s="10"/>
      <c r="G840" s="7"/>
      <c r="H840" s="8"/>
      <c r="I840" s="8"/>
      <c r="J840" s="23" t="str">
        <f t="shared" si="61"/>
        <v>借</v>
      </c>
      <c r="K840" s="43">
        <f t="shared" si="62"/>
        <v>11113</v>
      </c>
      <c r="L840" s="10"/>
    </row>
    <row r="841" spans="2:13" ht="20.100000000000001" customHeight="1" x14ac:dyDescent="0.15">
      <c r="B841" s="72"/>
      <c r="C841" s="10"/>
      <c r="D841" s="61"/>
      <c r="E841" s="61"/>
      <c r="F841" s="61"/>
      <c r="G841" s="7"/>
      <c r="H841" s="23"/>
      <c r="I841" s="23"/>
      <c r="J841" s="23" t="str">
        <f t="shared" ref="J841:J863" si="63">IF((K840+H841-I841)&gt;0,"借","贷")</f>
        <v>借</v>
      </c>
      <c r="K841" s="43">
        <f t="shared" ref="K841:K846" si="64">_xlfn.IFS(J840="借",K840+H841-I841,J840="贷",H841-I841-K840)</f>
        <v>11113</v>
      </c>
      <c r="L841" s="9"/>
    </row>
    <row r="842" spans="2:13" ht="20.100000000000001" customHeight="1" x14ac:dyDescent="0.15">
      <c r="B842" s="72"/>
      <c r="C842" s="10"/>
      <c r="D842" s="61"/>
      <c r="E842" s="61"/>
      <c r="F842" s="61"/>
      <c r="G842" s="7"/>
      <c r="H842" s="8"/>
      <c r="I842" s="8"/>
      <c r="J842" s="23" t="str">
        <f t="shared" si="63"/>
        <v>借</v>
      </c>
      <c r="K842" s="43">
        <f t="shared" si="64"/>
        <v>11113</v>
      </c>
      <c r="L842" s="10"/>
    </row>
    <row r="843" spans="2:13" ht="20.100000000000001" customHeight="1" x14ac:dyDescent="0.15">
      <c r="B843" s="72"/>
      <c r="C843" s="10"/>
      <c r="D843" s="61"/>
      <c r="E843" s="61"/>
      <c r="F843" s="61"/>
      <c r="G843" s="7"/>
      <c r="H843" s="8"/>
      <c r="I843" s="8"/>
      <c r="J843" s="23" t="str">
        <f t="shared" si="63"/>
        <v>借</v>
      </c>
      <c r="K843" s="43">
        <f t="shared" si="64"/>
        <v>11113</v>
      </c>
      <c r="L843" s="10"/>
    </row>
    <row r="844" spans="2:13" ht="20.100000000000001" customHeight="1" x14ac:dyDescent="0.15">
      <c r="B844" s="72"/>
      <c r="C844" s="10"/>
      <c r="D844" s="61"/>
      <c r="E844" s="61"/>
      <c r="F844" s="10"/>
      <c r="G844" s="7"/>
      <c r="H844" s="23"/>
      <c r="I844" s="23"/>
      <c r="J844" s="23" t="str">
        <f t="shared" si="63"/>
        <v>借</v>
      </c>
      <c r="K844" s="43">
        <f t="shared" si="64"/>
        <v>11113</v>
      </c>
      <c r="L844" s="9"/>
    </row>
    <row r="845" spans="2:13" ht="20.100000000000001" customHeight="1" x14ac:dyDescent="0.15">
      <c r="B845" s="72"/>
      <c r="C845" s="10"/>
      <c r="D845" s="10"/>
      <c r="E845" s="10"/>
      <c r="F845" s="10"/>
      <c r="G845" s="7"/>
      <c r="H845" s="8"/>
      <c r="I845" s="8"/>
      <c r="J845" s="23" t="str">
        <f t="shared" si="63"/>
        <v>借</v>
      </c>
      <c r="K845" s="43">
        <f t="shared" si="64"/>
        <v>11113</v>
      </c>
      <c r="L845" s="10"/>
    </row>
    <row r="846" spans="2:13" ht="20.100000000000001" customHeight="1" x14ac:dyDescent="0.15">
      <c r="B846" s="72"/>
      <c r="C846" s="10"/>
      <c r="D846" s="11"/>
      <c r="E846" s="10"/>
      <c r="F846" s="10"/>
      <c r="G846" s="7"/>
      <c r="H846" s="8"/>
      <c r="I846" s="8"/>
      <c r="J846" s="23" t="str">
        <f t="shared" si="63"/>
        <v>借</v>
      </c>
      <c r="K846" s="43">
        <f t="shared" si="64"/>
        <v>11113</v>
      </c>
      <c r="L846" s="10"/>
    </row>
    <row r="847" spans="2:13" ht="20.100000000000001" customHeight="1" x14ac:dyDescent="0.15">
      <c r="B847" s="72"/>
      <c r="C847" s="10"/>
      <c r="D847" s="61"/>
      <c r="E847" s="61"/>
      <c r="F847" s="10"/>
      <c r="G847" s="7"/>
      <c r="H847" s="23"/>
      <c r="I847" s="23"/>
      <c r="J847" s="23" t="str">
        <f t="shared" si="63"/>
        <v>借</v>
      </c>
      <c r="K847" s="43">
        <f t="shared" ref="K847:K858" si="65">_xlfn.IFS(J846="借",K846+H847-I847,J846="贷",H847-I847-K846)</f>
        <v>11113</v>
      </c>
      <c r="L847" s="9"/>
    </row>
    <row r="848" spans="2:13" ht="20.100000000000001" customHeight="1" x14ac:dyDescent="0.15">
      <c r="B848" s="72"/>
      <c r="C848" s="10"/>
      <c r="D848" s="61"/>
      <c r="E848" s="10"/>
      <c r="F848" s="10"/>
      <c r="G848" s="7"/>
      <c r="H848" s="8"/>
      <c r="I848" s="8"/>
      <c r="J848" s="23" t="str">
        <f t="shared" si="63"/>
        <v>借</v>
      </c>
      <c r="K848" s="43">
        <f t="shared" si="65"/>
        <v>11113</v>
      </c>
      <c r="L848" s="10"/>
    </row>
    <row r="849" spans="2:13" ht="20.100000000000001" customHeight="1" x14ac:dyDescent="0.15">
      <c r="B849" s="72"/>
      <c r="C849" s="10"/>
      <c r="D849" s="61"/>
      <c r="E849" s="10"/>
      <c r="F849" s="10"/>
      <c r="G849" s="7"/>
      <c r="H849" s="8"/>
      <c r="I849" s="8"/>
      <c r="J849" s="23" t="str">
        <f t="shared" si="63"/>
        <v>借</v>
      </c>
      <c r="K849" s="43">
        <f t="shared" si="65"/>
        <v>11113</v>
      </c>
      <c r="L849" s="10"/>
    </row>
    <row r="850" spans="2:13" ht="20.100000000000001" customHeight="1" x14ac:dyDescent="0.15">
      <c r="B850" s="72"/>
      <c r="C850" s="10"/>
      <c r="D850" s="10"/>
      <c r="E850" s="10"/>
      <c r="F850" s="10"/>
      <c r="G850" s="7"/>
      <c r="H850" s="23"/>
      <c r="I850" s="23"/>
      <c r="J850" s="23" t="str">
        <f t="shared" si="63"/>
        <v>借</v>
      </c>
      <c r="K850" s="43">
        <f t="shared" si="65"/>
        <v>11113</v>
      </c>
      <c r="L850" s="9"/>
    </row>
    <row r="851" spans="2:13" ht="20.100000000000001" customHeight="1" x14ac:dyDescent="0.15">
      <c r="B851" s="72"/>
      <c r="C851" s="10"/>
      <c r="D851" s="10"/>
      <c r="E851" s="10"/>
      <c r="F851" s="10"/>
      <c r="G851" s="7"/>
      <c r="H851" s="8"/>
      <c r="I851" s="8"/>
      <c r="J851" s="23" t="str">
        <f t="shared" si="63"/>
        <v>借</v>
      </c>
      <c r="K851" s="43">
        <f t="shared" si="65"/>
        <v>11113</v>
      </c>
      <c r="L851" s="10"/>
    </row>
    <row r="852" spans="2:13" ht="20.100000000000001" customHeight="1" x14ac:dyDescent="0.15">
      <c r="B852" s="72"/>
      <c r="C852" s="10"/>
      <c r="D852" s="10"/>
      <c r="E852" s="10"/>
      <c r="F852" s="10"/>
      <c r="G852" s="7"/>
      <c r="H852" s="8"/>
      <c r="I852" s="8"/>
      <c r="J852" s="23" t="str">
        <f t="shared" si="63"/>
        <v>借</v>
      </c>
      <c r="K852" s="43">
        <f t="shared" si="65"/>
        <v>11113</v>
      </c>
      <c r="L852" s="10"/>
    </row>
    <row r="853" spans="2:13" ht="20.100000000000001" customHeight="1" x14ac:dyDescent="0.15">
      <c r="B853" s="72"/>
      <c r="C853" s="10"/>
      <c r="D853" s="10"/>
      <c r="E853" s="10"/>
      <c r="F853" s="10"/>
      <c r="G853" s="7"/>
      <c r="H853" s="23"/>
      <c r="I853" s="23"/>
      <c r="J853" s="23" t="str">
        <f t="shared" si="63"/>
        <v>借</v>
      </c>
      <c r="K853" s="43">
        <f t="shared" si="65"/>
        <v>11113</v>
      </c>
      <c r="L853" s="9"/>
      <c r="M853" s="99"/>
    </row>
    <row r="854" spans="2:13" ht="20.100000000000001" customHeight="1" x14ac:dyDescent="0.15">
      <c r="B854" s="72"/>
      <c r="C854" s="10"/>
      <c r="D854" s="10"/>
      <c r="E854" s="10"/>
      <c r="F854" s="10"/>
      <c r="G854" s="7"/>
      <c r="H854" s="8"/>
      <c r="I854" s="8"/>
      <c r="J854" s="23" t="str">
        <f t="shared" si="63"/>
        <v>借</v>
      </c>
      <c r="K854" s="43">
        <f t="shared" si="65"/>
        <v>11113</v>
      </c>
      <c r="L854" s="10"/>
      <c r="M854" s="99"/>
    </row>
    <row r="855" spans="2:13" ht="20.100000000000001" customHeight="1" x14ac:dyDescent="0.15">
      <c r="B855" s="72"/>
      <c r="C855" s="10"/>
      <c r="D855" s="10"/>
      <c r="E855" s="10"/>
      <c r="F855" s="10"/>
      <c r="G855" s="7"/>
      <c r="H855" s="23"/>
      <c r="I855" s="23"/>
      <c r="J855" s="23" t="str">
        <f t="shared" si="63"/>
        <v>借</v>
      </c>
      <c r="K855" s="43">
        <f t="shared" si="65"/>
        <v>11113</v>
      </c>
      <c r="L855" s="10"/>
    </row>
    <row r="856" spans="2:13" ht="20.100000000000001" customHeight="1" x14ac:dyDescent="0.15">
      <c r="B856" s="72"/>
      <c r="C856" s="10"/>
      <c r="D856" s="10"/>
      <c r="E856" s="10"/>
      <c r="F856" s="61"/>
      <c r="G856" s="7"/>
      <c r="H856" s="8"/>
      <c r="I856" s="8"/>
      <c r="J856" s="23" t="str">
        <f t="shared" si="63"/>
        <v>借</v>
      </c>
      <c r="K856" s="43">
        <f t="shared" si="65"/>
        <v>11113</v>
      </c>
      <c r="L856" s="9"/>
    </row>
    <row r="857" spans="2:13" ht="20.100000000000001" customHeight="1" x14ac:dyDescent="0.15">
      <c r="B857" s="72"/>
      <c r="C857" s="10"/>
      <c r="D857" s="10"/>
      <c r="E857" s="10"/>
      <c r="F857" s="61"/>
      <c r="G857" s="7"/>
      <c r="H857" s="8"/>
      <c r="I857" s="8"/>
      <c r="J857" s="23" t="str">
        <f t="shared" si="63"/>
        <v>借</v>
      </c>
      <c r="K857" s="43">
        <f t="shared" si="65"/>
        <v>11113</v>
      </c>
      <c r="L857" s="10"/>
    </row>
    <row r="858" spans="2:13" ht="20.100000000000001" customHeight="1" x14ac:dyDescent="0.15">
      <c r="B858" s="72"/>
      <c r="C858" s="10"/>
      <c r="D858" s="10"/>
      <c r="E858" s="10"/>
      <c r="F858" s="61"/>
      <c r="G858" s="7"/>
      <c r="H858" s="8"/>
      <c r="I858" s="8"/>
      <c r="J858" s="23" t="str">
        <f t="shared" si="63"/>
        <v>借</v>
      </c>
      <c r="K858" s="43">
        <f t="shared" si="65"/>
        <v>11113</v>
      </c>
      <c r="L858" s="10"/>
    </row>
    <row r="859" spans="2:13" ht="20.100000000000001" customHeight="1" x14ac:dyDescent="0.15">
      <c r="B859" s="72"/>
      <c r="C859" s="10"/>
      <c r="D859" s="10"/>
      <c r="E859" s="10"/>
      <c r="F859" s="10"/>
      <c r="G859" s="7"/>
      <c r="H859" s="8"/>
      <c r="I859" s="8"/>
      <c r="J859" s="23" t="str">
        <f t="shared" si="63"/>
        <v>借</v>
      </c>
      <c r="K859" s="43">
        <f t="shared" ref="K859:K864" si="66">_xlfn.IFS(J858="借",K858+H859-I859,J858="贷",H859-I859-K858)</f>
        <v>11113</v>
      </c>
      <c r="L859" s="9"/>
    </row>
    <row r="860" spans="2:13" ht="20.100000000000001" customHeight="1" x14ac:dyDescent="0.15">
      <c r="B860" s="72"/>
      <c r="C860" s="10"/>
      <c r="D860" s="10"/>
      <c r="E860" s="10"/>
      <c r="F860" s="10"/>
      <c r="G860" s="7"/>
      <c r="H860" s="8"/>
      <c r="I860" s="8"/>
      <c r="J860" s="23" t="str">
        <f t="shared" si="63"/>
        <v>借</v>
      </c>
      <c r="K860" s="43">
        <f t="shared" si="66"/>
        <v>11113</v>
      </c>
      <c r="L860" s="10"/>
    </row>
    <row r="861" spans="2:13" ht="20.100000000000001" customHeight="1" x14ac:dyDescent="0.15">
      <c r="B861" s="72"/>
      <c r="C861" s="10"/>
      <c r="D861" s="10"/>
      <c r="E861" s="10"/>
      <c r="F861" s="61"/>
      <c r="G861" s="7"/>
      <c r="H861" s="23"/>
      <c r="I861" s="23"/>
      <c r="J861" s="23" t="str">
        <f t="shared" si="63"/>
        <v>借</v>
      </c>
      <c r="K861" s="43">
        <f t="shared" si="66"/>
        <v>11113</v>
      </c>
      <c r="L861" s="10"/>
    </row>
    <row r="862" spans="2:13" ht="20.100000000000001" customHeight="1" x14ac:dyDescent="0.15">
      <c r="B862" s="72"/>
      <c r="C862" s="10"/>
      <c r="D862" s="10"/>
      <c r="E862" s="10"/>
      <c r="F862" s="10"/>
      <c r="G862" s="7"/>
      <c r="H862" s="8"/>
      <c r="I862" s="8"/>
      <c r="J862" s="23" t="str">
        <f t="shared" si="63"/>
        <v>借</v>
      </c>
      <c r="K862" s="43">
        <f t="shared" si="66"/>
        <v>11113</v>
      </c>
      <c r="L862" s="9"/>
    </row>
    <row r="863" spans="2:13" ht="20.100000000000001" customHeight="1" x14ac:dyDescent="0.15">
      <c r="B863" s="72"/>
      <c r="C863" s="10"/>
      <c r="D863" s="10"/>
      <c r="E863" s="10"/>
      <c r="F863" s="61"/>
      <c r="G863" s="7"/>
      <c r="H863" s="8"/>
      <c r="I863" s="8"/>
      <c r="J863" s="23" t="str">
        <f t="shared" si="63"/>
        <v>借</v>
      </c>
      <c r="K863" s="43">
        <f t="shared" si="66"/>
        <v>11113</v>
      </c>
      <c r="L863" s="10"/>
    </row>
    <row r="864" spans="2:13" ht="20.100000000000001" customHeight="1" x14ac:dyDescent="0.15">
      <c r="B864" s="72"/>
      <c r="C864" s="10"/>
      <c r="D864" s="61"/>
      <c r="E864" s="61"/>
      <c r="F864" s="10"/>
      <c r="G864" s="7"/>
      <c r="H864" s="23"/>
      <c r="I864" s="23"/>
      <c r="J864" s="23" t="str">
        <f t="shared" ref="J864:J888" si="67">IF((K863+H864-I864)&gt;0,"借","贷")</f>
        <v>借</v>
      </c>
      <c r="K864" s="43">
        <f t="shared" si="66"/>
        <v>11113</v>
      </c>
      <c r="L864" s="10"/>
    </row>
    <row r="865" spans="2:13" ht="20.100000000000001" customHeight="1" x14ac:dyDescent="0.15">
      <c r="B865" s="72"/>
      <c r="C865" s="10"/>
      <c r="D865" s="10"/>
      <c r="E865" s="10"/>
      <c r="F865" s="10"/>
      <c r="G865" s="7"/>
      <c r="H865" s="8"/>
      <c r="I865" s="8"/>
      <c r="J865" s="23" t="str">
        <f t="shared" si="67"/>
        <v>借</v>
      </c>
      <c r="K865" s="43">
        <f t="shared" ref="K865:K888" si="68">_xlfn.IFS(J864="借",K864+H865-I865,J864="贷",H865-I865-K864)</f>
        <v>11113</v>
      </c>
      <c r="L865" s="10"/>
    </row>
    <row r="866" spans="2:13" ht="20.100000000000001" customHeight="1" x14ac:dyDescent="0.15">
      <c r="B866" s="72"/>
      <c r="C866" s="10"/>
      <c r="D866" s="10"/>
      <c r="E866" s="10"/>
      <c r="F866" s="10"/>
      <c r="G866" s="7"/>
      <c r="H866" s="8"/>
      <c r="I866" s="8"/>
      <c r="J866" s="23" t="str">
        <f t="shared" si="67"/>
        <v>借</v>
      </c>
      <c r="K866" s="43">
        <f t="shared" si="68"/>
        <v>11113</v>
      </c>
      <c r="L866" s="10"/>
    </row>
    <row r="867" spans="2:13" ht="20.100000000000001" customHeight="1" x14ac:dyDescent="0.15">
      <c r="B867" s="72"/>
      <c r="C867" s="10"/>
      <c r="D867" s="61"/>
      <c r="E867" s="61"/>
      <c r="F867" s="61"/>
      <c r="G867" s="7"/>
      <c r="H867" s="23"/>
      <c r="I867" s="23"/>
      <c r="J867" s="23" t="str">
        <f t="shared" si="67"/>
        <v>借</v>
      </c>
      <c r="K867" s="43">
        <f t="shared" si="68"/>
        <v>11113</v>
      </c>
      <c r="L867" s="10"/>
    </row>
    <row r="868" spans="2:13" ht="20.100000000000001" customHeight="1" x14ac:dyDescent="0.15">
      <c r="B868" s="72"/>
      <c r="C868" s="10"/>
      <c r="D868" s="61"/>
      <c r="E868" s="61"/>
      <c r="F868" s="61"/>
      <c r="G868" s="7"/>
      <c r="H868" s="23"/>
      <c r="I868" s="23"/>
      <c r="J868" s="23" t="str">
        <f t="shared" si="67"/>
        <v>借</v>
      </c>
      <c r="K868" s="43">
        <f t="shared" si="68"/>
        <v>11113</v>
      </c>
      <c r="L868" s="10"/>
    </row>
    <row r="869" spans="2:13" ht="20.100000000000001" customHeight="1" x14ac:dyDescent="0.15">
      <c r="B869" s="72"/>
      <c r="C869" s="10"/>
      <c r="D869" s="10"/>
      <c r="E869" s="10"/>
      <c r="F869" s="10"/>
      <c r="G869" s="7"/>
      <c r="H869" s="8"/>
      <c r="I869" s="8"/>
      <c r="J869" s="23" t="str">
        <f t="shared" si="67"/>
        <v>借</v>
      </c>
      <c r="K869" s="43">
        <f t="shared" si="68"/>
        <v>11113</v>
      </c>
      <c r="L869" s="10"/>
    </row>
    <row r="870" spans="2:13" ht="20.100000000000001" customHeight="1" x14ac:dyDescent="0.15">
      <c r="B870" s="72"/>
      <c r="C870" s="10"/>
      <c r="D870" s="10"/>
      <c r="E870" s="10"/>
      <c r="F870" s="10"/>
      <c r="G870" s="7"/>
      <c r="H870" s="8"/>
      <c r="I870" s="8"/>
      <c r="J870" s="23" t="str">
        <f t="shared" si="67"/>
        <v>借</v>
      </c>
      <c r="K870" s="43">
        <f t="shared" si="68"/>
        <v>11113</v>
      </c>
      <c r="L870" s="10"/>
    </row>
    <row r="871" spans="2:13" ht="20.100000000000001" customHeight="1" x14ac:dyDescent="0.15">
      <c r="B871" s="72"/>
      <c r="C871" s="10"/>
      <c r="D871" s="61"/>
      <c r="E871" s="61"/>
      <c r="F871" s="10"/>
      <c r="G871" s="7"/>
      <c r="H871" s="23"/>
      <c r="I871" s="23"/>
      <c r="J871" s="23" t="str">
        <f t="shared" si="67"/>
        <v>借</v>
      </c>
      <c r="K871" s="43">
        <f t="shared" si="68"/>
        <v>11113</v>
      </c>
      <c r="L871" s="10"/>
      <c r="M871" s="99"/>
    </row>
    <row r="872" spans="2:13" ht="20.100000000000001" customHeight="1" x14ac:dyDescent="0.15">
      <c r="B872" s="72"/>
      <c r="C872" s="10"/>
      <c r="D872" s="61"/>
      <c r="E872" s="61"/>
      <c r="F872" s="61"/>
      <c r="G872" s="7"/>
      <c r="H872" s="8"/>
      <c r="I872" s="8"/>
      <c r="J872" s="23" t="str">
        <f t="shared" si="67"/>
        <v>借</v>
      </c>
      <c r="K872" s="43">
        <f t="shared" si="68"/>
        <v>11113</v>
      </c>
      <c r="L872" s="10"/>
      <c r="M872" s="99"/>
    </row>
    <row r="873" spans="2:13" ht="20.100000000000001" customHeight="1" x14ac:dyDescent="0.15">
      <c r="B873" s="72"/>
      <c r="C873" s="10"/>
      <c r="D873" s="10"/>
      <c r="E873" s="10"/>
      <c r="F873" s="10"/>
      <c r="G873" s="7"/>
      <c r="H873" s="8"/>
      <c r="I873" s="8"/>
      <c r="J873" s="23" t="str">
        <f t="shared" si="67"/>
        <v>借</v>
      </c>
      <c r="K873" s="43">
        <f t="shared" si="68"/>
        <v>11113</v>
      </c>
      <c r="L873" s="10"/>
    </row>
    <row r="874" spans="2:13" ht="20.100000000000001" customHeight="1" x14ac:dyDescent="0.15">
      <c r="B874" s="72"/>
      <c r="C874" s="10"/>
      <c r="D874" s="61"/>
      <c r="E874" s="61"/>
      <c r="F874" s="61"/>
      <c r="G874" s="7"/>
      <c r="H874" s="23"/>
      <c r="I874" s="23"/>
      <c r="J874" s="23" t="str">
        <f t="shared" si="67"/>
        <v>借</v>
      </c>
      <c r="K874" s="43">
        <f t="shared" si="68"/>
        <v>11113</v>
      </c>
      <c r="L874" s="10"/>
    </row>
    <row r="875" spans="2:13" ht="20.100000000000001" customHeight="1" x14ac:dyDescent="0.15">
      <c r="B875" s="72"/>
      <c r="C875" s="10"/>
      <c r="D875" s="10"/>
      <c r="E875" s="10"/>
      <c r="F875" s="10"/>
      <c r="G875" s="7"/>
      <c r="H875" s="8"/>
      <c r="I875" s="8"/>
      <c r="J875" s="23" t="str">
        <f t="shared" si="67"/>
        <v>借</v>
      </c>
      <c r="K875" s="43">
        <f t="shared" si="68"/>
        <v>11113</v>
      </c>
      <c r="L875" s="10"/>
    </row>
    <row r="876" spans="2:13" ht="20.100000000000001" customHeight="1" x14ac:dyDescent="0.15">
      <c r="B876" s="72"/>
      <c r="C876" s="10"/>
      <c r="D876" s="61"/>
      <c r="E876" s="10"/>
      <c r="F876" s="10"/>
      <c r="G876" s="7"/>
      <c r="H876" s="8"/>
      <c r="I876" s="23"/>
      <c r="J876" s="23" t="str">
        <f t="shared" si="67"/>
        <v>借</v>
      </c>
      <c r="K876" s="43">
        <f t="shared" si="68"/>
        <v>11113</v>
      </c>
      <c r="L876" s="10"/>
    </row>
    <row r="877" spans="2:13" ht="20.100000000000001" customHeight="1" x14ac:dyDescent="0.15">
      <c r="B877" s="72"/>
      <c r="C877" s="10"/>
      <c r="D877" s="61"/>
      <c r="E877" s="61"/>
      <c r="F877" s="61"/>
      <c r="G877" s="7"/>
      <c r="H877" s="23"/>
      <c r="I877" s="8"/>
      <c r="J877" s="23" t="str">
        <f t="shared" si="67"/>
        <v>借</v>
      </c>
      <c r="K877" s="43">
        <f t="shared" si="68"/>
        <v>11113</v>
      </c>
      <c r="L877" s="9"/>
      <c r="M877" s="9"/>
    </row>
    <row r="878" spans="2:13" ht="20.100000000000001" customHeight="1" x14ac:dyDescent="0.15">
      <c r="B878" s="72"/>
      <c r="C878" s="10"/>
      <c r="D878" s="10"/>
      <c r="E878" s="10"/>
      <c r="F878" s="10"/>
      <c r="G878" s="7"/>
      <c r="H878" s="8"/>
      <c r="I878" s="8"/>
      <c r="J878" s="23" t="str">
        <f t="shared" si="67"/>
        <v>借</v>
      </c>
      <c r="K878" s="43">
        <f t="shared" si="68"/>
        <v>11113</v>
      </c>
      <c r="L878" s="10"/>
    </row>
    <row r="879" spans="2:13" ht="20.100000000000001" customHeight="1" x14ac:dyDescent="0.15">
      <c r="B879" s="72"/>
      <c r="C879" s="10"/>
      <c r="D879" s="10"/>
      <c r="E879" s="10"/>
      <c r="F879" s="10"/>
      <c r="G879" s="7"/>
      <c r="H879" s="8"/>
      <c r="I879" s="8"/>
      <c r="J879" s="23" t="str">
        <f t="shared" si="67"/>
        <v>借</v>
      </c>
      <c r="K879" s="43">
        <f t="shared" si="68"/>
        <v>11113</v>
      </c>
      <c r="L879" s="10"/>
    </row>
    <row r="880" spans="2:13" ht="20.100000000000001" customHeight="1" x14ac:dyDescent="0.15">
      <c r="B880" s="72"/>
      <c r="C880" s="10"/>
      <c r="D880" s="61"/>
      <c r="E880" s="61"/>
      <c r="F880" s="61"/>
      <c r="G880" s="7"/>
      <c r="H880" s="23"/>
      <c r="I880" s="23"/>
      <c r="J880" s="23" t="str">
        <f t="shared" si="67"/>
        <v>借</v>
      </c>
      <c r="K880" s="43">
        <f t="shared" si="68"/>
        <v>11113</v>
      </c>
      <c r="L880" s="9"/>
    </row>
    <row r="881" spans="2:13" ht="20.100000000000001" customHeight="1" x14ac:dyDescent="0.15">
      <c r="B881" s="72"/>
      <c r="C881" s="10"/>
      <c r="D881" s="10"/>
      <c r="E881" s="10"/>
      <c r="F881" s="10"/>
      <c r="G881" s="7"/>
      <c r="H881" s="8"/>
      <c r="I881" s="8"/>
      <c r="J881" s="23" t="str">
        <f t="shared" si="67"/>
        <v>借</v>
      </c>
      <c r="K881" s="43">
        <f t="shared" si="68"/>
        <v>11113</v>
      </c>
      <c r="L881" s="10"/>
      <c r="M881" s="10"/>
    </row>
    <row r="882" spans="2:13" ht="20.100000000000001" customHeight="1" x14ac:dyDescent="0.15">
      <c r="B882" s="72"/>
      <c r="C882" s="10"/>
      <c r="D882" s="10"/>
      <c r="E882" s="10"/>
      <c r="F882" s="10"/>
      <c r="G882" s="7"/>
      <c r="H882" s="8"/>
      <c r="I882" s="8"/>
      <c r="J882" s="23" t="str">
        <f t="shared" si="67"/>
        <v>借</v>
      </c>
      <c r="K882" s="43">
        <f t="shared" si="68"/>
        <v>11113</v>
      </c>
      <c r="L882" s="10"/>
      <c r="M882" s="52"/>
    </row>
    <row r="883" spans="2:13" ht="20.100000000000001" customHeight="1" x14ac:dyDescent="0.15">
      <c r="B883" s="72"/>
      <c r="C883" s="10"/>
      <c r="D883" s="61"/>
      <c r="E883" s="61"/>
      <c r="F883" s="61"/>
      <c r="G883" s="7"/>
      <c r="H883" s="23"/>
      <c r="I883" s="23"/>
      <c r="J883" s="23" t="str">
        <f t="shared" si="67"/>
        <v>借</v>
      </c>
      <c r="K883" s="43">
        <f t="shared" si="68"/>
        <v>11113</v>
      </c>
      <c r="L883" s="9"/>
    </row>
    <row r="884" spans="2:13" ht="20.100000000000001" customHeight="1" x14ac:dyDescent="0.15">
      <c r="B884" s="72"/>
      <c r="C884" s="10"/>
      <c r="D884" s="10"/>
      <c r="E884" s="10"/>
      <c r="F884" s="10"/>
      <c r="G884" s="7"/>
      <c r="H884" s="8"/>
      <c r="I884" s="8"/>
      <c r="J884" s="23" t="str">
        <f t="shared" si="67"/>
        <v>借</v>
      </c>
      <c r="K884" s="43">
        <f t="shared" si="68"/>
        <v>11113</v>
      </c>
      <c r="L884" s="10"/>
    </row>
    <row r="885" spans="2:13" ht="20.100000000000001" customHeight="1" x14ac:dyDescent="0.15">
      <c r="B885" s="72"/>
      <c r="C885" s="10"/>
      <c r="D885" s="10"/>
      <c r="E885" s="10"/>
      <c r="F885" s="10"/>
      <c r="G885" s="7"/>
      <c r="H885" s="8"/>
      <c r="I885" s="8"/>
      <c r="J885" s="23" t="str">
        <f t="shared" si="67"/>
        <v>借</v>
      </c>
      <c r="K885" s="43">
        <f t="shared" si="68"/>
        <v>11113</v>
      </c>
      <c r="L885" s="10"/>
    </row>
    <row r="886" spans="2:13" ht="20.100000000000001" customHeight="1" x14ac:dyDescent="0.15">
      <c r="B886" s="72"/>
      <c r="C886" s="10"/>
      <c r="D886" s="10"/>
      <c r="E886" s="10"/>
      <c r="F886" s="10"/>
      <c r="G886" s="7"/>
      <c r="H886" s="23"/>
      <c r="I886" s="23"/>
      <c r="J886" s="23" t="str">
        <f t="shared" si="67"/>
        <v>借</v>
      </c>
      <c r="K886" s="43">
        <f t="shared" si="68"/>
        <v>11113</v>
      </c>
      <c r="L886" s="10"/>
    </row>
    <row r="887" spans="2:13" ht="20.100000000000001" customHeight="1" x14ac:dyDescent="0.15">
      <c r="B887" s="72"/>
      <c r="C887" s="10"/>
      <c r="D887" s="61"/>
      <c r="E887" s="61"/>
      <c r="F887" s="10"/>
      <c r="G887" s="7"/>
      <c r="H887" s="23"/>
      <c r="I887" s="23"/>
      <c r="J887" s="23" t="str">
        <f t="shared" si="67"/>
        <v>借</v>
      </c>
      <c r="K887" s="43">
        <f t="shared" si="68"/>
        <v>11113</v>
      </c>
      <c r="L887" s="9"/>
      <c r="M887" s="9"/>
    </row>
    <row r="888" spans="2:13" ht="20.100000000000001" customHeight="1" x14ac:dyDescent="0.15">
      <c r="B888" s="72"/>
      <c r="C888" s="10"/>
      <c r="D888" s="10"/>
      <c r="E888" s="10"/>
      <c r="F888" s="10"/>
      <c r="G888" s="7"/>
      <c r="H888" s="8"/>
      <c r="I888" s="8"/>
      <c r="J888" s="23" t="str">
        <f t="shared" si="67"/>
        <v>借</v>
      </c>
      <c r="K888" s="43">
        <f t="shared" si="68"/>
        <v>11113</v>
      </c>
      <c r="L888" s="10"/>
    </row>
    <row r="889" spans="2:13" ht="20.100000000000001" customHeight="1" x14ac:dyDescent="0.15">
      <c r="B889" s="72"/>
      <c r="C889" s="10"/>
      <c r="D889" s="61"/>
      <c r="E889" s="10"/>
      <c r="F889" s="10"/>
      <c r="G889" s="7"/>
      <c r="H889" s="8"/>
      <c r="I889" s="8"/>
      <c r="J889" s="23" t="str">
        <f t="shared" ref="J889:J899" si="69">IF((K888+H889-I889)&gt;0,"借","贷")</f>
        <v>借</v>
      </c>
      <c r="K889" s="43">
        <f t="shared" ref="K889:K910" si="70">_xlfn.IFS(J888="借",K888+H889-I889,J888="贷",H889-I889-K888)</f>
        <v>11113</v>
      </c>
      <c r="L889" s="10"/>
    </row>
    <row r="890" spans="2:13" ht="20.100000000000001" customHeight="1" x14ac:dyDescent="0.15">
      <c r="B890" s="72"/>
      <c r="C890" s="10"/>
      <c r="D890" s="61"/>
      <c r="E890" s="61"/>
      <c r="F890" s="10"/>
      <c r="G890" s="7"/>
      <c r="H890" s="23"/>
      <c r="I890" s="23"/>
      <c r="J890" s="23" t="str">
        <f t="shared" si="69"/>
        <v>借</v>
      </c>
      <c r="K890" s="43">
        <f t="shared" si="70"/>
        <v>11113</v>
      </c>
      <c r="L890" s="9"/>
    </row>
    <row r="891" spans="2:13" ht="20.100000000000001" customHeight="1" x14ac:dyDescent="0.15">
      <c r="B891" s="72"/>
      <c r="C891" s="10"/>
      <c r="D891" s="10"/>
      <c r="E891" s="10"/>
      <c r="F891" s="61"/>
      <c r="G891" s="7"/>
      <c r="H891" s="8"/>
      <c r="I891" s="8"/>
      <c r="J891" s="23" t="str">
        <f t="shared" si="69"/>
        <v>借</v>
      </c>
      <c r="K891" s="43">
        <f t="shared" si="70"/>
        <v>11113</v>
      </c>
      <c r="L891" s="10"/>
    </row>
    <row r="892" spans="2:13" ht="20.100000000000001" customHeight="1" x14ac:dyDescent="0.15">
      <c r="B892" s="72"/>
      <c r="C892" s="10"/>
      <c r="D892" s="10"/>
      <c r="E892" s="10"/>
      <c r="F892" s="10"/>
      <c r="G892" s="7"/>
      <c r="H892" s="8"/>
      <c r="I892" s="8"/>
      <c r="J892" s="23" t="str">
        <f t="shared" si="69"/>
        <v>借</v>
      </c>
      <c r="K892" s="43">
        <f t="shared" si="70"/>
        <v>11113</v>
      </c>
      <c r="L892" s="10"/>
    </row>
    <row r="893" spans="2:13" ht="20.100000000000001" customHeight="1" x14ac:dyDescent="0.15">
      <c r="B893" s="72"/>
      <c r="C893" s="10"/>
      <c r="D893" s="10"/>
      <c r="E893" s="10"/>
      <c r="F893" s="10"/>
      <c r="G893" s="7"/>
      <c r="H893" s="23"/>
      <c r="I893" s="23"/>
      <c r="J893" s="23" t="str">
        <f t="shared" si="69"/>
        <v>借</v>
      </c>
      <c r="K893" s="43">
        <f t="shared" si="70"/>
        <v>11113</v>
      </c>
      <c r="L893" s="10"/>
    </row>
    <row r="894" spans="2:13" ht="20.100000000000001" customHeight="1" x14ac:dyDescent="0.15">
      <c r="B894" s="72"/>
      <c r="C894" s="10"/>
      <c r="D894" s="10"/>
      <c r="E894" s="10"/>
      <c r="F894" s="10"/>
      <c r="G894" s="7"/>
      <c r="H894" s="8"/>
      <c r="I894" s="8"/>
      <c r="J894" s="23" t="str">
        <f t="shared" si="69"/>
        <v>借</v>
      </c>
      <c r="K894" s="43">
        <f t="shared" si="70"/>
        <v>11113</v>
      </c>
      <c r="L894" s="10"/>
    </row>
    <row r="895" spans="2:13" ht="20.100000000000001" customHeight="1" x14ac:dyDescent="0.15">
      <c r="B895" s="72"/>
      <c r="C895" s="10"/>
      <c r="D895" s="10"/>
      <c r="E895" s="10"/>
      <c r="F895" s="10"/>
      <c r="G895" s="7"/>
      <c r="H895" s="8"/>
      <c r="I895" s="25"/>
      <c r="J895" s="23" t="str">
        <f t="shared" si="69"/>
        <v>借</v>
      </c>
      <c r="K895" s="43">
        <f t="shared" si="70"/>
        <v>11113</v>
      </c>
      <c r="L895" s="10"/>
    </row>
    <row r="896" spans="2:13" ht="20.100000000000001" customHeight="1" x14ac:dyDescent="0.15">
      <c r="B896" s="72"/>
      <c r="C896" s="10"/>
      <c r="D896" s="61"/>
      <c r="E896" s="61"/>
      <c r="F896" s="61"/>
      <c r="G896" s="7"/>
      <c r="H896" s="23"/>
      <c r="I896" s="77"/>
      <c r="J896" s="23" t="str">
        <f t="shared" si="69"/>
        <v>借</v>
      </c>
      <c r="K896" s="43">
        <f t="shared" si="70"/>
        <v>11113</v>
      </c>
      <c r="L896" s="9"/>
    </row>
    <row r="897" spans="2:13" ht="20.100000000000001" customHeight="1" x14ac:dyDescent="0.15">
      <c r="B897" s="72"/>
      <c r="C897" s="10"/>
      <c r="D897" s="10"/>
      <c r="E897" s="10"/>
      <c r="F897" s="10"/>
      <c r="G897" s="7"/>
      <c r="H897" s="8"/>
      <c r="I897" s="25"/>
      <c r="J897" s="23" t="str">
        <f t="shared" si="69"/>
        <v>借</v>
      </c>
      <c r="K897" s="43">
        <f t="shared" si="70"/>
        <v>11113</v>
      </c>
      <c r="L897" s="10"/>
    </row>
    <row r="898" spans="2:13" ht="20.100000000000001" customHeight="1" x14ac:dyDescent="0.15">
      <c r="B898" s="72"/>
      <c r="C898" s="10"/>
      <c r="D898" s="10"/>
      <c r="E898" s="10"/>
      <c r="F898" s="10"/>
      <c r="G898" s="7"/>
      <c r="H898" s="8"/>
      <c r="I898" s="25"/>
      <c r="J898" s="23" t="str">
        <f t="shared" si="69"/>
        <v>借</v>
      </c>
      <c r="K898" s="43">
        <f t="shared" si="70"/>
        <v>11113</v>
      </c>
      <c r="L898" s="10"/>
    </row>
    <row r="899" spans="2:13" ht="20.100000000000001" customHeight="1" x14ac:dyDescent="0.15">
      <c r="B899" s="72"/>
      <c r="C899" s="10"/>
      <c r="D899" s="61"/>
      <c r="E899" s="61"/>
      <c r="F899" s="61"/>
      <c r="G899" s="7"/>
      <c r="H899" s="23"/>
      <c r="I899" s="77"/>
      <c r="J899" s="23" t="str">
        <f t="shared" si="69"/>
        <v>借</v>
      </c>
      <c r="K899" s="43">
        <f t="shared" si="70"/>
        <v>11113</v>
      </c>
      <c r="L899" s="9"/>
    </row>
    <row r="900" spans="2:13" ht="20.100000000000001" customHeight="1" x14ac:dyDescent="0.15">
      <c r="B900" s="72"/>
      <c r="C900" s="10"/>
      <c r="D900" s="10"/>
      <c r="E900" s="10"/>
      <c r="F900" s="10"/>
      <c r="G900" s="7"/>
      <c r="H900" s="8"/>
      <c r="I900" s="25"/>
      <c r="J900" s="23" t="str">
        <f t="shared" ref="J900:J934" si="71">IF((K899+H900-I900)&gt;0,"借","贷")</f>
        <v>借</v>
      </c>
      <c r="K900" s="43">
        <f t="shared" si="70"/>
        <v>11113</v>
      </c>
      <c r="L900" s="10"/>
      <c r="M900" s="76"/>
    </row>
    <row r="901" spans="2:13" ht="20.100000000000001" customHeight="1" x14ac:dyDescent="0.15">
      <c r="B901" s="72"/>
      <c r="C901" s="10"/>
      <c r="D901" s="10"/>
      <c r="E901" s="10"/>
      <c r="F901" s="61"/>
      <c r="G901" s="7"/>
      <c r="H901" s="8"/>
      <c r="I901" s="25"/>
      <c r="J901" s="23" t="str">
        <f t="shared" si="71"/>
        <v>借</v>
      </c>
      <c r="K901" s="43">
        <f t="shared" si="70"/>
        <v>11113</v>
      </c>
      <c r="L901" s="10"/>
      <c r="M901" s="99"/>
    </row>
    <row r="902" spans="2:13" ht="20.100000000000001" customHeight="1" x14ac:dyDescent="0.15">
      <c r="B902" s="72"/>
      <c r="C902" s="10"/>
      <c r="D902" s="10"/>
      <c r="E902" s="10"/>
      <c r="F902" s="10"/>
      <c r="G902" s="7"/>
      <c r="H902" s="8"/>
      <c r="I902" s="77"/>
      <c r="J902" s="23" t="str">
        <f t="shared" si="71"/>
        <v>借</v>
      </c>
      <c r="K902" s="43">
        <f t="shared" si="70"/>
        <v>11113</v>
      </c>
      <c r="L902" s="9"/>
      <c r="M902" s="99"/>
    </row>
    <row r="903" spans="2:13" ht="20.100000000000001" customHeight="1" x14ac:dyDescent="0.15">
      <c r="B903" s="72"/>
      <c r="C903" s="10"/>
      <c r="D903" s="10"/>
      <c r="E903" s="10"/>
      <c r="F903" s="10"/>
      <c r="G903" s="7"/>
      <c r="H903" s="8"/>
      <c r="I903" s="25"/>
      <c r="J903" s="23" t="str">
        <f t="shared" si="71"/>
        <v>借</v>
      </c>
      <c r="K903" s="43">
        <f t="shared" si="70"/>
        <v>11113</v>
      </c>
      <c r="L903" s="10"/>
    </row>
    <row r="904" spans="2:13" ht="20.100000000000001" customHeight="1" x14ac:dyDescent="0.15">
      <c r="B904" s="72"/>
      <c r="C904" s="10"/>
      <c r="D904" s="10"/>
      <c r="E904" s="10"/>
      <c r="F904" s="10"/>
      <c r="G904" s="7"/>
      <c r="H904" s="8"/>
      <c r="I904" s="8"/>
      <c r="J904" s="23" t="str">
        <f t="shared" si="71"/>
        <v>借</v>
      </c>
      <c r="K904" s="43">
        <f t="shared" si="70"/>
        <v>11113</v>
      </c>
      <c r="L904" s="10"/>
    </row>
    <row r="905" spans="2:13" ht="20.100000000000001" customHeight="1" x14ac:dyDescent="0.15">
      <c r="B905" s="72"/>
      <c r="C905" s="10"/>
      <c r="D905" s="10"/>
      <c r="E905" s="10"/>
      <c r="F905" s="10"/>
      <c r="G905" s="7"/>
      <c r="H905" s="8"/>
      <c r="I905" s="8"/>
      <c r="J905" s="23" t="str">
        <f t="shared" si="71"/>
        <v>借</v>
      </c>
      <c r="K905" s="43">
        <f t="shared" si="70"/>
        <v>11113</v>
      </c>
      <c r="L905" s="10"/>
    </row>
    <row r="906" spans="2:13" ht="20.100000000000001" customHeight="1" x14ac:dyDescent="0.15">
      <c r="B906" s="72"/>
      <c r="C906" s="10"/>
      <c r="D906" s="10"/>
      <c r="E906" s="10"/>
      <c r="F906" s="10"/>
      <c r="G906" s="7"/>
      <c r="H906" s="8"/>
      <c r="I906" s="23"/>
      <c r="J906" s="23" t="str">
        <f t="shared" si="71"/>
        <v>借</v>
      </c>
      <c r="K906" s="43">
        <f t="shared" si="70"/>
        <v>11113</v>
      </c>
      <c r="L906" s="10"/>
    </row>
    <row r="907" spans="2:13" ht="20.100000000000001" customHeight="1" x14ac:dyDescent="0.15">
      <c r="B907" s="72"/>
      <c r="C907" s="10"/>
      <c r="D907" s="61"/>
      <c r="E907" s="10"/>
      <c r="F907" s="10"/>
      <c r="G907" s="7"/>
      <c r="H907" s="8"/>
      <c r="I907" s="23"/>
      <c r="J907" s="23" t="str">
        <f t="shared" si="71"/>
        <v>借</v>
      </c>
      <c r="K907" s="43">
        <f t="shared" si="70"/>
        <v>11113</v>
      </c>
      <c r="L907" s="10"/>
    </row>
    <row r="908" spans="2:13" ht="20.100000000000001" customHeight="1" x14ac:dyDescent="0.15">
      <c r="B908" s="72"/>
      <c r="C908" s="10"/>
      <c r="D908" s="61"/>
      <c r="E908" s="61"/>
      <c r="F908" s="10"/>
      <c r="G908" s="7"/>
      <c r="H908" s="23"/>
      <c r="I908" s="23"/>
      <c r="J908" s="23" t="str">
        <f t="shared" si="71"/>
        <v>借</v>
      </c>
      <c r="K908" s="43">
        <f t="shared" si="70"/>
        <v>11113</v>
      </c>
      <c r="L908" s="9"/>
    </row>
    <row r="909" spans="2:13" ht="20.100000000000001" customHeight="1" x14ac:dyDescent="0.15">
      <c r="B909" s="72"/>
      <c r="C909" s="10"/>
      <c r="D909" s="10"/>
      <c r="E909" s="10"/>
      <c r="F909" s="10"/>
      <c r="G909" s="7"/>
      <c r="H909" s="8"/>
      <c r="I909" s="8"/>
      <c r="J909" s="23" t="str">
        <f t="shared" si="71"/>
        <v>借</v>
      </c>
      <c r="K909" s="43">
        <f t="shared" si="70"/>
        <v>11113</v>
      </c>
      <c r="L909" s="10"/>
    </row>
    <row r="910" spans="2:13" ht="20.100000000000001" customHeight="1" x14ac:dyDescent="0.15">
      <c r="B910" s="72"/>
      <c r="C910" s="10"/>
      <c r="D910" s="10"/>
      <c r="E910" s="10"/>
      <c r="F910" s="10"/>
      <c r="G910" s="7"/>
      <c r="H910" s="8"/>
      <c r="I910" s="8"/>
      <c r="J910" s="23" t="str">
        <f t="shared" si="71"/>
        <v>借</v>
      </c>
      <c r="K910" s="43">
        <f t="shared" si="70"/>
        <v>11113</v>
      </c>
      <c r="L910" s="10"/>
    </row>
    <row r="911" spans="2:13" ht="20.100000000000001" customHeight="1" x14ac:dyDescent="0.15">
      <c r="B911" s="72"/>
      <c r="C911" s="10"/>
      <c r="D911" s="61"/>
      <c r="E911" s="61"/>
      <c r="F911" s="10"/>
      <c r="G911" s="7"/>
      <c r="H911" s="23"/>
      <c r="I911" s="23"/>
      <c r="J911" s="23" t="str">
        <f t="shared" si="71"/>
        <v>借</v>
      </c>
      <c r="K911" s="43">
        <f t="shared" ref="K911:K927" si="72">_xlfn.IFS(J910="借",K910+H911-I911,J910="贷",H911-I911-K910)</f>
        <v>11113</v>
      </c>
      <c r="L911" s="9"/>
    </row>
    <row r="912" spans="2:13" ht="20.100000000000001" customHeight="1" x14ac:dyDescent="0.15">
      <c r="B912" s="72"/>
      <c r="C912" s="10"/>
      <c r="D912" s="10"/>
      <c r="E912" s="10"/>
      <c r="F912" s="61"/>
      <c r="G912" s="7"/>
      <c r="H912" s="8"/>
      <c r="I912" s="8"/>
      <c r="J912" s="23" t="str">
        <f t="shared" si="71"/>
        <v>借</v>
      </c>
      <c r="K912" s="43">
        <f t="shared" si="72"/>
        <v>11113</v>
      </c>
      <c r="L912" s="10"/>
      <c r="M912" s="73"/>
    </row>
    <row r="913" spans="2:13" ht="20.100000000000001" customHeight="1" x14ac:dyDescent="0.15">
      <c r="B913" s="72"/>
      <c r="C913" s="10"/>
      <c r="D913" s="10"/>
      <c r="E913" s="10"/>
      <c r="F913" s="10"/>
      <c r="G913" s="7"/>
      <c r="H913" s="8"/>
      <c r="I913" s="8"/>
      <c r="J913" s="23" t="str">
        <f t="shared" si="71"/>
        <v>借</v>
      </c>
      <c r="K913" s="43">
        <f t="shared" si="72"/>
        <v>11113</v>
      </c>
      <c r="L913" s="10"/>
    </row>
    <row r="914" spans="2:13" ht="20.100000000000001" customHeight="1" x14ac:dyDescent="0.15">
      <c r="B914" s="72"/>
      <c r="C914" s="10"/>
      <c r="D914" s="61"/>
      <c r="E914" s="61"/>
      <c r="F914" s="61"/>
      <c r="G914" s="7"/>
      <c r="H914" s="23"/>
      <c r="I914" s="23"/>
      <c r="J914" s="23" t="str">
        <f t="shared" si="71"/>
        <v>借</v>
      </c>
      <c r="K914" s="43">
        <f t="shared" si="72"/>
        <v>11113</v>
      </c>
      <c r="L914" s="9"/>
    </row>
    <row r="915" spans="2:13" ht="20.100000000000001" customHeight="1" x14ac:dyDescent="0.15">
      <c r="B915" s="72"/>
      <c r="C915" s="10"/>
      <c r="D915" s="10"/>
      <c r="E915" s="10"/>
      <c r="F915" s="61"/>
      <c r="G915" s="7"/>
      <c r="H915" s="8"/>
      <c r="I915" s="8"/>
      <c r="J915" s="23" t="str">
        <f t="shared" si="71"/>
        <v>借</v>
      </c>
      <c r="K915" s="43">
        <f t="shared" si="72"/>
        <v>11113</v>
      </c>
      <c r="L915" s="10"/>
    </row>
    <row r="916" spans="2:13" ht="20.100000000000001" customHeight="1" x14ac:dyDescent="0.15">
      <c r="B916" s="72"/>
      <c r="C916" s="10"/>
      <c r="D916" s="10"/>
      <c r="E916" s="10"/>
      <c r="F916" s="61"/>
      <c r="G916" s="7"/>
      <c r="H916" s="8"/>
      <c r="I916" s="8"/>
      <c r="J916" s="23" t="str">
        <f t="shared" si="71"/>
        <v>借</v>
      </c>
      <c r="K916" s="43">
        <f t="shared" si="72"/>
        <v>11113</v>
      </c>
      <c r="L916" s="10"/>
    </row>
    <row r="917" spans="2:13" ht="20.100000000000001" customHeight="1" x14ac:dyDescent="0.15">
      <c r="B917" s="72"/>
      <c r="C917" s="10"/>
      <c r="D917" s="61"/>
      <c r="E917" s="61"/>
      <c r="F917" s="61"/>
      <c r="G917" s="7"/>
      <c r="H917" s="23"/>
      <c r="I917" s="23"/>
      <c r="J917" s="23" t="str">
        <f t="shared" si="71"/>
        <v>借</v>
      </c>
      <c r="K917" s="43">
        <f t="shared" si="72"/>
        <v>11113</v>
      </c>
      <c r="L917" s="9"/>
    </row>
    <row r="918" spans="2:13" ht="20.100000000000001" customHeight="1" x14ac:dyDescent="0.15">
      <c r="B918" s="72"/>
      <c r="C918" s="10"/>
      <c r="D918" s="10"/>
      <c r="E918" s="10"/>
      <c r="F918" s="10"/>
      <c r="G918" s="7"/>
      <c r="H918" s="8"/>
      <c r="I918" s="8"/>
      <c r="J918" s="23" t="str">
        <f t="shared" si="71"/>
        <v>借</v>
      </c>
      <c r="K918" s="43">
        <f t="shared" si="72"/>
        <v>11113</v>
      </c>
      <c r="L918" s="10"/>
    </row>
    <row r="919" spans="2:13" ht="20.100000000000001" customHeight="1" x14ac:dyDescent="0.15">
      <c r="B919" s="72"/>
      <c r="C919" s="10"/>
      <c r="D919" s="10"/>
      <c r="E919" s="10"/>
      <c r="F919" s="61"/>
      <c r="G919" s="7"/>
      <c r="H919" s="8"/>
      <c r="I919" s="8"/>
      <c r="J919" s="23" t="str">
        <f t="shared" si="71"/>
        <v>借</v>
      </c>
      <c r="K919" s="43">
        <f t="shared" si="72"/>
        <v>11113</v>
      </c>
      <c r="L919" s="10"/>
    </row>
    <row r="920" spans="2:13" ht="20.100000000000001" customHeight="1" x14ac:dyDescent="0.15">
      <c r="B920" s="72"/>
      <c r="C920" s="10"/>
      <c r="D920" s="61"/>
      <c r="E920" s="61"/>
      <c r="F920" s="61"/>
      <c r="G920" s="7"/>
      <c r="H920" s="23"/>
      <c r="I920" s="23"/>
      <c r="J920" s="23" t="str">
        <f t="shared" si="71"/>
        <v>借</v>
      </c>
      <c r="K920" s="43">
        <f t="shared" si="72"/>
        <v>11113</v>
      </c>
      <c r="L920" s="10"/>
    </row>
    <row r="921" spans="2:13" ht="20.100000000000001" customHeight="1" x14ac:dyDescent="0.15">
      <c r="B921" s="72"/>
      <c r="C921" s="10"/>
      <c r="D921" s="10"/>
      <c r="E921" s="10"/>
      <c r="F921" s="61"/>
      <c r="G921" s="7"/>
      <c r="H921" s="8"/>
      <c r="I921" s="8"/>
      <c r="J921" s="23" t="str">
        <f t="shared" si="71"/>
        <v>借</v>
      </c>
      <c r="K921" s="43">
        <f t="shared" si="72"/>
        <v>11113</v>
      </c>
      <c r="L921" s="10"/>
      <c r="M921" s="76"/>
    </row>
    <row r="922" spans="2:13" ht="20.100000000000001" customHeight="1" x14ac:dyDescent="0.15">
      <c r="B922" s="72"/>
      <c r="C922" s="10"/>
      <c r="D922" s="10"/>
      <c r="E922" s="10"/>
      <c r="F922" s="61"/>
      <c r="G922" s="7"/>
      <c r="H922" s="8"/>
      <c r="I922" s="8"/>
      <c r="J922" s="23" t="str">
        <f t="shared" si="71"/>
        <v>借</v>
      </c>
      <c r="K922" s="43">
        <f t="shared" si="72"/>
        <v>11113</v>
      </c>
      <c r="L922" s="10"/>
    </row>
    <row r="923" spans="2:13" ht="20.100000000000001" customHeight="1" x14ac:dyDescent="0.15">
      <c r="B923" s="72"/>
      <c r="C923" s="10"/>
      <c r="D923" s="61"/>
      <c r="E923" s="61"/>
      <c r="F923" s="61"/>
      <c r="G923" s="7"/>
      <c r="H923" s="23"/>
      <c r="I923" s="23"/>
      <c r="J923" s="23" t="str">
        <f t="shared" si="71"/>
        <v>借</v>
      </c>
      <c r="K923" s="43">
        <f t="shared" si="72"/>
        <v>11113</v>
      </c>
      <c r="L923" s="9"/>
    </row>
    <row r="924" spans="2:13" ht="20.100000000000001" customHeight="1" x14ac:dyDescent="0.15">
      <c r="B924" s="72"/>
      <c r="C924" s="10"/>
      <c r="D924" s="61"/>
      <c r="E924" s="10"/>
      <c r="F924" s="10"/>
      <c r="G924" s="7"/>
      <c r="H924" s="8"/>
      <c r="I924" s="8"/>
      <c r="J924" s="23" t="str">
        <f t="shared" si="71"/>
        <v>借</v>
      </c>
      <c r="K924" s="43">
        <f t="shared" si="72"/>
        <v>11113</v>
      </c>
      <c r="L924" s="10"/>
    </row>
    <row r="925" spans="2:13" ht="20.100000000000001" customHeight="1" x14ac:dyDescent="0.15">
      <c r="B925" s="72"/>
      <c r="C925" s="10"/>
      <c r="D925" s="10"/>
      <c r="E925" s="10"/>
      <c r="F925" s="10"/>
      <c r="G925" s="7"/>
      <c r="H925" s="8"/>
      <c r="I925" s="8"/>
      <c r="J925" s="23" t="str">
        <f t="shared" si="71"/>
        <v>借</v>
      </c>
      <c r="K925" s="43">
        <f t="shared" si="72"/>
        <v>11113</v>
      </c>
      <c r="L925" s="10"/>
    </row>
    <row r="926" spans="2:13" ht="20.100000000000001" customHeight="1" x14ac:dyDescent="0.15">
      <c r="B926" s="72"/>
      <c r="C926" s="10"/>
      <c r="D926" s="10"/>
      <c r="E926" s="10"/>
      <c r="F926" s="10"/>
      <c r="G926" s="7"/>
      <c r="H926" s="8"/>
      <c r="I926" s="8"/>
      <c r="J926" s="23" t="str">
        <f t="shared" si="71"/>
        <v>借</v>
      </c>
      <c r="K926" s="43">
        <f t="shared" si="72"/>
        <v>11113</v>
      </c>
      <c r="L926" s="9"/>
    </row>
    <row r="927" spans="2:13" ht="20.100000000000001" customHeight="1" x14ac:dyDescent="0.15">
      <c r="B927" s="72"/>
      <c r="C927" s="10"/>
      <c r="D927" s="10"/>
      <c r="E927" s="10"/>
      <c r="F927" s="10"/>
      <c r="G927" s="7"/>
      <c r="H927" s="8"/>
      <c r="I927" s="8"/>
      <c r="J927" s="23" t="str">
        <f t="shared" si="71"/>
        <v>借</v>
      </c>
      <c r="K927" s="43">
        <f t="shared" si="72"/>
        <v>11113</v>
      </c>
      <c r="L927" s="10"/>
    </row>
    <row r="928" spans="2:13" ht="20.100000000000001" customHeight="1" x14ac:dyDescent="0.15">
      <c r="B928" s="72"/>
      <c r="C928" s="10"/>
      <c r="D928" s="10"/>
      <c r="E928" s="10"/>
      <c r="F928" s="10"/>
      <c r="G928" s="7"/>
      <c r="H928" s="8"/>
      <c r="I928" s="8"/>
      <c r="J928" s="23" t="str">
        <f t="shared" si="71"/>
        <v>借</v>
      </c>
      <c r="K928" s="43">
        <f t="shared" ref="K928:K965" si="73">_xlfn.IFS(J927="借",K927+H928-I928,J927="贷",H928-I928-K927)</f>
        <v>11113</v>
      </c>
      <c r="L928" s="10"/>
    </row>
    <row r="929" spans="2:13" ht="20.100000000000001" customHeight="1" x14ac:dyDescent="0.15">
      <c r="B929" s="72"/>
      <c r="C929" s="10"/>
      <c r="D929" s="10"/>
      <c r="E929" s="10"/>
      <c r="F929" s="10"/>
      <c r="G929" s="7"/>
      <c r="H929" s="23"/>
      <c r="I929" s="23"/>
      <c r="J929" s="23" t="str">
        <f t="shared" si="71"/>
        <v>借</v>
      </c>
      <c r="K929" s="43">
        <f t="shared" si="73"/>
        <v>11113</v>
      </c>
      <c r="L929" s="9"/>
    </row>
    <row r="930" spans="2:13" ht="20.100000000000001" customHeight="1" x14ac:dyDescent="0.15">
      <c r="B930" s="72"/>
      <c r="C930" s="10"/>
      <c r="D930" s="10"/>
      <c r="E930" s="10"/>
      <c r="F930" s="61"/>
      <c r="G930" s="7"/>
      <c r="H930" s="8"/>
      <c r="I930" s="8"/>
      <c r="J930" s="23" t="str">
        <f t="shared" si="71"/>
        <v>借</v>
      </c>
      <c r="K930" s="43">
        <f t="shared" si="73"/>
        <v>11113</v>
      </c>
      <c r="L930" s="10"/>
    </row>
    <row r="931" spans="2:13" ht="20.100000000000001" customHeight="1" x14ac:dyDescent="0.15">
      <c r="B931" s="72"/>
      <c r="C931" s="10"/>
      <c r="D931" s="10"/>
      <c r="E931" s="10"/>
      <c r="F931" s="10"/>
      <c r="G931" s="7"/>
      <c r="H931" s="8"/>
      <c r="I931" s="8"/>
      <c r="J931" s="23" t="str">
        <f t="shared" si="71"/>
        <v>借</v>
      </c>
      <c r="K931" s="43">
        <f t="shared" si="73"/>
        <v>11113</v>
      </c>
      <c r="L931" s="10"/>
    </row>
    <row r="932" spans="2:13" ht="20.100000000000001" customHeight="1" x14ac:dyDescent="0.15">
      <c r="B932" s="72"/>
      <c r="C932" s="10"/>
      <c r="D932" s="10"/>
      <c r="E932" s="10"/>
      <c r="F932" s="10"/>
      <c r="G932" s="7"/>
      <c r="H932" s="23"/>
      <c r="I932" s="23"/>
      <c r="J932" s="23" t="str">
        <f t="shared" si="71"/>
        <v>借</v>
      </c>
      <c r="K932" s="43">
        <f t="shared" si="73"/>
        <v>11113</v>
      </c>
      <c r="L932" s="9"/>
    </row>
    <row r="933" spans="2:13" ht="20.100000000000001" customHeight="1" x14ac:dyDescent="0.15">
      <c r="B933" s="72"/>
      <c r="C933" s="10"/>
      <c r="D933" s="10"/>
      <c r="E933" s="10"/>
      <c r="F933" s="10"/>
      <c r="G933" s="7"/>
      <c r="H933" s="8"/>
      <c r="I933" s="8"/>
      <c r="J933" s="23" t="str">
        <f t="shared" si="71"/>
        <v>借</v>
      </c>
      <c r="K933" s="43">
        <f t="shared" si="73"/>
        <v>11113</v>
      </c>
      <c r="L933" s="10"/>
    </row>
    <row r="934" spans="2:13" ht="20.100000000000001" customHeight="1" x14ac:dyDescent="0.15">
      <c r="B934" s="72"/>
      <c r="C934" s="10"/>
      <c r="D934" s="10"/>
      <c r="E934" s="10"/>
      <c r="F934" s="10"/>
      <c r="G934" s="7"/>
      <c r="H934" s="8"/>
      <c r="I934" s="8"/>
      <c r="J934" s="23" t="str">
        <f t="shared" si="71"/>
        <v>借</v>
      </c>
      <c r="K934" s="43">
        <f t="shared" si="73"/>
        <v>11113</v>
      </c>
      <c r="L934" s="10"/>
    </row>
    <row r="935" spans="2:13" ht="20.100000000000001" customHeight="1" x14ac:dyDescent="0.15">
      <c r="B935" s="72"/>
      <c r="C935" s="10"/>
      <c r="D935" s="10"/>
      <c r="E935" s="61"/>
      <c r="F935" s="61"/>
      <c r="G935" s="7"/>
      <c r="H935" s="23"/>
      <c r="I935" s="23"/>
      <c r="J935" s="23" t="str">
        <f t="shared" ref="J935:J966" si="74">IF((K934+H935-I935)&gt;0,"借","贷")</f>
        <v>借</v>
      </c>
      <c r="K935" s="43">
        <f t="shared" si="73"/>
        <v>11113</v>
      </c>
      <c r="L935" s="10"/>
    </row>
    <row r="936" spans="2:13" ht="20.100000000000001" customHeight="1" x14ac:dyDescent="0.15">
      <c r="B936" s="72"/>
      <c r="C936" s="10"/>
      <c r="D936" s="10"/>
      <c r="E936" s="10"/>
      <c r="F936" s="10"/>
      <c r="G936" s="7"/>
      <c r="H936" s="8"/>
      <c r="I936" s="8"/>
      <c r="J936" s="23" t="str">
        <f t="shared" si="74"/>
        <v>借</v>
      </c>
      <c r="K936" s="43">
        <f t="shared" si="73"/>
        <v>11113</v>
      </c>
      <c r="L936" s="10"/>
    </row>
    <row r="937" spans="2:13" ht="20.100000000000001" customHeight="1" x14ac:dyDescent="0.15">
      <c r="B937" s="72"/>
      <c r="C937" s="10"/>
      <c r="D937" s="10"/>
      <c r="E937" s="10"/>
      <c r="F937" s="10"/>
      <c r="G937" s="7"/>
      <c r="H937" s="8"/>
      <c r="I937" s="8"/>
      <c r="J937" s="23" t="str">
        <f t="shared" si="74"/>
        <v>借</v>
      </c>
      <c r="K937" s="43">
        <f t="shared" si="73"/>
        <v>11113</v>
      </c>
      <c r="L937" s="10"/>
    </row>
    <row r="938" spans="2:13" ht="20.100000000000001" customHeight="1" x14ac:dyDescent="0.15">
      <c r="B938" s="72"/>
      <c r="C938" s="10"/>
      <c r="D938" s="61"/>
      <c r="E938" s="61"/>
      <c r="F938" s="10"/>
      <c r="G938" s="7"/>
      <c r="H938" s="23"/>
      <c r="I938" s="23"/>
      <c r="J938" s="23" t="str">
        <f t="shared" si="74"/>
        <v>借</v>
      </c>
      <c r="K938" s="43">
        <f t="shared" si="73"/>
        <v>11113</v>
      </c>
      <c r="L938" s="9"/>
      <c r="M938" s="73"/>
    </row>
    <row r="939" spans="2:13" ht="20.100000000000001" customHeight="1" x14ac:dyDescent="0.15">
      <c r="B939" s="72"/>
      <c r="C939" s="10"/>
      <c r="D939" s="10"/>
      <c r="E939" s="10"/>
      <c r="F939" s="10"/>
      <c r="G939" s="7"/>
      <c r="H939" s="8"/>
      <c r="I939" s="8"/>
      <c r="J939" s="23" t="str">
        <f t="shared" si="74"/>
        <v>借</v>
      </c>
      <c r="K939" s="43">
        <f t="shared" si="73"/>
        <v>11113</v>
      </c>
      <c r="L939" s="10"/>
    </row>
    <row r="940" spans="2:13" ht="20.100000000000001" customHeight="1" x14ac:dyDescent="0.15">
      <c r="B940" s="72"/>
      <c r="C940" s="10"/>
      <c r="D940" s="10"/>
      <c r="E940" s="10"/>
      <c r="F940" s="10"/>
      <c r="G940" s="7"/>
      <c r="H940" s="8"/>
      <c r="I940" s="8"/>
      <c r="J940" s="23" t="str">
        <f t="shared" si="74"/>
        <v>借</v>
      </c>
      <c r="K940" s="43">
        <f t="shared" si="73"/>
        <v>11113</v>
      </c>
      <c r="L940" s="10"/>
    </row>
    <row r="941" spans="2:13" ht="20.100000000000001" customHeight="1" x14ac:dyDescent="0.15">
      <c r="B941" s="72"/>
      <c r="C941" s="10"/>
      <c r="D941" s="61"/>
      <c r="E941" s="61"/>
      <c r="F941" s="10"/>
      <c r="G941" s="7"/>
      <c r="H941" s="23"/>
      <c r="I941" s="23"/>
      <c r="J941" s="23" t="str">
        <f t="shared" si="74"/>
        <v>借</v>
      </c>
      <c r="K941" s="43">
        <f t="shared" si="73"/>
        <v>11113</v>
      </c>
      <c r="L941" s="9"/>
    </row>
    <row r="942" spans="2:13" ht="20.100000000000001" customHeight="1" x14ac:dyDescent="0.15">
      <c r="B942" s="72"/>
      <c r="C942" s="10"/>
      <c r="D942" s="61"/>
      <c r="E942" s="61"/>
      <c r="F942" s="10"/>
      <c r="G942" s="7"/>
      <c r="H942" s="23"/>
      <c r="I942" s="8"/>
      <c r="J942" s="23" t="str">
        <f t="shared" si="74"/>
        <v>借</v>
      </c>
      <c r="K942" s="43">
        <f t="shared" si="73"/>
        <v>11113</v>
      </c>
      <c r="L942" s="10"/>
    </row>
    <row r="943" spans="2:13" ht="20.100000000000001" customHeight="1" x14ac:dyDescent="0.15">
      <c r="B943" s="72"/>
      <c r="C943" s="10"/>
      <c r="D943" s="10"/>
      <c r="E943" s="10"/>
      <c r="F943" s="10"/>
      <c r="G943" s="7"/>
      <c r="H943" s="8"/>
      <c r="I943" s="8"/>
      <c r="J943" s="23" t="str">
        <f t="shared" si="74"/>
        <v>借</v>
      </c>
      <c r="K943" s="43">
        <f t="shared" si="73"/>
        <v>11113</v>
      </c>
      <c r="L943" s="10"/>
    </row>
    <row r="944" spans="2:13" ht="20.100000000000001" customHeight="1" x14ac:dyDescent="0.15">
      <c r="B944" s="72"/>
      <c r="C944" s="10"/>
      <c r="D944" s="10"/>
      <c r="E944" s="10"/>
      <c r="F944" s="61"/>
      <c r="G944" s="7"/>
      <c r="H944" s="8"/>
      <c r="I944" s="8"/>
      <c r="J944" s="23" t="str">
        <f t="shared" si="74"/>
        <v>借</v>
      </c>
      <c r="K944" s="43">
        <f t="shared" si="73"/>
        <v>11113</v>
      </c>
      <c r="L944" s="9"/>
    </row>
    <row r="945" spans="2:12" ht="20.100000000000001" customHeight="1" x14ac:dyDescent="0.15">
      <c r="B945" s="72"/>
      <c r="C945" s="10"/>
      <c r="D945" s="10"/>
      <c r="E945" s="10"/>
      <c r="F945" s="10"/>
      <c r="G945" s="7"/>
      <c r="H945" s="8"/>
      <c r="I945" s="8"/>
      <c r="J945" s="23" t="str">
        <f t="shared" si="74"/>
        <v>借</v>
      </c>
      <c r="K945" s="43">
        <f t="shared" si="73"/>
        <v>11113</v>
      </c>
      <c r="L945" s="10"/>
    </row>
    <row r="946" spans="2:12" ht="20.100000000000001" customHeight="1" x14ac:dyDescent="0.15">
      <c r="B946" s="72"/>
      <c r="C946" s="10"/>
      <c r="D946" s="10"/>
      <c r="E946" s="10"/>
      <c r="F946" s="10"/>
      <c r="G946" s="7"/>
      <c r="H946" s="23"/>
      <c r="I946" s="23"/>
      <c r="J946" s="23" t="str">
        <f t="shared" si="74"/>
        <v>借</v>
      </c>
      <c r="K946" s="43">
        <f t="shared" si="73"/>
        <v>11113</v>
      </c>
      <c r="L946" s="10"/>
    </row>
    <row r="947" spans="2:12" ht="20.100000000000001" customHeight="1" x14ac:dyDescent="0.15">
      <c r="B947" s="72"/>
      <c r="C947" s="10"/>
      <c r="D947" s="10"/>
      <c r="E947" s="10"/>
      <c r="F947" s="10"/>
      <c r="G947" s="7"/>
      <c r="H947" s="8"/>
      <c r="I947" s="8"/>
      <c r="J947" s="23" t="str">
        <f t="shared" si="74"/>
        <v>借</v>
      </c>
      <c r="K947" s="43">
        <f t="shared" si="73"/>
        <v>11113</v>
      </c>
      <c r="L947" s="9"/>
    </row>
    <row r="948" spans="2:12" ht="20.100000000000001" customHeight="1" x14ac:dyDescent="0.15">
      <c r="B948" s="72"/>
      <c r="C948" s="10"/>
      <c r="D948" s="10"/>
      <c r="E948" s="10"/>
      <c r="F948" s="10"/>
      <c r="G948" s="7"/>
      <c r="H948" s="8"/>
      <c r="I948" s="8"/>
      <c r="J948" s="23" t="str">
        <f t="shared" si="74"/>
        <v>借</v>
      </c>
      <c r="K948" s="43">
        <f t="shared" si="73"/>
        <v>11113</v>
      </c>
      <c r="L948" s="10"/>
    </row>
    <row r="949" spans="2:12" ht="20.100000000000001" customHeight="1" x14ac:dyDescent="0.15">
      <c r="B949" s="72"/>
      <c r="C949" s="10"/>
      <c r="D949" s="10"/>
      <c r="E949" s="10"/>
      <c r="F949" s="10"/>
      <c r="G949" s="7"/>
      <c r="H949" s="8"/>
      <c r="I949" s="8"/>
      <c r="J949" s="23" t="str">
        <f t="shared" si="74"/>
        <v>借</v>
      </c>
      <c r="K949" s="43">
        <f t="shared" si="73"/>
        <v>11113</v>
      </c>
      <c r="L949" s="10"/>
    </row>
    <row r="950" spans="2:12" ht="20.100000000000001" customHeight="1" x14ac:dyDescent="0.15">
      <c r="B950" s="72"/>
      <c r="C950" s="10"/>
      <c r="D950" s="10"/>
      <c r="E950" s="10"/>
      <c r="F950" s="10"/>
      <c r="G950" s="7"/>
      <c r="H950" s="8"/>
      <c r="I950" s="8"/>
      <c r="J950" s="23" t="str">
        <f t="shared" si="74"/>
        <v>借</v>
      </c>
      <c r="K950" s="43">
        <f t="shared" si="73"/>
        <v>11113</v>
      </c>
      <c r="L950" s="10"/>
    </row>
    <row r="951" spans="2:12" ht="20.100000000000001" customHeight="1" x14ac:dyDescent="0.15">
      <c r="B951" s="72"/>
      <c r="C951" s="10"/>
      <c r="D951" s="10"/>
      <c r="E951" s="10"/>
      <c r="F951" s="10"/>
      <c r="G951" s="7"/>
      <c r="H951" s="8"/>
      <c r="I951" s="8"/>
      <c r="J951" s="23" t="str">
        <f t="shared" si="74"/>
        <v>借</v>
      </c>
      <c r="K951" s="43">
        <f t="shared" si="73"/>
        <v>11113</v>
      </c>
      <c r="L951" s="10"/>
    </row>
    <row r="952" spans="2:12" ht="20.100000000000001" customHeight="1" x14ac:dyDescent="0.15">
      <c r="B952" s="72"/>
      <c r="C952" s="10"/>
      <c r="D952" s="61"/>
      <c r="E952" s="61"/>
      <c r="F952" s="10"/>
      <c r="G952" s="7"/>
      <c r="H952" s="23"/>
      <c r="I952" s="23"/>
      <c r="J952" s="23" t="str">
        <f t="shared" si="74"/>
        <v>借</v>
      </c>
      <c r="K952" s="43">
        <f t="shared" si="73"/>
        <v>11113</v>
      </c>
      <c r="L952" s="9"/>
    </row>
    <row r="953" spans="2:12" ht="20.100000000000001" customHeight="1" x14ac:dyDescent="0.15">
      <c r="B953" s="72"/>
      <c r="C953" s="10"/>
      <c r="D953" s="10"/>
      <c r="E953" s="10"/>
      <c r="F953" s="10"/>
      <c r="G953" s="7"/>
      <c r="H953" s="8"/>
      <c r="I953" s="8"/>
      <c r="J953" s="23" t="str">
        <f t="shared" si="74"/>
        <v>借</v>
      </c>
      <c r="K953" s="43">
        <f t="shared" si="73"/>
        <v>11113</v>
      </c>
      <c r="L953" s="10"/>
    </row>
    <row r="954" spans="2:12" ht="20.100000000000001" customHeight="1" x14ac:dyDescent="0.15">
      <c r="B954" s="72"/>
      <c r="C954" s="10"/>
      <c r="D954" s="10"/>
      <c r="E954" s="10"/>
      <c r="F954" s="10"/>
      <c r="G954" s="7"/>
      <c r="H954" s="8"/>
      <c r="I954" s="8"/>
      <c r="J954" s="23" t="str">
        <f t="shared" si="74"/>
        <v>借</v>
      </c>
      <c r="K954" s="43">
        <f t="shared" si="73"/>
        <v>11113</v>
      </c>
      <c r="L954" s="10"/>
    </row>
    <row r="955" spans="2:12" ht="20.100000000000001" customHeight="1" x14ac:dyDescent="0.15">
      <c r="B955" s="72"/>
      <c r="C955" s="10"/>
      <c r="D955" s="10"/>
      <c r="E955" s="10"/>
      <c r="F955" s="61"/>
      <c r="G955" s="7"/>
      <c r="H955" s="8"/>
      <c r="I955" s="8"/>
      <c r="J955" s="23" t="str">
        <f t="shared" si="74"/>
        <v>借</v>
      </c>
      <c r="K955" s="43">
        <f t="shared" si="73"/>
        <v>11113</v>
      </c>
      <c r="L955" s="10"/>
    </row>
    <row r="956" spans="2:12" ht="20.100000000000001" customHeight="1" x14ac:dyDescent="0.15">
      <c r="B956" s="72"/>
      <c r="C956" s="10"/>
      <c r="D956" s="10"/>
      <c r="E956" s="10"/>
      <c r="F956" s="61"/>
      <c r="G956" s="7"/>
      <c r="H956" s="8"/>
      <c r="I956" s="8"/>
      <c r="J956" s="23" t="str">
        <f t="shared" si="74"/>
        <v>借</v>
      </c>
      <c r="K956" s="43">
        <f t="shared" si="73"/>
        <v>11113</v>
      </c>
      <c r="L956" s="10"/>
    </row>
    <row r="957" spans="2:12" ht="20.100000000000001" customHeight="1" x14ac:dyDescent="0.15">
      <c r="B957" s="72"/>
      <c r="C957" s="10"/>
      <c r="D957" s="61"/>
      <c r="E957" s="61"/>
      <c r="F957" s="10"/>
      <c r="G957" s="7"/>
      <c r="H957" s="23"/>
      <c r="I957" s="23"/>
      <c r="J957" s="23" t="str">
        <f t="shared" si="74"/>
        <v>借</v>
      </c>
      <c r="K957" s="43">
        <f t="shared" si="73"/>
        <v>11113</v>
      </c>
      <c r="L957" s="9"/>
    </row>
    <row r="958" spans="2:12" ht="20.100000000000001" customHeight="1" x14ac:dyDescent="0.15">
      <c r="B958" s="72"/>
      <c r="C958" s="10"/>
      <c r="D958" s="10"/>
      <c r="E958" s="10"/>
      <c r="F958" s="10"/>
      <c r="G958" s="7"/>
      <c r="H958" s="8"/>
      <c r="I958" s="8"/>
      <c r="J958" s="23" t="str">
        <f t="shared" si="74"/>
        <v>借</v>
      </c>
      <c r="K958" s="43">
        <f t="shared" si="73"/>
        <v>11113</v>
      </c>
      <c r="L958" s="10"/>
    </row>
    <row r="959" spans="2:12" ht="20.100000000000001" customHeight="1" x14ac:dyDescent="0.15">
      <c r="B959" s="72"/>
      <c r="C959" s="10"/>
      <c r="D959" s="10"/>
      <c r="E959" s="10"/>
      <c r="F959" s="10"/>
      <c r="G959" s="7"/>
      <c r="H959" s="8"/>
      <c r="I959" s="8"/>
      <c r="J959" s="23" t="str">
        <f t="shared" si="74"/>
        <v>借</v>
      </c>
      <c r="K959" s="43">
        <f t="shared" si="73"/>
        <v>11113</v>
      </c>
      <c r="L959" s="10"/>
    </row>
    <row r="960" spans="2:12" ht="20.100000000000001" customHeight="1" x14ac:dyDescent="0.15">
      <c r="B960" s="72"/>
      <c r="C960" s="10"/>
      <c r="D960" s="61"/>
      <c r="E960" s="61"/>
      <c r="F960" s="10"/>
      <c r="G960" s="7"/>
      <c r="H960" s="23"/>
      <c r="I960" s="23"/>
      <c r="J960" s="23" t="str">
        <f t="shared" si="74"/>
        <v>借</v>
      </c>
      <c r="K960" s="43">
        <f t="shared" si="73"/>
        <v>11113</v>
      </c>
      <c r="L960" s="9"/>
    </row>
    <row r="961" spans="2:13" ht="20.100000000000001" customHeight="1" x14ac:dyDescent="0.15">
      <c r="B961" s="72"/>
      <c r="C961" s="10"/>
      <c r="D961" s="10"/>
      <c r="E961" s="10"/>
      <c r="F961" s="10"/>
      <c r="G961" s="7"/>
      <c r="H961" s="8"/>
      <c r="I961" s="8"/>
      <c r="J961" s="23" t="str">
        <f t="shared" si="74"/>
        <v>借</v>
      </c>
      <c r="K961" s="43">
        <f t="shared" si="73"/>
        <v>11113</v>
      </c>
      <c r="L961" s="10"/>
    </row>
    <row r="962" spans="2:13" ht="20.100000000000001" customHeight="1" x14ac:dyDescent="0.15">
      <c r="B962" s="72"/>
      <c r="C962" s="10"/>
      <c r="D962" s="10"/>
      <c r="E962" s="10"/>
      <c r="F962" s="10"/>
      <c r="G962" s="7"/>
      <c r="H962" s="8"/>
      <c r="I962" s="8"/>
      <c r="J962" s="23" t="str">
        <f t="shared" si="74"/>
        <v>借</v>
      </c>
      <c r="K962" s="43">
        <f t="shared" si="73"/>
        <v>11113</v>
      </c>
      <c r="L962" s="10"/>
    </row>
    <row r="963" spans="2:13" ht="20.100000000000001" customHeight="1" x14ac:dyDescent="0.15">
      <c r="B963" s="72"/>
      <c r="C963" s="10"/>
      <c r="D963" s="10"/>
      <c r="E963" s="10"/>
      <c r="F963" s="10"/>
      <c r="G963" s="7"/>
      <c r="H963" s="23"/>
      <c r="I963" s="23"/>
      <c r="J963" s="23" t="str">
        <f t="shared" si="74"/>
        <v>借</v>
      </c>
      <c r="K963" s="43">
        <f t="shared" si="73"/>
        <v>11113</v>
      </c>
      <c r="L963" s="9"/>
    </row>
    <row r="964" spans="2:13" ht="20.100000000000001" customHeight="1" x14ac:dyDescent="0.15">
      <c r="B964" s="72"/>
      <c r="C964" s="10"/>
      <c r="D964" s="61"/>
      <c r="E964" s="61"/>
      <c r="F964" s="10"/>
      <c r="G964" s="7"/>
      <c r="H964" s="23"/>
      <c r="I964" s="23"/>
      <c r="J964" s="23" t="str">
        <f t="shared" si="74"/>
        <v>借</v>
      </c>
      <c r="K964" s="43">
        <f t="shared" si="73"/>
        <v>11113</v>
      </c>
      <c r="L964" s="10"/>
    </row>
    <row r="965" spans="2:13" ht="20.100000000000001" customHeight="1" x14ac:dyDescent="0.15">
      <c r="B965" s="72"/>
      <c r="C965" s="10"/>
      <c r="D965" s="10"/>
      <c r="E965" s="10"/>
      <c r="F965" s="10"/>
      <c r="G965" s="7"/>
      <c r="H965" s="8"/>
      <c r="I965" s="8"/>
      <c r="J965" s="23" t="str">
        <f t="shared" si="74"/>
        <v>借</v>
      </c>
      <c r="K965" s="43">
        <f t="shared" si="73"/>
        <v>11113</v>
      </c>
      <c r="L965" s="10"/>
    </row>
    <row r="966" spans="2:13" ht="20.100000000000001" customHeight="1" x14ac:dyDescent="0.15">
      <c r="B966" s="72"/>
      <c r="C966" s="10"/>
      <c r="D966" s="10"/>
      <c r="E966" s="10"/>
      <c r="F966" s="10"/>
      <c r="G966" s="7"/>
      <c r="H966" s="8"/>
      <c r="I966" s="8"/>
      <c r="J966" s="23" t="str">
        <f t="shared" si="74"/>
        <v>借</v>
      </c>
      <c r="K966" s="43">
        <f t="shared" ref="K966:K984" si="75">_xlfn.IFS(J965="借",K965+H966-I966,J965="贷",H966-I966-K965)</f>
        <v>11113</v>
      </c>
      <c r="L966" s="10"/>
    </row>
    <row r="967" spans="2:13" ht="20.100000000000001" customHeight="1" x14ac:dyDescent="0.15">
      <c r="B967" s="72"/>
      <c r="C967" s="10"/>
      <c r="D967" s="10"/>
      <c r="E967" s="10"/>
      <c r="F967" s="10"/>
      <c r="G967" s="7"/>
      <c r="H967" s="8"/>
      <c r="I967" s="8"/>
      <c r="J967" s="23" t="str">
        <f t="shared" ref="J967:J1022" si="76">IF((K966+H967-I967)&gt;0,"借","贷")</f>
        <v>借</v>
      </c>
      <c r="K967" s="43">
        <f t="shared" si="75"/>
        <v>11113</v>
      </c>
      <c r="L967" s="9"/>
    </row>
    <row r="968" spans="2:13" ht="20.100000000000001" customHeight="1" x14ac:dyDescent="0.15">
      <c r="B968" s="72"/>
      <c r="C968" s="10"/>
      <c r="D968" s="61"/>
      <c r="E968" s="61"/>
      <c r="F968" s="61"/>
      <c r="G968" s="7"/>
      <c r="H968" s="23"/>
      <c r="I968" s="23"/>
      <c r="J968" s="23" t="str">
        <f t="shared" si="76"/>
        <v>借</v>
      </c>
      <c r="K968" s="43">
        <f t="shared" si="75"/>
        <v>11113</v>
      </c>
      <c r="L968" s="10"/>
    </row>
    <row r="969" spans="2:13" ht="20.100000000000001" customHeight="1" x14ac:dyDescent="0.15">
      <c r="B969" s="72"/>
      <c r="C969" s="10"/>
      <c r="D969" s="10"/>
      <c r="E969" s="10"/>
      <c r="F969" s="10"/>
      <c r="G969" s="7"/>
      <c r="H969" s="8"/>
      <c r="I969" s="8"/>
      <c r="J969" s="23" t="str">
        <f t="shared" si="76"/>
        <v>借</v>
      </c>
      <c r="K969" s="43">
        <f t="shared" si="75"/>
        <v>11113</v>
      </c>
      <c r="L969" s="10"/>
      <c r="M969" s="99"/>
    </row>
    <row r="970" spans="2:13" ht="20.100000000000001" customHeight="1" x14ac:dyDescent="0.15">
      <c r="B970" s="72"/>
      <c r="C970" s="10"/>
      <c r="D970" s="10"/>
      <c r="E970" s="10"/>
      <c r="F970" s="10"/>
      <c r="G970" s="7"/>
      <c r="H970" s="23"/>
      <c r="I970" s="23"/>
      <c r="J970" s="23" t="str">
        <f t="shared" si="76"/>
        <v>借</v>
      </c>
      <c r="K970" s="43">
        <f t="shared" si="75"/>
        <v>11113</v>
      </c>
      <c r="L970" s="10"/>
      <c r="M970" s="99"/>
    </row>
    <row r="971" spans="2:13" ht="20.100000000000001" customHeight="1" x14ac:dyDescent="0.15">
      <c r="B971" s="72"/>
      <c r="C971" s="10"/>
      <c r="D971" s="61"/>
      <c r="E971" s="61"/>
      <c r="F971" s="10"/>
      <c r="G971" s="7"/>
      <c r="H971" s="23"/>
      <c r="I971" s="23"/>
      <c r="J971" s="23" t="str">
        <f t="shared" si="76"/>
        <v>借</v>
      </c>
      <c r="K971" s="43">
        <f t="shared" si="75"/>
        <v>11113</v>
      </c>
      <c r="L971" s="9"/>
    </row>
    <row r="972" spans="2:13" ht="20.100000000000001" customHeight="1" x14ac:dyDescent="0.15">
      <c r="B972" s="72"/>
      <c r="C972" s="10"/>
      <c r="D972" s="10"/>
      <c r="E972" s="10"/>
      <c r="F972" s="10"/>
      <c r="G972" s="7"/>
      <c r="H972" s="8"/>
      <c r="I972" s="8"/>
      <c r="J972" s="23" t="str">
        <f t="shared" si="76"/>
        <v>借</v>
      </c>
      <c r="K972" s="43">
        <f t="shared" si="75"/>
        <v>11113</v>
      </c>
      <c r="L972" s="9"/>
    </row>
    <row r="973" spans="2:13" ht="20.100000000000001" customHeight="1" x14ac:dyDescent="0.15">
      <c r="B973" s="72"/>
      <c r="C973" s="10"/>
      <c r="D973" s="10"/>
      <c r="E973" s="10"/>
      <c r="F973" s="10"/>
      <c r="G973" s="7"/>
      <c r="H973" s="8"/>
      <c r="I973" s="8"/>
      <c r="J973" s="23" t="str">
        <f t="shared" si="76"/>
        <v>借</v>
      </c>
      <c r="K973" s="43">
        <f t="shared" si="75"/>
        <v>11113</v>
      </c>
      <c r="L973" s="9"/>
    </row>
    <row r="974" spans="2:13" ht="20.100000000000001" customHeight="1" x14ac:dyDescent="0.15">
      <c r="B974" s="72"/>
      <c r="C974" s="10"/>
      <c r="D974" s="61"/>
      <c r="E974" s="61"/>
      <c r="F974" s="10"/>
      <c r="G974" s="7"/>
      <c r="H974" s="23"/>
      <c r="I974" s="23"/>
      <c r="J974" s="23" t="str">
        <f t="shared" si="76"/>
        <v>借</v>
      </c>
      <c r="K974" s="43">
        <f t="shared" si="75"/>
        <v>11113</v>
      </c>
      <c r="L974" s="9"/>
    </row>
    <row r="975" spans="2:13" ht="20.100000000000001" customHeight="1" x14ac:dyDescent="0.15">
      <c r="B975" s="72"/>
      <c r="C975" s="10"/>
      <c r="D975" s="10"/>
      <c r="E975" s="10"/>
      <c r="F975" s="10"/>
      <c r="G975" s="7"/>
      <c r="H975" s="8"/>
      <c r="I975" s="8"/>
      <c r="J975" s="23" t="str">
        <f t="shared" si="76"/>
        <v>借</v>
      </c>
      <c r="K975" s="43">
        <f t="shared" si="75"/>
        <v>11113</v>
      </c>
      <c r="L975" s="10"/>
    </row>
    <row r="976" spans="2:13" ht="20.100000000000001" customHeight="1" x14ac:dyDescent="0.15">
      <c r="B976" s="72"/>
      <c r="C976" s="10"/>
      <c r="D976" s="10"/>
      <c r="E976" s="10"/>
      <c r="F976" s="10"/>
      <c r="G976" s="7"/>
      <c r="H976" s="8"/>
      <c r="I976" s="8"/>
      <c r="J976" s="23" t="str">
        <f t="shared" si="76"/>
        <v>借</v>
      </c>
      <c r="K976" s="43">
        <f t="shared" si="75"/>
        <v>11113</v>
      </c>
      <c r="L976" s="10"/>
      <c r="M976" s="99"/>
    </row>
    <row r="977" spans="2:13" ht="20.100000000000001" customHeight="1" x14ac:dyDescent="0.15">
      <c r="B977" s="72"/>
      <c r="C977" s="10"/>
      <c r="D977" s="61"/>
      <c r="E977" s="61"/>
      <c r="F977" s="10"/>
      <c r="G977" s="7"/>
      <c r="H977" s="23"/>
      <c r="I977" s="23"/>
      <c r="J977" s="23" t="str">
        <f t="shared" si="76"/>
        <v>借</v>
      </c>
      <c r="K977" s="43">
        <f t="shared" si="75"/>
        <v>11113</v>
      </c>
      <c r="L977" s="9"/>
      <c r="M977" s="99"/>
    </row>
    <row r="978" spans="2:13" ht="20.100000000000001" customHeight="1" x14ac:dyDescent="0.15">
      <c r="B978" s="72"/>
      <c r="C978" s="10"/>
      <c r="D978" s="10"/>
      <c r="E978" s="10"/>
      <c r="F978" s="10"/>
      <c r="G978" s="7"/>
      <c r="H978" s="8"/>
      <c r="I978" s="8"/>
      <c r="J978" s="23" t="str">
        <f t="shared" si="76"/>
        <v>借</v>
      </c>
      <c r="K978" s="43">
        <f t="shared" si="75"/>
        <v>11113</v>
      </c>
      <c r="L978" s="10"/>
    </row>
    <row r="979" spans="2:13" ht="20.100000000000001" customHeight="1" x14ac:dyDescent="0.15">
      <c r="B979" s="72"/>
      <c r="C979" s="10"/>
      <c r="E979" s="10"/>
      <c r="F979" s="10"/>
      <c r="G979" s="7"/>
      <c r="H979" s="8"/>
      <c r="I979" s="8"/>
      <c r="J979" s="23" t="str">
        <f t="shared" si="76"/>
        <v>借</v>
      </c>
      <c r="K979" s="43">
        <f t="shared" si="75"/>
        <v>11113</v>
      </c>
      <c r="L979" s="10"/>
    </row>
    <row r="980" spans="2:13" ht="20.100000000000001" customHeight="1" x14ac:dyDescent="0.15">
      <c r="B980" s="72"/>
      <c r="C980" s="10"/>
      <c r="D980" s="61"/>
      <c r="E980" s="61"/>
      <c r="F980" s="10"/>
      <c r="G980" s="7"/>
      <c r="H980" s="23"/>
      <c r="I980" s="23"/>
      <c r="J980" s="23" t="str">
        <f t="shared" si="76"/>
        <v>借</v>
      </c>
      <c r="K980" s="43">
        <f t="shared" si="75"/>
        <v>11113</v>
      </c>
      <c r="L980" s="10"/>
    </row>
    <row r="981" spans="2:13" ht="20.100000000000001" customHeight="1" x14ac:dyDescent="0.15">
      <c r="B981" s="72"/>
      <c r="C981" s="10"/>
      <c r="D981" s="10"/>
      <c r="E981" s="10"/>
      <c r="F981" s="10"/>
      <c r="G981" s="7"/>
      <c r="H981" s="8"/>
      <c r="I981" s="8"/>
      <c r="J981" s="23" t="str">
        <f t="shared" si="76"/>
        <v>借</v>
      </c>
      <c r="K981" s="43">
        <f t="shared" si="75"/>
        <v>11113</v>
      </c>
      <c r="L981" s="10"/>
    </row>
    <row r="982" spans="2:13" ht="20.100000000000001" customHeight="1" x14ac:dyDescent="0.15">
      <c r="B982" s="72"/>
      <c r="C982" s="10"/>
      <c r="D982" s="10"/>
      <c r="E982" s="10"/>
      <c r="F982" s="10"/>
      <c r="G982" s="7"/>
      <c r="H982" s="8"/>
      <c r="I982" s="8"/>
      <c r="J982" s="23" t="str">
        <f t="shared" si="76"/>
        <v>借</v>
      </c>
      <c r="K982" s="43">
        <f t="shared" si="75"/>
        <v>11113</v>
      </c>
      <c r="L982" s="10"/>
    </row>
    <row r="983" spans="2:13" ht="20.100000000000001" customHeight="1" x14ac:dyDescent="0.15">
      <c r="B983" s="72"/>
      <c r="C983" s="10"/>
      <c r="D983" s="61"/>
      <c r="E983" s="61"/>
      <c r="F983" s="61"/>
      <c r="G983" s="7"/>
      <c r="H983" s="23"/>
      <c r="I983" s="23"/>
      <c r="J983" s="23" t="str">
        <f t="shared" si="76"/>
        <v>借</v>
      </c>
      <c r="K983" s="43">
        <f t="shared" si="75"/>
        <v>11113</v>
      </c>
      <c r="L983" s="9"/>
    </row>
    <row r="984" spans="2:13" ht="20.100000000000001" customHeight="1" x14ac:dyDescent="0.15">
      <c r="B984" s="72"/>
      <c r="C984" s="10"/>
      <c r="D984" s="10"/>
      <c r="E984" s="61"/>
      <c r="F984" s="61"/>
      <c r="G984" s="7"/>
      <c r="H984" s="8"/>
      <c r="I984" s="8"/>
      <c r="J984" s="23" t="str">
        <f t="shared" si="76"/>
        <v>借</v>
      </c>
      <c r="K984" s="43">
        <f t="shared" si="75"/>
        <v>11113</v>
      </c>
      <c r="L984" s="10"/>
    </row>
    <row r="985" spans="2:13" ht="20.100000000000001" customHeight="1" x14ac:dyDescent="0.15">
      <c r="B985" s="72"/>
      <c r="C985" s="10"/>
      <c r="D985" s="10"/>
      <c r="E985" s="61"/>
      <c r="F985" s="61"/>
      <c r="G985" s="7"/>
      <c r="H985" s="8"/>
      <c r="I985" s="8"/>
      <c r="J985" s="23" t="str">
        <f t="shared" si="76"/>
        <v>借</v>
      </c>
      <c r="K985" s="43">
        <f t="shared" ref="K985:K1022" si="77">_xlfn.IFS(J984="借",K984+H985-I985,J984="贷",H985-I985-K984)</f>
        <v>11113</v>
      </c>
      <c r="L985" s="10"/>
    </row>
    <row r="986" spans="2:13" ht="20.100000000000001" customHeight="1" x14ac:dyDescent="0.15">
      <c r="B986" s="72"/>
      <c r="C986" s="10"/>
      <c r="D986" s="10"/>
      <c r="E986" s="61"/>
      <c r="F986" s="61"/>
      <c r="G986" s="7"/>
      <c r="H986" s="23"/>
      <c r="I986" s="23"/>
      <c r="J986" s="23" t="str">
        <f t="shared" si="76"/>
        <v>借</v>
      </c>
      <c r="K986" s="43">
        <f t="shared" si="77"/>
        <v>11113</v>
      </c>
      <c r="L986" s="9"/>
      <c r="M986" s="73"/>
    </row>
    <row r="987" spans="2:13" ht="20.100000000000001" customHeight="1" x14ac:dyDescent="0.15">
      <c r="B987" s="72"/>
      <c r="C987" s="10"/>
      <c r="D987" s="10"/>
      <c r="E987" s="10"/>
      <c r="F987" s="10"/>
      <c r="G987" s="7"/>
      <c r="H987" s="8"/>
      <c r="I987" s="8"/>
      <c r="J987" s="23" t="str">
        <f t="shared" si="76"/>
        <v>借</v>
      </c>
      <c r="K987" s="43">
        <f t="shared" si="77"/>
        <v>11113</v>
      </c>
      <c r="L987" s="10"/>
    </row>
    <row r="988" spans="2:13" ht="20.100000000000001" customHeight="1" x14ac:dyDescent="0.15">
      <c r="B988" s="72"/>
      <c r="C988" s="10"/>
      <c r="D988" s="10"/>
      <c r="E988" s="10"/>
      <c r="F988" s="10"/>
      <c r="G988" s="7"/>
      <c r="H988" s="8"/>
      <c r="I988" s="8"/>
      <c r="J988" s="23" t="str">
        <f t="shared" si="76"/>
        <v>借</v>
      </c>
      <c r="K988" s="43">
        <f t="shared" si="77"/>
        <v>11113</v>
      </c>
      <c r="L988" s="10"/>
    </row>
    <row r="989" spans="2:13" ht="20.100000000000001" customHeight="1" x14ac:dyDescent="0.15">
      <c r="B989" s="72"/>
      <c r="C989" s="10"/>
      <c r="D989" s="61"/>
      <c r="E989" s="61"/>
      <c r="F989" s="61"/>
      <c r="G989" s="7"/>
      <c r="H989" s="23"/>
      <c r="I989" s="23"/>
      <c r="J989" s="23" t="str">
        <f t="shared" si="76"/>
        <v>借</v>
      </c>
      <c r="K989" s="43">
        <f t="shared" si="77"/>
        <v>11113</v>
      </c>
      <c r="L989" s="9"/>
    </row>
    <row r="990" spans="2:13" ht="20.100000000000001" customHeight="1" x14ac:dyDescent="0.15">
      <c r="B990" s="72"/>
      <c r="C990" s="10"/>
      <c r="D990" s="10"/>
      <c r="E990" s="10"/>
      <c r="F990" s="61"/>
      <c r="G990" s="7"/>
      <c r="H990" s="8"/>
      <c r="I990" s="8"/>
      <c r="J990" s="23" t="str">
        <f t="shared" si="76"/>
        <v>借</v>
      </c>
      <c r="K990" s="43">
        <f t="shared" si="77"/>
        <v>11113</v>
      </c>
      <c r="L990" s="10"/>
    </row>
    <row r="991" spans="2:13" ht="20.100000000000001" customHeight="1" x14ac:dyDescent="0.15">
      <c r="B991" s="72"/>
      <c r="C991" s="10"/>
      <c r="D991" s="10"/>
      <c r="E991" s="10"/>
      <c r="F991" s="10"/>
      <c r="G991" s="7"/>
      <c r="H991" s="8"/>
      <c r="I991" s="8"/>
      <c r="J991" s="23" t="str">
        <f t="shared" si="76"/>
        <v>借</v>
      </c>
      <c r="K991" s="43">
        <f t="shared" si="77"/>
        <v>11113</v>
      </c>
      <c r="L991" s="10"/>
    </row>
    <row r="992" spans="2:13" ht="20.100000000000001" customHeight="1" x14ac:dyDescent="0.15">
      <c r="B992" s="72"/>
      <c r="C992" s="10"/>
      <c r="D992" s="61"/>
      <c r="E992" s="61"/>
      <c r="F992" s="10"/>
      <c r="G992" s="7"/>
      <c r="H992" s="23"/>
      <c r="I992" s="23"/>
      <c r="J992" s="23" t="str">
        <f t="shared" si="76"/>
        <v>借</v>
      </c>
      <c r="K992" s="43">
        <f t="shared" si="77"/>
        <v>11113</v>
      </c>
      <c r="L992" s="9"/>
    </row>
    <row r="993" spans="2:13" ht="20.100000000000001" customHeight="1" x14ac:dyDescent="0.15">
      <c r="B993" s="72"/>
      <c r="C993" s="10"/>
      <c r="D993" s="61"/>
      <c r="E993" s="61"/>
      <c r="F993" s="10"/>
      <c r="G993" s="7"/>
      <c r="H993" s="8"/>
      <c r="I993" s="8"/>
      <c r="J993" s="23" t="str">
        <f t="shared" si="76"/>
        <v>借</v>
      </c>
      <c r="K993" s="43">
        <f t="shared" si="77"/>
        <v>11113</v>
      </c>
      <c r="L993" s="10"/>
    </row>
    <row r="994" spans="2:13" ht="20.100000000000001" customHeight="1" x14ac:dyDescent="0.15">
      <c r="B994" s="72"/>
      <c r="C994" s="10"/>
      <c r="D994" s="10"/>
      <c r="E994" s="10"/>
      <c r="F994" s="10"/>
      <c r="G994" s="7"/>
      <c r="H994" s="8"/>
      <c r="I994" s="8"/>
      <c r="J994" s="23" t="str">
        <f t="shared" si="76"/>
        <v>借</v>
      </c>
      <c r="K994" s="43">
        <f t="shared" si="77"/>
        <v>11113</v>
      </c>
      <c r="L994" s="10"/>
    </row>
    <row r="995" spans="2:13" ht="20.100000000000001" customHeight="1" x14ac:dyDescent="0.15">
      <c r="B995" s="72"/>
      <c r="C995" s="10"/>
      <c r="D995" s="61"/>
      <c r="E995" s="61"/>
      <c r="F995" s="61"/>
      <c r="G995" s="7"/>
      <c r="H995" s="23"/>
      <c r="I995" s="23"/>
      <c r="J995" s="23" t="str">
        <f t="shared" si="76"/>
        <v>借</v>
      </c>
      <c r="K995" s="43">
        <f t="shared" si="77"/>
        <v>11113</v>
      </c>
      <c r="L995" s="9"/>
    </row>
    <row r="996" spans="2:13" ht="20.100000000000001" customHeight="1" x14ac:dyDescent="0.15">
      <c r="B996" s="72"/>
      <c r="C996" s="10"/>
      <c r="D996" s="10"/>
      <c r="E996" s="10"/>
      <c r="F996" s="10"/>
      <c r="G996" s="7"/>
      <c r="H996" s="8"/>
      <c r="I996" s="8"/>
      <c r="J996" s="23" t="str">
        <f t="shared" si="76"/>
        <v>借</v>
      </c>
      <c r="K996" s="43">
        <f t="shared" si="77"/>
        <v>11113</v>
      </c>
      <c r="L996" s="10"/>
    </row>
    <row r="997" spans="2:13" ht="20.100000000000001" customHeight="1" x14ac:dyDescent="0.15">
      <c r="B997" s="72"/>
      <c r="C997" s="10"/>
      <c r="D997" s="10"/>
      <c r="E997" s="10"/>
      <c r="F997" s="10"/>
      <c r="G997" s="7"/>
      <c r="H997" s="8"/>
      <c r="I997" s="8"/>
      <c r="J997" s="23" t="str">
        <f t="shared" si="76"/>
        <v>借</v>
      </c>
      <c r="K997" s="43">
        <f t="shared" si="77"/>
        <v>11113</v>
      </c>
      <c r="L997" s="10"/>
      <c r="M997" s="73"/>
    </row>
    <row r="998" spans="2:13" ht="20.100000000000001" customHeight="1" x14ac:dyDescent="0.15">
      <c r="B998" s="72"/>
      <c r="C998" s="10"/>
      <c r="D998" s="61"/>
      <c r="E998" s="61"/>
      <c r="F998" s="10"/>
      <c r="G998" s="7"/>
      <c r="H998" s="23"/>
      <c r="I998" s="23"/>
      <c r="J998" s="23" t="str">
        <f t="shared" si="76"/>
        <v>借</v>
      </c>
      <c r="K998" s="43">
        <f t="shared" si="77"/>
        <v>11113</v>
      </c>
      <c r="L998" s="51"/>
      <c r="M998" s="73"/>
    </row>
    <row r="999" spans="2:13" ht="20.100000000000001" customHeight="1" x14ac:dyDescent="0.15">
      <c r="B999" s="72"/>
      <c r="C999" s="10"/>
      <c r="D999" s="10"/>
      <c r="E999" s="10"/>
      <c r="F999" s="10"/>
      <c r="G999" s="7"/>
      <c r="H999" s="8"/>
      <c r="I999" s="8"/>
      <c r="J999" s="23" t="str">
        <f t="shared" si="76"/>
        <v>借</v>
      </c>
      <c r="K999" s="43">
        <f t="shared" si="77"/>
        <v>11113</v>
      </c>
      <c r="L999" s="10"/>
      <c r="M999" s="73"/>
    </row>
    <row r="1000" spans="2:13" ht="20.100000000000001" customHeight="1" x14ac:dyDescent="0.15">
      <c r="B1000" s="72"/>
      <c r="C1000" s="10"/>
      <c r="D1000" s="10"/>
      <c r="E1000" s="10"/>
      <c r="F1000" s="10"/>
      <c r="G1000" s="7"/>
      <c r="H1000" s="8"/>
      <c r="I1000" s="8"/>
      <c r="J1000" s="23" t="str">
        <f t="shared" si="76"/>
        <v>借</v>
      </c>
      <c r="K1000" s="43">
        <f t="shared" si="77"/>
        <v>11113</v>
      </c>
      <c r="L1000" s="10"/>
      <c r="M1000" s="73"/>
    </row>
    <row r="1001" spans="2:13" ht="20.100000000000001" customHeight="1" x14ac:dyDescent="0.15">
      <c r="B1001" s="72"/>
      <c r="C1001" s="10"/>
      <c r="D1001" s="61"/>
      <c r="E1001" s="61"/>
      <c r="F1001" s="10"/>
      <c r="G1001" s="7"/>
      <c r="H1001" s="23"/>
      <c r="I1001" s="23"/>
      <c r="J1001" s="23" t="str">
        <f t="shared" si="76"/>
        <v>借</v>
      </c>
      <c r="K1001" s="43">
        <f t="shared" si="77"/>
        <v>11113</v>
      </c>
      <c r="L1001" s="9"/>
    </row>
    <row r="1002" spans="2:13" ht="20.100000000000001" customHeight="1" x14ac:dyDescent="0.15">
      <c r="B1002" s="72"/>
      <c r="C1002" s="10"/>
      <c r="D1002" s="10"/>
      <c r="E1002" s="10"/>
      <c r="F1002" s="10"/>
      <c r="G1002" s="7"/>
      <c r="H1002" s="8"/>
      <c r="I1002" s="8"/>
      <c r="J1002" s="23" t="str">
        <f t="shared" si="76"/>
        <v>借</v>
      </c>
      <c r="K1002" s="43">
        <f t="shared" si="77"/>
        <v>11113</v>
      </c>
      <c r="L1002" s="10"/>
    </row>
    <row r="1003" spans="2:13" ht="20.100000000000001" customHeight="1" x14ac:dyDescent="0.15">
      <c r="B1003" s="72"/>
      <c r="C1003" s="10"/>
      <c r="D1003" s="10"/>
      <c r="E1003" s="10"/>
      <c r="F1003" s="10"/>
      <c r="G1003" s="7"/>
      <c r="H1003" s="8"/>
      <c r="I1003" s="8"/>
      <c r="J1003" s="23" t="str">
        <f t="shared" si="76"/>
        <v>借</v>
      </c>
      <c r="K1003" s="43">
        <f t="shared" si="77"/>
        <v>11113</v>
      </c>
      <c r="L1003" s="10"/>
    </row>
    <row r="1004" spans="2:13" ht="20.100000000000001" customHeight="1" x14ac:dyDescent="0.15">
      <c r="B1004" s="72"/>
      <c r="C1004" s="10"/>
      <c r="D1004" s="10"/>
      <c r="E1004" s="61"/>
      <c r="F1004" s="10"/>
      <c r="G1004" s="7"/>
      <c r="H1004" s="23"/>
      <c r="I1004" s="23"/>
      <c r="J1004" s="23" t="str">
        <f t="shared" si="76"/>
        <v>借</v>
      </c>
      <c r="K1004" s="43">
        <f t="shared" si="77"/>
        <v>11113</v>
      </c>
      <c r="L1004" s="10"/>
    </row>
    <row r="1005" spans="2:13" ht="20.100000000000001" customHeight="1" x14ac:dyDescent="0.15">
      <c r="B1005" s="72"/>
      <c r="C1005" s="10"/>
      <c r="D1005" s="61"/>
      <c r="E1005" s="61"/>
      <c r="F1005" s="61"/>
      <c r="G1005" s="7"/>
      <c r="H1005" s="23"/>
      <c r="I1005" s="23"/>
      <c r="J1005" s="23" t="str">
        <f t="shared" si="76"/>
        <v>借</v>
      </c>
      <c r="K1005" s="43">
        <f t="shared" si="77"/>
        <v>11113</v>
      </c>
      <c r="L1005" s="9"/>
    </row>
    <row r="1006" spans="2:13" ht="20.100000000000001" customHeight="1" x14ac:dyDescent="0.15">
      <c r="B1006" s="72"/>
      <c r="C1006" s="10"/>
      <c r="D1006" s="10"/>
      <c r="E1006" s="10"/>
      <c r="F1006" s="10"/>
      <c r="G1006" s="7"/>
      <c r="H1006" s="8"/>
      <c r="I1006" s="8"/>
      <c r="J1006" s="23" t="str">
        <f t="shared" si="76"/>
        <v>借</v>
      </c>
      <c r="K1006" s="43">
        <f t="shared" si="77"/>
        <v>11113</v>
      </c>
      <c r="L1006" s="10"/>
    </row>
    <row r="1007" spans="2:13" ht="20.100000000000001" customHeight="1" x14ac:dyDescent="0.15">
      <c r="B1007" s="72"/>
      <c r="C1007" s="10"/>
      <c r="D1007" s="10"/>
      <c r="E1007" s="16"/>
      <c r="F1007" s="10"/>
      <c r="G1007" s="7"/>
      <c r="H1007" s="8"/>
      <c r="I1007" s="8"/>
      <c r="J1007" s="23" t="str">
        <f t="shared" si="76"/>
        <v>借</v>
      </c>
      <c r="K1007" s="43">
        <f t="shared" si="77"/>
        <v>11113</v>
      </c>
      <c r="L1007" s="10"/>
    </row>
    <row r="1008" spans="2:13" ht="20.100000000000001" customHeight="1" x14ac:dyDescent="0.15">
      <c r="B1008" s="72"/>
      <c r="C1008" s="10"/>
      <c r="D1008" s="10"/>
      <c r="E1008" s="78"/>
      <c r="F1008" s="61"/>
      <c r="G1008" s="7"/>
      <c r="H1008" s="23"/>
      <c r="I1008" s="23"/>
      <c r="J1008" s="23" t="str">
        <f t="shared" si="76"/>
        <v>借</v>
      </c>
      <c r="K1008" s="43">
        <f t="shared" si="77"/>
        <v>11113</v>
      </c>
      <c r="L1008" s="9"/>
    </row>
    <row r="1009" spans="2:13" ht="20.100000000000001" customHeight="1" x14ac:dyDescent="0.15">
      <c r="B1009" s="72"/>
      <c r="C1009" s="10"/>
      <c r="D1009" s="10"/>
      <c r="E1009" s="16"/>
      <c r="F1009" s="10"/>
      <c r="G1009" s="7"/>
      <c r="H1009" s="8"/>
      <c r="I1009" s="8"/>
      <c r="J1009" s="23" t="str">
        <f t="shared" si="76"/>
        <v>借</v>
      </c>
      <c r="K1009" s="43">
        <f t="shared" si="77"/>
        <v>11113</v>
      </c>
      <c r="L1009" s="10"/>
    </row>
    <row r="1010" spans="2:13" ht="20.100000000000001" customHeight="1" x14ac:dyDescent="0.15">
      <c r="B1010" s="72"/>
      <c r="C1010" s="10"/>
      <c r="D1010" s="10"/>
      <c r="E1010" s="16"/>
      <c r="F1010" s="10"/>
      <c r="G1010" s="7"/>
      <c r="H1010" s="8"/>
      <c r="I1010" s="8"/>
      <c r="J1010" s="23" t="str">
        <f t="shared" si="76"/>
        <v>借</v>
      </c>
      <c r="K1010" s="43">
        <f t="shared" si="77"/>
        <v>11113</v>
      </c>
      <c r="L1010" s="10"/>
      <c r="M1010" s="76"/>
    </row>
    <row r="1011" spans="2:13" ht="20.100000000000001" customHeight="1" x14ac:dyDescent="0.15">
      <c r="B1011" s="72"/>
      <c r="C1011" s="10"/>
      <c r="D1011" s="10"/>
      <c r="E1011" s="16"/>
      <c r="F1011" s="10"/>
      <c r="G1011" s="7"/>
      <c r="H1011" s="23"/>
      <c r="I1011" s="23"/>
      <c r="J1011" s="23" t="str">
        <f t="shared" si="76"/>
        <v>借</v>
      </c>
      <c r="K1011" s="43">
        <f t="shared" si="77"/>
        <v>11113</v>
      </c>
      <c r="L1011" s="10"/>
    </row>
    <row r="1012" spans="2:13" ht="20.100000000000001" customHeight="1" x14ac:dyDescent="0.15">
      <c r="B1012" s="72"/>
      <c r="C1012" s="10"/>
      <c r="D1012" s="10"/>
      <c r="E1012" s="78"/>
      <c r="F1012" s="10"/>
      <c r="G1012" s="7"/>
      <c r="H1012" s="23"/>
      <c r="I1012" s="23"/>
      <c r="J1012" s="23" t="str">
        <f t="shared" si="76"/>
        <v>借</v>
      </c>
      <c r="K1012" s="43">
        <f t="shared" si="77"/>
        <v>11113</v>
      </c>
      <c r="L1012" s="10"/>
    </row>
    <row r="1013" spans="2:13" ht="20.100000000000001" customHeight="1" x14ac:dyDescent="0.15">
      <c r="B1013" s="72"/>
      <c r="C1013" s="10"/>
      <c r="D1013" s="10"/>
      <c r="E1013" s="16"/>
      <c r="F1013" s="10"/>
      <c r="G1013" s="7"/>
      <c r="H1013" s="8"/>
      <c r="I1013" s="8"/>
      <c r="J1013" s="23" t="str">
        <f t="shared" si="76"/>
        <v>借</v>
      </c>
      <c r="K1013" s="43">
        <f t="shared" si="77"/>
        <v>11113</v>
      </c>
      <c r="L1013" s="10"/>
    </row>
    <row r="1014" spans="2:13" ht="20.100000000000001" customHeight="1" x14ac:dyDescent="0.15">
      <c r="B1014" s="72"/>
      <c r="C1014" s="10"/>
      <c r="D1014" s="10"/>
      <c r="E1014" s="16"/>
      <c r="F1014" s="10"/>
      <c r="G1014" s="7"/>
      <c r="H1014" s="8"/>
      <c r="I1014" s="8"/>
      <c r="J1014" s="23" t="str">
        <f t="shared" si="76"/>
        <v>借</v>
      </c>
      <c r="K1014" s="43">
        <f t="shared" si="77"/>
        <v>11113</v>
      </c>
      <c r="L1014" s="10"/>
    </row>
    <row r="1015" spans="2:13" ht="20.100000000000001" customHeight="1" x14ac:dyDescent="0.15">
      <c r="B1015" s="72"/>
      <c r="C1015" s="10"/>
      <c r="D1015" s="10"/>
      <c r="E1015" s="10"/>
      <c r="F1015" s="10"/>
      <c r="G1015" s="7"/>
      <c r="H1015" s="8"/>
      <c r="I1015" s="8"/>
      <c r="J1015" s="23" t="str">
        <f t="shared" si="76"/>
        <v>借</v>
      </c>
      <c r="K1015" s="43">
        <f t="shared" si="77"/>
        <v>11113</v>
      </c>
      <c r="L1015" s="10"/>
    </row>
    <row r="1016" spans="2:13" ht="20.100000000000001" customHeight="1" x14ac:dyDescent="0.15">
      <c r="B1016" s="72"/>
      <c r="C1016" s="10"/>
      <c r="D1016" s="10"/>
      <c r="E1016" s="10"/>
      <c r="F1016" s="10"/>
      <c r="G1016" s="7"/>
      <c r="H1016" s="8"/>
      <c r="I1016" s="8"/>
      <c r="J1016" s="23" t="str">
        <f t="shared" si="76"/>
        <v>借</v>
      </c>
      <c r="K1016" s="43">
        <f t="shared" si="77"/>
        <v>11113</v>
      </c>
      <c r="L1016" s="10"/>
    </row>
    <row r="1017" spans="2:13" ht="20.100000000000001" customHeight="1" x14ac:dyDescent="0.15">
      <c r="B1017" s="72"/>
      <c r="C1017" s="10"/>
      <c r="D1017" s="61"/>
      <c r="E1017" s="61"/>
      <c r="F1017" s="61"/>
      <c r="G1017" s="7"/>
      <c r="H1017" s="23"/>
      <c r="I1017" s="23"/>
      <c r="J1017" s="23" t="str">
        <f t="shared" si="76"/>
        <v>借</v>
      </c>
      <c r="K1017" s="43">
        <f t="shared" si="77"/>
        <v>11113</v>
      </c>
      <c r="L1017" s="9"/>
      <c r="M1017" s="99"/>
    </row>
    <row r="1018" spans="2:13" ht="20.100000000000001" customHeight="1" x14ac:dyDescent="0.15">
      <c r="B1018" s="72"/>
      <c r="C1018" s="10"/>
      <c r="D1018" s="61"/>
      <c r="E1018" s="10"/>
      <c r="F1018" s="10"/>
      <c r="G1018" s="7"/>
      <c r="H1018" s="8"/>
      <c r="I1018" s="8"/>
      <c r="J1018" s="23" t="str">
        <f t="shared" si="76"/>
        <v>借</v>
      </c>
      <c r="K1018" s="43">
        <f t="shared" si="77"/>
        <v>11113</v>
      </c>
      <c r="L1018" s="10"/>
      <c r="M1018" s="99"/>
    </row>
    <row r="1019" spans="2:13" ht="20.100000000000001" customHeight="1" x14ac:dyDescent="0.15">
      <c r="B1019" s="72"/>
      <c r="C1019" s="10"/>
      <c r="D1019" s="61"/>
      <c r="E1019" s="10"/>
      <c r="F1019" s="10"/>
      <c r="G1019" s="7"/>
      <c r="H1019" s="8"/>
      <c r="I1019" s="8"/>
      <c r="J1019" s="23" t="str">
        <f t="shared" si="76"/>
        <v>借</v>
      </c>
      <c r="K1019" s="43">
        <f t="shared" si="77"/>
        <v>11113</v>
      </c>
      <c r="L1019" s="10"/>
      <c r="M1019" s="99"/>
    </row>
    <row r="1020" spans="2:13" ht="20.100000000000001" customHeight="1" x14ac:dyDescent="0.15">
      <c r="B1020" s="72"/>
      <c r="C1020" s="10"/>
      <c r="D1020" s="10"/>
      <c r="E1020" s="10"/>
      <c r="F1020" s="10"/>
      <c r="G1020" s="7"/>
      <c r="H1020" s="8"/>
      <c r="I1020" s="8"/>
      <c r="J1020" s="23" t="str">
        <f t="shared" si="76"/>
        <v>借</v>
      </c>
      <c r="K1020" s="43">
        <f t="shared" si="77"/>
        <v>11113</v>
      </c>
      <c r="L1020" s="9"/>
    </row>
    <row r="1021" spans="2:13" ht="20.100000000000001" customHeight="1" x14ac:dyDescent="0.15">
      <c r="B1021" s="72"/>
      <c r="C1021" s="10"/>
      <c r="D1021" s="10"/>
      <c r="E1021" s="10"/>
      <c r="F1021" s="10"/>
      <c r="G1021" s="7"/>
      <c r="H1021" s="8"/>
      <c r="I1021" s="8"/>
      <c r="J1021" s="23" t="str">
        <f t="shared" si="76"/>
        <v>借</v>
      </c>
      <c r="K1021" s="43">
        <f t="shared" si="77"/>
        <v>11113</v>
      </c>
      <c r="L1021" s="10"/>
    </row>
    <row r="1022" spans="2:13" ht="20.100000000000001" customHeight="1" x14ac:dyDescent="0.15">
      <c r="B1022" s="72"/>
      <c r="C1022" s="10"/>
      <c r="D1022" s="10"/>
      <c r="E1022" s="10"/>
      <c r="F1022" s="10"/>
      <c r="G1022" s="7"/>
      <c r="H1022" s="8"/>
      <c r="I1022" s="8"/>
      <c r="J1022" s="23" t="str">
        <f t="shared" si="76"/>
        <v>借</v>
      </c>
      <c r="K1022" s="43">
        <f t="shared" si="77"/>
        <v>11113</v>
      </c>
      <c r="L1022" s="10"/>
    </row>
    <row r="1023" spans="2:13" ht="20.100000000000001" customHeight="1" x14ac:dyDescent="0.15">
      <c r="B1023" s="72"/>
      <c r="C1023" s="10"/>
      <c r="D1023" s="10"/>
      <c r="E1023" s="10"/>
      <c r="F1023" s="61"/>
      <c r="G1023" s="7"/>
      <c r="H1023" s="23"/>
      <c r="I1023" s="23"/>
      <c r="J1023" s="23" t="str">
        <f t="shared" ref="J1023:J1042" si="78">IF((K1022+H1023-I1023)&gt;0,"借","贷")</f>
        <v>借</v>
      </c>
      <c r="K1023" s="43">
        <f t="shared" ref="K1023:K1045" si="79">_xlfn.IFS(J1022="借",K1022+H1023-I1023,J1022="贷",H1023-I1023-K1022)</f>
        <v>11113</v>
      </c>
      <c r="L1023" s="10"/>
    </row>
    <row r="1024" spans="2:13" ht="20.100000000000001" customHeight="1" x14ac:dyDescent="0.15">
      <c r="B1024" s="72"/>
      <c r="C1024" s="10"/>
      <c r="D1024" s="10"/>
      <c r="E1024" s="10"/>
      <c r="F1024" s="61"/>
      <c r="G1024" s="7"/>
      <c r="H1024" s="23"/>
      <c r="I1024" s="23"/>
      <c r="J1024" s="23" t="str">
        <f t="shared" si="78"/>
        <v>借</v>
      </c>
      <c r="K1024" s="43">
        <f t="shared" si="79"/>
        <v>11113</v>
      </c>
      <c r="L1024" s="10"/>
    </row>
    <row r="1025" spans="2:13" ht="20.100000000000001" customHeight="1" x14ac:dyDescent="0.15">
      <c r="B1025" s="72"/>
      <c r="C1025" s="10"/>
      <c r="D1025" s="10"/>
      <c r="E1025" s="10"/>
      <c r="F1025" s="61"/>
      <c r="G1025" s="7"/>
      <c r="H1025" s="23"/>
      <c r="I1025" s="23"/>
      <c r="J1025" s="23" t="str">
        <f t="shared" si="78"/>
        <v>借</v>
      </c>
      <c r="K1025" s="43">
        <f t="shared" si="79"/>
        <v>11113</v>
      </c>
      <c r="L1025" s="10"/>
    </row>
    <row r="1026" spans="2:13" ht="20.100000000000001" customHeight="1" x14ac:dyDescent="0.15">
      <c r="B1026" s="72"/>
      <c r="C1026" s="10"/>
      <c r="D1026" s="10"/>
      <c r="E1026" s="10"/>
      <c r="F1026" s="61"/>
      <c r="G1026" s="7"/>
      <c r="H1026" s="23"/>
      <c r="I1026" s="23"/>
      <c r="J1026" s="23" t="str">
        <f t="shared" si="78"/>
        <v>借</v>
      </c>
      <c r="K1026" s="43">
        <f t="shared" si="79"/>
        <v>11113</v>
      </c>
      <c r="L1026" s="10"/>
    </row>
    <row r="1027" spans="2:13" ht="20.100000000000001" customHeight="1" x14ac:dyDescent="0.15">
      <c r="B1027" s="72"/>
      <c r="C1027" s="10"/>
      <c r="D1027" s="10"/>
      <c r="E1027" s="61"/>
      <c r="F1027" s="61"/>
      <c r="G1027" s="7"/>
      <c r="H1027" s="23"/>
      <c r="I1027" s="23"/>
      <c r="J1027" s="23" t="str">
        <f t="shared" si="78"/>
        <v>借</v>
      </c>
      <c r="K1027" s="43">
        <f t="shared" si="79"/>
        <v>11113</v>
      </c>
      <c r="L1027" s="9"/>
    </row>
    <row r="1028" spans="2:13" ht="20.100000000000001" customHeight="1" x14ac:dyDescent="0.15">
      <c r="B1028" s="72"/>
      <c r="C1028" s="10"/>
      <c r="D1028" s="10"/>
      <c r="E1028" s="10"/>
      <c r="F1028" s="61"/>
      <c r="G1028" s="7"/>
      <c r="H1028" s="8"/>
      <c r="I1028" s="8"/>
      <c r="J1028" s="23" t="str">
        <f t="shared" si="78"/>
        <v>借</v>
      </c>
      <c r="K1028" s="43">
        <f t="shared" si="79"/>
        <v>11113</v>
      </c>
      <c r="L1028" s="10"/>
    </row>
    <row r="1029" spans="2:13" ht="20.100000000000001" customHeight="1" x14ac:dyDescent="0.15">
      <c r="B1029" s="72"/>
      <c r="C1029" s="10"/>
      <c r="D1029" s="10"/>
      <c r="E1029" s="10"/>
      <c r="F1029" s="10"/>
      <c r="G1029" s="7"/>
      <c r="H1029" s="8"/>
      <c r="I1029" s="8"/>
      <c r="J1029" s="23" t="str">
        <f t="shared" si="78"/>
        <v>借</v>
      </c>
      <c r="K1029" s="43">
        <f t="shared" si="79"/>
        <v>11113</v>
      </c>
      <c r="L1029" s="10"/>
    </row>
    <row r="1030" spans="2:13" ht="20.100000000000001" customHeight="1" x14ac:dyDescent="0.15">
      <c r="B1030" s="72"/>
      <c r="C1030" s="10"/>
      <c r="D1030" s="61"/>
      <c r="E1030" s="61"/>
      <c r="F1030" s="10"/>
      <c r="G1030" s="7"/>
      <c r="H1030" s="23"/>
      <c r="I1030" s="23"/>
      <c r="J1030" s="23" t="str">
        <f t="shared" si="78"/>
        <v>借</v>
      </c>
      <c r="K1030" s="43">
        <f t="shared" si="79"/>
        <v>11113</v>
      </c>
      <c r="L1030" s="9"/>
    </row>
    <row r="1031" spans="2:13" ht="20.100000000000001" customHeight="1" x14ac:dyDescent="0.15">
      <c r="B1031" s="72"/>
      <c r="C1031" s="10"/>
      <c r="D1031" s="10"/>
      <c r="E1031" s="10"/>
      <c r="F1031" s="10"/>
      <c r="G1031" s="7"/>
      <c r="H1031" s="8"/>
      <c r="I1031" s="8"/>
      <c r="J1031" s="23" t="str">
        <f t="shared" si="78"/>
        <v>借</v>
      </c>
      <c r="K1031" s="43">
        <f t="shared" si="79"/>
        <v>11113</v>
      </c>
      <c r="L1031" s="10"/>
    </row>
    <row r="1032" spans="2:13" ht="20.100000000000001" customHeight="1" x14ac:dyDescent="0.15">
      <c r="B1032" s="72"/>
      <c r="C1032" s="10"/>
      <c r="D1032" s="10"/>
      <c r="E1032" s="10"/>
      <c r="F1032" s="10"/>
      <c r="G1032" s="7"/>
      <c r="H1032" s="8"/>
      <c r="I1032" s="8"/>
      <c r="J1032" s="23" t="str">
        <f t="shared" si="78"/>
        <v>借</v>
      </c>
      <c r="K1032" s="43">
        <f t="shared" si="79"/>
        <v>11113</v>
      </c>
      <c r="L1032" s="10"/>
      <c r="M1032" s="99"/>
    </row>
    <row r="1033" spans="2:13" ht="20.100000000000001" customHeight="1" x14ac:dyDescent="0.15">
      <c r="B1033" s="72"/>
      <c r="C1033" s="10"/>
      <c r="D1033" s="10"/>
      <c r="E1033" s="10"/>
      <c r="F1033" s="10"/>
      <c r="G1033" s="7"/>
      <c r="H1033" s="23"/>
      <c r="I1033" s="23"/>
      <c r="J1033" s="23" t="str">
        <f t="shared" si="78"/>
        <v>借</v>
      </c>
      <c r="K1033" s="43">
        <f t="shared" si="79"/>
        <v>11113</v>
      </c>
      <c r="L1033" s="10"/>
      <c r="M1033" s="99"/>
    </row>
    <row r="1034" spans="2:13" ht="20.100000000000001" customHeight="1" x14ac:dyDescent="0.15">
      <c r="B1034" s="72"/>
      <c r="C1034" s="10"/>
      <c r="D1034" s="10"/>
      <c r="E1034" s="10"/>
      <c r="F1034" s="10"/>
      <c r="G1034" s="7"/>
      <c r="H1034" s="23"/>
      <c r="I1034" s="23"/>
      <c r="J1034" s="23" t="str">
        <f t="shared" si="78"/>
        <v>借</v>
      </c>
      <c r="K1034" s="43">
        <f t="shared" si="79"/>
        <v>11113</v>
      </c>
      <c r="L1034" s="10"/>
      <c r="M1034" s="99"/>
    </row>
    <row r="1035" spans="2:13" ht="20.100000000000001" customHeight="1" x14ac:dyDescent="0.15">
      <c r="B1035" s="72"/>
      <c r="C1035" s="10"/>
      <c r="D1035" s="61"/>
      <c r="E1035" s="61"/>
      <c r="F1035" s="10"/>
      <c r="G1035" s="7"/>
      <c r="H1035" s="23"/>
      <c r="I1035" s="23"/>
      <c r="J1035" s="23" t="str">
        <f t="shared" si="78"/>
        <v>借</v>
      </c>
      <c r="K1035" s="43">
        <f t="shared" si="79"/>
        <v>11113</v>
      </c>
      <c r="L1035" s="9"/>
    </row>
    <row r="1036" spans="2:13" ht="20.100000000000001" customHeight="1" x14ac:dyDescent="0.15">
      <c r="B1036" s="72"/>
      <c r="C1036" s="10"/>
      <c r="D1036" s="10"/>
      <c r="E1036" s="10"/>
      <c r="F1036" s="10"/>
      <c r="G1036" s="7"/>
      <c r="H1036" s="8"/>
      <c r="I1036" s="8"/>
      <c r="J1036" s="23" t="str">
        <f t="shared" si="78"/>
        <v>借</v>
      </c>
      <c r="K1036" s="43">
        <f t="shared" si="79"/>
        <v>11113</v>
      </c>
      <c r="L1036" s="10"/>
    </row>
    <row r="1037" spans="2:13" ht="20.100000000000001" customHeight="1" x14ac:dyDescent="0.15">
      <c r="B1037" s="72"/>
      <c r="C1037" s="10"/>
      <c r="D1037" s="10"/>
      <c r="E1037" s="10"/>
      <c r="F1037" s="10"/>
      <c r="G1037" s="7"/>
      <c r="H1037" s="8"/>
      <c r="I1037" s="8"/>
      <c r="J1037" s="23" t="str">
        <f t="shared" si="78"/>
        <v>借</v>
      </c>
      <c r="K1037" s="43">
        <f t="shared" si="79"/>
        <v>11113</v>
      </c>
      <c r="L1037" s="10"/>
    </row>
    <row r="1038" spans="2:13" ht="20.100000000000001" customHeight="1" x14ac:dyDescent="0.15">
      <c r="B1038" s="72"/>
      <c r="C1038" s="10"/>
      <c r="D1038" s="10"/>
      <c r="E1038" s="61"/>
      <c r="F1038" s="10"/>
      <c r="G1038" s="7"/>
      <c r="H1038" s="23"/>
      <c r="I1038" s="23"/>
      <c r="J1038" s="23" t="str">
        <f t="shared" si="78"/>
        <v>借</v>
      </c>
      <c r="K1038" s="43">
        <f t="shared" si="79"/>
        <v>11113</v>
      </c>
      <c r="L1038" s="10"/>
    </row>
    <row r="1039" spans="2:13" ht="20.100000000000001" customHeight="1" x14ac:dyDescent="0.15">
      <c r="B1039" s="72"/>
      <c r="C1039" s="10"/>
      <c r="D1039" s="10"/>
      <c r="E1039" s="61"/>
      <c r="F1039" s="10"/>
      <c r="G1039" s="7"/>
      <c r="H1039" s="23"/>
      <c r="I1039" s="23"/>
      <c r="J1039" s="23" t="str">
        <f t="shared" si="78"/>
        <v>借</v>
      </c>
      <c r="K1039" s="43">
        <f t="shared" si="79"/>
        <v>11113</v>
      </c>
      <c r="L1039" s="10"/>
    </row>
    <row r="1040" spans="2:13" ht="20.100000000000001" customHeight="1" x14ac:dyDescent="0.15">
      <c r="B1040" s="72"/>
      <c r="C1040" s="10"/>
      <c r="D1040" s="10"/>
      <c r="E1040" s="61"/>
      <c r="F1040" s="10"/>
      <c r="G1040" s="7"/>
      <c r="H1040" s="23"/>
      <c r="I1040" s="23"/>
      <c r="J1040" s="23" t="str">
        <f t="shared" si="78"/>
        <v>借</v>
      </c>
      <c r="K1040" s="43">
        <f t="shared" si="79"/>
        <v>11113</v>
      </c>
      <c r="L1040" s="10"/>
    </row>
    <row r="1041" spans="2:13" ht="20.100000000000001" customHeight="1" x14ac:dyDescent="0.15">
      <c r="B1041" s="72"/>
      <c r="C1041" s="10"/>
      <c r="D1041" s="61"/>
      <c r="E1041" s="61"/>
      <c r="F1041" s="61"/>
      <c r="G1041" s="7"/>
      <c r="H1041" s="23"/>
      <c r="I1041" s="23"/>
      <c r="J1041" s="23" t="str">
        <f t="shared" si="78"/>
        <v>借</v>
      </c>
      <c r="K1041" s="43">
        <f t="shared" si="79"/>
        <v>11113</v>
      </c>
      <c r="L1041" s="9"/>
    </row>
    <row r="1042" spans="2:13" ht="20.100000000000001" customHeight="1" x14ac:dyDescent="0.15">
      <c r="B1042" s="72"/>
      <c r="C1042" s="10"/>
      <c r="D1042" s="10"/>
      <c r="E1042" s="10"/>
      <c r="F1042" s="10"/>
      <c r="G1042" s="7"/>
      <c r="H1042" s="8"/>
      <c r="I1042" s="8"/>
      <c r="J1042" s="23" t="str">
        <f t="shared" si="78"/>
        <v>借</v>
      </c>
      <c r="K1042" s="43">
        <f t="shared" si="79"/>
        <v>11113</v>
      </c>
      <c r="L1042" s="10"/>
    </row>
    <row r="1043" spans="2:13" ht="20.100000000000001" customHeight="1" x14ac:dyDescent="0.15">
      <c r="B1043" s="72"/>
      <c r="C1043" s="10"/>
      <c r="D1043" s="10"/>
      <c r="E1043" s="10"/>
      <c r="F1043" s="10"/>
      <c r="G1043" s="7"/>
      <c r="H1043" s="8"/>
      <c r="I1043" s="8"/>
      <c r="J1043" s="23" t="str">
        <f t="shared" ref="J1043:J1081" si="80">IF((K1042+H1043-I1043)&gt;0,"借","贷")</f>
        <v>借</v>
      </c>
      <c r="K1043" s="43">
        <f t="shared" si="79"/>
        <v>11113</v>
      </c>
      <c r="L1043" s="10"/>
    </row>
    <row r="1044" spans="2:13" ht="20.100000000000001" customHeight="1" x14ac:dyDescent="0.15">
      <c r="B1044" s="72"/>
      <c r="C1044" s="10"/>
      <c r="D1044" s="61"/>
      <c r="E1044" s="61"/>
      <c r="F1044" s="10"/>
      <c r="G1044" s="7"/>
      <c r="H1044" s="23"/>
      <c r="I1044" s="23"/>
      <c r="J1044" s="23" t="str">
        <f t="shared" si="80"/>
        <v>借</v>
      </c>
      <c r="K1044" s="43">
        <f t="shared" si="79"/>
        <v>11113</v>
      </c>
      <c r="L1044" s="9"/>
    </row>
    <row r="1045" spans="2:13" ht="20.100000000000001" customHeight="1" x14ac:dyDescent="0.15">
      <c r="B1045" s="72"/>
      <c r="C1045" s="10"/>
      <c r="D1045" s="10"/>
      <c r="E1045" s="10"/>
      <c r="F1045" s="10"/>
      <c r="G1045" s="7"/>
      <c r="H1045" s="8"/>
      <c r="I1045" s="8"/>
      <c r="J1045" s="23" t="str">
        <f t="shared" si="80"/>
        <v>借</v>
      </c>
      <c r="K1045" s="43">
        <f t="shared" si="79"/>
        <v>11113</v>
      </c>
      <c r="L1045" s="10"/>
    </row>
    <row r="1046" spans="2:13" ht="20.100000000000001" customHeight="1" x14ac:dyDescent="0.15">
      <c r="B1046" s="72"/>
      <c r="C1046" s="10"/>
      <c r="D1046" s="10"/>
      <c r="E1046" s="10"/>
      <c r="F1046" s="10"/>
      <c r="G1046" s="7"/>
      <c r="H1046" s="8"/>
      <c r="I1046" s="8"/>
      <c r="J1046" s="23" t="str">
        <f t="shared" si="80"/>
        <v>借</v>
      </c>
      <c r="K1046" s="43">
        <f t="shared" ref="K1046:K1081" si="81">_xlfn.IFS(J1045="借",K1045+H1046-I1046,J1045="贷",H1046-I1046-K1045)</f>
        <v>11113</v>
      </c>
      <c r="L1046" s="10"/>
    </row>
    <row r="1047" spans="2:13" ht="20.100000000000001" customHeight="1" x14ac:dyDescent="0.15">
      <c r="B1047" s="72"/>
      <c r="C1047" s="10"/>
      <c r="D1047" s="10"/>
      <c r="E1047" s="10"/>
      <c r="F1047" s="10"/>
      <c r="G1047" s="7"/>
      <c r="H1047" s="23"/>
      <c r="I1047" s="23"/>
      <c r="J1047" s="23" t="str">
        <f t="shared" si="80"/>
        <v>借</v>
      </c>
      <c r="K1047" s="43">
        <f t="shared" si="81"/>
        <v>11113</v>
      </c>
      <c r="L1047" s="9"/>
      <c r="M1047" s="99"/>
    </row>
    <row r="1048" spans="2:13" ht="20.100000000000001" customHeight="1" x14ac:dyDescent="0.15">
      <c r="B1048" s="72"/>
      <c r="C1048" s="10"/>
      <c r="D1048" s="10"/>
      <c r="E1048" s="10"/>
      <c r="F1048" s="10"/>
      <c r="G1048" s="7"/>
      <c r="H1048" s="8"/>
      <c r="I1048" s="8"/>
      <c r="J1048" s="23" t="str">
        <f t="shared" si="80"/>
        <v>借</v>
      </c>
      <c r="K1048" s="43">
        <f t="shared" si="81"/>
        <v>11113</v>
      </c>
      <c r="L1048" s="10"/>
      <c r="M1048" s="99"/>
    </row>
    <row r="1049" spans="2:13" ht="20.100000000000001" customHeight="1" x14ac:dyDescent="0.15">
      <c r="B1049" s="72"/>
      <c r="C1049" s="10"/>
      <c r="D1049" s="10"/>
      <c r="E1049" s="61"/>
      <c r="F1049" s="10"/>
      <c r="G1049" s="7"/>
      <c r="H1049" s="8"/>
      <c r="I1049" s="8"/>
      <c r="J1049" s="23" t="str">
        <f t="shared" si="80"/>
        <v>借</v>
      </c>
      <c r="K1049" s="43">
        <f t="shared" si="81"/>
        <v>11113</v>
      </c>
      <c r="L1049" s="10"/>
    </row>
    <row r="1050" spans="2:13" ht="20.100000000000001" customHeight="1" x14ac:dyDescent="0.15">
      <c r="B1050" s="72"/>
      <c r="C1050" s="10"/>
      <c r="D1050" s="61"/>
      <c r="E1050" s="61"/>
      <c r="F1050" s="10"/>
      <c r="G1050" s="7"/>
      <c r="H1050" s="23"/>
      <c r="I1050" s="23"/>
      <c r="J1050" s="23" t="str">
        <f t="shared" si="80"/>
        <v>借</v>
      </c>
      <c r="K1050" s="43">
        <f t="shared" si="81"/>
        <v>11113</v>
      </c>
      <c r="L1050" s="10"/>
    </row>
    <row r="1051" spans="2:13" ht="20.100000000000001" customHeight="1" x14ac:dyDescent="0.15">
      <c r="B1051" s="72"/>
      <c r="C1051" s="10"/>
      <c r="D1051" s="10"/>
      <c r="E1051" s="10"/>
      <c r="F1051" s="10"/>
      <c r="G1051" s="7"/>
      <c r="H1051" s="8"/>
      <c r="I1051" s="8"/>
      <c r="J1051" s="23" t="str">
        <f t="shared" si="80"/>
        <v>借</v>
      </c>
      <c r="K1051" s="43">
        <f t="shared" si="81"/>
        <v>11113</v>
      </c>
      <c r="L1051" s="10"/>
    </row>
    <row r="1052" spans="2:13" ht="20.100000000000001" customHeight="1" x14ac:dyDescent="0.15">
      <c r="B1052" s="72"/>
      <c r="C1052" s="10"/>
      <c r="D1052" s="10"/>
      <c r="E1052" s="10"/>
      <c r="F1052" s="10"/>
      <c r="G1052" s="7"/>
      <c r="H1052" s="8"/>
      <c r="I1052" s="8"/>
      <c r="J1052" s="23" t="str">
        <f t="shared" si="80"/>
        <v>借</v>
      </c>
      <c r="K1052" s="43">
        <f t="shared" si="81"/>
        <v>11113</v>
      </c>
      <c r="L1052" s="10"/>
    </row>
    <row r="1053" spans="2:13" ht="20.100000000000001" customHeight="1" x14ac:dyDescent="0.15">
      <c r="B1053" s="72"/>
      <c r="C1053" s="10"/>
      <c r="D1053" s="10"/>
      <c r="E1053" s="10"/>
      <c r="F1053" s="10"/>
      <c r="G1053" s="7"/>
      <c r="H1053" s="23"/>
      <c r="I1053" s="23"/>
      <c r="J1053" s="23" t="str">
        <f t="shared" si="80"/>
        <v>借</v>
      </c>
      <c r="K1053" s="43">
        <f t="shared" si="81"/>
        <v>11113</v>
      </c>
      <c r="L1053" s="10"/>
    </row>
    <row r="1054" spans="2:13" ht="20.100000000000001" customHeight="1" x14ac:dyDescent="0.15">
      <c r="B1054" s="72"/>
      <c r="C1054" s="10"/>
      <c r="D1054" s="61"/>
      <c r="E1054" s="61"/>
      <c r="F1054" s="10"/>
      <c r="G1054" s="7"/>
      <c r="H1054" s="8"/>
      <c r="I1054" s="8"/>
      <c r="J1054" s="23" t="str">
        <f t="shared" si="80"/>
        <v>借</v>
      </c>
      <c r="K1054" s="43">
        <f t="shared" si="81"/>
        <v>11113</v>
      </c>
      <c r="L1054" s="10"/>
    </row>
    <row r="1055" spans="2:13" ht="20.100000000000001" customHeight="1" x14ac:dyDescent="0.15">
      <c r="B1055" s="72"/>
      <c r="C1055" s="10"/>
      <c r="D1055" s="10"/>
      <c r="E1055" s="10"/>
      <c r="F1055" s="10"/>
      <c r="G1055" s="7"/>
      <c r="H1055" s="8"/>
      <c r="I1055" s="8"/>
      <c r="J1055" s="23" t="str">
        <f t="shared" si="80"/>
        <v>借</v>
      </c>
      <c r="K1055" s="43">
        <f t="shared" si="81"/>
        <v>11113</v>
      </c>
      <c r="L1055" s="10"/>
    </row>
    <row r="1056" spans="2:13" ht="20.100000000000001" customHeight="1" x14ac:dyDescent="0.15">
      <c r="B1056" s="72"/>
      <c r="C1056" s="10"/>
      <c r="D1056" s="61"/>
      <c r="E1056" s="61"/>
      <c r="F1056" s="10"/>
      <c r="G1056" s="7"/>
      <c r="H1056" s="23"/>
      <c r="I1056" s="23"/>
      <c r="J1056" s="23" t="str">
        <f t="shared" si="80"/>
        <v>借</v>
      </c>
      <c r="K1056" s="43">
        <f t="shared" si="81"/>
        <v>11113</v>
      </c>
      <c r="L1056" s="9"/>
    </row>
    <row r="1057" spans="2:13" ht="20.100000000000001" customHeight="1" x14ac:dyDescent="0.15">
      <c r="B1057" s="72"/>
      <c r="C1057" s="10"/>
      <c r="D1057" s="10"/>
      <c r="E1057" s="10"/>
      <c r="F1057" s="10"/>
      <c r="G1057" s="7"/>
      <c r="H1057" s="8"/>
      <c r="I1057" s="8"/>
      <c r="J1057" s="23" t="str">
        <f t="shared" si="80"/>
        <v>借</v>
      </c>
      <c r="K1057" s="43">
        <f t="shared" si="81"/>
        <v>11113</v>
      </c>
      <c r="L1057" s="10"/>
    </row>
    <row r="1058" spans="2:13" ht="20.100000000000001" customHeight="1" x14ac:dyDescent="0.15">
      <c r="B1058" s="72"/>
      <c r="C1058" s="10"/>
      <c r="D1058" s="10"/>
      <c r="E1058" s="10"/>
      <c r="F1058" s="10"/>
      <c r="G1058" s="7"/>
      <c r="H1058" s="8"/>
      <c r="I1058" s="8"/>
      <c r="J1058" s="23" t="str">
        <f t="shared" si="80"/>
        <v>借</v>
      </c>
      <c r="K1058" s="43">
        <f t="shared" si="81"/>
        <v>11113</v>
      </c>
      <c r="L1058" s="10"/>
    </row>
    <row r="1059" spans="2:13" ht="20.100000000000001" customHeight="1" x14ac:dyDescent="0.15">
      <c r="B1059" s="72"/>
      <c r="C1059" s="10"/>
      <c r="D1059" s="10"/>
      <c r="E1059" s="10"/>
      <c r="F1059" s="10"/>
      <c r="G1059" s="7"/>
      <c r="H1059" s="23"/>
      <c r="I1059" s="23"/>
      <c r="J1059" s="23" t="str">
        <f t="shared" si="80"/>
        <v>借</v>
      </c>
      <c r="K1059" s="43">
        <f t="shared" si="81"/>
        <v>11113</v>
      </c>
      <c r="L1059" s="9"/>
    </row>
    <row r="1060" spans="2:13" ht="20.100000000000001" customHeight="1" x14ac:dyDescent="0.15">
      <c r="B1060" s="72"/>
      <c r="C1060" s="10"/>
      <c r="D1060" s="10"/>
      <c r="E1060" s="10"/>
      <c r="F1060" s="10"/>
      <c r="G1060" s="7"/>
      <c r="H1060" s="8"/>
      <c r="I1060" s="8"/>
      <c r="J1060" s="23" t="str">
        <f t="shared" si="80"/>
        <v>借</v>
      </c>
      <c r="K1060" s="43">
        <f t="shared" si="81"/>
        <v>11113</v>
      </c>
      <c r="L1060" s="10"/>
    </row>
    <row r="1061" spans="2:13" ht="20.100000000000001" customHeight="1" x14ac:dyDescent="0.15">
      <c r="B1061" s="72"/>
      <c r="C1061" s="10"/>
      <c r="D1061" s="10"/>
      <c r="E1061" s="10"/>
      <c r="F1061" s="10"/>
      <c r="G1061" s="7"/>
      <c r="H1061" s="8"/>
      <c r="I1061" s="8"/>
      <c r="J1061" s="23" t="str">
        <f t="shared" si="80"/>
        <v>借</v>
      </c>
      <c r="K1061" s="43">
        <f t="shared" si="81"/>
        <v>11113</v>
      </c>
      <c r="L1061" s="10"/>
    </row>
    <row r="1062" spans="2:13" ht="20.100000000000001" customHeight="1" x14ac:dyDescent="0.15">
      <c r="B1062" s="72"/>
      <c r="C1062" s="10"/>
      <c r="D1062" s="10"/>
      <c r="E1062" s="61"/>
      <c r="F1062" s="10"/>
      <c r="G1062" s="7"/>
      <c r="H1062" s="23"/>
      <c r="I1062" s="23"/>
      <c r="J1062" s="23" t="str">
        <f t="shared" si="80"/>
        <v>借</v>
      </c>
      <c r="K1062" s="43">
        <f t="shared" si="81"/>
        <v>11113</v>
      </c>
      <c r="L1062" s="9"/>
    </row>
    <row r="1063" spans="2:13" ht="20.100000000000001" customHeight="1" x14ac:dyDescent="0.15">
      <c r="B1063" s="72"/>
      <c r="C1063" s="10"/>
      <c r="D1063" s="10"/>
      <c r="E1063" s="10"/>
      <c r="F1063" s="10"/>
      <c r="G1063" s="7"/>
      <c r="H1063" s="8"/>
      <c r="I1063" s="8"/>
      <c r="J1063" s="23" t="str">
        <f t="shared" si="80"/>
        <v>借</v>
      </c>
      <c r="K1063" s="43">
        <f t="shared" si="81"/>
        <v>11113</v>
      </c>
      <c r="L1063" s="10"/>
      <c r="M1063" s="10"/>
    </row>
    <row r="1064" spans="2:13" ht="20.100000000000001" customHeight="1" x14ac:dyDescent="0.15">
      <c r="B1064" s="72"/>
      <c r="C1064" s="10"/>
      <c r="D1064" s="61"/>
      <c r="E1064" s="10"/>
      <c r="F1064" s="10"/>
      <c r="G1064" s="7"/>
      <c r="H1064" s="8"/>
      <c r="I1064" s="8"/>
      <c r="J1064" s="23" t="str">
        <f t="shared" si="80"/>
        <v>借</v>
      </c>
      <c r="K1064" s="43">
        <f t="shared" si="81"/>
        <v>11113</v>
      </c>
      <c r="L1064" s="10"/>
      <c r="M1064" s="10"/>
    </row>
    <row r="1065" spans="2:13" ht="20.100000000000001" customHeight="1" x14ac:dyDescent="0.15">
      <c r="B1065" s="72"/>
      <c r="C1065" s="10"/>
      <c r="D1065" s="10"/>
      <c r="E1065" s="61"/>
      <c r="F1065" s="10"/>
      <c r="G1065" s="7"/>
      <c r="H1065" s="23"/>
      <c r="I1065" s="23"/>
      <c r="J1065" s="23" t="str">
        <f t="shared" si="80"/>
        <v>借</v>
      </c>
      <c r="K1065" s="43">
        <f t="shared" si="81"/>
        <v>11113</v>
      </c>
      <c r="L1065" s="10"/>
      <c r="M1065" s="10"/>
    </row>
    <row r="1066" spans="2:13" ht="20.100000000000001" customHeight="1" x14ac:dyDescent="0.15">
      <c r="B1066" s="72"/>
      <c r="C1066" s="10"/>
      <c r="D1066" s="10"/>
      <c r="E1066" s="10"/>
      <c r="F1066" s="10"/>
      <c r="G1066" s="7"/>
      <c r="H1066" s="8"/>
      <c r="I1066" s="8"/>
      <c r="J1066" s="23" t="str">
        <f t="shared" si="80"/>
        <v>借</v>
      </c>
      <c r="K1066" s="43">
        <f t="shared" si="81"/>
        <v>11113</v>
      </c>
      <c r="L1066" s="10"/>
      <c r="M1066" s="10"/>
    </row>
    <row r="1067" spans="2:13" ht="20.100000000000001" customHeight="1" x14ac:dyDescent="0.15">
      <c r="B1067" s="72"/>
      <c r="C1067" s="10"/>
      <c r="D1067" s="61"/>
      <c r="E1067" s="61"/>
      <c r="F1067" s="10"/>
      <c r="G1067" s="7"/>
      <c r="H1067" s="8"/>
      <c r="I1067" s="8"/>
      <c r="J1067" s="23" t="str">
        <f t="shared" si="80"/>
        <v>借</v>
      </c>
      <c r="K1067" s="43">
        <f t="shared" si="81"/>
        <v>11113</v>
      </c>
      <c r="L1067" s="10"/>
      <c r="M1067" s="10"/>
    </row>
    <row r="1068" spans="2:13" ht="20.100000000000001" customHeight="1" x14ac:dyDescent="0.15">
      <c r="B1068" s="72"/>
      <c r="C1068" s="10"/>
      <c r="D1068" s="10"/>
      <c r="E1068" s="10"/>
      <c r="F1068" s="10"/>
      <c r="G1068" s="7"/>
      <c r="H1068" s="8"/>
      <c r="I1068" s="8"/>
      <c r="J1068" s="23" t="str">
        <f t="shared" si="80"/>
        <v>借</v>
      </c>
      <c r="K1068" s="43">
        <f t="shared" si="81"/>
        <v>11113</v>
      </c>
      <c r="L1068" s="10"/>
    </row>
    <row r="1069" spans="2:13" ht="20.100000000000001" customHeight="1" x14ac:dyDescent="0.15">
      <c r="B1069" s="72"/>
      <c r="C1069" s="10"/>
      <c r="D1069" s="10"/>
      <c r="E1069" s="10"/>
      <c r="F1069" s="10"/>
      <c r="G1069" s="7"/>
      <c r="H1069" s="8"/>
      <c r="I1069" s="8"/>
      <c r="J1069" s="23" t="str">
        <f t="shared" si="80"/>
        <v>借</v>
      </c>
      <c r="K1069" s="43">
        <f t="shared" si="81"/>
        <v>11113</v>
      </c>
      <c r="L1069" s="10"/>
      <c r="M1069" s="99"/>
    </row>
    <row r="1070" spans="2:13" ht="20.100000000000001" customHeight="1" x14ac:dyDescent="0.15">
      <c r="B1070" s="72"/>
      <c r="C1070" s="10"/>
      <c r="D1070" s="10"/>
      <c r="E1070" s="10"/>
      <c r="F1070" s="10"/>
      <c r="G1070" s="7"/>
      <c r="H1070" s="8"/>
      <c r="I1070" s="8"/>
      <c r="J1070" s="23" t="str">
        <f t="shared" si="80"/>
        <v>借</v>
      </c>
      <c r="K1070" s="43">
        <f t="shared" si="81"/>
        <v>11113</v>
      </c>
      <c r="L1070" s="10"/>
      <c r="M1070" s="99"/>
    </row>
    <row r="1071" spans="2:13" ht="20.100000000000001" customHeight="1" x14ac:dyDescent="0.15">
      <c r="B1071" s="72"/>
      <c r="C1071" s="10"/>
      <c r="D1071" s="10"/>
      <c r="E1071" s="10"/>
      <c r="F1071" s="10"/>
      <c r="G1071" s="7"/>
      <c r="H1071" s="23"/>
      <c r="I1071" s="23"/>
      <c r="J1071" s="23" t="str">
        <f t="shared" si="80"/>
        <v>借</v>
      </c>
      <c r="K1071" s="43">
        <f t="shared" si="81"/>
        <v>11113</v>
      </c>
      <c r="L1071" s="9"/>
    </row>
    <row r="1072" spans="2:13" ht="20.100000000000001" customHeight="1" x14ac:dyDescent="0.15">
      <c r="B1072" s="72"/>
      <c r="C1072" s="10"/>
      <c r="D1072" s="61"/>
      <c r="E1072" s="61"/>
      <c r="F1072" s="10"/>
      <c r="G1072" s="7"/>
      <c r="H1072" s="23"/>
      <c r="I1072" s="8"/>
      <c r="J1072" s="23" t="str">
        <f t="shared" si="80"/>
        <v>借</v>
      </c>
      <c r="K1072" s="43">
        <f t="shared" si="81"/>
        <v>11113</v>
      </c>
      <c r="L1072" s="10"/>
    </row>
    <row r="1073" spans="2:12" ht="20.100000000000001" customHeight="1" x14ac:dyDescent="0.15">
      <c r="B1073" s="72"/>
      <c r="C1073" s="10"/>
      <c r="D1073" s="10"/>
      <c r="E1073" s="10"/>
      <c r="F1073" s="10"/>
      <c r="G1073" s="7"/>
      <c r="H1073" s="8"/>
      <c r="I1073" s="8"/>
      <c r="J1073" s="23" t="str">
        <f t="shared" si="80"/>
        <v>借</v>
      </c>
      <c r="K1073" s="43">
        <f t="shared" si="81"/>
        <v>11113</v>
      </c>
      <c r="L1073" s="10"/>
    </row>
    <row r="1074" spans="2:12" ht="20.100000000000001" customHeight="1" x14ac:dyDescent="0.15">
      <c r="B1074" s="72"/>
      <c r="C1074" s="10"/>
      <c r="D1074" s="61"/>
      <c r="E1074" s="61"/>
      <c r="F1074" s="10"/>
      <c r="G1074" s="7"/>
      <c r="H1074" s="23"/>
      <c r="I1074" s="23"/>
      <c r="J1074" s="23" t="str">
        <f t="shared" si="80"/>
        <v>借</v>
      </c>
      <c r="K1074" s="43">
        <f t="shared" si="81"/>
        <v>11113</v>
      </c>
      <c r="L1074" s="9"/>
    </row>
    <row r="1075" spans="2:12" ht="20.100000000000001" customHeight="1" x14ac:dyDescent="0.15">
      <c r="B1075" s="72"/>
      <c r="C1075" s="10"/>
      <c r="D1075" s="10"/>
      <c r="E1075" s="10"/>
      <c r="F1075" s="10"/>
      <c r="G1075" s="7"/>
      <c r="H1075" s="8"/>
      <c r="I1075" s="8"/>
      <c r="J1075" s="23" t="str">
        <f t="shared" si="80"/>
        <v>借</v>
      </c>
      <c r="K1075" s="43">
        <f t="shared" si="81"/>
        <v>11113</v>
      </c>
      <c r="L1075" s="10"/>
    </row>
    <row r="1076" spans="2:12" ht="20.100000000000001" customHeight="1" x14ac:dyDescent="0.15">
      <c r="B1076" s="72"/>
      <c r="C1076" s="10"/>
      <c r="D1076" s="10"/>
      <c r="E1076" s="10"/>
      <c r="F1076" s="10"/>
      <c r="G1076" s="7"/>
      <c r="H1076" s="8"/>
      <c r="I1076" s="8"/>
      <c r="J1076" s="23" t="str">
        <f t="shared" si="80"/>
        <v>借</v>
      </c>
      <c r="K1076" s="43">
        <f t="shared" si="81"/>
        <v>11113</v>
      </c>
      <c r="L1076" s="10"/>
    </row>
    <row r="1077" spans="2:12" ht="20.100000000000001" customHeight="1" x14ac:dyDescent="0.15">
      <c r="B1077" s="72"/>
      <c r="C1077" s="10"/>
      <c r="D1077" s="10"/>
      <c r="E1077" s="10"/>
      <c r="F1077" s="10"/>
      <c r="G1077" s="7"/>
      <c r="H1077" s="23"/>
      <c r="I1077" s="23"/>
      <c r="J1077" s="23" t="str">
        <f t="shared" si="80"/>
        <v>借</v>
      </c>
      <c r="K1077" s="43">
        <f t="shared" si="81"/>
        <v>11113</v>
      </c>
      <c r="L1077" s="9"/>
    </row>
    <row r="1078" spans="2:12" ht="20.100000000000001" customHeight="1" x14ac:dyDescent="0.15">
      <c r="B1078" s="72"/>
      <c r="C1078" s="10"/>
      <c r="D1078" s="10"/>
      <c r="E1078" s="10"/>
      <c r="F1078" s="10"/>
      <c r="G1078" s="7"/>
      <c r="H1078" s="8"/>
      <c r="I1078" s="8"/>
      <c r="J1078" s="23" t="str">
        <f t="shared" si="80"/>
        <v>借</v>
      </c>
      <c r="K1078" s="43">
        <f t="shared" si="81"/>
        <v>11113</v>
      </c>
      <c r="L1078" s="10"/>
    </row>
    <row r="1079" spans="2:12" ht="20.100000000000001" customHeight="1" x14ac:dyDescent="0.15">
      <c r="B1079" s="72"/>
      <c r="C1079" s="10"/>
      <c r="D1079" s="10"/>
      <c r="E1079" s="10"/>
      <c r="F1079" s="10"/>
      <c r="G1079" s="7"/>
      <c r="H1079" s="8"/>
      <c r="I1079" s="8"/>
      <c r="J1079" s="23" t="str">
        <f t="shared" si="80"/>
        <v>借</v>
      </c>
      <c r="K1079" s="43">
        <f t="shared" si="81"/>
        <v>11113</v>
      </c>
      <c r="L1079" s="10"/>
    </row>
    <row r="1080" spans="2:12" ht="20.100000000000001" customHeight="1" x14ac:dyDescent="0.15">
      <c r="B1080" s="72"/>
      <c r="C1080" s="10"/>
      <c r="D1080" s="10"/>
      <c r="E1080" s="10"/>
      <c r="F1080" s="10"/>
      <c r="G1080" s="7"/>
      <c r="H1080" s="8"/>
      <c r="I1080" s="8"/>
      <c r="J1080" s="23" t="str">
        <f t="shared" si="80"/>
        <v>借</v>
      </c>
      <c r="K1080" s="43">
        <f t="shared" si="81"/>
        <v>11113</v>
      </c>
      <c r="L1080" s="10"/>
    </row>
    <row r="1081" spans="2:12" ht="20.100000000000001" customHeight="1" x14ac:dyDescent="0.15">
      <c r="B1081" s="72"/>
      <c r="C1081" s="10"/>
      <c r="D1081" s="10"/>
      <c r="E1081" s="10"/>
      <c r="F1081" s="10"/>
      <c r="G1081" s="7"/>
      <c r="H1081" s="8"/>
      <c r="I1081" s="8"/>
      <c r="J1081" s="23" t="str">
        <f t="shared" si="80"/>
        <v>借</v>
      </c>
      <c r="K1081" s="43">
        <f t="shared" si="81"/>
        <v>11113</v>
      </c>
      <c r="L1081" s="10"/>
    </row>
    <row r="1082" spans="2:12" ht="20.100000000000001" customHeight="1" x14ac:dyDescent="0.15">
      <c r="B1082" s="72"/>
      <c r="C1082" s="10"/>
      <c r="D1082" s="10"/>
      <c r="E1082" s="10"/>
      <c r="F1082" s="10"/>
      <c r="G1082" s="7"/>
      <c r="H1082" s="8"/>
      <c r="I1082" s="8"/>
      <c r="J1082" s="23" t="str">
        <f t="shared" ref="J1082:J1097" si="82">IF((K1081+H1082-I1082)&gt;0,"借","贷")</f>
        <v>借</v>
      </c>
      <c r="K1082" s="43">
        <f t="shared" ref="K1082:K1097" si="83">_xlfn.IFS(J1081="借",K1081+H1082-I1082,J1081="贷",H1082-I1082-K1081)</f>
        <v>11113</v>
      </c>
      <c r="L1082" s="10"/>
    </row>
    <row r="1083" spans="2:12" ht="20.100000000000001" customHeight="1" x14ac:dyDescent="0.15">
      <c r="B1083" s="72"/>
      <c r="C1083" s="10"/>
      <c r="D1083" s="61"/>
      <c r="E1083" s="61"/>
      <c r="F1083" s="10"/>
      <c r="G1083" s="7"/>
      <c r="H1083" s="23"/>
      <c r="I1083" s="23"/>
      <c r="J1083" s="23" t="str">
        <f t="shared" si="82"/>
        <v>借</v>
      </c>
      <c r="K1083" s="43">
        <f t="shared" si="83"/>
        <v>11113</v>
      </c>
      <c r="L1083" s="9"/>
    </row>
    <row r="1084" spans="2:12" ht="20.100000000000001" customHeight="1" x14ac:dyDescent="0.15">
      <c r="B1084" s="72"/>
      <c r="C1084" s="10"/>
      <c r="D1084" s="10"/>
      <c r="E1084" s="10"/>
      <c r="F1084" s="61"/>
      <c r="G1084" s="7"/>
      <c r="H1084" s="8"/>
      <c r="I1084" s="8"/>
      <c r="J1084" s="23" t="str">
        <f t="shared" si="82"/>
        <v>借</v>
      </c>
      <c r="K1084" s="43">
        <f t="shared" si="83"/>
        <v>11113</v>
      </c>
      <c r="L1084" s="10"/>
    </row>
    <row r="1085" spans="2:12" ht="20.100000000000001" customHeight="1" x14ac:dyDescent="0.15">
      <c r="B1085" s="72"/>
      <c r="C1085" s="10"/>
      <c r="D1085" s="10"/>
      <c r="E1085" s="10"/>
      <c r="F1085" s="10"/>
      <c r="G1085" s="7"/>
      <c r="H1085" s="8"/>
      <c r="I1085" s="8"/>
      <c r="J1085" s="23" t="str">
        <f t="shared" si="82"/>
        <v>借</v>
      </c>
      <c r="K1085" s="43">
        <f t="shared" si="83"/>
        <v>11113</v>
      </c>
      <c r="L1085" s="10"/>
    </row>
    <row r="1086" spans="2:12" ht="20.100000000000001" customHeight="1" x14ac:dyDescent="0.15">
      <c r="B1086" s="72"/>
      <c r="C1086" s="10"/>
      <c r="D1086" s="10"/>
      <c r="E1086" s="61"/>
      <c r="F1086" s="61"/>
      <c r="G1086" s="7"/>
      <c r="H1086" s="23"/>
      <c r="I1086" s="23"/>
      <c r="J1086" s="23" t="str">
        <f t="shared" si="82"/>
        <v>借</v>
      </c>
      <c r="K1086" s="43">
        <f t="shared" si="83"/>
        <v>11113</v>
      </c>
      <c r="L1086" s="10"/>
    </row>
    <row r="1087" spans="2:12" ht="20.100000000000001" customHeight="1" x14ac:dyDescent="0.15">
      <c r="B1087" s="72"/>
      <c r="C1087" s="10"/>
      <c r="D1087" s="10"/>
      <c r="E1087" s="10"/>
      <c r="F1087" s="61"/>
      <c r="G1087" s="7"/>
      <c r="H1087" s="8"/>
      <c r="I1087" s="8"/>
      <c r="J1087" s="23" t="str">
        <f t="shared" si="82"/>
        <v>借</v>
      </c>
      <c r="K1087" s="43">
        <f t="shared" si="83"/>
        <v>11113</v>
      </c>
      <c r="L1087" s="10"/>
    </row>
    <row r="1088" spans="2:12" ht="20.100000000000001" customHeight="1" x14ac:dyDescent="0.15">
      <c r="B1088" s="72"/>
      <c r="C1088" s="10"/>
      <c r="D1088" s="10"/>
      <c r="E1088" s="10"/>
      <c r="F1088" s="61"/>
      <c r="G1088" s="7"/>
      <c r="H1088" s="8"/>
      <c r="I1088" s="8"/>
      <c r="J1088" s="23" t="str">
        <f t="shared" si="82"/>
        <v>借</v>
      </c>
      <c r="K1088" s="43">
        <f t="shared" si="83"/>
        <v>11113</v>
      </c>
      <c r="L1088" s="10"/>
    </row>
    <row r="1089" spans="2:13" ht="20.100000000000001" customHeight="1" x14ac:dyDescent="0.15">
      <c r="B1089" s="72"/>
      <c r="C1089" s="10"/>
      <c r="D1089" s="61"/>
      <c r="E1089" s="61"/>
      <c r="F1089" s="61"/>
      <c r="G1089" s="7"/>
      <c r="H1089" s="23"/>
      <c r="I1089" s="23"/>
      <c r="J1089" s="23" t="str">
        <f t="shared" si="82"/>
        <v>借</v>
      </c>
      <c r="K1089" s="43">
        <f t="shared" si="83"/>
        <v>11113</v>
      </c>
      <c r="L1089" s="9"/>
    </row>
    <row r="1090" spans="2:13" ht="20.100000000000001" customHeight="1" x14ac:dyDescent="0.15">
      <c r="B1090" s="72"/>
      <c r="C1090" s="10"/>
      <c r="D1090" s="10"/>
      <c r="E1090" s="61"/>
      <c r="F1090" s="61"/>
      <c r="G1090" s="7"/>
      <c r="H1090" s="8"/>
      <c r="I1090" s="8"/>
      <c r="J1090" s="23" t="str">
        <f t="shared" si="82"/>
        <v>借</v>
      </c>
      <c r="K1090" s="43">
        <f t="shared" si="83"/>
        <v>11113</v>
      </c>
      <c r="L1090" s="10"/>
      <c r="M1090" s="99"/>
    </row>
    <row r="1091" spans="2:13" ht="20.100000000000001" customHeight="1" x14ac:dyDescent="0.15">
      <c r="B1091" s="72"/>
      <c r="C1091" s="10"/>
      <c r="D1091" s="10"/>
      <c r="E1091" s="10"/>
      <c r="F1091" s="10"/>
      <c r="G1091" s="7"/>
      <c r="H1091" s="8"/>
      <c r="I1091" s="8"/>
      <c r="J1091" s="23" t="str">
        <f t="shared" si="82"/>
        <v>借</v>
      </c>
      <c r="K1091" s="43">
        <f t="shared" si="83"/>
        <v>11113</v>
      </c>
      <c r="L1091" s="10"/>
      <c r="M1091" s="99"/>
    </row>
    <row r="1092" spans="2:13" ht="20.100000000000001" customHeight="1" x14ac:dyDescent="0.15">
      <c r="B1092" s="72"/>
      <c r="C1092" s="10"/>
      <c r="D1092" s="61"/>
      <c r="E1092" s="61"/>
      <c r="F1092" s="61"/>
      <c r="G1092" s="7"/>
      <c r="H1092" s="23"/>
      <c r="I1092" s="23"/>
      <c r="J1092" s="23" t="str">
        <f t="shared" si="82"/>
        <v>借</v>
      </c>
      <c r="K1092" s="43">
        <f t="shared" si="83"/>
        <v>11113</v>
      </c>
      <c r="L1092" s="9"/>
    </row>
    <row r="1093" spans="2:13" ht="20.100000000000001" customHeight="1" x14ac:dyDescent="0.15">
      <c r="B1093" s="72"/>
      <c r="C1093" s="10"/>
      <c r="D1093" s="10"/>
      <c r="E1093" s="10"/>
      <c r="F1093" s="10"/>
      <c r="G1093" s="7"/>
      <c r="H1093" s="8"/>
      <c r="I1093" s="8"/>
      <c r="J1093" s="23" t="str">
        <f t="shared" si="82"/>
        <v>借</v>
      </c>
      <c r="K1093" s="43">
        <f t="shared" si="83"/>
        <v>11113</v>
      </c>
      <c r="L1093" s="10"/>
    </row>
    <row r="1094" spans="2:13" ht="20.100000000000001" customHeight="1" x14ac:dyDescent="0.15">
      <c r="B1094" s="72"/>
      <c r="C1094" s="10"/>
      <c r="D1094" s="10"/>
      <c r="E1094" s="10"/>
      <c r="F1094" s="10"/>
      <c r="G1094" s="7"/>
      <c r="H1094" s="8"/>
      <c r="I1094" s="8"/>
      <c r="J1094" s="23" t="str">
        <f t="shared" si="82"/>
        <v>借</v>
      </c>
      <c r="K1094" s="43">
        <f t="shared" si="83"/>
        <v>11113</v>
      </c>
      <c r="L1094" s="10"/>
    </row>
    <row r="1095" spans="2:13" ht="20.100000000000001" customHeight="1" x14ac:dyDescent="0.15">
      <c r="B1095" s="72"/>
      <c r="C1095" s="10"/>
      <c r="D1095" s="10"/>
      <c r="E1095" s="10"/>
      <c r="F1095" s="10"/>
      <c r="G1095" s="7"/>
      <c r="H1095" s="8"/>
      <c r="I1095" s="8"/>
      <c r="J1095" s="23" t="str">
        <f t="shared" si="82"/>
        <v>借</v>
      </c>
      <c r="K1095" s="43">
        <f t="shared" si="83"/>
        <v>11113</v>
      </c>
      <c r="L1095" s="9"/>
    </row>
    <row r="1096" spans="2:13" ht="20.100000000000001" customHeight="1" x14ac:dyDescent="0.15">
      <c r="B1096" s="72"/>
      <c r="C1096" s="10"/>
      <c r="D1096" s="10"/>
      <c r="E1096" s="10"/>
      <c r="F1096" s="10"/>
      <c r="G1096" s="7"/>
      <c r="H1096" s="8"/>
      <c r="I1096" s="8"/>
      <c r="J1096" s="23" t="str">
        <f t="shared" si="82"/>
        <v>借</v>
      </c>
      <c r="K1096" s="43">
        <f t="shared" si="83"/>
        <v>11113</v>
      </c>
      <c r="L1096" s="10"/>
    </row>
    <row r="1097" spans="2:13" ht="20.100000000000001" customHeight="1" x14ac:dyDescent="0.15">
      <c r="B1097" s="72"/>
      <c r="C1097" s="10"/>
      <c r="D1097" s="10"/>
      <c r="E1097" s="61"/>
      <c r="F1097" s="61"/>
      <c r="G1097" s="7"/>
      <c r="H1097" s="8"/>
      <c r="I1097" s="8"/>
      <c r="J1097" s="23" t="str">
        <f t="shared" si="82"/>
        <v>借</v>
      </c>
      <c r="K1097" s="43">
        <f t="shared" si="83"/>
        <v>11113</v>
      </c>
      <c r="L1097" s="10"/>
    </row>
    <row r="1098" spans="2:13" ht="20.100000000000001" customHeight="1" x14ac:dyDescent="0.15">
      <c r="B1098" s="72"/>
      <c r="C1098" s="10"/>
      <c r="D1098" s="61"/>
      <c r="E1098" s="61"/>
      <c r="F1098" s="61"/>
      <c r="G1098" s="7"/>
      <c r="H1098" s="23"/>
      <c r="I1098" s="23"/>
      <c r="J1098" s="23" t="str">
        <f t="shared" ref="J1098:J1115" si="84">IF((K1097+H1098-I1098)&gt;0,"借","贷")</f>
        <v>借</v>
      </c>
      <c r="K1098" s="43">
        <f t="shared" ref="K1098:K1115" si="85">_xlfn.IFS(J1097="借",K1097+H1098-I1098,J1097="贷",H1098-I1098-K1097)</f>
        <v>11113</v>
      </c>
      <c r="L1098" s="9"/>
    </row>
    <row r="1099" spans="2:13" ht="20.100000000000001" customHeight="1" x14ac:dyDescent="0.15">
      <c r="B1099" s="72"/>
      <c r="C1099" s="10"/>
      <c r="D1099" s="10"/>
      <c r="E1099" s="10"/>
      <c r="F1099" s="10"/>
      <c r="G1099" s="7"/>
      <c r="H1099" s="8"/>
      <c r="I1099" s="8"/>
      <c r="J1099" s="23" t="str">
        <f t="shared" si="84"/>
        <v>借</v>
      </c>
      <c r="K1099" s="43">
        <f t="shared" si="85"/>
        <v>11113</v>
      </c>
      <c r="L1099" s="10"/>
    </row>
    <row r="1100" spans="2:13" ht="20.100000000000001" customHeight="1" x14ac:dyDescent="0.15">
      <c r="B1100" s="72"/>
      <c r="C1100" s="10"/>
      <c r="D1100" s="61"/>
      <c r="E1100" s="61"/>
      <c r="F1100" s="10"/>
      <c r="G1100" s="7"/>
      <c r="H1100" s="23"/>
      <c r="I1100" s="23"/>
      <c r="J1100" s="23" t="str">
        <f t="shared" si="84"/>
        <v>借</v>
      </c>
      <c r="K1100" s="43">
        <f t="shared" si="85"/>
        <v>11113</v>
      </c>
      <c r="L1100" s="10"/>
    </row>
    <row r="1101" spans="2:13" ht="20.100000000000001" customHeight="1" x14ac:dyDescent="0.15">
      <c r="B1101" s="72"/>
      <c r="C1101" s="10"/>
      <c r="D1101" s="10"/>
      <c r="E1101" s="10"/>
      <c r="F1101" s="10"/>
      <c r="G1101" s="7"/>
      <c r="H1101" s="8"/>
      <c r="I1101" s="8"/>
      <c r="J1101" s="23" t="str">
        <f t="shared" si="84"/>
        <v>借</v>
      </c>
      <c r="K1101" s="43">
        <f t="shared" si="85"/>
        <v>11113</v>
      </c>
      <c r="L1101" s="9"/>
    </row>
    <row r="1102" spans="2:13" ht="20.100000000000001" customHeight="1" x14ac:dyDescent="0.15">
      <c r="B1102" s="72"/>
      <c r="C1102" s="10"/>
      <c r="D1102" s="10"/>
      <c r="E1102" s="10"/>
      <c r="F1102" s="10"/>
      <c r="G1102" s="7"/>
      <c r="H1102" s="8"/>
      <c r="I1102" s="8"/>
      <c r="J1102" s="23" t="str">
        <f t="shared" si="84"/>
        <v>借</v>
      </c>
      <c r="K1102" s="43">
        <f t="shared" si="85"/>
        <v>11113</v>
      </c>
      <c r="L1102" s="10"/>
    </row>
    <row r="1103" spans="2:13" ht="20.100000000000001" customHeight="1" x14ac:dyDescent="0.15">
      <c r="B1103" s="72"/>
      <c r="C1103" s="10"/>
      <c r="D1103" s="61"/>
      <c r="E1103" s="61"/>
      <c r="F1103" s="61"/>
      <c r="G1103" s="7"/>
      <c r="H1103" s="23"/>
      <c r="I1103" s="23"/>
      <c r="J1103" s="23" t="str">
        <f t="shared" si="84"/>
        <v>借</v>
      </c>
      <c r="K1103" s="43">
        <f t="shared" si="85"/>
        <v>11113</v>
      </c>
      <c r="L1103" s="10"/>
      <c r="M1103" s="79"/>
    </row>
    <row r="1104" spans="2:13" ht="20.100000000000001" customHeight="1" x14ac:dyDescent="0.15">
      <c r="B1104" s="72"/>
      <c r="C1104" s="10"/>
      <c r="D1104" s="10"/>
      <c r="E1104" s="10"/>
      <c r="F1104" s="10"/>
      <c r="G1104" s="7"/>
      <c r="H1104" s="23"/>
      <c r="I1104" s="23"/>
      <c r="J1104" s="23" t="str">
        <f t="shared" si="84"/>
        <v>借</v>
      </c>
      <c r="K1104" s="43">
        <f t="shared" si="85"/>
        <v>11113</v>
      </c>
      <c r="L1104" s="9"/>
      <c r="M1104" s="79"/>
    </row>
    <row r="1105" spans="2:12" ht="20.100000000000001" customHeight="1" x14ac:dyDescent="0.15">
      <c r="B1105" s="72"/>
      <c r="C1105" s="10"/>
      <c r="D1105" s="10"/>
      <c r="E1105" s="10"/>
      <c r="F1105" s="10"/>
      <c r="G1105" s="7"/>
      <c r="H1105" s="8"/>
      <c r="I1105" s="8"/>
      <c r="J1105" s="23" t="str">
        <f t="shared" si="84"/>
        <v>借</v>
      </c>
      <c r="K1105" s="43">
        <f t="shared" si="85"/>
        <v>11113</v>
      </c>
      <c r="L1105" s="10"/>
    </row>
    <row r="1106" spans="2:12" ht="20.100000000000001" customHeight="1" x14ac:dyDescent="0.15">
      <c r="B1106" s="72"/>
      <c r="C1106" s="10"/>
      <c r="D1106" s="10"/>
      <c r="E1106" s="10"/>
      <c r="F1106" s="10"/>
      <c r="G1106" s="7"/>
      <c r="H1106" s="8"/>
      <c r="I1106" s="8"/>
      <c r="J1106" s="23" t="str">
        <f t="shared" si="84"/>
        <v>借</v>
      </c>
      <c r="K1106" s="43">
        <f t="shared" si="85"/>
        <v>11113</v>
      </c>
      <c r="L1106" s="10"/>
    </row>
    <row r="1107" spans="2:12" ht="20.100000000000001" customHeight="1" x14ac:dyDescent="0.15">
      <c r="B1107" s="72"/>
      <c r="C1107" s="10"/>
      <c r="D1107" s="61"/>
      <c r="E1107" s="61"/>
      <c r="F1107" s="61"/>
      <c r="G1107" s="7"/>
      <c r="H1107" s="23"/>
      <c r="I1107" s="23"/>
      <c r="J1107" s="23" t="str">
        <f t="shared" si="84"/>
        <v>借</v>
      </c>
      <c r="K1107" s="43">
        <f t="shared" si="85"/>
        <v>11113</v>
      </c>
      <c r="L1107" s="9"/>
    </row>
    <row r="1108" spans="2:12" ht="20.100000000000001" customHeight="1" x14ac:dyDescent="0.15">
      <c r="B1108" s="72"/>
      <c r="C1108" s="10"/>
      <c r="D1108" s="10"/>
      <c r="E1108" s="10"/>
      <c r="F1108" s="61"/>
      <c r="G1108" s="7"/>
      <c r="H1108" s="8"/>
      <c r="I1108" s="8"/>
      <c r="J1108" s="23" t="str">
        <f t="shared" si="84"/>
        <v>借</v>
      </c>
      <c r="K1108" s="43">
        <f t="shared" si="85"/>
        <v>11113</v>
      </c>
      <c r="L1108" s="10"/>
    </row>
    <row r="1109" spans="2:12" ht="20.100000000000001" customHeight="1" x14ac:dyDescent="0.15">
      <c r="B1109" s="72"/>
      <c r="C1109" s="10"/>
      <c r="D1109" s="10"/>
      <c r="E1109" s="10"/>
      <c r="F1109" s="10"/>
      <c r="G1109" s="7"/>
      <c r="H1109" s="8"/>
      <c r="I1109" s="8"/>
      <c r="J1109" s="23" t="str">
        <f t="shared" si="84"/>
        <v>借</v>
      </c>
      <c r="K1109" s="43">
        <f t="shared" si="85"/>
        <v>11113</v>
      </c>
      <c r="L1109" s="10"/>
    </row>
    <row r="1110" spans="2:12" ht="20.100000000000001" customHeight="1" x14ac:dyDescent="0.15">
      <c r="B1110" s="72"/>
      <c r="C1110" s="10"/>
      <c r="D1110" s="61"/>
      <c r="E1110" s="61"/>
      <c r="F1110" s="10"/>
      <c r="G1110" s="7"/>
      <c r="H1110" s="23"/>
      <c r="I1110" s="23"/>
      <c r="J1110" s="23" t="str">
        <f t="shared" si="84"/>
        <v>借</v>
      </c>
      <c r="K1110" s="43">
        <f t="shared" si="85"/>
        <v>11113</v>
      </c>
      <c r="L1110" s="9"/>
    </row>
    <row r="1111" spans="2:12" ht="20.100000000000001" customHeight="1" x14ac:dyDescent="0.15">
      <c r="B1111" s="72"/>
      <c r="C1111" s="10"/>
      <c r="D1111" s="10"/>
      <c r="E1111" s="10"/>
      <c r="F1111" s="61"/>
      <c r="G1111" s="7"/>
      <c r="H1111" s="8"/>
      <c r="I1111" s="8"/>
      <c r="J1111" s="23" t="str">
        <f t="shared" si="84"/>
        <v>借</v>
      </c>
      <c r="K1111" s="43">
        <f t="shared" si="85"/>
        <v>11113</v>
      </c>
      <c r="L1111" s="10"/>
    </row>
    <row r="1112" spans="2:12" ht="20.100000000000001" customHeight="1" x14ac:dyDescent="0.15">
      <c r="B1112" s="72"/>
      <c r="C1112" s="10"/>
      <c r="D1112" s="10"/>
      <c r="E1112" s="10"/>
      <c r="F1112" s="10"/>
      <c r="G1112" s="7"/>
      <c r="H1112" s="8"/>
      <c r="I1112" s="8"/>
      <c r="J1112" s="23" t="str">
        <f t="shared" si="84"/>
        <v>借</v>
      </c>
      <c r="K1112" s="43">
        <f t="shared" si="85"/>
        <v>11113</v>
      </c>
      <c r="L1112" s="10"/>
    </row>
    <row r="1113" spans="2:12" ht="20.100000000000001" customHeight="1" x14ac:dyDescent="0.15">
      <c r="B1113" s="72"/>
      <c r="C1113" s="10"/>
      <c r="D1113" s="61"/>
      <c r="E1113" s="61"/>
      <c r="F1113" s="10"/>
      <c r="G1113" s="7"/>
      <c r="H1113" s="23"/>
      <c r="I1113" s="23"/>
      <c r="J1113" s="23" t="str">
        <f t="shared" si="84"/>
        <v>借</v>
      </c>
      <c r="K1113" s="43">
        <f t="shared" si="85"/>
        <v>11113</v>
      </c>
      <c r="L1113" s="9"/>
    </row>
    <row r="1114" spans="2:12" ht="20.100000000000001" customHeight="1" x14ac:dyDescent="0.15">
      <c r="B1114" s="72"/>
      <c r="C1114" s="10"/>
      <c r="D1114" s="10"/>
      <c r="E1114" s="10"/>
      <c r="F1114" s="10"/>
      <c r="G1114" s="7"/>
      <c r="H1114" s="8"/>
      <c r="I1114" s="8"/>
      <c r="J1114" s="23" t="str">
        <f t="shared" si="84"/>
        <v>借</v>
      </c>
      <c r="K1114" s="43">
        <f t="shared" si="85"/>
        <v>11113</v>
      </c>
      <c r="L1114" s="10"/>
    </row>
    <row r="1115" spans="2:12" ht="20.100000000000001" customHeight="1" x14ac:dyDescent="0.15">
      <c r="B1115" s="72"/>
      <c r="C1115" s="10"/>
      <c r="D1115" s="10"/>
      <c r="E1115" s="10"/>
      <c r="F1115" s="10"/>
      <c r="G1115" s="7"/>
      <c r="H1115" s="8"/>
      <c r="I1115" s="8"/>
      <c r="J1115" s="23" t="str">
        <f t="shared" si="84"/>
        <v>借</v>
      </c>
      <c r="K1115" s="43">
        <f t="shared" si="85"/>
        <v>11113</v>
      </c>
      <c r="L1115" s="10"/>
    </row>
    <row r="1116" spans="2:12" ht="20.100000000000001" customHeight="1" x14ac:dyDescent="0.15">
      <c r="B1116" s="72"/>
      <c r="C1116" s="10"/>
      <c r="D1116" s="10"/>
      <c r="E1116" s="10"/>
      <c r="F1116" s="61"/>
      <c r="G1116" s="7"/>
      <c r="H1116" s="8"/>
      <c r="I1116" s="8"/>
      <c r="J1116" s="23" t="str">
        <f t="shared" ref="J1116:J1141" si="86">IF((K1115+H1116-I1116)&gt;0,"借","贷")</f>
        <v>借</v>
      </c>
      <c r="K1116" s="43">
        <f t="shared" ref="K1116:K1141" si="87">_xlfn.IFS(J1115="借",K1115+H1116-I1116,J1115="贷",H1116-I1116-K1115)</f>
        <v>11113</v>
      </c>
      <c r="L1116" s="10"/>
    </row>
    <row r="1117" spans="2:12" ht="20.100000000000001" customHeight="1" x14ac:dyDescent="0.15">
      <c r="B1117" s="72"/>
      <c r="C1117" s="10"/>
      <c r="D1117" s="10"/>
      <c r="E1117" s="10"/>
      <c r="F1117" s="10"/>
      <c r="G1117" s="7"/>
      <c r="H1117" s="8"/>
      <c r="I1117" s="8"/>
      <c r="J1117" s="23" t="str">
        <f t="shared" si="86"/>
        <v>借</v>
      </c>
      <c r="K1117" s="43">
        <f t="shared" si="87"/>
        <v>11113</v>
      </c>
      <c r="L1117" s="10"/>
    </row>
    <row r="1118" spans="2:12" ht="20.100000000000001" customHeight="1" x14ac:dyDescent="0.15">
      <c r="B1118" s="72"/>
      <c r="C1118" s="10"/>
      <c r="D1118" s="10"/>
      <c r="E1118" s="10"/>
      <c r="F1118" s="10"/>
      <c r="G1118" s="7"/>
      <c r="H1118" s="8"/>
      <c r="I1118" s="8"/>
      <c r="J1118" s="23" t="str">
        <f t="shared" si="86"/>
        <v>借</v>
      </c>
      <c r="K1118" s="43">
        <f t="shared" si="87"/>
        <v>11113</v>
      </c>
      <c r="L1118" s="10"/>
    </row>
    <row r="1119" spans="2:12" ht="20.100000000000001" customHeight="1" x14ac:dyDescent="0.15">
      <c r="B1119" s="72"/>
      <c r="C1119" s="10"/>
      <c r="D1119" s="10"/>
      <c r="E1119" s="10"/>
      <c r="F1119" s="61"/>
      <c r="G1119" s="7"/>
      <c r="H1119" s="8"/>
      <c r="I1119" s="8"/>
      <c r="J1119" s="23" t="str">
        <f t="shared" si="86"/>
        <v>借</v>
      </c>
      <c r="K1119" s="43">
        <f t="shared" si="87"/>
        <v>11113</v>
      </c>
      <c r="L1119" s="10"/>
    </row>
    <row r="1120" spans="2:12" ht="20.100000000000001" customHeight="1" x14ac:dyDescent="0.15">
      <c r="B1120" s="72"/>
      <c r="C1120" s="10"/>
      <c r="D1120" s="10"/>
      <c r="E1120" s="10"/>
      <c r="F1120" s="10"/>
      <c r="G1120" s="7"/>
      <c r="H1120" s="8"/>
      <c r="I1120" s="8"/>
      <c r="J1120" s="23" t="str">
        <f t="shared" si="86"/>
        <v>借</v>
      </c>
      <c r="K1120" s="43">
        <f t="shared" si="87"/>
        <v>11113</v>
      </c>
      <c r="L1120" s="10"/>
    </row>
    <row r="1121" spans="2:12" ht="20.100000000000001" customHeight="1" x14ac:dyDescent="0.15">
      <c r="B1121" s="72"/>
      <c r="C1121" s="10"/>
      <c r="D1121" s="10"/>
      <c r="E1121" s="10"/>
      <c r="F1121" s="10"/>
      <c r="G1121" s="7"/>
      <c r="H1121" s="8"/>
      <c r="I1121" s="8"/>
      <c r="J1121" s="23" t="str">
        <f t="shared" si="86"/>
        <v>借</v>
      </c>
      <c r="K1121" s="43">
        <f t="shared" si="87"/>
        <v>11113</v>
      </c>
      <c r="L1121" s="10"/>
    </row>
    <row r="1122" spans="2:12" ht="20.100000000000001" customHeight="1" x14ac:dyDescent="0.15">
      <c r="B1122" s="72"/>
      <c r="C1122" s="10"/>
      <c r="D1122" s="10"/>
      <c r="E1122" s="10"/>
      <c r="F1122" s="10"/>
      <c r="G1122" s="7"/>
      <c r="H1122" s="8"/>
      <c r="I1122" s="8"/>
      <c r="J1122" s="23" t="str">
        <f t="shared" si="86"/>
        <v>借</v>
      </c>
      <c r="K1122" s="43">
        <f t="shared" si="87"/>
        <v>11113</v>
      </c>
      <c r="L1122" s="10"/>
    </row>
    <row r="1123" spans="2:12" ht="20.100000000000001" customHeight="1" x14ac:dyDescent="0.15">
      <c r="B1123" s="72"/>
      <c r="C1123" s="10"/>
      <c r="D1123" s="10"/>
      <c r="E1123" s="10"/>
      <c r="F1123" s="10"/>
      <c r="G1123" s="7"/>
      <c r="H1123" s="8"/>
      <c r="I1123" s="8"/>
      <c r="J1123" s="23" t="str">
        <f t="shared" si="86"/>
        <v>借</v>
      </c>
      <c r="K1123" s="43">
        <f t="shared" si="87"/>
        <v>11113</v>
      </c>
      <c r="L1123" s="10"/>
    </row>
    <row r="1124" spans="2:12" ht="20.100000000000001" customHeight="1" x14ac:dyDescent="0.15">
      <c r="B1124" s="72"/>
      <c r="C1124" s="10"/>
      <c r="D1124" s="10"/>
      <c r="E1124" s="10"/>
      <c r="F1124" s="61"/>
      <c r="G1124" s="7"/>
      <c r="H1124" s="8"/>
      <c r="I1124" s="8"/>
      <c r="J1124" s="23" t="str">
        <f t="shared" si="86"/>
        <v>借</v>
      </c>
      <c r="K1124" s="43">
        <f t="shared" si="87"/>
        <v>11113</v>
      </c>
      <c r="L1124" s="10"/>
    </row>
    <row r="1125" spans="2:12" ht="20.100000000000001" customHeight="1" x14ac:dyDescent="0.15">
      <c r="B1125" s="72"/>
      <c r="C1125" s="10"/>
      <c r="D1125" s="10"/>
      <c r="E1125" s="10"/>
      <c r="F1125" s="61"/>
      <c r="G1125" s="7"/>
      <c r="H1125" s="8"/>
      <c r="I1125" s="8"/>
      <c r="J1125" s="23" t="str">
        <f t="shared" si="86"/>
        <v>借</v>
      </c>
      <c r="K1125" s="43">
        <f t="shared" si="87"/>
        <v>11113</v>
      </c>
      <c r="L1125" s="10"/>
    </row>
    <row r="1126" spans="2:12" ht="20.100000000000001" customHeight="1" x14ac:dyDescent="0.15">
      <c r="B1126" s="72"/>
      <c r="C1126" s="10"/>
      <c r="D1126" s="10"/>
      <c r="E1126" s="10"/>
      <c r="F1126" s="61"/>
      <c r="G1126" s="7"/>
      <c r="H1126" s="8"/>
      <c r="I1126" s="8"/>
      <c r="J1126" s="23" t="str">
        <f t="shared" si="86"/>
        <v>借</v>
      </c>
      <c r="K1126" s="43">
        <f t="shared" si="87"/>
        <v>11113</v>
      </c>
      <c r="L1126" s="10"/>
    </row>
    <row r="1127" spans="2:12" ht="20.100000000000001" customHeight="1" x14ac:dyDescent="0.15">
      <c r="B1127" s="72"/>
      <c r="C1127" s="10"/>
      <c r="D1127" s="10"/>
      <c r="E1127" s="10"/>
      <c r="F1127" s="10"/>
      <c r="G1127" s="7"/>
      <c r="H1127" s="8"/>
      <c r="I1127" s="8"/>
      <c r="J1127" s="23" t="str">
        <f t="shared" si="86"/>
        <v>借</v>
      </c>
      <c r="K1127" s="43">
        <f t="shared" si="87"/>
        <v>11113</v>
      </c>
      <c r="L1127" s="10"/>
    </row>
    <row r="1128" spans="2:12" ht="20.100000000000001" customHeight="1" x14ac:dyDescent="0.15">
      <c r="B1128" s="72"/>
      <c r="C1128" s="10"/>
      <c r="D1128" s="10"/>
      <c r="E1128" s="10"/>
      <c r="F1128" s="61"/>
      <c r="G1128" s="7"/>
      <c r="H1128" s="8"/>
      <c r="I1128" s="8"/>
      <c r="J1128" s="23" t="str">
        <f t="shared" si="86"/>
        <v>借</v>
      </c>
      <c r="K1128" s="43">
        <f t="shared" si="87"/>
        <v>11113</v>
      </c>
      <c r="L1128" s="10"/>
    </row>
    <row r="1129" spans="2:12" ht="20.100000000000001" customHeight="1" x14ac:dyDescent="0.15">
      <c r="B1129" s="72"/>
      <c r="C1129" s="10"/>
      <c r="D1129" s="10"/>
      <c r="E1129" s="10"/>
      <c r="F1129" s="10"/>
      <c r="G1129" s="7"/>
      <c r="H1129" s="8"/>
      <c r="I1129" s="8"/>
      <c r="J1129" s="23" t="str">
        <f t="shared" si="86"/>
        <v>借</v>
      </c>
      <c r="K1129" s="43">
        <f t="shared" si="87"/>
        <v>11113</v>
      </c>
      <c r="L1129" s="10"/>
    </row>
    <row r="1130" spans="2:12" ht="20.100000000000001" customHeight="1" x14ac:dyDescent="0.15">
      <c r="B1130" s="72"/>
      <c r="C1130" s="10"/>
      <c r="D1130" s="10"/>
      <c r="E1130" s="10"/>
      <c r="F1130" s="10"/>
      <c r="G1130" s="7"/>
      <c r="H1130" s="8"/>
      <c r="I1130" s="8"/>
      <c r="J1130" s="23" t="str">
        <f t="shared" si="86"/>
        <v>借</v>
      </c>
      <c r="K1130" s="43">
        <f t="shared" si="87"/>
        <v>11113</v>
      </c>
      <c r="L1130" s="10"/>
    </row>
    <row r="1131" spans="2:12" ht="20.100000000000001" customHeight="1" x14ac:dyDescent="0.15">
      <c r="B1131" s="72"/>
      <c r="C1131" s="10"/>
      <c r="D1131" s="10"/>
      <c r="E1131" s="10"/>
      <c r="F1131" s="10"/>
      <c r="G1131" s="7"/>
      <c r="H1131" s="8"/>
      <c r="I1131" s="8"/>
      <c r="J1131" s="23" t="str">
        <f t="shared" si="86"/>
        <v>借</v>
      </c>
      <c r="K1131" s="43">
        <f t="shared" si="87"/>
        <v>11113</v>
      </c>
      <c r="L1131" s="10"/>
    </row>
    <row r="1132" spans="2:12" ht="20.100000000000001" customHeight="1" x14ac:dyDescent="0.15">
      <c r="B1132" s="72"/>
      <c r="C1132" s="10"/>
      <c r="D1132" s="10"/>
      <c r="E1132" s="10"/>
      <c r="F1132" s="10"/>
      <c r="G1132" s="7"/>
      <c r="H1132" s="8"/>
      <c r="I1132" s="8"/>
      <c r="J1132" s="23" t="str">
        <f t="shared" si="86"/>
        <v>借</v>
      </c>
      <c r="K1132" s="43">
        <f t="shared" si="87"/>
        <v>11113</v>
      </c>
      <c r="L1132" s="10"/>
    </row>
    <row r="1133" spans="2:12" ht="20.100000000000001" customHeight="1" x14ac:dyDescent="0.15">
      <c r="B1133" s="72"/>
      <c r="C1133" s="10"/>
      <c r="D1133" s="10"/>
      <c r="E1133" s="10"/>
      <c r="F1133" s="10"/>
      <c r="G1133" s="7"/>
      <c r="H1133" s="8"/>
      <c r="I1133" s="8"/>
      <c r="J1133" s="23" t="str">
        <f t="shared" si="86"/>
        <v>借</v>
      </c>
      <c r="K1133" s="43">
        <f t="shared" si="87"/>
        <v>11113</v>
      </c>
      <c r="L1133" s="10"/>
    </row>
    <row r="1134" spans="2:12" ht="20.100000000000001" customHeight="1" x14ac:dyDescent="0.15">
      <c r="B1134" s="72"/>
      <c r="C1134" s="10"/>
      <c r="D1134" s="10"/>
      <c r="E1134" s="10"/>
      <c r="F1134" s="10"/>
      <c r="G1134" s="7"/>
      <c r="H1134" s="8"/>
      <c r="I1134" s="8"/>
      <c r="J1134" s="23" t="str">
        <f t="shared" si="86"/>
        <v>借</v>
      </c>
      <c r="K1134" s="43">
        <f t="shared" si="87"/>
        <v>11113</v>
      </c>
      <c r="L1134" s="10"/>
    </row>
    <row r="1135" spans="2:12" ht="20.100000000000001" customHeight="1" x14ac:dyDescent="0.15">
      <c r="B1135" s="72"/>
      <c r="C1135" s="10"/>
      <c r="D1135" s="10"/>
      <c r="E1135" s="10"/>
      <c r="F1135" s="10"/>
      <c r="G1135" s="7"/>
      <c r="H1135" s="8"/>
      <c r="I1135" s="8"/>
      <c r="J1135" s="23" t="str">
        <f t="shared" si="86"/>
        <v>借</v>
      </c>
      <c r="K1135" s="43">
        <f t="shared" si="87"/>
        <v>11113</v>
      </c>
      <c r="L1135" s="10"/>
    </row>
    <row r="1136" spans="2:12" ht="20.100000000000001" customHeight="1" x14ac:dyDescent="0.15">
      <c r="B1136" s="72"/>
      <c r="C1136" s="10"/>
      <c r="D1136" s="10"/>
      <c r="E1136" s="10"/>
      <c r="F1136" s="10"/>
      <c r="G1136" s="7"/>
      <c r="H1136" s="8"/>
      <c r="I1136" s="8"/>
      <c r="J1136" s="23" t="str">
        <f t="shared" si="86"/>
        <v>借</v>
      </c>
      <c r="K1136" s="43">
        <f t="shared" si="87"/>
        <v>11113</v>
      </c>
      <c r="L1136" s="10"/>
    </row>
    <row r="1137" spans="2:12" ht="20.100000000000001" customHeight="1" x14ac:dyDescent="0.15">
      <c r="B1137" s="72"/>
      <c r="C1137" s="10"/>
      <c r="D1137" s="10"/>
      <c r="E1137" s="10"/>
      <c r="F1137" s="10"/>
      <c r="G1137" s="7"/>
      <c r="H1137" s="8"/>
      <c r="I1137" s="8"/>
      <c r="J1137" s="23" t="str">
        <f t="shared" si="86"/>
        <v>借</v>
      </c>
      <c r="K1137" s="43">
        <f t="shared" si="87"/>
        <v>11113</v>
      </c>
      <c r="L1137" s="10"/>
    </row>
    <row r="1138" spans="2:12" ht="20.100000000000001" customHeight="1" x14ac:dyDescent="0.15">
      <c r="B1138" s="72"/>
      <c r="C1138" s="10"/>
      <c r="D1138" s="10"/>
      <c r="E1138" s="10"/>
      <c r="F1138" s="10"/>
      <c r="G1138" s="7"/>
      <c r="H1138" s="8"/>
      <c r="I1138" s="8"/>
      <c r="J1138" s="23" t="str">
        <f t="shared" si="86"/>
        <v>借</v>
      </c>
      <c r="K1138" s="43">
        <f t="shared" si="87"/>
        <v>11113</v>
      </c>
      <c r="L1138" s="10"/>
    </row>
    <row r="1139" spans="2:12" ht="20.100000000000001" customHeight="1" x14ac:dyDescent="0.15">
      <c r="B1139" s="72"/>
      <c r="C1139" s="10"/>
      <c r="D1139" s="10"/>
      <c r="E1139" s="10"/>
      <c r="F1139" s="10"/>
      <c r="G1139" s="7"/>
      <c r="H1139" s="8"/>
      <c r="I1139" s="8"/>
      <c r="J1139" s="23" t="str">
        <f t="shared" si="86"/>
        <v>借</v>
      </c>
      <c r="K1139" s="43">
        <f t="shared" si="87"/>
        <v>11113</v>
      </c>
      <c r="L1139" s="10"/>
    </row>
    <row r="1140" spans="2:12" ht="20.100000000000001" customHeight="1" x14ac:dyDescent="0.15">
      <c r="B1140" s="72"/>
      <c r="C1140" s="10"/>
      <c r="D1140" s="10"/>
      <c r="E1140" s="10"/>
      <c r="F1140" s="61"/>
      <c r="G1140" s="7"/>
      <c r="H1140" s="8"/>
      <c r="I1140" s="8"/>
      <c r="J1140" s="23" t="str">
        <f t="shared" si="86"/>
        <v>借</v>
      </c>
      <c r="K1140" s="43">
        <f t="shared" si="87"/>
        <v>11113</v>
      </c>
      <c r="L1140" s="10"/>
    </row>
    <row r="1141" spans="2:12" ht="20.100000000000001" customHeight="1" x14ac:dyDescent="0.15">
      <c r="B1141" s="72"/>
      <c r="C1141" s="10"/>
      <c r="D1141" s="10"/>
      <c r="E1141" s="10"/>
      <c r="F1141" s="10"/>
      <c r="G1141" s="7"/>
      <c r="H1141" s="8"/>
      <c r="I1141" s="8"/>
      <c r="J1141" s="8" t="str">
        <f t="shared" si="86"/>
        <v>借</v>
      </c>
      <c r="K1141" s="9">
        <f t="shared" si="87"/>
        <v>11113</v>
      </c>
      <c r="L1141" s="10"/>
    </row>
    <row r="1142" spans="2:12" ht="20.100000000000001" customHeight="1" x14ac:dyDescent="0.15">
      <c r="B1142" s="72"/>
      <c r="C1142" s="10"/>
      <c r="D1142" s="10"/>
      <c r="E1142" s="10"/>
      <c r="F1142" s="10"/>
      <c r="G1142" s="7"/>
      <c r="H1142" s="8"/>
      <c r="I1142" s="8"/>
      <c r="J1142" s="23" t="str">
        <f t="shared" ref="J1142:J1170" si="88">IF((K1141+H1142-I1142)&gt;0,"借","贷")</f>
        <v>借</v>
      </c>
      <c r="K1142" s="43">
        <f t="shared" ref="K1142:K1170" si="89">_xlfn.IFS(J1141="借",K1141+H1142-I1142,J1141="贷",H1142-I1142-K1141)</f>
        <v>11113</v>
      </c>
      <c r="L1142" s="10"/>
    </row>
    <row r="1143" spans="2:12" ht="20.100000000000001" customHeight="1" x14ac:dyDescent="0.15">
      <c r="B1143" s="72"/>
      <c r="C1143" s="10"/>
      <c r="D1143" s="10"/>
      <c r="E1143" s="10"/>
      <c r="F1143" s="10"/>
      <c r="G1143" s="7"/>
      <c r="H1143" s="8"/>
      <c r="I1143" s="8"/>
      <c r="J1143" s="8" t="str">
        <f t="shared" si="88"/>
        <v>借</v>
      </c>
      <c r="K1143" s="9">
        <f t="shared" si="89"/>
        <v>11113</v>
      </c>
      <c r="L1143" s="10"/>
    </row>
    <row r="1144" spans="2:12" ht="20.100000000000001" customHeight="1" x14ac:dyDescent="0.15">
      <c r="B1144" s="72"/>
      <c r="C1144" s="10"/>
      <c r="D1144" s="10"/>
      <c r="E1144" s="10"/>
      <c r="F1144" s="10"/>
      <c r="G1144" s="7"/>
      <c r="H1144" s="8"/>
      <c r="I1144" s="8"/>
      <c r="J1144" s="23" t="str">
        <f t="shared" si="88"/>
        <v>借</v>
      </c>
      <c r="K1144" s="43">
        <f t="shared" si="89"/>
        <v>11113</v>
      </c>
      <c r="L1144" s="10"/>
    </row>
    <row r="1145" spans="2:12" ht="20.100000000000001" customHeight="1" x14ac:dyDescent="0.15">
      <c r="B1145" s="72"/>
      <c r="C1145" s="10"/>
      <c r="D1145" s="10"/>
      <c r="E1145" s="10"/>
      <c r="F1145" s="10"/>
      <c r="G1145" s="7"/>
      <c r="H1145" s="8"/>
      <c r="I1145" s="8"/>
      <c r="J1145" s="8" t="str">
        <f t="shared" si="88"/>
        <v>借</v>
      </c>
      <c r="K1145" s="9">
        <f t="shared" si="89"/>
        <v>11113</v>
      </c>
      <c r="L1145" s="10"/>
    </row>
    <row r="1146" spans="2:12" ht="20.100000000000001" customHeight="1" x14ac:dyDescent="0.15">
      <c r="B1146" s="72"/>
      <c r="C1146" s="10"/>
      <c r="D1146" s="10"/>
      <c r="E1146" s="10"/>
      <c r="F1146" s="10"/>
      <c r="G1146" s="7"/>
      <c r="H1146" s="8"/>
      <c r="I1146" s="8"/>
      <c r="J1146" s="23" t="str">
        <f t="shared" si="88"/>
        <v>借</v>
      </c>
      <c r="K1146" s="43">
        <f t="shared" si="89"/>
        <v>11113</v>
      </c>
      <c r="L1146" s="10"/>
    </row>
    <row r="1147" spans="2:12" ht="20.100000000000001" customHeight="1" x14ac:dyDescent="0.15">
      <c r="B1147" s="72"/>
      <c r="C1147" s="10"/>
      <c r="D1147" s="10"/>
      <c r="E1147" s="10"/>
      <c r="F1147" s="10"/>
      <c r="G1147" s="7"/>
      <c r="H1147" s="8"/>
      <c r="I1147" s="8"/>
      <c r="J1147" s="8" t="str">
        <f t="shared" si="88"/>
        <v>借</v>
      </c>
      <c r="K1147" s="9">
        <f t="shared" si="89"/>
        <v>11113</v>
      </c>
      <c r="L1147" s="10"/>
    </row>
    <row r="1148" spans="2:12" ht="20.100000000000001" customHeight="1" x14ac:dyDescent="0.15">
      <c r="B1148" s="72"/>
      <c r="C1148" s="10"/>
      <c r="D1148" s="10"/>
      <c r="E1148" s="10"/>
      <c r="F1148" s="10"/>
      <c r="G1148" s="7"/>
      <c r="H1148" s="8"/>
      <c r="I1148" s="8"/>
      <c r="J1148" s="23" t="str">
        <f t="shared" si="88"/>
        <v>借</v>
      </c>
      <c r="K1148" s="43">
        <f t="shared" si="89"/>
        <v>11113</v>
      </c>
      <c r="L1148" s="10"/>
    </row>
    <row r="1149" spans="2:12" ht="20.100000000000001" customHeight="1" x14ac:dyDescent="0.15">
      <c r="B1149" s="72"/>
      <c r="C1149" s="10"/>
      <c r="D1149" s="10"/>
      <c r="E1149" s="10"/>
      <c r="F1149" s="10"/>
      <c r="G1149" s="7"/>
      <c r="H1149" s="8"/>
      <c r="I1149" s="8"/>
      <c r="J1149" s="8" t="str">
        <f t="shared" si="88"/>
        <v>借</v>
      </c>
      <c r="K1149" s="9">
        <f t="shared" si="89"/>
        <v>11113</v>
      </c>
      <c r="L1149" s="10"/>
    </row>
    <row r="1150" spans="2:12" ht="20.100000000000001" customHeight="1" x14ac:dyDescent="0.15">
      <c r="B1150" s="72"/>
      <c r="C1150" s="10"/>
      <c r="D1150" s="10"/>
      <c r="E1150" s="10"/>
      <c r="F1150" s="10"/>
      <c r="G1150" s="7"/>
      <c r="H1150" s="8"/>
      <c r="I1150" s="8"/>
      <c r="J1150" s="23" t="str">
        <f t="shared" si="88"/>
        <v>借</v>
      </c>
      <c r="K1150" s="43">
        <f t="shared" si="89"/>
        <v>11113</v>
      </c>
      <c r="L1150" s="10"/>
    </row>
    <row r="1151" spans="2:12" ht="20.100000000000001" customHeight="1" x14ac:dyDescent="0.15">
      <c r="B1151" s="72"/>
      <c r="C1151" s="10"/>
      <c r="D1151" s="10"/>
      <c r="E1151" s="10"/>
      <c r="F1151" s="10"/>
      <c r="G1151" s="7"/>
      <c r="H1151" s="8"/>
      <c r="I1151" s="8"/>
      <c r="J1151" s="8" t="str">
        <f t="shared" si="88"/>
        <v>借</v>
      </c>
      <c r="K1151" s="9">
        <f t="shared" si="89"/>
        <v>11113</v>
      </c>
      <c r="L1151" s="10"/>
    </row>
    <row r="1152" spans="2:12" ht="20.100000000000001" customHeight="1" x14ac:dyDescent="0.15">
      <c r="B1152" s="72"/>
      <c r="C1152" s="10"/>
      <c r="D1152" s="10"/>
      <c r="E1152" s="10"/>
      <c r="F1152" s="10"/>
      <c r="G1152" s="7"/>
      <c r="H1152" s="8"/>
      <c r="I1152" s="8"/>
      <c r="J1152" s="8" t="str">
        <f t="shared" si="88"/>
        <v>借</v>
      </c>
      <c r="K1152" s="9">
        <f t="shared" si="89"/>
        <v>11113</v>
      </c>
      <c r="L1152" s="10"/>
    </row>
    <row r="1153" spans="2:12" ht="20.100000000000001" customHeight="1" x14ac:dyDescent="0.15">
      <c r="B1153" s="72"/>
      <c r="C1153" s="10"/>
      <c r="D1153" s="10"/>
      <c r="E1153" s="10"/>
      <c r="F1153" s="10"/>
      <c r="G1153" s="7"/>
      <c r="H1153" s="8"/>
      <c r="I1153" s="8"/>
      <c r="J1153" s="8" t="str">
        <f t="shared" si="88"/>
        <v>借</v>
      </c>
      <c r="K1153" s="9">
        <f t="shared" si="89"/>
        <v>11113</v>
      </c>
      <c r="L1153" s="10"/>
    </row>
    <row r="1154" spans="2:12" ht="20.100000000000001" customHeight="1" x14ac:dyDescent="0.15">
      <c r="B1154" s="72"/>
      <c r="C1154" s="10"/>
      <c r="D1154" s="10"/>
      <c r="E1154" s="10"/>
      <c r="F1154" s="10"/>
      <c r="G1154" s="7"/>
      <c r="H1154" s="8"/>
      <c r="I1154" s="8"/>
      <c r="J1154" s="8" t="str">
        <f t="shared" si="88"/>
        <v>借</v>
      </c>
      <c r="K1154" s="9">
        <f t="shared" si="89"/>
        <v>11113</v>
      </c>
      <c r="L1154" s="10"/>
    </row>
    <row r="1155" spans="2:12" ht="20.100000000000001" customHeight="1" x14ac:dyDescent="0.15">
      <c r="B1155" s="72"/>
      <c r="C1155" s="10"/>
      <c r="D1155" s="10"/>
      <c r="E1155" s="10"/>
      <c r="F1155" s="10"/>
      <c r="G1155" s="7"/>
      <c r="H1155" s="8"/>
      <c r="I1155" s="8"/>
      <c r="J1155" s="23" t="str">
        <f t="shared" si="88"/>
        <v>借</v>
      </c>
      <c r="K1155" s="43">
        <f t="shared" si="89"/>
        <v>11113</v>
      </c>
      <c r="L1155" s="10"/>
    </row>
    <row r="1156" spans="2:12" ht="20.100000000000001" customHeight="1" x14ac:dyDescent="0.15">
      <c r="B1156" s="72"/>
      <c r="C1156" s="10"/>
      <c r="D1156" s="10"/>
      <c r="E1156" s="10"/>
      <c r="F1156" s="10"/>
      <c r="G1156" s="7"/>
      <c r="H1156" s="8"/>
      <c r="I1156" s="8"/>
      <c r="J1156" s="8" t="str">
        <f t="shared" si="88"/>
        <v>借</v>
      </c>
      <c r="K1156" s="9">
        <f t="shared" si="89"/>
        <v>11113</v>
      </c>
      <c r="L1156" s="10"/>
    </row>
    <row r="1157" spans="2:12" ht="20.100000000000001" customHeight="1" x14ac:dyDescent="0.15">
      <c r="B1157" s="72"/>
      <c r="C1157" s="10"/>
      <c r="D1157" s="10"/>
      <c r="E1157" s="10"/>
      <c r="F1157" s="10"/>
      <c r="G1157" s="7"/>
      <c r="H1157" s="8"/>
      <c r="I1157" s="8"/>
      <c r="J1157" s="23" t="str">
        <f t="shared" si="88"/>
        <v>借</v>
      </c>
      <c r="K1157" s="43">
        <f t="shared" si="89"/>
        <v>11113</v>
      </c>
      <c r="L1157" s="10"/>
    </row>
    <row r="1158" spans="2:12" ht="20.100000000000001" customHeight="1" x14ac:dyDescent="0.15">
      <c r="B1158" s="72"/>
      <c r="C1158" s="10"/>
      <c r="D1158" s="10"/>
      <c r="E1158" s="10"/>
      <c r="F1158" s="10"/>
      <c r="G1158" s="7"/>
      <c r="H1158" s="8"/>
      <c r="I1158" s="8"/>
      <c r="J1158" s="8" t="str">
        <f t="shared" si="88"/>
        <v>借</v>
      </c>
      <c r="K1158" s="9">
        <f t="shared" si="89"/>
        <v>11113</v>
      </c>
      <c r="L1158" s="10"/>
    </row>
    <row r="1159" spans="2:12" ht="20.100000000000001" customHeight="1" x14ac:dyDescent="0.15">
      <c r="B1159" s="72"/>
      <c r="C1159" s="10"/>
      <c r="D1159" s="10"/>
      <c r="E1159" s="10"/>
      <c r="F1159" s="10"/>
      <c r="G1159" s="7"/>
      <c r="H1159" s="8"/>
      <c r="I1159" s="8"/>
      <c r="J1159" s="23" t="str">
        <f t="shared" si="88"/>
        <v>借</v>
      </c>
      <c r="K1159" s="43">
        <f t="shared" si="89"/>
        <v>11113</v>
      </c>
      <c r="L1159" s="10"/>
    </row>
    <row r="1160" spans="2:12" ht="20.100000000000001" customHeight="1" x14ac:dyDescent="0.15">
      <c r="B1160" s="72"/>
      <c r="C1160" s="10"/>
      <c r="D1160" s="10"/>
      <c r="E1160" s="10"/>
      <c r="F1160" s="10"/>
      <c r="G1160" s="7"/>
      <c r="H1160" s="8"/>
      <c r="I1160" s="8"/>
      <c r="J1160" s="23" t="str">
        <f t="shared" si="88"/>
        <v>借</v>
      </c>
      <c r="K1160" s="43">
        <f t="shared" si="89"/>
        <v>11113</v>
      </c>
      <c r="L1160" s="10"/>
    </row>
    <row r="1161" spans="2:12" ht="20.100000000000001" customHeight="1" x14ac:dyDescent="0.15">
      <c r="B1161" s="72"/>
      <c r="C1161" s="10"/>
      <c r="D1161" s="10"/>
      <c r="E1161" s="10"/>
      <c r="F1161" s="10"/>
      <c r="G1161" s="7"/>
      <c r="H1161" s="8"/>
      <c r="I1161" s="8"/>
      <c r="J1161" s="23" t="str">
        <f t="shared" si="88"/>
        <v>借</v>
      </c>
      <c r="K1161" s="43">
        <f t="shared" si="89"/>
        <v>11113</v>
      </c>
      <c r="L1161" s="10"/>
    </row>
    <row r="1162" spans="2:12" ht="20.100000000000001" customHeight="1" x14ac:dyDescent="0.15">
      <c r="B1162" s="72"/>
      <c r="C1162" s="10"/>
      <c r="D1162" s="10"/>
      <c r="E1162" s="10"/>
      <c r="F1162" s="10"/>
      <c r="G1162" s="7"/>
      <c r="H1162" s="8"/>
      <c r="I1162" s="8"/>
      <c r="J1162" s="23" t="str">
        <f t="shared" si="88"/>
        <v>借</v>
      </c>
      <c r="K1162" s="43">
        <f t="shared" si="89"/>
        <v>11113</v>
      </c>
      <c r="L1162" s="10"/>
    </row>
    <row r="1163" spans="2:12" ht="20.100000000000001" customHeight="1" x14ac:dyDescent="0.15">
      <c r="B1163" s="72"/>
      <c r="C1163" s="10"/>
      <c r="D1163" s="10"/>
      <c r="E1163" s="10"/>
      <c r="F1163" s="10"/>
      <c r="G1163" s="7"/>
      <c r="H1163" s="8"/>
      <c r="I1163" s="8"/>
      <c r="J1163" s="23" t="str">
        <f t="shared" si="88"/>
        <v>借</v>
      </c>
      <c r="K1163" s="43">
        <f t="shared" si="89"/>
        <v>11113</v>
      </c>
      <c r="L1163" s="10"/>
    </row>
    <row r="1164" spans="2:12" ht="20.100000000000001" customHeight="1" x14ac:dyDescent="0.15">
      <c r="B1164" s="72"/>
      <c r="C1164" s="10"/>
      <c r="D1164" s="10"/>
      <c r="E1164" s="10"/>
      <c r="F1164" s="10"/>
      <c r="G1164" s="7"/>
      <c r="H1164" s="8"/>
      <c r="I1164" s="8"/>
      <c r="J1164" s="23" t="str">
        <f t="shared" si="88"/>
        <v>借</v>
      </c>
      <c r="K1164" s="43">
        <f t="shared" si="89"/>
        <v>11113</v>
      </c>
      <c r="L1164" s="10"/>
    </row>
    <row r="1165" spans="2:12" ht="20.100000000000001" customHeight="1" x14ac:dyDescent="0.15">
      <c r="B1165" s="72"/>
      <c r="C1165" s="10"/>
      <c r="D1165" s="10"/>
      <c r="E1165" s="10"/>
      <c r="F1165" s="10"/>
      <c r="G1165" s="7"/>
      <c r="H1165" s="8"/>
      <c r="I1165" s="8"/>
      <c r="J1165" s="8" t="str">
        <f t="shared" si="88"/>
        <v>借</v>
      </c>
      <c r="K1165" s="9">
        <f t="shared" si="89"/>
        <v>11113</v>
      </c>
      <c r="L1165" s="10"/>
    </row>
    <row r="1166" spans="2:12" ht="20.100000000000001" customHeight="1" x14ac:dyDescent="0.15">
      <c r="B1166" s="72"/>
      <c r="C1166" s="10"/>
      <c r="D1166" s="10"/>
      <c r="E1166" s="10"/>
      <c r="F1166" s="10"/>
      <c r="G1166" s="7"/>
      <c r="H1166" s="8"/>
      <c r="I1166" s="8"/>
      <c r="J1166" s="8" t="str">
        <f t="shared" si="88"/>
        <v>借</v>
      </c>
      <c r="K1166" s="9">
        <f t="shared" si="89"/>
        <v>11113</v>
      </c>
      <c r="L1166" s="10"/>
    </row>
    <row r="1167" spans="2:12" ht="20.100000000000001" customHeight="1" x14ac:dyDescent="0.15">
      <c r="B1167" s="72"/>
      <c r="C1167" s="10"/>
      <c r="D1167" s="10"/>
      <c r="E1167" s="10"/>
      <c r="F1167" s="10"/>
      <c r="G1167" s="7"/>
      <c r="H1167" s="8"/>
      <c r="I1167" s="8"/>
      <c r="J1167" s="8" t="str">
        <f t="shared" si="88"/>
        <v>借</v>
      </c>
      <c r="K1167" s="9">
        <f t="shared" si="89"/>
        <v>11113</v>
      </c>
      <c r="L1167" s="10"/>
    </row>
    <row r="1168" spans="2:12" ht="20.100000000000001" customHeight="1" x14ac:dyDescent="0.15">
      <c r="B1168" s="72"/>
      <c r="C1168" s="10"/>
      <c r="D1168" s="10"/>
      <c r="E1168" s="10"/>
      <c r="F1168" s="10"/>
      <c r="G1168" s="7"/>
      <c r="H1168" s="8"/>
      <c r="I1168" s="8"/>
      <c r="J1168" s="8" t="str">
        <f t="shared" si="88"/>
        <v>借</v>
      </c>
      <c r="K1168" s="9">
        <f t="shared" si="89"/>
        <v>11113</v>
      </c>
      <c r="L1168" s="10"/>
    </row>
    <row r="1169" spans="2:13" ht="20.100000000000001" customHeight="1" x14ac:dyDescent="0.15">
      <c r="B1169" s="72"/>
      <c r="C1169" s="10"/>
      <c r="D1169" s="10"/>
      <c r="E1169" s="10"/>
      <c r="F1169" s="10"/>
      <c r="G1169" s="7"/>
      <c r="H1169" s="8"/>
      <c r="I1169" s="8"/>
      <c r="J1169" s="8" t="str">
        <f t="shared" si="88"/>
        <v>借</v>
      </c>
      <c r="K1169" s="9">
        <f t="shared" si="89"/>
        <v>11113</v>
      </c>
      <c r="L1169" s="10"/>
    </row>
    <row r="1170" spans="2:13" ht="20.100000000000001" customHeight="1" x14ac:dyDescent="0.15">
      <c r="B1170" s="72"/>
      <c r="C1170" s="10"/>
      <c r="D1170" s="10"/>
      <c r="E1170" s="10"/>
      <c r="F1170" s="10"/>
      <c r="G1170" s="7"/>
      <c r="H1170" s="8"/>
      <c r="I1170" s="8"/>
      <c r="J1170" s="8" t="str">
        <f t="shared" si="88"/>
        <v>借</v>
      </c>
      <c r="K1170" s="9">
        <f t="shared" si="89"/>
        <v>11113</v>
      </c>
      <c r="L1170" s="10"/>
    </row>
    <row r="1171" spans="2:13" ht="20.100000000000001" customHeight="1" x14ac:dyDescent="0.15">
      <c r="B1171" s="72"/>
      <c r="C1171" s="10"/>
      <c r="D1171" s="10"/>
      <c r="E1171" s="10"/>
      <c r="F1171" s="10"/>
      <c r="G1171" s="7"/>
      <c r="H1171" s="8"/>
      <c r="I1171" s="8"/>
      <c r="J1171" s="8" t="str">
        <f t="shared" ref="J1171:J1174" si="90">IF((K1170+H1171-I1171)&gt;0,"借","贷")</f>
        <v>借</v>
      </c>
      <c r="K1171" s="9">
        <f t="shared" ref="K1171:K1174" si="91">_xlfn.IFS(J1170="借",K1170+H1171-I1171,J1170="贷",H1171-I1171-K1170)</f>
        <v>11113</v>
      </c>
      <c r="L1171" s="10"/>
    </row>
    <row r="1172" spans="2:13" ht="20.100000000000001" customHeight="1" x14ac:dyDescent="0.15">
      <c r="B1172" s="72"/>
      <c r="C1172" s="10"/>
      <c r="D1172" s="10"/>
      <c r="E1172" s="10"/>
      <c r="F1172" s="10"/>
      <c r="G1172" s="7"/>
      <c r="H1172" s="8"/>
      <c r="I1172" s="8"/>
      <c r="J1172" s="8" t="str">
        <f t="shared" si="90"/>
        <v>借</v>
      </c>
      <c r="K1172" s="9">
        <f t="shared" si="91"/>
        <v>11113</v>
      </c>
      <c r="L1172" s="10"/>
      <c r="M1172" s="99"/>
    </row>
    <row r="1173" spans="2:13" ht="20.100000000000001" customHeight="1" x14ac:dyDescent="0.15">
      <c r="B1173" s="72"/>
      <c r="C1173" s="10"/>
      <c r="D1173" s="10"/>
      <c r="E1173" s="10"/>
      <c r="F1173" s="10"/>
      <c r="G1173" s="7"/>
      <c r="H1173" s="8"/>
      <c r="I1173" s="8"/>
      <c r="J1173" s="8" t="str">
        <f t="shared" si="90"/>
        <v>借</v>
      </c>
      <c r="K1173" s="9">
        <f t="shared" si="91"/>
        <v>11113</v>
      </c>
      <c r="L1173" s="10"/>
      <c r="M1173" s="99"/>
    </row>
    <row r="1174" spans="2:13" ht="20.100000000000001" customHeight="1" x14ac:dyDescent="0.15">
      <c r="B1174" s="72"/>
      <c r="C1174" s="10"/>
      <c r="D1174" s="10"/>
      <c r="E1174" s="10"/>
      <c r="F1174" s="10"/>
      <c r="G1174" s="7"/>
      <c r="H1174" s="8"/>
      <c r="I1174" s="8"/>
      <c r="J1174" s="8" t="str">
        <f t="shared" si="90"/>
        <v>借</v>
      </c>
      <c r="K1174" s="9">
        <f t="shared" si="91"/>
        <v>11113</v>
      </c>
      <c r="L1174" s="10"/>
    </row>
    <row r="1175" spans="2:13" ht="20.100000000000001" customHeight="1" x14ac:dyDescent="0.15">
      <c r="B1175" s="72"/>
      <c r="C1175" s="10"/>
      <c r="D1175" s="10"/>
      <c r="E1175" s="10"/>
      <c r="F1175" s="10"/>
      <c r="G1175" s="7"/>
      <c r="H1175" s="8"/>
      <c r="I1175" s="8"/>
      <c r="J1175" s="8" t="str">
        <f t="shared" ref="J1175:J1206" si="92">IF((K1174+H1175-I1175)&gt;0,"借","贷")</f>
        <v>借</v>
      </c>
      <c r="K1175" s="9">
        <f t="shared" ref="K1175:K1206" si="93">_xlfn.IFS(J1174="借",K1174+H1175-I1175,J1174="贷",H1175-I1175-K1174)</f>
        <v>11113</v>
      </c>
      <c r="L1175" s="10"/>
    </row>
    <row r="1176" spans="2:13" ht="20.100000000000001" customHeight="1" x14ac:dyDescent="0.15">
      <c r="B1176" s="72"/>
      <c r="C1176" s="10"/>
      <c r="D1176" s="10"/>
      <c r="E1176" s="10"/>
      <c r="F1176" s="10"/>
      <c r="G1176" s="7"/>
      <c r="H1176" s="8"/>
      <c r="I1176" s="8"/>
      <c r="J1176" s="8" t="str">
        <f t="shared" si="92"/>
        <v>借</v>
      </c>
      <c r="K1176" s="9">
        <f t="shared" si="93"/>
        <v>11113</v>
      </c>
      <c r="L1176" s="10"/>
    </row>
    <row r="1177" spans="2:13" ht="20.100000000000001" customHeight="1" x14ac:dyDescent="0.15">
      <c r="B1177" s="72"/>
      <c r="C1177" s="10"/>
      <c r="D1177" s="10"/>
      <c r="E1177" s="10"/>
      <c r="F1177" s="10"/>
      <c r="G1177" s="7"/>
      <c r="H1177" s="8"/>
      <c r="I1177" s="8"/>
      <c r="J1177" s="8" t="str">
        <f t="shared" si="92"/>
        <v>借</v>
      </c>
      <c r="K1177" s="9">
        <f t="shared" si="93"/>
        <v>11113</v>
      </c>
      <c r="L1177" s="10"/>
    </row>
    <row r="1178" spans="2:13" ht="20.100000000000001" customHeight="1" x14ac:dyDescent="0.15">
      <c r="B1178" s="72"/>
      <c r="C1178" s="10"/>
      <c r="D1178" s="10"/>
      <c r="E1178" s="10"/>
      <c r="F1178" s="10"/>
      <c r="G1178" s="7"/>
      <c r="H1178" s="8"/>
      <c r="I1178" s="8"/>
      <c r="J1178" s="8" t="str">
        <f t="shared" si="92"/>
        <v>借</v>
      </c>
      <c r="K1178" s="9">
        <f t="shared" si="93"/>
        <v>11113</v>
      </c>
      <c r="L1178" s="10"/>
    </row>
    <row r="1179" spans="2:13" ht="20.100000000000001" customHeight="1" x14ac:dyDescent="0.15">
      <c r="B1179" s="72"/>
      <c r="C1179" s="10"/>
      <c r="D1179" s="10"/>
      <c r="E1179" s="10"/>
      <c r="F1179" s="10"/>
      <c r="G1179" s="7"/>
      <c r="H1179" s="8"/>
      <c r="I1179" s="8"/>
      <c r="J1179" s="8" t="str">
        <f t="shared" si="92"/>
        <v>借</v>
      </c>
      <c r="K1179" s="9">
        <f t="shared" si="93"/>
        <v>11113</v>
      </c>
      <c r="L1179" s="10"/>
    </row>
    <row r="1180" spans="2:13" ht="20.100000000000001" customHeight="1" x14ac:dyDescent="0.15">
      <c r="B1180" s="72"/>
      <c r="C1180" s="10"/>
      <c r="D1180" s="10"/>
      <c r="E1180" s="10"/>
      <c r="F1180" s="10"/>
      <c r="G1180" s="7"/>
      <c r="H1180" s="8"/>
      <c r="I1180" s="8"/>
      <c r="J1180" s="8" t="str">
        <f t="shared" si="92"/>
        <v>借</v>
      </c>
      <c r="K1180" s="9">
        <f t="shared" si="93"/>
        <v>11113</v>
      </c>
      <c r="L1180" s="10"/>
    </row>
    <row r="1181" spans="2:13" ht="20.100000000000001" customHeight="1" x14ac:dyDescent="0.15">
      <c r="B1181" s="72"/>
      <c r="C1181" s="10"/>
      <c r="D1181" s="10"/>
      <c r="E1181" s="10"/>
      <c r="F1181" s="10"/>
      <c r="G1181" s="7"/>
      <c r="H1181" s="8"/>
      <c r="I1181" s="8"/>
      <c r="J1181" s="8" t="str">
        <f t="shared" si="92"/>
        <v>借</v>
      </c>
      <c r="K1181" s="9">
        <f t="shared" si="93"/>
        <v>11113</v>
      </c>
      <c r="L1181" s="10"/>
    </row>
    <row r="1182" spans="2:13" ht="20.100000000000001" customHeight="1" x14ac:dyDescent="0.15">
      <c r="B1182" s="72"/>
      <c r="C1182" s="10"/>
      <c r="D1182" s="10"/>
      <c r="E1182" s="10"/>
      <c r="F1182" s="10"/>
      <c r="G1182" s="7"/>
      <c r="H1182" s="8"/>
      <c r="I1182" s="8"/>
      <c r="J1182" s="8" t="str">
        <f t="shared" si="92"/>
        <v>借</v>
      </c>
      <c r="K1182" s="9">
        <f t="shared" si="93"/>
        <v>11113</v>
      </c>
      <c r="L1182" s="10"/>
    </row>
    <row r="1183" spans="2:13" ht="20.100000000000001" customHeight="1" x14ac:dyDescent="0.15">
      <c r="B1183" s="72"/>
      <c r="C1183" s="10"/>
      <c r="D1183" s="10"/>
      <c r="E1183" s="10"/>
      <c r="F1183" s="10"/>
      <c r="G1183" s="7"/>
      <c r="H1183" s="8"/>
      <c r="I1183" s="8"/>
      <c r="J1183" s="8" t="str">
        <f t="shared" si="92"/>
        <v>借</v>
      </c>
      <c r="K1183" s="9">
        <f t="shared" si="93"/>
        <v>11113</v>
      </c>
      <c r="L1183" s="10"/>
    </row>
    <row r="1184" spans="2:13" ht="20.100000000000001" customHeight="1" x14ac:dyDescent="0.15">
      <c r="B1184" s="72"/>
      <c r="C1184" s="10"/>
      <c r="D1184" s="10"/>
      <c r="E1184" s="10"/>
      <c r="F1184" s="10"/>
      <c r="G1184" s="7"/>
      <c r="H1184" s="8"/>
      <c r="I1184" s="8"/>
      <c r="J1184" s="8" t="str">
        <f t="shared" si="92"/>
        <v>借</v>
      </c>
      <c r="K1184" s="9">
        <f t="shared" si="93"/>
        <v>11113</v>
      </c>
      <c r="L1184" s="10"/>
    </row>
    <row r="1185" spans="2:12" ht="20.100000000000001" customHeight="1" x14ac:dyDescent="0.15">
      <c r="B1185" s="72"/>
      <c r="C1185" s="10"/>
      <c r="D1185" s="10"/>
      <c r="E1185" s="10"/>
      <c r="F1185" s="10"/>
      <c r="G1185" s="7"/>
      <c r="H1185" s="8"/>
      <c r="I1185" s="8"/>
      <c r="J1185" s="8" t="str">
        <f t="shared" si="92"/>
        <v>借</v>
      </c>
      <c r="K1185" s="9">
        <f t="shared" si="93"/>
        <v>11113</v>
      </c>
      <c r="L1185" s="10"/>
    </row>
    <row r="1186" spans="2:12" ht="20.100000000000001" customHeight="1" x14ac:dyDescent="0.15">
      <c r="B1186" s="72"/>
      <c r="C1186" s="10"/>
      <c r="D1186" s="10"/>
      <c r="E1186" s="10"/>
      <c r="F1186" s="10"/>
      <c r="G1186" s="7"/>
      <c r="H1186" s="8"/>
      <c r="I1186" s="8"/>
      <c r="J1186" s="8" t="str">
        <f t="shared" si="92"/>
        <v>借</v>
      </c>
      <c r="K1186" s="9">
        <f t="shared" si="93"/>
        <v>11113</v>
      </c>
      <c r="L1186" s="10"/>
    </row>
    <row r="1187" spans="2:12" ht="20.100000000000001" customHeight="1" x14ac:dyDescent="0.15">
      <c r="B1187" s="72"/>
      <c r="C1187" s="10"/>
      <c r="D1187" s="10"/>
      <c r="E1187" s="10"/>
      <c r="F1187" s="10"/>
      <c r="G1187" s="7"/>
      <c r="H1187" s="8"/>
      <c r="I1187" s="8"/>
      <c r="J1187" s="8" t="str">
        <f t="shared" si="92"/>
        <v>借</v>
      </c>
      <c r="K1187" s="9">
        <f t="shared" si="93"/>
        <v>11113</v>
      </c>
      <c r="L1187" s="10"/>
    </row>
    <row r="1188" spans="2:12" ht="20.100000000000001" customHeight="1" x14ac:dyDescent="0.15">
      <c r="B1188" s="72"/>
      <c r="C1188" s="10"/>
      <c r="D1188" s="10"/>
      <c r="E1188" s="10"/>
      <c r="F1188" s="10"/>
      <c r="G1188" s="7"/>
      <c r="H1188" s="8"/>
      <c r="I1188" s="8"/>
      <c r="J1188" s="8" t="str">
        <f t="shared" si="92"/>
        <v>借</v>
      </c>
      <c r="K1188" s="9">
        <f t="shared" si="93"/>
        <v>11113</v>
      </c>
      <c r="L1188" s="10"/>
    </row>
    <row r="1189" spans="2:12" ht="20.100000000000001" customHeight="1" x14ac:dyDescent="0.15">
      <c r="B1189" s="72"/>
      <c r="C1189" s="10"/>
      <c r="D1189" s="10"/>
      <c r="E1189" s="10"/>
      <c r="F1189" s="10"/>
      <c r="G1189" s="7"/>
      <c r="H1189" s="8"/>
      <c r="I1189" s="8"/>
      <c r="J1189" s="8" t="str">
        <f t="shared" si="92"/>
        <v>借</v>
      </c>
      <c r="K1189" s="9">
        <f t="shared" si="93"/>
        <v>11113</v>
      </c>
      <c r="L1189" s="10"/>
    </row>
    <row r="1190" spans="2:12" ht="20.100000000000001" customHeight="1" x14ac:dyDescent="0.15">
      <c r="B1190" s="72"/>
      <c r="C1190" s="10"/>
      <c r="D1190" s="10"/>
      <c r="E1190" s="10"/>
      <c r="F1190" s="10"/>
      <c r="G1190" s="7"/>
      <c r="H1190" s="8"/>
      <c r="I1190" s="8"/>
      <c r="J1190" s="8" t="str">
        <f t="shared" si="92"/>
        <v>借</v>
      </c>
      <c r="K1190" s="9">
        <f t="shared" si="93"/>
        <v>11113</v>
      </c>
      <c r="L1190" s="10"/>
    </row>
    <row r="1191" spans="2:12" ht="20.100000000000001" customHeight="1" x14ac:dyDescent="0.15">
      <c r="B1191" s="72"/>
      <c r="C1191" s="10"/>
      <c r="D1191" s="10"/>
      <c r="E1191" s="10"/>
      <c r="F1191" s="10"/>
      <c r="G1191" s="7"/>
      <c r="H1191" s="8"/>
      <c r="I1191" s="8"/>
      <c r="J1191" s="8" t="str">
        <f t="shared" si="92"/>
        <v>借</v>
      </c>
      <c r="K1191" s="9">
        <f t="shared" si="93"/>
        <v>11113</v>
      </c>
      <c r="L1191" s="10"/>
    </row>
    <row r="1192" spans="2:12" ht="20.100000000000001" customHeight="1" x14ac:dyDescent="0.15">
      <c r="B1192" s="72"/>
      <c r="C1192" s="10"/>
      <c r="D1192" s="10"/>
      <c r="E1192" s="10"/>
      <c r="F1192" s="10"/>
      <c r="G1192" s="7"/>
      <c r="H1192" s="8"/>
      <c r="I1192" s="8"/>
      <c r="J1192" s="8" t="str">
        <f t="shared" si="92"/>
        <v>借</v>
      </c>
      <c r="K1192" s="9">
        <f t="shared" si="93"/>
        <v>11113</v>
      </c>
      <c r="L1192" s="10"/>
    </row>
    <row r="1193" spans="2:12" ht="20.100000000000001" customHeight="1" x14ac:dyDescent="0.15">
      <c r="B1193" s="72"/>
      <c r="C1193" s="10"/>
      <c r="D1193" s="10"/>
      <c r="E1193" s="10"/>
      <c r="F1193" s="10"/>
      <c r="G1193" s="7"/>
      <c r="H1193" s="8"/>
      <c r="I1193" s="8"/>
      <c r="J1193" s="8" t="str">
        <f t="shared" si="92"/>
        <v>借</v>
      </c>
      <c r="K1193" s="9">
        <f t="shared" si="93"/>
        <v>11113</v>
      </c>
      <c r="L1193" s="10"/>
    </row>
    <row r="1194" spans="2:12" ht="20.100000000000001" customHeight="1" x14ac:dyDescent="0.15">
      <c r="B1194" s="72"/>
      <c r="C1194" s="10"/>
      <c r="D1194" s="10"/>
      <c r="E1194" s="10"/>
      <c r="F1194" s="10"/>
      <c r="G1194" s="7"/>
      <c r="H1194" s="8"/>
      <c r="I1194" s="8"/>
      <c r="J1194" s="8" t="str">
        <f t="shared" si="92"/>
        <v>借</v>
      </c>
      <c r="K1194" s="9">
        <f t="shared" si="93"/>
        <v>11113</v>
      </c>
      <c r="L1194" s="10"/>
    </row>
    <row r="1195" spans="2:12" ht="20.100000000000001" customHeight="1" x14ac:dyDescent="0.15">
      <c r="B1195" s="72"/>
      <c r="C1195" s="10"/>
      <c r="D1195" s="10"/>
      <c r="E1195" s="10"/>
      <c r="F1195" s="10"/>
      <c r="G1195" s="7"/>
      <c r="H1195" s="8"/>
      <c r="I1195" s="8"/>
      <c r="J1195" s="8" t="str">
        <f t="shared" si="92"/>
        <v>借</v>
      </c>
      <c r="K1195" s="9">
        <f t="shared" si="93"/>
        <v>11113</v>
      </c>
      <c r="L1195" s="10"/>
    </row>
    <row r="1196" spans="2:12" ht="20.100000000000001" customHeight="1" x14ac:dyDescent="0.15">
      <c r="B1196" s="72"/>
      <c r="C1196" s="10"/>
      <c r="D1196" s="10"/>
      <c r="E1196" s="10"/>
      <c r="F1196" s="10"/>
      <c r="G1196" s="7"/>
      <c r="H1196" s="8"/>
      <c r="I1196" s="8"/>
      <c r="J1196" s="8" t="str">
        <f t="shared" si="92"/>
        <v>借</v>
      </c>
      <c r="K1196" s="9">
        <f t="shared" si="93"/>
        <v>11113</v>
      </c>
      <c r="L1196" s="10"/>
    </row>
    <row r="1197" spans="2:12" ht="20.100000000000001" customHeight="1" x14ac:dyDescent="0.15">
      <c r="B1197" s="72"/>
      <c r="C1197" s="10"/>
      <c r="D1197" s="10"/>
      <c r="E1197" s="10"/>
      <c r="F1197" s="10"/>
      <c r="G1197" s="7"/>
      <c r="H1197" s="8"/>
      <c r="I1197" s="8"/>
      <c r="J1197" s="8" t="str">
        <f t="shared" si="92"/>
        <v>借</v>
      </c>
      <c r="K1197" s="9">
        <f t="shared" si="93"/>
        <v>11113</v>
      </c>
      <c r="L1197" s="10"/>
    </row>
    <row r="1198" spans="2:12" ht="20.100000000000001" customHeight="1" x14ac:dyDescent="0.15">
      <c r="B1198" s="72"/>
      <c r="C1198" s="10"/>
      <c r="D1198" s="10"/>
      <c r="E1198" s="10"/>
      <c r="F1198" s="10"/>
      <c r="G1198" s="7"/>
      <c r="H1198" s="8"/>
      <c r="I1198" s="8"/>
      <c r="J1198" s="8" t="str">
        <f t="shared" si="92"/>
        <v>借</v>
      </c>
      <c r="K1198" s="9">
        <f t="shared" si="93"/>
        <v>11113</v>
      </c>
      <c r="L1198" s="10"/>
    </row>
    <row r="1199" spans="2:12" ht="20.100000000000001" customHeight="1" x14ac:dyDescent="0.15">
      <c r="B1199" s="72"/>
      <c r="C1199" s="10"/>
      <c r="D1199" s="10"/>
      <c r="E1199" s="10"/>
      <c r="F1199" s="10"/>
      <c r="G1199" s="7"/>
      <c r="H1199" s="8"/>
      <c r="I1199" s="8"/>
      <c r="J1199" s="8" t="str">
        <f t="shared" si="92"/>
        <v>借</v>
      </c>
      <c r="K1199" s="9">
        <f t="shared" si="93"/>
        <v>11113</v>
      </c>
      <c r="L1199" s="10"/>
    </row>
    <row r="1200" spans="2:12" ht="20.100000000000001" customHeight="1" x14ac:dyDescent="0.15">
      <c r="B1200" s="72"/>
      <c r="C1200" s="10"/>
      <c r="D1200" s="10"/>
      <c r="E1200" s="10"/>
      <c r="F1200" s="10"/>
      <c r="G1200" s="7"/>
      <c r="H1200" s="8"/>
      <c r="I1200" s="8"/>
      <c r="J1200" s="8" t="str">
        <f t="shared" si="92"/>
        <v>借</v>
      </c>
      <c r="K1200" s="9">
        <f t="shared" si="93"/>
        <v>11113</v>
      </c>
      <c r="L1200" s="10"/>
    </row>
    <row r="1201" spans="2:12" ht="20.100000000000001" customHeight="1" x14ac:dyDescent="0.15">
      <c r="B1201" s="72"/>
      <c r="C1201" s="10"/>
      <c r="D1201" s="10"/>
      <c r="E1201" s="10"/>
      <c r="F1201" s="10"/>
      <c r="G1201" s="7"/>
      <c r="H1201" s="8"/>
      <c r="I1201" s="8"/>
      <c r="J1201" s="8" t="str">
        <f t="shared" si="92"/>
        <v>借</v>
      </c>
      <c r="K1201" s="9">
        <f t="shared" si="93"/>
        <v>11113</v>
      </c>
      <c r="L1201" s="10"/>
    </row>
    <row r="1202" spans="2:12" ht="20.100000000000001" customHeight="1" x14ac:dyDescent="0.15">
      <c r="B1202" s="72"/>
      <c r="C1202" s="10"/>
      <c r="D1202" s="10"/>
      <c r="E1202" s="10"/>
      <c r="F1202" s="10"/>
      <c r="G1202" s="7"/>
      <c r="H1202" s="8"/>
      <c r="I1202" s="8"/>
      <c r="J1202" s="8" t="str">
        <f t="shared" si="92"/>
        <v>借</v>
      </c>
      <c r="K1202" s="9">
        <f t="shared" si="93"/>
        <v>11113</v>
      </c>
      <c r="L1202" s="10"/>
    </row>
    <row r="1203" spans="2:12" ht="20.100000000000001" customHeight="1" x14ac:dyDescent="0.15">
      <c r="B1203" s="72"/>
      <c r="C1203" s="10"/>
      <c r="D1203" s="10"/>
      <c r="E1203" s="10"/>
      <c r="F1203" s="10"/>
      <c r="G1203" s="7"/>
      <c r="H1203" s="8"/>
      <c r="I1203" s="8"/>
      <c r="J1203" s="8" t="str">
        <f t="shared" si="92"/>
        <v>借</v>
      </c>
      <c r="K1203" s="9">
        <f t="shared" si="93"/>
        <v>11113</v>
      </c>
      <c r="L1203" s="10"/>
    </row>
    <row r="1204" spans="2:12" ht="20.100000000000001" customHeight="1" x14ac:dyDescent="0.15">
      <c r="B1204" s="72"/>
      <c r="C1204" s="10"/>
      <c r="D1204" s="10"/>
      <c r="E1204" s="10"/>
      <c r="F1204" s="10"/>
      <c r="G1204" s="7"/>
      <c r="H1204" s="8"/>
      <c r="I1204" s="8"/>
      <c r="J1204" s="8" t="str">
        <f t="shared" si="92"/>
        <v>借</v>
      </c>
      <c r="K1204" s="9">
        <f t="shared" si="93"/>
        <v>11113</v>
      </c>
      <c r="L1204" s="10"/>
    </row>
    <row r="1205" spans="2:12" ht="20.100000000000001" customHeight="1" x14ac:dyDescent="0.15">
      <c r="B1205" s="72"/>
      <c r="C1205" s="10"/>
      <c r="D1205" s="10"/>
      <c r="E1205" s="10"/>
      <c r="F1205" s="10"/>
      <c r="G1205" s="7"/>
      <c r="H1205" s="8"/>
      <c r="I1205" s="8"/>
      <c r="J1205" s="8" t="str">
        <f t="shared" si="92"/>
        <v>借</v>
      </c>
      <c r="K1205" s="9">
        <f t="shared" si="93"/>
        <v>11113</v>
      </c>
      <c r="L1205" s="10"/>
    </row>
    <row r="1206" spans="2:12" ht="20.100000000000001" customHeight="1" x14ac:dyDescent="0.15">
      <c r="B1206" s="72"/>
      <c r="C1206" s="10"/>
      <c r="D1206" s="10"/>
      <c r="E1206" s="10"/>
      <c r="F1206" s="10"/>
      <c r="G1206" s="7"/>
      <c r="H1206" s="8"/>
      <c r="I1206" s="8"/>
      <c r="J1206" s="8" t="str">
        <f t="shared" si="92"/>
        <v>借</v>
      </c>
      <c r="K1206" s="9">
        <f t="shared" si="93"/>
        <v>11113</v>
      </c>
      <c r="L1206" s="10"/>
    </row>
    <row r="1207" spans="2:12" ht="20.100000000000001" customHeight="1" x14ac:dyDescent="0.15">
      <c r="B1207" s="72"/>
      <c r="C1207" s="10"/>
      <c r="D1207" s="10"/>
      <c r="E1207" s="10"/>
      <c r="F1207" s="10"/>
      <c r="G1207" s="7"/>
      <c r="H1207" s="8"/>
      <c r="I1207" s="8"/>
      <c r="J1207" s="8" t="str">
        <f t="shared" ref="J1207:J1240" si="94">IF((K1206+H1207-I1207)&gt;0,"借","贷")</f>
        <v>借</v>
      </c>
      <c r="K1207" s="9">
        <f t="shared" ref="K1207:K1240" si="95">_xlfn.IFS(J1206="借",K1206+H1207-I1207,J1206="贷",H1207-I1207-K1206)</f>
        <v>11113</v>
      </c>
      <c r="L1207" s="10"/>
    </row>
    <row r="1208" spans="2:12" ht="20.100000000000001" customHeight="1" x14ac:dyDescent="0.15">
      <c r="B1208" s="72"/>
      <c r="C1208" s="10"/>
      <c r="D1208" s="10"/>
      <c r="E1208" s="10"/>
      <c r="F1208" s="10"/>
      <c r="G1208" s="7"/>
      <c r="H1208" s="8"/>
      <c r="I1208" s="8"/>
      <c r="J1208" s="8" t="str">
        <f t="shared" si="94"/>
        <v>借</v>
      </c>
      <c r="K1208" s="9">
        <f t="shared" si="95"/>
        <v>11113</v>
      </c>
      <c r="L1208" s="10"/>
    </row>
    <row r="1209" spans="2:12" ht="20.100000000000001" customHeight="1" x14ac:dyDescent="0.15">
      <c r="B1209" s="72"/>
      <c r="C1209" s="10"/>
      <c r="D1209" s="10"/>
      <c r="E1209" s="10"/>
      <c r="F1209" s="10"/>
      <c r="G1209" s="7"/>
      <c r="H1209" s="8"/>
      <c r="I1209" s="8"/>
      <c r="J1209" s="8" t="str">
        <f t="shared" si="94"/>
        <v>借</v>
      </c>
      <c r="K1209" s="9">
        <f t="shared" si="95"/>
        <v>11113</v>
      </c>
      <c r="L1209" s="10"/>
    </row>
    <row r="1210" spans="2:12" ht="20.100000000000001" customHeight="1" x14ac:dyDescent="0.15">
      <c r="B1210" s="72"/>
      <c r="C1210" s="10"/>
      <c r="D1210" s="10"/>
      <c r="E1210" s="10"/>
      <c r="F1210" s="10"/>
      <c r="G1210" s="7"/>
      <c r="H1210" s="8"/>
      <c r="I1210" s="8"/>
      <c r="J1210" s="8" t="str">
        <f t="shared" si="94"/>
        <v>借</v>
      </c>
      <c r="K1210" s="9">
        <f t="shared" si="95"/>
        <v>11113</v>
      </c>
      <c r="L1210" s="10"/>
    </row>
    <row r="1211" spans="2:12" ht="20.100000000000001" customHeight="1" x14ac:dyDescent="0.15">
      <c r="B1211" s="72"/>
      <c r="C1211" s="10"/>
      <c r="D1211" s="10"/>
      <c r="E1211" s="10"/>
      <c r="F1211" s="10"/>
      <c r="G1211" s="7"/>
      <c r="H1211" s="8"/>
      <c r="I1211" s="8"/>
      <c r="J1211" s="8" t="str">
        <f t="shared" si="94"/>
        <v>借</v>
      </c>
      <c r="K1211" s="9">
        <f t="shared" si="95"/>
        <v>11113</v>
      </c>
      <c r="L1211" s="10"/>
    </row>
    <row r="1212" spans="2:12" ht="20.100000000000001" customHeight="1" x14ac:dyDescent="0.15">
      <c r="B1212" s="72"/>
      <c r="C1212" s="10"/>
      <c r="D1212" s="10"/>
      <c r="E1212" s="10"/>
      <c r="F1212" s="10"/>
      <c r="G1212" s="7"/>
      <c r="H1212" s="8"/>
      <c r="I1212" s="8"/>
      <c r="J1212" s="8" t="str">
        <f t="shared" si="94"/>
        <v>借</v>
      </c>
      <c r="K1212" s="9">
        <f t="shared" si="95"/>
        <v>11113</v>
      </c>
      <c r="L1212" s="10"/>
    </row>
    <row r="1213" spans="2:12" ht="20.100000000000001" customHeight="1" x14ac:dyDescent="0.15">
      <c r="B1213" s="72"/>
      <c r="C1213" s="10"/>
      <c r="D1213" s="10"/>
      <c r="E1213" s="10"/>
      <c r="F1213" s="10"/>
      <c r="G1213" s="7"/>
      <c r="H1213" s="8"/>
      <c r="I1213" s="8"/>
      <c r="J1213" s="8" t="str">
        <f t="shared" si="94"/>
        <v>借</v>
      </c>
      <c r="K1213" s="9">
        <f t="shared" si="95"/>
        <v>11113</v>
      </c>
      <c r="L1213" s="10"/>
    </row>
    <row r="1214" spans="2:12" ht="20.100000000000001" customHeight="1" x14ac:dyDescent="0.15">
      <c r="B1214" s="72"/>
      <c r="C1214" s="10"/>
      <c r="D1214" s="10"/>
      <c r="E1214" s="10"/>
      <c r="F1214" s="10"/>
      <c r="G1214" s="7"/>
      <c r="H1214" s="8"/>
      <c r="I1214" s="8"/>
      <c r="J1214" s="8" t="str">
        <f t="shared" si="94"/>
        <v>借</v>
      </c>
      <c r="K1214" s="9">
        <f t="shared" si="95"/>
        <v>11113</v>
      </c>
      <c r="L1214" s="10"/>
    </row>
    <row r="1215" spans="2:12" ht="20.100000000000001" customHeight="1" x14ac:dyDescent="0.15">
      <c r="B1215" s="72"/>
      <c r="C1215" s="10"/>
      <c r="D1215" s="10"/>
      <c r="E1215" s="10"/>
      <c r="F1215" s="10"/>
      <c r="G1215" s="7"/>
      <c r="H1215" s="8"/>
      <c r="I1215" s="8"/>
      <c r="J1215" s="8" t="str">
        <f t="shared" si="94"/>
        <v>借</v>
      </c>
      <c r="K1215" s="9">
        <f t="shared" si="95"/>
        <v>11113</v>
      </c>
      <c r="L1215" s="10"/>
    </row>
    <row r="1216" spans="2:12" ht="20.100000000000001" customHeight="1" x14ac:dyDescent="0.15">
      <c r="B1216" s="72"/>
      <c r="C1216" s="10"/>
      <c r="D1216" s="10"/>
      <c r="E1216" s="10"/>
      <c r="F1216" s="10"/>
      <c r="G1216" s="7"/>
      <c r="H1216" s="8"/>
      <c r="I1216" s="8"/>
      <c r="J1216" s="8" t="str">
        <f t="shared" si="94"/>
        <v>借</v>
      </c>
      <c r="K1216" s="9">
        <f t="shared" si="95"/>
        <v>11113</v>
      </c>
      <c r="L1216" s="10"/>
    </row>
    <row r="1217" spans="2:13" ht="20.100000000000001" customHeight="1" x14ac:dyDescent="0.15">
      <c r="B1217" s="72"/>
      <c r="C1217" s="10"/>
      <c r="D1217" s="10"/>
      <c r="E1217" s="10"/>
      <c r="F1217" s="10"/>
      <c r="G1217" s="7"/>
      <c r="H1217" s="8"/>
      <c r="I1217" s="8"/>
      <c r="J1217" s="8" t="str">
        <f t="shared" si="94"/>
        <v>借</v>
      </c>
      <c r="K1217" s="9">
        <f t="shared" si="95"/>
        <v>11113</v>
      </c>
      <c r="L1217" s="10"/>
    </row>
    <row r="1218" spans="2:13" ht="20.100000000000001" customHeight="1" x14ac:dyDescent="0.15">
      <c r="B1218" s="72"/>
      <c r="C1218" s="10"/>
      <c r="D1218" s="10"/>
      <c r="E1218" s="10"/>
      <c r="F1218" s="10"/>
      <c r="G1218" s="7"/>
      <c r="H1218" s="8"/>
      <c r="I1218" s="8"/>
      <c r="J1218" s="8" t="str">
        <f t="shared" si="94"/>
        <v>借</v>
      </c>
      <c r="K1218" s="9">
        <f t="shared" si="95"/>
        <v>11113</v>
      </c>
      <c r="L1218" s="10"/>
      <c r="M1218" s="99"/>
    </row>
    <row r="1219" spans="2:13" ht="20.100000000000001" customHeight="1" x14ac:dyDescent="0.15">
      <c r="B1219" s="72"/>
      <c r="C1219" s="10"/>
      <c r="D1219" s="10"/>
      <c r="E1219" s="10"/>
      <c r="F1219" s="10"/>
      <c r="G1219" s="7"/>
      <c r="H1219" s="8"/>
      <c r="I1219" s="8"/>
      <c r="J1219" s="8" t="str">
        <f t="shared" si="94"/>
        <v>借</v>
      </c>
      <c r="K1219" s="9">
        <f t="shared" si="95"/>
        <v>11113</v>
      </c>
      <c r="L1219" s="10"/>
      <c r="M1219" s="99"/>
    </row>
    <row r="1220" spans="2:13" ht="20.100000000000001" customHeight="1" x14ac:dyDescent="0.15">
      <c r="B1220" s="72"/>
      <c r="C1220" s="10"/>
      <c r="D1220" s="10"/>
      <c r="E1220" s="10"/>
      <c r="F1220" s="10"/>
      <c r="G1220" s="7"/>
      <c r="H1220" s="8"/>
      <c r="I1220" s="8"/>
      <c r="J1220" s="8" t="str">
        <f t="shared" si="94"/>
        <v>借</v>
      </c>
      <c r="K1220" s="9">
        <f t="shared" si="95"/>
        <v>11113</v>
      </c>
      <c r="L1220" s="10"/>
    </row>
    <row r="1221" spans="2:13" ht="20.100000000000001" customHeight="1" x14ac:dyDescent="0.15">
      <c r="B1221" s="72"/>
      <c r="C1221" s="10"/>
      <c r="D1221" s="10"/>
      <c r="E1221" s="10"/>
      <c r="F1221" s="10"/>
      <c r="G1221" s="7"/>
      <c r="H1221" s="8"/>
      <c r="I1221" s="8"/>
      <c r="J1221" s="8" t="str">
        <f t="shared" si="94"/>
        <v>借</v>
      </c>
      <c r="K1221" s="9">
        <f t="shared" si="95"/>
        <v>11113</v>
      </c>
      <c r="L1221" s="10"/>
    </row>
    <row r="1222" spans="2:13" ht="20.100000000000001" customHeight="1" x14ac:dyDescent="0.15">
      <c r="B1222" s="72"/>
      <c r="C1222" s="10"/>
      <c r="D1222" s="10"/>
      <c r="E1222" s="10"/>
      <c r="F1222" s="10"/>
      <c r="G1222" s="7"/>
      <c r="H1222" s="8"/>
      <c r="I1222" s="8"/>
      <c r="J1222" s="8" t="str">
        <f t="shared" si="94"/>
        <v>借</v>
      </c>
      <c r="K1222" s="9">
        <f t="shared" si="95"/>
        <v>11113</v>
      </c>
      <c r="L1222" s="10"/>
    </row>
    <row r="1223" spans="2:13" ht="20.100000000000001" customHeight="1" x14ac:dyDescent="0.15">
      <c r="B1223" s="72"/>
      <c r="C1223" s="10"/>
      <c r="D1223" s="10"/>
      <c r="E1223" s="10"/>
      <c r="F1223" s="10"/>
      <c r="G1223" s="7"/>
      <c r="H1223" s="8"/>
      <c r="I1223" s="8"/>
      <c r="J1223" s="8" t="str">
        <f t="shared" si="94"/>
        <v>借</v>
      </c>
      <c r="K1223" s="9">
        <f t="shared" si="95"/>
        <v>11113</v>
      </c>
      <c r="L1223" s="10"/>
    </row>
    <row r="1224" spans="2:13" ht="20.100000000000001" customHeight="1" x14ac:dyDescent="0.15">
      <c r="B1224" s="72"/>
      <c r="C1224" s="10"/>
      <c r="D1224" s="10"/>
      <c r="E1224" s="10"/>
      <c r="F1224" s="10"/>
      <c r="G1224" s="7"/>
      <c r="H1224" s="8"/>
      <c r="I1224" s="8"/>
      <c r="J1224" s="8" t="str">
        <f t="shared" si="94"/>
        <v>借</v>
      </c>
      <c r="K1224" s="9">
        <f t="shared" si="95"/>
        <v>11113</v>
      </c>
      <c r="L1224" s="10"/>
    </row>
    <row r="1225" spans="2:13" ht="20.100000000000001" customHeight="1" x14ac:dyDescent="0.15">
      <c r="B1225" s="72"/>
      <c r="C1225" s="10"/>
      <c r="D1225" s="10"/>
      <c r="E1225" s="10"/>
      <c r="F1225" s="10"/>
      <c r="G1225" s="7"/>
      <c r="H1225" s="8"/>
      <c r="I1225" s="8"/>
      <c r="J1225" s="8" t="str">
        <f t="shared" si="94"/>
        <v>借</v>
      </c>
      <c r="K1225" s="9">
        <f t="shared" si="95"/>
        <v>11113</v>
      </c>
      <c r="L1225" s="10"/>
    </row>
    <row r="1226" spans="2:13" ht="20.100000000000001" customHeight="1" x14ac:dyDescent="0.15">
      <c r="B1226" s="72"/>
      <c r="C1226" s="10"/>
      <c r="D1226" s="10"/>
      <c r="E1226" s="10"/>
      <c r="F1226" s="10"/>
      <c r="G1226" s="7"/>
      <c r="H1226" s="8"/>
      <c r="I1226" s="8"/>
      <c r="J1226" s="8" t="str">
        <f t="shared" si="94"/>
        <v>借</v>
      </c>
      <c r="K1226" s="9">
        <f t="shared" si="95"/>
        <v>11113</v>
      </c>
      <c r="L1226" s="10"/>
    </row>
    <row r="1227" spans="2:13" ht="20.100000000000001" customHeight="1" x14ac:dyDescent="0.15">
      <c r="B1227" s="72"/>
      <c r="C1227" s="10"/>
      <c r="D1227" s="10"/>
      <c r="E1227" s="10"/>
      <c r="F1227" s="10"/>
      <c r="G1227" s="7"/>
      <c r="H1227" s="8"/>
      <c r="I1227" s="8"/>
      <c r="J1227" s="8" t="str">
        <f t="shared" si="94"/>
        <v>借</v>
      </c>
      <c r="K1227" s="9">
        <f t="shared" si="95"/>
        <v>11113</v>
      </c>
      <c r="L1227" s="10"/>
    </row>
    <row r="1228" spans="2:13" ht="20.100000000000001" customHeight="1" x14ac:dyDescent="0.15">
      <c r="B1228" s="72"/>
      <c r="C1228" s="10"/>
      <c r="D1228" s="10"/>
      <c r="E1228" s="10"/>
      <c r="F1228" s="10"/>
      <c r="G1228" s="7"/>
      <c r="H1228" s="8"/>
      <c r="I1228" s="8"/>
      <c r="J1228" s="8" t="str">
        <f t="shared" si="94"/>
        <v>借</v>
      </c>
      <c r="K1228" s="9">
        <f t="shared" si="95"/>
        <v>11113</v>
      </c>
      <c r="L1228" s="10"/>
    </row>
    <row r="1229" spans="2:13" ht="20.100000000000001" customHeight="1" x14ac:dyDescent="0.15">
      <c r="B1229" s="72"/>
      <c r="C1229" s="10"/>
      <c r="D1229" s="10"/>
      <c r="E1229" s="10"/>
      <c r="F1229" s="10"/>
      <c r="G1229" s="7"/>
      <c r="H1229" s="8"/>
      <c r="I1229" s="8"/>
      <c r="J1229" s="8" t="str">
        <f t="shared" si="94"/>
        <v>借</v>
      </c>
      <c r="K1229" s="9">
        <f t="shared" si="95"/>
        <v>11113</v>
      </c>
      <c r="L1229" s="10"/>
    </row>
    <row r="1230" spans="2:13" ht="20.100000000000001" customHeight="1" x14ac:dyDescent="0.15">
      <c r="B1230" s="72"/>
      <c r="C1230" s="10"/>
      <c r="D1230" s="10"/>
      <c r="E1230" s="10"/>
      <c r="F1230" s="10"/>
      <c r="G1230" s="7"/>
      <c r="H1230" s="8"/>
      <c r="I1230" s="8"/>
      <c r="J1230" s="8" t="str">
        <f t="shared" si="94"/>
        <v>借</v>
      </c>
      <c r="K1230" s="9">
        <f t="shared" si="95"/>
        <v>11113</v>
      </c>
      <c r="L1230" s="10"/>
    </row>
    <row r="1231" spans="2:13" ht="20.100000000000001" customHeight="1" x14ac:dyDescent="0.15">
      <c r="B1231" s="72"/>
      <c r="C1231" s="10"/>
      <c r="D1231" s="10"/>
      <c r="E1231" s="10"/>
      <c r="F1231" s="10"/>
      <c r="G1231" s="7"/>
      <c r="H1231" s="8"/>
      <c r="I1231" s="8"/>
      <c r="J1231" s="8" t="str">
        <f t="shared" si="94"/>
        <v>借</v>
      </c>
      <c r="K1231" s="9">
        <f t="shared" si="95"/>
        <v>11113</v>
      </c>
      <c r="L1231" s="10"/>
    </row>
    <row r="1232" spans="2:13" ht="20.100000000000001" customHeight="1" x14ac:dyDescent="0.15">
      <c r="B1232" s="72"/>
      <c r="C1232" s="10"/>
      <c r="D1232" s="10"/>
      <c r="E1232" s="10"/>
      <c r="F1232" s="10"/>
      <c r="G1232" s="7"/>
      <c r="H1232" s="8"/>
      <c r="I1232" s="8"/>
      <c r="J1232" s="8" t="str">
        <f t="shared" si="94"/>
        <v>借</v>
      </c>
      <c r="K1232" s="9">
        <f t="shared" si="95"/>
        <v>11113</v>
      </c>
      <c r="L1232" s="10"/>
    </row>
    <row r="1233" spans="2:12" ht="20.100000000000001" customHeight="1" x14ac:dyDescent="0.15">
      <c r="B1233" s="72"/>
      <c r="C1233" s="10"/>
      <c r="D1233" s="10"/>
      <c r="E1233" s="10"/>
      <c r="F1233" s="10"/>
      <c r="G1233" s="7"/>
      <c r="H1233" s="8"/>
      <c r="I1233" s="8"/>
      <c r="J1233" s="8" t="str">
        <f t="shared" si="94"/>
        <v>借</v>
      </c>
      <c r="K1233" s="9">
        <f t="shared" si="95"/>
        <v>11113</v>
      </c>
      <c r="L1233" s="10"/>
    </row>
    <row r="1234" spans="2:12" ht="20.100000000000001" customHeight="1" x14ac:dyDescent="0.15">
      <c r="B1234" s="72"/>
      <c r="C1234" s="10"/>
      <c r="D1234" s="10"/>
      <c r="E1234" s="10"/>
      <c r="F1234" s="10"/>
      <c r="G1234" s="7"/>
      <c r="H1234" s="8"/>
      <c r="I1234" s="8"/>
      <c r="J1234" s="8" t="str">
        <f t="shared" si="94"/>
        <v>借</v>
      </c>
      <c r="K1234" s="9">
        <f t="shared" si="95"/>
        <v>11113</v>
      </c>
      <c r="L1234" s="10"/>
    </row>
    <row r="1235" spans="2:12" ht="20.100000000000001" customHeight="1" x14ac:dyDescent="0.15">
      <c r="B1235" s="72"/>
      <c r="C1235" s="10"/>
      <c r="D1235" s="10"/>
      <c r="E1235" s="10"/>
      <c r="F1235" s="10"/>
      <c r="G1235" s="7"/>
      <c r="H1235" s="8"/>
      <c r="I1235" s="8"/>
      <c r="J1235" s="8" t="str">
        <f t="shared" si="94"/>
        <v>借</v>
      </c>
      <c r="K1235" s="9">
        <f t="shared" si="95"/>
        <v>11113</v>
      </c>
      <c r="L1235" s="10"/>
    </row>
    <row r="1236" spans="2:12" ht="20.100000000000001" customHeight="1" x14ac:dyDescent="0.15">
      <c r="B1236" s="72"/>
      <c r="C1236" s="10"/>
      <c r="D1236" s="10"/>
      <c r="E1236" s="10"/>
      <c r="F1236" s="10"/>
      <c r="G1236" s="7"/>
      <c r="H1236" s="8"/>
      <c r="I1236" s="8"/>
      <c r="J1236" s="8" t="str">
        <f t="shared" si="94"/>
        <v>借</v>
      </c>
      <c r="K1236" s="9">
        <f t="shared" si="95"/>
        <v>11113</v>
      </c>
      <c r="L1236" s="10"/>
    </row>
    <row r="1237" spans="2:12" ht="20.100000000000001" customHeight="1" x14ac:dyDescent="0.15">
      <c r="B1237" s="72"/>
      <c r="C1237" s="10"/>
      <c r="D1237" s="10"/>
      <c r="E1237" s="10"/>
      <c r="F1237" s="10"/>
      <c r="G1237" s="7"/>
      <c r="H1237" s="8"/>
      <c r="I1237" s="8"/>
      <c r="J1237" s="8" t="str">
        <f t="shared" si="94"/>
        <v>借</v>
      </c>
      <c r="K1237" s="9">
        <f t="shared" si="95"/>
        <v>11113</v>
      </c>
      <c r="L1237" s="10"/>
    </row>
    <row r="1238" spans="2:12" ht="20.100000000000001" customHeight="1" x14ac:dyDescent="0.15">
      <c r="B1238" s="72"/>
      <c r="C1238" s="10"/>
      <c r="D1238" s="10"/>
      <c r="E1238" s="10"/>
      <c r="F1238" s="10"/>
      <c r="G1238" s="7"/>
      <c r="H1238" s="8"/>
      <c r="I1238" s="8"/>
      <c r="J1238" s="8" t="str">
        <f t="shared" si="94"/>
        <v>借</v>
      </c>
      <c r="K1238" s="9">
        <f t="shared" si="95"/>
        <v>11113</v>
      </c>
      <c r="L1238" s="10"/>
    </row>
    <row r="1239" spans="2:12" ht="20.100000000000001" customHeight="1" x14ac:dyDescent="0.15">
      <c r="B1239" s="72"/>
      <c r="C1239" s="10"/>
      <c r="D1239" s="10"/>
      <c r="E1239" s="10"/>
      <c r="F1239" s="10"/>
      <c r="G1239" s="7"/>
      <c r="H1239" s="8"/>
      <c r="I1239" s="8"/>
      <c r="J1239" s="8" t="str">
        <f t="shared" si="94"/>
        <v>借</v>
      </c>
      <c r="K1239" s="9">
        <f t="shared" si="95"/>
        <v>11113</v>
      </c>
      <c r="L1239" s="10"/>
    </row>
    <row r="1240" spans="2:12" ht="20.100000000000001" customHeight="1" x14ac:dyDescent="0.15">
      <c r="B1240" s="72"/>
      <c r="C1240" s="10"/>
      <c r="D1240" s="10"/>
      <c r="E1240" s="10"/>
      <c r="F1240" s="10"/>
      <c r="G1240" s="7"/>
      <c r="H1240" s="8"/>
      <c r="I1240" s="8"/>
      <c r="J1240" s="8" t="str">
        <f t="shared" si="94"/>
        <v>借</v>
      </c>
      <c r="K1240" s="9">
        <f t="shared" si="95"/>
        <v>11113</v>
      </c>
      <c r="L1240" s="10"/>
    </row>
    <row r="1241" spans="2:12" ht="20.100000000000001" customHeight="1" x14ac:dyDescent="0.15">
      <c r="B1241" s="72"/>
      <c r="C1241" s="10"/>
      <c r="D1241" s="10"/>
      <c r="E1241" s="10"/>
      <c r="F1241" s="10"/>
      <c r="G1241" s="7"/>
      <c r="H1241" s="8"/>
      <c r="I1241" s="8"/>
      <c r="J1241" s="8" t="str">
        <f t="shared" ref="J1241:J1277" si="96">IF((K1240+H1241-I1241)&gt;0,"借","贷")</f>
        <v>借</v>
      </c>
      <c r="K1241" s="9">
        <f t="shared" ref="K1241:K1277" si="97">_xlfn.IFS(J1240="借",K1240+H1241-I1241,J1240="贷",H1241-I1241-K1240)</f>
        <v>11113</v>
      </c>
      <c r="L1241" s="10"/>
    </row>
    <row r="1242" spans="2:12" ht="20.100000000000001" customHeight="1" x14ac:dyDescent="0.15">
      <c r="B1242" s="72"/>
      <c r="C1242" s="10"/>
      <c r="D1242" s="10"/>
      <c r="E1242" s="10"/>
      <c r="F1242" s="10"/>
      <c r="G1242" s="7"/>
      <c r="H1242" s="8"/>
      <c r="I1242" s="8"/>
      <c r="J1242" s="8" t="str">
        <f t="shared" si="96"/>
        <v>借</v>
      </c>
      <c r="K1242" s="9">
        <f t="shared" si="97"/>
        <v>11113</v>
      </c>
      <c r="L1242" s="10"/>
    </row>
    <row r="1243" spans="2:12" ht="20.100000000000001" customHeight="1" x14ac:dyDescent="0.15">
      <c r="B1243" s="72"/>
      <c r="C1243" s="10"/>
      <c r="D1243" s="10"/>
      <c r="E1243" s="10"/>
      <c r="F1243" s="10"/>
      <c r="G1243" s="7"/>
      <c r="H1243" s="8"/>
      <c r="I1243" s="8"/>
      <c r="J1243" s="8" t="str">
        <f t="shared" si="96"/>
        <v>借</v>
      </c>
      <c r="K1243" s="9">
        <f t="shared" si="97"/>
        <v>11113</v>
      </c>
      <c r="L1243" s="10"/>
    </row>
    <row r="1244" spans="2:12" ht="20.100000000000001" customHeight="1" x14ac:dyDescent="0.15">
      <c r="B1244" s="72"/>
      <c r="C1244" s="10"/>
      <c r="D1244" s="10"/>
      <c r="E1244" s="10"/>
      <c r="F1244" s="10"/>
      <c r="G1244" s="7"/>
      <c r="H1244" s="8"/>
      <c r="I1244" s="8"/>
      <c r="J1244" s="8" t="str">
        <f t="shared" si="96"/>
        <v>借</v>
      </c>
      <c r="K1244" s="9">
        <f t="shared" si="97"/>
        <v>11113</v>
      </c>
      <c r="L1244" s="10"/>
    </row>
    <row r="1245" spans="2:12" ht="20.100000000000001" customHeight="1" x14ac:dyDescent="0.15">
      <c r="B1245" s="72"/>
      <c r="C1245" s="10"/>
      <c r="D1245" s="10"/>
      <c r="E1245" s="10"/>
      <c r="F1245" s="10"/>
      <c r="G1245" s="7"/>
      <c r="H1245" s="8"/>
      <c r="I1245" s="8"/>
      <c r="J1245" s="8" t="str">
        <f t="shared" si="96"/>
        <v>借</v>
      </c>
      <c r="K1245" s="9">
        <f t="shared" si="97"/>
        <v>11113</v>
      </c>
      <c r="L1245" s="10"/>
    </row>
    <row r="1246" spans="2:12" ht="20.100000000000001" customHeight="1" x14ac:dyDescent="0.15">
      <c r="B1246" s="72"/>
      <c r="C1246" s="10"/>
      <c r="D1246" s="10"/>
      <c r="E1246" s="10"/>
      <c r="F1246" s="10"/>
      <c r="G1246" s="7"/>
      <c r="H1246" s="8"/>
      <c r="I1246" s="8"/>
      <c r="J1246" s="8" t="str">
        <f t="shared" si="96"/>
        <v>借</v>
      </c>
      <c r="K1246" s="9">
        <f t="shared" si="97"/>
        <v>11113</v>
      </c>
      <c r="L1246" s="10"/>
    </row>
    <row r="1247" spans="2:12" ht="20.100000000000001" customHeight="1" x14ac:dyDescent="0.15">
      <c r="B1247" s="72"/>
      <c r="C1247" s="10"/>
      <c r="D1247" s="10"/>
      <c r="E1247" s="10"/>
      <c r="F1247" s="10"/>
      <c r="G1247" s="7"/>
      <c r="H1247" s="8"/>
      <c r="I1247" s="8"/>
      <c r="J1247" s="8" t="str">
        <f t="shared" si="96"/>
        <v>借</v>
      </c>
      <c r="K1247" s="9">
        <f t="shared" si="97"/>
        <v>11113</v>
      </c>
      <c r="L1247" s="10"/>
    </row>
    <row r="1248" spans="2:12" ht="20.100000000000001" customHeight="1" x14ac:dyDescent="0.15">
      <c r="B1248" s="72"/>
      <c r="C1248" s="10"/>
      <c r="D1248" s="10"/>
      <c r="E1248" s="10"/>
      <c r="F1248" s="10"/>
      <c r="G1248" s="7"/>
      <c r="H1248" s="8"/>
      <c r="I1248" s="8"/>
      <c r="J1248" s="8" t="str">
        <f t="shared" si="96"/>
        <v>借</v>
      </c>
      <c r="K1248" s="9">
        <f t="shared" si="97"/>
        <v>11113</v>
      </c>
      <c r="L1248" s="10"/>
    </row>
    <row r="1249" spans="2:12" ht="20.100000000000001" customHeight="1" x14ac:dyDescent="0.15">
      <c r="B1249" s="72"/>
      <c r="C1249" s="10"/>
      <c r="D1249" s="10"/>
      <c r="E1249" s="10"/>
      <c r="F1249" s="10"/>
      <c r="G1249" s="7"/>
      <c r="H1249" s="8"/>
      <c r="I1249" s="8"/>
      <c r="J1249" s="8" t="str">
        <f t="shared" si="96"/>
        <v>借</v>
      </c>
      <c r="K1249" s="9">
        <f t="shared" si="97"/>
        <v>11113</v>
      </c>
      <c r="L1249" s="10"/>
    </row>
    <row r="1250" spans="2:12" ht="20.100000000000001" customHeight="1" x14ac:dyDescent="0.15">
      <c r="B1250" s="72"/>
      <c r="C1250" s="10"/>
      <c r="D1250" s="10"/>
      <c r="E1250" s="10"/>
      <c r="F1250" s="10"/>
      <c r="G1250" s="7"/>
      <c r="H1250" s="8"/>
      <c r="I1250" s="8"/>
      <c r="J1250" s="8" t="str">
        <f t="shared" si="96"/>
        <v>借</v>
      </c>
      <c r="K1250" s="9">
        <f t="shared" si="97"/>
        <v>11113</v>
      </c>
      <c r="L1250" s="10"/>
    </row>
    <row r="1251" spans="2:12" ht="20.100000000000001" customHeight="1" x14ac:dyDescent="0.15">
      <c r="B1251" s="72"/>
      <c r="C1251" s="10"/>
      <c r="D1251" s="10"/>
      <c r="E1251" s="10"/>
      <c r="F1251" s="10"/>
      <c r="G1251" s="7"/>
      <c r="H1251" s="8"/>
      <c r="I1251" s="8"/>
      <c r="J1251" s="8" t="str">
        <f t="shared" si="96"/>
        <v>借</v>
      </c>
      <c r="K1251" s="9">
        <f t="shared" si="97"/>
        <v>11113</v>
      </c>
      <c r="L1251" s="10"/>
    </row>
    <row r="1252" spans="2:12" ht="20.100000000000001" customHeight="1" x14ac:dyDescent="0.15">
      <c r="B1252" s="72"/>
      <c r="C1252" s="10"/>
      <c r="D1252" s="10"/>
      <c r="E1252" s="10"/>
      <c r="F1252" s="10"/>
      <c r="G1252" s="7"/>
      <c r="H1252" s="8"/>
      <c r="I1252" s="8"/>
      <c r="J1252" s="8" t="str">
        <f t="shared" si="96"/>
        <v>借</v>
      </c>
      <c r="K1252" s="9">
        <f t="shared" si="97"/>
        <v>11113</v>
      </c>
      <c r="L1252" s="10"/>
    </row>
    <row r="1253" spans="2:12" ht="20.100000000000001" customHeight="1" x14ac:dyDescent="0.15">
      <c r="B1253" s="72"/>
      <c r="C1253" s="10"/>
      <c r="D1253" s="10"/>
      <c r="E1253" s="10"/>
      <c r="F1253" s="10"/>
      <c r="G1253" s="7"/>
      <c r="H1253" s="8"/>
      <c r="I1253" s="8"/>
      <c r="J1253" s="8" t="str">
        <f t="shared" si="96"/>
        <v>借</v>
      </c>
      <c r="K1253" s="9">
        <f t="shared" si="97"/>
        <v>11113</v>
      </c>
      <c r="L1253" s="10"/>
    </row>
    <row r="1254" spans="2:12" ht="20.100000000000001" customHeight="1" x14ac:dyDescent="0.15">
      <c r="B1254" s="72"/>
      <c r="C1254" s="10"/>
      <c r="D1254" s="10"/>
      <c r="E1254" s="10"/>
      <c r="F1254" s="10"/>
      <c r="G1254" s="7"/>
      <c r="H1254" s="8"/>
      <c r="I1254" s="8"/>
      <c r="J1254" s="8" t="str">
        <f t="shared" si="96"/>
        <v>借</v>
      </c>
      <c r="K1254" s="9">
        <f t="shared" si="97"/>
        <v>11113</v>
      </c>
      <c r="L1254" s="10"/>
    </row>
    <row r="1255" spans="2:12" ht="20.100000000000001" customHeight="1" x14ac:dyDescent="0.15">
      <c r="B1255" s="72"/>
      <c r="C1255" s="10"/>
      <c r="D1255" s="10"/>
      <c r="E1255" s="10"/>
      <c r="F1255" s="10"/>
      <c r="G1255" s="7"/>
      <c r="H1255" s="8"/>
      <c r="I1255" s="8"/>
      <c r="J1255" s="8" t="str">
        <f t="shared" si="96"/>
        <v>借</v>
      </c>
      <c r="K1255" s="9">
        <f t="shared" si="97"/>
        <v>11113</v>
      </c>
      <c r="L1255" s="10"/>
    </row>
    <row r="1256" spans="2:12" ht="20.100000000000001" customHeight="1" x14ac:dyDescent="0.15">
      <c r="B1256" s="72"/>
      <c r="C1256" s="10"/>
      <c r="D1256" s="10"/>
      <c r="E1256" s="10"/>
      <c r="F1256" s="10"/>
      <c r="G1256" s="7"/>
      <c r="H1256" s="8"/>
      <c r="I1256" s="8"/>
      <c r="J1256" s="8" t="str">
        <f t="shared" si="96"/>
        <v>借</v>
      </c>
      <c r="K1256" s="9">
        <f t="shared" si="97"/>
        <v>11113</v>
      </c>
      <c r="L1256" s="10"/>
    </row>
    <row r="1257" spans="2:12" ht="20.100000000000001" customHeight="1" x14ac:dyDescent="0.15">
      <c r="B1257" s="72"/>
      <c r="C1257" s="10"/>
      <c r="D1257" s="10"/>
      <c r="E1257" s="10"/>
      <c r="F1257" s="10"/>
      <c r="G1257" s="7"/>
      <c r="H1257" s="8"/>
      <c r="I1257" s="8"/>
      <c r="J1257" s="8" t="str">
        <f t="shared" si="96"/>
        <v>借</v>
      </c>
      <c r="K1257" s="9">
        <f t="shared" si="97"/>
        <v>11113</v>
      </c>
      <c r="L1257" s="10"/>
    </row>
    <row r="1258" spans="2:12" ht="20.100000000000001" customHeight="1" x14ac:dyDescent="0.15">
      <c r="B1258" s="72"/>
      <c r="C1258" s="10"/>
      <c r="D1258" s="10"/>
      <c r="E1258" s="10"/>
      <c r="F1258" s="10"/>
      <c r="G1258" s="7"/>
      <c r="H1258" s="8"/>
      <c r="I1258" s="8"/>
      <c r="J1258" s="8" t="str">
        <f t="shared" si="96"/>
        <v>借</v>
      </c>
      <c r="K1258" s="9">
        <f t="shared" si="97"/>
        <v>11113</v>
      </c>
      <c r="L1258" s="10"/>
    </row>
    <row r="1259" spans="2:12" ht="20.100000000000001" customHeight="1" x14ac:dyDescent="0.15">
      <c r="B1259" s="72"/>
      <c r="C1259" s="10"/>
      <c r="D1259" s="10"/>
      <c r="E1259" s="10"/>
      <c r="F1259" s="10"/>
      <c r="G1259" s="7"/>
      <c r="H1259" s="8"/>
      <c r="I1259" s="8"/>
      <c r="J1259" s="8" t="str">
        <f t="shared" si="96"/>
        <v>借</v>
      </c>
      <c r="K1259" s="9">
        <f t="shared" si="97"/>
        <v>11113</v>
      </c>
      <c r="L1259" s="10"/>
    </row>
    <row r="1260" spans="2:12" ht="20.100000000000001" customHeight="1" x14ac:dyDescent="0.15">
      <c r="B1260" s="72"/>
      <c r="C1260" s="10"/>
      <c r="D1260" s="10"/>
      <c r="E1260" s="10"/>
      <c r="F1260" s="10"/>
      <c r="G1260" s="7"/>
      <c r="H1260" s="8"/>
      <c r="I1260" s="8"/>
      <c r="J1260" s="8" t="str">
        <f t="shared" si="96"/>
        <v>借</v>
      </c>
      <c r="K1260" s="9">
        <f t="shared" si="97"/>
        <v>11113</v>
      </c>
      <c r="L1260" s="10"/>
    </row>
    <row r="1261" spans="2:12" ht="20.100000000000001" customHeight="1" x14ac:dyDescent="0.15">
      <c r="B1261" s="72"/>
      <c r="C1261" s="10"/>
      <c r="D1261" s="10"/>
      <c r="E1261" s="10"/>
      <c r="F1261" s="10"/>
      <c r="G1261" s="7"/>
      <c r="H1261" s="8"/>
      <c r="I1261" s="8"/>
      <c r="J1261" s="8" t="str">
        <f t="shared" si="96"/>
        <v>借</v>
      </c>
      <c r="K1261" s="9">
        <f t="shared" si="97"/>
        <v>11113</v>
      </c>
      <c r="L1261" s="10"/>
    </row>
    <row r="1262" spans="2:12" ht="20.100000000000001" customHeight="1" x14ac:dyDescent="0.15">
      <c r="B1262" s="72"/>
      <c r="C1262" s="10"/>
      <c r="D1262" s="10"/>
      <c r="E1262" s="10"/>
      <c r="F1262" s="10"/>
      <c r="G1262" s="7"/>
      <c r="H1262" s="8"/>
      <c r="I1262" s="8"/>
      <c r="J1262" s="8" t="str">
        <f t="shared" si="96"/>
        <v>借</v>
      </c>
      <c r="K1262" s="9">
        <f t="shared" si="97"/>
        <v>11113</v>
      </c>
      <c r="L1262" s="10"/>
    </row>
    <row r="1263" spans="2:12" ht="20.100000000000001" customHeight="1" x14ac:dyDescent="0.15">
      <c r="B1263" s="72"/>
      <c r="C1263" s="10"/>
      <c r="D1263" s="10"/>
      <c r="E1263" s="10"/>
      <c r="F1263" s="10"/>
      <c r="G1263" s="7"/>
      <c r="H1263" s="8"/>
      <c r="I1263" s="8"/>
      <c r="J1263" s="8" t="str">
        <f t="shared" si="96"/>
        <v>借</v>
      </c>
      <c r="K1263" s="9">
        <f t="shared" si="97"/>
        <v>11113</v>
      </c>
      <c r="L1263" s="10"/>
    </row>
    <row r="1264" spans="2:12" ht="20.100000000000001" customHeight="1" x14ac:dyDescent="0.15">
      <c r="B1264" s="72"/>
      <c r="C1264" s="10"/>
      <c r="D1264" s="10"/>
      <c r="E1264" s="10"/>
      <c r="F1264" s="10"/>
      <c r="G1264" s="7"/>
      <c r="H1264" s="8"/>
      <c r="I1264" s="8"/>
      <c r="J1264" s="8" t="str">
        <f t="shared" si="96"/>
        <v>借</v>
      </c>
      <c r="K1264" s="9">
        <f t="shared" si="97"/>
        <v>11113</v>
      </c>
      <c r="L1264" s="10"/>
    </row>
    <row r="1265" spans="2:12" ht="20.100000000000001" customHeight="1" x14ac:dyDescent="0.15">
      <c r="B1265" s="72"/>
      <c r="C1265" s="10"/>
      <c r="D1265" s="10"/>
      <c r="E1265" s="10"/>
      <c r="F1265" s="10"/>
      <c r="G1265" s="7"/>
      <c r="H1265" s="8"/>
      <c r="I1265" s="8"/>
      <c r="J1265" s="8" t="str">
        <f t="shared" si="96"/>
        <v>借</v>
      </c>
      <c r="K1265" s="9">
        <f t="shared" si="97"/>
        <v>11113</v>
      </c>
      <c r="L1265" s="10"/>
    </row>
    <row r="1266" spans="2:12" ht="20.100000000000001" customHeight="1" x14ac:dyDescent="0.15">
      <c r="B1266" s="72"/>
      <c r="C1266" s="10"/>
      <c r="D1266" s="10"/>
      <c r="E1266" s="10"/>
      <c r="F1266" s="10"/>
      <c r="G1266" s="7"/>
      <c r="H1266" s="8"/>
      <c r="I1266" s="8"/>
      <c r="J1266" s="8" t="str">
        <f t="shared" si="96"/>
        <v>借</v>
      </c>
      <c r="K1266" s="9">
        <f t="shared" si="97"/>
        <v>11113</v>
      </c>
      <c r="L1266" s="10"/>
    </row>
    <row r="1267" spans="2:12" ht="20.100000000000001" customHeight="1" x14ac:dyDescent="0.15">
      <c r="B1267" s="72"/>
      <c r="C1267" s="10"/>
      <c r="D1267" s="10"/>
      <c r="E1267" s="10"/>
      <c r="F1267" s="10"/>
      <c r="G1267" s="7"/>
      <c r="H1267" s="8"/>
      <c r="I1267" s="8"/>
      <c r="J1267" s="8" t="str">
        <f t="shared" si="96"/>
        <v>借</v>
      </c>
      <c r="K1267" s="9">
        <f t="shared" si="97"/>
        <v>11113</v>
      </c>
      <c r="L1267" s="10"/>
    </row>
    <row r="1268" spans="2:12" ht="20.100000000000001" customHeight="1" x14ac:dyDescent="0.15">
      <c r="B1268" s="72"/>
      <c r="C1268" s="10"/>
      <c r="D1268" s="10"/>
      <c r="E1268" s="10"/>
      <c r="F1268" s="10"/>
      <c r="G1268" s="7"/>
      <c r="H1268" s="8"/>
      <c r="I1268" s="8"/>
      <c r="J1268" s="8" t="str">
        <f t="shared" si="96"/>
        <v>借</v>
      </c>
      <c r="K1268" s="9">
        <f t="shared" si="97"/>
        <v>11113</v>
      </c>
      <c r="L1268" s="10"/>
    </row>
    <row r="1269" spans="2:12" ht="20.100000000000001" customHeight="1" x14ac:dyDescent="0.15">
      <c r="B1269" s="72"/>
      <c r="C1269" s="10"/>
      <c r="D1269" s="10"/>
      <c r="E1269" s="10"/>
      <c r="F1269" s="10"/>
      <c r="G1269" s="7"/>
      <c r="H1269" s="8"/>
      <c r="I1269" s="8"/>
      <c r="J1269" s="8" t="str">
        <f t="shared" si="96"/>
        <v>借</v>
      </c>
      <c r="K1269" s="9">
        <f t="shared" si="97"/>
        <v>11113</v>
      </c>
      <c r="L1269" s="10"/>
    </row>
    <row r="1270" spans="2:12" ht="20.100000000000001" customHeight="1" x14ac:dyDescent="0.15">
      <c r="B1270" s="72"/>
      <c r="C1270" s="10"/>
      <c r="D1270" s="10"/>
      <c r="E1270" s="10"/>
      <c r="F1270" s="10"/>
      <c r="G1270" s="7"/>
      <c r="H1270" s="8"/>
      <c r="I1270" s="8"/>
      <c r="J1270" s="8" t="str">
        <f t="shared" si="96"/>
        <v>借</v>
      </c>
      <c r="K1270" s="9">
        <f t="shared" si="97"/>
        <v>11113</v>
      </c>
      <c r="L1270" s="10"/>
    </row>
    <row r="1271" spans="2:12" ht="20.100000000000001" customHeight="1" x14ac:dyDescent="0.15">
      <c r="B1271" s="72"/>
      <c r="C1271" s="10"/>
      <c r="D1271" s="10"/>
      <c r="E1271" s="10"/>
      <c r="F1271" s="10"/>
      <c r="G1271" s="7"/>
      <c r="H1271" s="8"/>
      <c r="I1271" s="8"/>
      <c r="J1271" s="8" t="str">
        <f t="shared" si="96"/>
        <v>借</v>
      </c>
      <c r="K1271" s="9">
        <f t="shared" si="97"/>
        <v>11113</v>
      </c>
      <c r="L1271" s="10"/>
    </row>
    <row r="1272" spans="2:12" ht="20.100000000000001" customHeight="1" x14ac:dyDescent="0.15">
      <c r="B1272" s="72"/>
      <c r="C1272" s="10"/>
      <c r="D1272" s="10"/>
      <c r="E1272" s="10"/>
      <c r="F1272" s="10"/>
      <c r="G1272" s="7"/>
      <c r="H1272" s="8"/>
      <c r="I1272" s="8"/>
      <c r="J1272" s="8" t="str">
        <f t="shared" si="96"/>
        <v>借</v>
      </c>
      <c r="K1272" s="9">
        <f t="shared" si="97"/>
        <v>11113</v>
      </c>
      <c r="L1272" s="10"/>
    </row>
    <row r="1273" spans="2:12" ht="20.100000000000001" customHeight="1" x14ac:dyDescent="0.15">
      <c r="B1273" s="72"/>
      <c r="C1273" s="10"/>
      <c r="D1273" s="10"/>
      <c r="E1273" s="10"/>
      <c r="F1273" s="10"/>
      <c r="G1273" s="7"/>
      <c r="H1273" s="8"/>
      <c r="I1273" s="8"/>
      <c r="J1273" s="8" t="str">
        <f t="shared" si="96"/>
        <v>借</v>
      </c>
      <c r="K1273" s="9">
        <f t="shared" si="97"/>
        <v>11113</v>
      </c>
      <c r="L1273" s="10"/>
    </row>
    <row r="1274" spans="2:12" ht="20.100000000000001" customHeight="1" x14ac:dyDescent="0.15">
      <c r="B1274" s="72"/>
      <c r="C1274" s="10"/>
      <c r="D1274" s="10"/>
      <c r="E1274" s="10"/>
      <c r="F1274" s="10"/>
      <c r="G1274" s="7"/>
      <c r="H1274" s="8"/>
      <c r="I1274" s="8"/>
      <c r="J1274" s="8" t="str">
        <f t="shared" si="96"/>
        <v>借</v>
      </c>
      <c r="K1274" s="9">
        <f t="shared" si="97"/>
        <v>11113</v>
      </c>
      <c r="L1274" s="10"/>
    </row>
    <row r="1275" spans="2:12" ht="20.100000000000001" customHeight="1" x14ac:dyDescent="0.15">
      <c r="B1275" s="72"/>
      <c r="C1275" s="10"/>
      <c r="D1275" s="10"/>
      <c r="E1275" s="10"/>
      <c r="F1275" s="10"/>
      <c r="G1275" s="7"/>
      <c r="H1275" s="8"/>
      <c r="I1275" s="8"/>
      <c r="J1275" s="8" t="str">
        <f t="shared" si="96"/>
        <v>借</v>
      </c>
      <c r="K1275" s="9">
        <f t="shared" si="97"/>
        <v>11113</v>
      </c>
      <c r="L1275" s="10"/>
    </row>
    <row r="1276" spans="2:12" ht="20.100000000000001" customHeight="1" x14ac:dyDescent="0.15">
      <c r="B1276" s="72"/>
      <c r="C1276" s="10"/>
      <c r="D1276" s="10"/>
      <c r="E1276" s="10"/>
      <c r="F1276" s="10"/>
      <c r="G1276" s="7"/>
      <c r="H1276" s="8"/>
      <c r="I1276" s="8"/>
      <c r="J1276" s="8" t="str">
        <f t="shared" si="96"/>
        <v>借</v>
      </c>
      <c r="K1276" s="9">
        <f t="shared" si="97"/>
        <v>11113</v>
      </c>
      <c r="L1276" s="10"/>
    </row>
    <row r="1277" spans="2:12" ht="20.100000000000001" customHeight="1" x14ac:dyDescent="0.15">
      <c r="B1277" s="72"/>
      <c r="C1277" s="10"/>
      <c r="D1277" s="10"/>
      <c r="E1277" s="10"/>
      <c r="F1277" s="10"/>
      <c r="G1277" s="7"/>
      <c r="H1277" s="8"/>
      <c r="I1277" s="8"/>
      <c r="J1277" s="8" t="str">
        <f t="shared" si="96"/>
        <v>借</v>
      </c>
      <c r="K1277" s="9">
        <f t="shared" si="97"/>
        <v>11113</v>
      </c>
      <c r="L1277" s="10"/>
    </row>
    <row r="1278" spans="2:12" x14ac:dyDescent="0.15">
      <c r="G1278" s="7"/>
    </row>
    <row r="1279" spans="2:12" x14ac:dyDescent="0.15">
      <c r="G1279" s="7"/>
    </row>
    <row r="1280" spans="2:12" x14ac:dyDescent="0.15">
      <c r="G1280" s="7"/>
    </row>
    <row r="1281" spans="7:7" x14ac:dyDescent="0.15">
      <c r="G1281" s="7"/>
    </row>
    <row r="1282" spans="7:7" x14ac:dyDescent="0.15">
      <c r="G1282" s="7"/>
    </row>
    <row r="1283" spans="7:7" x14ac:dyDescent="0.15">
      <c r="G1283" s="7"/>
    </row>
    <row r="1284" spans="7:7" x14ac:dyDescent="0.15">
      <c r="G1284" s="7"/>
    </row>
    <row r="1285" spans="7:7" x14ac:dyDescent="0.15">
      <c r="G1285" s="7"/>
    </row>
    <row r="1286" spans="7:7" x14ac:dyDescent="0.15">
      <c r="G1286" s="7"/>
    </row>
    <row r="1287" spans="7:7" x14ac:dyDescent="0.15">
      <c r="G1287" s="7"/>
    </row>
    <row r="1288" spans="7:7" x14ac:dyDescent="0.15">
      <c r="G1288" s="7"/>
    </row>
    <row r="1289" spans="7:7" x14ac:dyDescent="0.15">
      <c r="G1289" s="7"/>
    </row>
    <row r="1290" spans="7:7" x14ac:dyDescent="0.15">
      <c r="G1290" s="7"/>
    </row>
    <row r="1291" spans="7:7" x14ac:dyDescent="0.15">
      <c r="G1291" s="7"/>
    </row>
    <row r="1292" spans="7:7" x14ac:dyDescent="0.15">
      <c r="G1292" s="7"/>
    </row>
    <row r="1293" spans="7:7" x14ac:dyDescent="0.15">
      <c r="G1293" s="7"/>
    </row>
    <row r="1294" spans="7:7" x14ac:dyDescent="0.15">
      <c r="G1294" s="7"/>
    </row>
    <row r="1295" spans="7:7" x14ac:dyDescent="0.15">
      <c r="G1295" s="7"/>
    </row>
    <row r="1296" spans="7:7" x14ac:dyDescent="0.15">
      <c r="G1296" s="7"/>
    </row>
    <row r="1297" spans="7:7" x14ac:dyDescent="0.15">
      <c r="G1297" s="7"/>
    </row>
    <row r="1298" spans="7:7" x14ac:dyDescent="0.15">
      <c r="G1298" s="7"/>
    </row>
    <row r="1299" spans="7:7" x14ac:dyDescent="0.15">
      <c r="G1299" s="7"/>
    </row>
    <row r="1300" spans="7:7" x14ac:dyDescent="0.15">
      <c r="G1300" s="7"/>
    </row>
    <row r="1301" spans="7:7" x14ac:dyDescent="0.15">
      <c r="G1301" s="7"/>
    </row>
    <row r="1302" spans="7:7" x14ac:dyDescent="0.15">
      <c r="G1302" s="7"/>
    </row>
  </sheetData>
  <autoFilter ref="A3:M1277" xr:uid="{00000000-0009-0000-0000-000002000000}"/>
  <mergeCells count="61">
    <mergeCell ref="M1218:M1219"/>
    <mergeCell ref="M1032:M1034"/>
    <mergeCell ref="M1047:M1048"/>
    <mergeCell ref="M1069:M1070"/>
    <mergeCell ref="M1090:M1091"/>
    <mergeCell ref="M1172:M1173"/>
    <mergeCell ref="M871:M872"/>
    <mergeCell ref="M901:M902"/>
    <mergeCell ref="M969:M970"/>
    <mergeCell ref="M976:M977"/>
    <mergeCell ref="M1017:M1019"/>
    <mergeCell ref="M771:M772"/>
    <mergeCell ref="M778:M779"/>
    <mergeCell ref="M785:M786"/>
    <mergeCell ref="M834:M836"/>
    <mergeCell ref="M853:M854"/>
    <mergeCell ref="M642:M644"/>
    <mergeCell ref="M652:M654"/>
    <mergeCell ref="M666:M667"/>
    <mergeCell ref="M725:M726"/>
    <mergeCell ref="M751:M752"/>
    <mergeCell ref="M587:M590"/>
    <mergeCell ref="M596:M597"/>
    <mergeCell ref="M608:M609"/>
    <mergeCell ref="M610:M611"/>
    <mergeCell ref="M628:M629"/>
    <mergeCell ref="M453:M454"/>
    <mergeCell ref="M475:M476"/>
    <mergeCell ref="M477:M480"/>
    <mergeCell ref="M489:M490"/>
    <mergeCell ref="M560:M562"/>
    <mergeCell ref="M378:M379"/>
    <mergeCell ref="M380:M382"/>
    <mergeCell ref="M401:M445"/>
    <mergeCell ref="M447:M449"/>
    <mergeCell ref="M450:M452"/>
    <mergeCell ref="M320:M321"/>
    <mergeCell ref="M347:M348"/>
    <mergeCell ref="M367:M372"/>
    <mergeCell ref="M373:M374"/>
    <mergeCell ref="M375:M377"/>
    <mergeCell ref="M230:M236"/>
    <mergeCell ref="M251:M255"/>
    <mergeCell ref="M268:M271"/>
    <mergeCell ref="M286:M287"/>
    <mergeCell ref="M293:M298"/>
    <mergeCell ref="M142:M143"/>
    <mergeCell ref="M157:M158"/>
    <mergeCell ref="M159:M160"/>
    <mergeCell ref="M186:M187"/>
    <mergeCell ref="M205:M206"/>
    <mergeCell ref="M104:M106"/>
    <mergeCell ref="M121:M122"/>
    <mergeCell ref="M132:M133"/>
    <mergeCell ref="M134:M135"/>
    <mergeCell ref="M138:M139"/>
    <mergeCell ref="M30:M31"/>
    <mergeCell ref="M37:M38"/>
    <mergeCell ref="M63:M64"/>
    <mergeCell ref="M67:M68"/>
    <mergeCell ref="M101:M102"/>
  </mergeCells>
  <phoneticPr fontId="22" type="noConversion"/>
  <dataValidations count="2">
    <dataValidation type="list" allowBlank="1" showInputMessage="1" showErrorMessage="1" sqref="G63:H63 L829 G3:G62 G64:G1048576 L865:L866" xr:uid="{00000000-0002-0000-0200-000000000000}">
      <formula1>#REF!</formula1>
    </dataValidation>
    <dataValidation allowBlank="1" showInputMessage="1" showErrorMessage="1" sqref="H402 L863:L864" xr:uid="{00000000-0002-0000-0200-000002000000}"/>
  </dataValidations>
  <pageMargins left="0.75" right="0.75" top="1" bottom="1" header="0.5" footer="0.5"/>
  <pageSetup paperSize="9" orientation="portrait"/>
  <ignoredErrors>
    <ignoredError sqref="G3" listDataValidation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6"/>
  <sheetViews>
    <sheetView workbookViewId="0">
      <selection activeCell="E19" sqref="E19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2.875" customWidth="1"/>
    <col min="13" max="13" width="12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50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SUM(H5:H90009)</f>
        <v>10000</v>
      </c>
      <c r="I3" s="4">
        <f>SUM(I5:I90009)</f>
        <v>10110</v>
      </c>
      <c r="J3" s="4"/>
      <c r="K3" s="3">
        <f>K5+H3-I3</f>
        <v>19890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20000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14" si="0">IF((K5+H6-I6)&gt;0,"借","贷")</f>
        <v>借</v>
      </c>
      <c r="K6" s="9">
        <f t="shared" ref="K6:K14" si="1">K5+H6-I6</f>
        <v>30000</v>
      </c>
    </row>
    <row r="7" spans="1:12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si="1"/>
        <v>29900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19900</v>
      </c>
    </row>
    <row r="9" spans="1:12" ht="20.100000000000001" customHeight="1" x14ac:dyDescent="0.15">
      <c r="A9" s="5"/>
      <c r="B9" s="5">
        <v>2</v>
      </c>
      <c r="C9" s="5">
        <v>5</v>
      </c>
      <c r="D9" s="35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19890</v>
      </c>
    </row>
    <row r="10" spans="1:12" ht="20.100000000000001" customHeight="1" x14ac:dyDescent="0.15">
      <c r="A10" s="5"/>
      <c r="B10" s="5"/>
      <c r="C10" s="5"/>
      <c r="D10" s="35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19890</v>
      </c>
    </row>
    <row r="11" spans="1:12" ht="20.100000000000001" customHeight="1" x14ac:dyDescent="0.15">
      <c r="A11" s="5"/>
      <c r="B11" s="5"/>
      <c r="C11" s="5"/>
      <c r="D11" s="35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19890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19890</v>
      </c>
    </row>
    <row r="13" spans="1:12" ht="20.100000000000001" customHeight="1" x14ac:dyDescent="0.15">
      <c r="A13" s="5"/>
      <c r="B13" s="5"/>
      <c r="C13" s="5"/>
      <c r="D13" s="32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19890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19890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ref="J15:J39" si="2">IF((K14+H15-I15)&gt;0,"借","贷")</f>
        <v>借</v>
      </c>
      <c r="K15" s="9">
        <f t="shared" ref="K15:K75" si="3">K14+H15-I15</f>
        <v>19890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2"/>
        <v>借</v>
      </c>
      <c r="K16" s="9">
        <f t="shared" si="3"/>
        <v>19890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10"/>
      <c r="I17" s="10"/>
      <c r="J17" s="8" t="str">
        <f t="shared" si="2"/>
        <v>借</v>
      </c>
      <c r="K17" s="9">
        <f t="shared" si="3"/>
        <v>19890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10"/>
      <c r="I18" s="10"/>
      <c r="J18" s="8" t="str">
        <f t="shared" si="2"/>
        <v>借</v>
      </c>
      <c r="K18" s="9">
        <f t="shared" si="3"/>
        <v>19890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2"/>
        <v>借</v>
      </c>
      <c r="K19" s="9">
        <f t="shared" si="3"/>
        <v>19890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2"/>
        <v>借</v>
      </c>
      <c r="K20" s="9">
        <f t="shared" si="3"/>
        <v>19890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2"/>
        <v>借</v>
      </c>
      <c r="K21" s="9">
        <f t="shared" si="3"/>
        <v>19890</v>
      </c>
    </row>
    <row r="22" spans="1:11" ht="20.100000000000001" customHeight="1" x14ac:dyDescent="0.15">
      <c r="A22" s="5"/>
      <c r="B22" s="5"/>
      <c r="C22" s="5"/>
      <c r="D22" s="33"/>
      <c r="E22" s="10"/>
      <c r="F22" s="10"/>
      <c r="G22" s="10"/>
      <c r="H22" s="8"/>
      <c r="I22" s="8"/>
      <c r="J22" s="8" t="str">
        <f t="shared" si="2"/>
        <v>借</v>
      </c>
      <c r="K22" s="9">
        <f t="shared" si="3"/>
        <v>19890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2"/>
        <v>借</v>
      </c>
      <c r="K23" s="9">
        <f t="shared" si="3"/>
        <v>19890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2"/>
        <v>借</v>
      </c>
      <c r="K24" s="9">
        <f t="shared" si="3"/>
        <v>19890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2"/>
        <v>借</v>
      </c>
      <c r="K25" s="9">
        <f t="shared" si="3"/>
        <v>19890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2"/>
        <v>借</v>
      </c>
      <c r="K26" s="9">
        <f t="shared" si="3"/>
        <v>19890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2"/>
        <v>借</v>
      </c>
      <c r="K27" s="9">
        <f t="shared" si="3"/>
        <v>19890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19890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19890</v>
      </c>
    </row>
    <row r="30" spans="1:11" ht="20.100000000000001" customHeight="1" x14ac:dyDescent="0.15">
      <c r="A30" s="5"/>
      <c r="B30" s="5"/>
      <c r="C30" s="10"/>
      <c r="D30" s="32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19890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19890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19890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19890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36"/>
      <c r="J34" s="8" t="str">
        <f t="shared" si="2"/>
        <v>借</v>
      </c>
      <c r="K34" s="9">
        <f t="shared" si="3"/>
        <v>19890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36"/>
      <c r="J35" s="8" t="str">
        <f t="shared" si="2"/>
        <v>借</v>
      </c>
      <c r="K35" s="9">
        <f t="shared" si="3"/>
        <v>19890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36"/>
      <c r="J36" s="8" t="str">
        <f t="shared" si="2"/>
        <v>借</v>
      </c>
      <c r="K36" s="9">
        <f t="shared" si="3"/>
        <v>19890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36"/>
      <c r="J37" s="8" t="str">
        <f t="shared" si="2"/>
        <v>借</v>
      </c>
      <c r="K37" s="9">
        <f t="shared" si="3"/>
        <v>19890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19890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19890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ref="J40:J103" si="4">IF((K39+H40-I40)&gt;0,"借","贷")</f>
        <v>借</v>
      </c>
      <c r="K40" s="9">
        <f t="shared" si="3"/>
        <v>19890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4"/>
        <v>借</v>
      </c>
      <c r="K41" s="9">
        <f t="shared" si="3"/>
        <v>19890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4"/>
        <v>借</v>
      </c>
      <c r="K42" s="9">
        <f t="shared" si="3"/>
        <v>19890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4"/>
        <v>借</v>
      </c>
      <c r="K43" s="9">
        <f t="shared" si="3"/>
        <v>19890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4"/>
        <v>借</v>
      </c>
      <c r="K44" s="9">
        <f t="shared" si="3"/>
        <v>19890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4"/>
        <v>借</v>
      </c>
      <c r="K45" s="9">
        <f t="shared" si="3"/>
        <v>19890</v>
      </c>
    </row>
    <row r="46" spans="1:11" ht="20.100000000000001" customHeight="1" x14ac:dyDescent="0.15">
      <c r="A46" s="5"/>
      <c r="B46" s="5"/>
      <c r="C46" s="10"/>
      <c r="D46" s="32"/>
      <c r="E46" s="10"/>
      <c r="F46" s="10"/>
      <c r="G46" s="10"/>
      <c r="H46" s="8"/>
      <c r="I46" s="8"/>
      <c r="J46" s="8" t="str">
        <f t="shared" si="4"/>
        <v>借</v>
      </c>
      <c r="K46" s="9">
        <f t="shared" si="3"/>
        <v>19890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4"/>
        <v>借</v>
      </c>
      <c r="K47" s="9">
        <f t="shared" si="3"/>
        <v>19890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4"/>
        <v>借</v>
      </c>
      <c r="K48" s="9">
        <f t="shared" si="3"/>
        <v>19890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4"/>
        <v>借</v>
      </c>
      <c r="K49" s="9">
        <f t="shared" si="3"/>
        <v>19890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4"/>
        <v>借</v>
      </c>
      <c r="K50" s="9">
        <f t="shared" si="3"/>
        <v>19890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4"/>
        <v>借</v>
      </c>
      <c r="K51" s="9">
        <f t="shared" si="3"/>
        <v>19890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4"/>
        <v>借</v>
      </c>
      <c r="K52" s="9">
        <f t="shared" si="3"/>
        <v>19890</v>
      </c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4"/>
        <v>借</v>
      </c>
      <c r="K53" s="9">
        <f t="shared" si="3"/>
        <v>19890</v>
      </c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4"/>
        <v>借</v>
      </c>
      <c r="K54" s="9">
        <f t="shared" si="3"/>
        <v>19890</v>
      </c>
      <c r="M54" s="52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4"/>
        <v>借</v>
      </c>
      <c r="K55" s="9">
        <f t="shared" si="3"/>
        <v>19890</v>
      </c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4"/>
        <v>借</v>
      </c>
      <c r="K56" s="9">
        <f t="shared" si="3"/>
        <v>19890</v>
      </c>
      <c r="M56" s="27"/>
    </row>
    <row r="57" spans="1:13" ht="20.100000000000001" customHeight="1" x14ac:dyDescent="0.15">
      <c r="A57" s="10"/>
      <c r="B57" s="5"/>
      <c r="C57" s="10"/>
      <c r="D57" s="32"/>
      <c r="E57" s="10"/>
      <c r="F57" s="10"/>
      <c r="G57" s="10"/>
      <c r="H57" s="8"/>
      <c r="I57" s="8"/>
      <c r="J57" s="8" t="str">
        <f t="shared" si="4"/>
        <v>借</v>
      </c>
      <c r="K57" s="9">
        <f t="shared" si="3"/>
        <v>19890</v>
      </c>
      <c r="M57" s="27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4"/>
        <v>借</v>
      </c>
      <c r="K58" s="9">
        <f t="shared" si="3"/>
        <v>19890</v>
      </c>
      <c r="M58" s="27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4"/>
        <v>借</v>
      </c>
      <c r="K59" s="9">
        <f t="shared" si="3"/>
        <v>19890</v>
      </c>
      <c r="M59" s="27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4"/>
        <v>借</v>
      </c>
      <c r="K60" s="9">
        <f t="shared" si="3"/>
        <v>19890</v>
      </c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4"/>
        <v>借</v>
      </c>
      <c r="K61" s="9">
        <f t="shared" si="3"/>
        <v>19890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4"/>
        <v>借</v>
      </c>
      <c r="K62" s="9">
        <f t="shared" si="3"/>
        <v>19890</v>
      </c>
    </row>
    <row r="63" spans="1:13" ht="20.100000000000001" customHeight="1" x14ac:dyDescent="0.15">
      <c r="A63" s="5"/>
      <c r="B63" s="5"/>
      <c r="C63" s="10"/>
      <c r="D63" s="32"/>
      <c r="E63" s="10"/>
      <c r="F63" s="10"/>
      <c r="G63" s="10"/>
      <c r="H63" s="8"/>
      <c r="I63" s="8"/>
      <c r="J63" s="8" t="str">
        <f t="shared" si="4"/>
        <v>借</v>
      </c>
      <c r="K63" s="9">
        <f t="shared" si="3"/>
        <v>19890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4"/>
        <v>借</v>
      </c>
      <c r="K64" s="9">
        <f t="shared" si="3"/>
        <v>19890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4"/>
        <v>借</v>
      </c>
      <c r="K65" s="9">
        <f t="shared" si="3"/>
        <v>19890</v>
      </c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14"/>
      <c r="J66" s="8" t="str">
        <f t="shared" si="4"/>
        <v>借</v>
      </c>
      <c r="K66" s="9">
        <f t="shared" si="3"/>
        <v>19890</v>
      </c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14"/>
      <c r="J67" s="8" t="str">
        <f t="shared" si="4"/>
        <v>借</v>
      </c>
      <c r="K67" s="9">
        <f t="shared" si="3"/>
        <v>19890</v>
      </c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10"/>
      <c r="J68" s="8" t="str">
        <f t="shared" si="4"/>
        <v>借</v>
      </c>
      <c r="K68" s="9">
        <f t="shared" si="3"/>
        <v>19890</v>
      </c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14"/>
      <c r="J69" s="8" t="str">
        <f t="shared" si="4"/>
        <v>借</v>
      </c>
      <c r="K69" s="9">
        <f t="shared" si="3"/>
        <v>19890</v>
      </c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si="4"/>
        <v>借</v>
      </c>
      <c r="K70" s="9">
        <f t="shared" si="3"/>
        <v>19890</v>
      </c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4"/>
        <v>借</v>
      </c>
      <c r="K71" s="9">
        <f t="shared" si="3"/>
        <v>19890</v>
      </c>
      <c r="M71" s="99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3"/>
        <v>19890</v>
      </c>
      <c r="M72" s="99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3"/>
        <v>19890</v>
      </c>
      <c r="M73" s="99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3"/>
        <v>19890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3"/>
        <v>19890</v>
      </c>
      <c r="L75" s="10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15"/>
      <c r="J76" s="8" t="str">
        <f t="shared" si="4"/>
        <v>借</v>
      </c>
      <c r="K76" s="9">
        <f t="shared" ref="K76:K104" si="5">K75+H76-I76</f>
        <v>19890</v>
      </c>
      <c r="L76" s="10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15"/>
      <c r="J77" s="8" t="str">
        <f t="shared" si="4"/>
        <v>借</v>
      </c>
      <c r="K77" s="9">
        <f t="shared" si="5"/>
        <v>19890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19890</v>
      </c>
    </row>
    <row r="79" spans="1:13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4"/>
        <v>借</v>
      </c>
      <c r="K79" s="9">
        <f t="shared" si="5"/>
        <v>19890</v>
      </c>
    </row>
    <row r="80" spans="1:13" ht="20.100000000000001" customHeight="1" x14ac:dyDescent="0.15">
      <c r="A80" s="10"/>
      <c r="B80" s="5"/>
      <c r="C80" s="10"/>
      <c r="D80" s="10"/>
      <c r="E80" s="10"/>
      <c r="F80" s="10"/>
      <c r="G80" s="10"/>
      <c r="H80" s="8"/>
      <c r="I80" s="8"/>
      <c r="J80" s="8" t="str">
        <f t="shared" si="4"/>
        <v>借</v>
      </c>
      <c r="K80" s="9">
        <f t="shared" si="5"/>
        <v>19890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19890</v>
      </c>
    </row>
    <row r="82" spans="1:11" ht="20.100000000000001" customHeight="1" x14ac:dyDescent="0.15">
      <c r="A82" s="5"/>
      <c r="B82" s="5"/>
      <c r="C82" s="10"/>
      <c r="D82" s="10"/>
      <c r="E82" s="10"/>
      <c r="F82" s="10"/>
      <c r="G82" s="10"/>
      <c r="H82" s="8"/>
      <c r="I82" s="15"/>
      <c r="J82" s="8" t="str">
        <f t="shared" si="4"/>
        <v>借</v>
      </c>
      <c r="K82" s="9">
        <f t="shared" si="5"/>
        <v>19890</v>
      </c>
    </row>
    <row r="83" spans="1:11" ht="20.100000000000001" customHeight="1" x14ac:dyDescent="0.15">
      <c r="A83" s="5"/>
      <c r="B83" s="5"/>
      <c r="C83" s="10"/>
      <c r="D83" s="10"/>
      <c r="E83" s="10"/>
      <c r="F83" s="10"/>
      <c r="G83" s="10"/>
      <c r="H83" s="8"/>
      <c r="I83" s="15"/>
      <c r="J83" s="8" t="str">
        <f t="shared" si="4"/>
        <v>借</v>
      </c>
      <c r="K83" s="9">
        <f t="shared" si="5"/>
        <v>19890</v>
      </c>
    </row>
    <row r="84" spans="1:11" ht="20.100000000000001" customHeight="1" x14ac:dyDescent="0.15">
      <c r="A84" s="5"/>
      <c r="B84" s="5"/>
      <c r="C84" s="10"/>
      <c r="D84" s="10"/>
      <c r="E84" s="10"/>
      <c r="F84" s="10"/>
      <c r="G84" s="10"/>
      <c r="H84" s="8"/>
      <c r="I84" s="8"/>
      <c r="J84" s="8" t="str">
        <f t="shared" si="4"/>
        <v>借</v>
      </c>
      <c r="K84" s="9">
        <f t="shared" si="5"/>
        <v>19890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4"/>
        <v>借</v>
      </c>
      <c r="K85" s="9">
        <f t="shared" si="5"/>
        <v>19890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36"/>
      <c r="I86" s="10"/>
      <c r="J86" s="8" t="str">
        <f t="shared" si="4"/>
        <v>借</v>
      </c>
      <c r="K86" s="9">
        <f t="shared" si="5"/>
        <v>19890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36"/>
      <c r="I87" s="36"/>
      <c r="J87" s="8" t="str">
        <f t="shared" si="4"/>
        <v>借</v>
      </c>
      <c r="K87" s="9">
        <f t="shared" si="5"/>
        <v>19890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36"/>
      <c r="I88" s="36"/>
      <c r="J88" s="8" t="str">
        <f t="shared" si="4"/>
        <v>借</v>
      </c>
      <c r="K88" s="9">
        <f t="shared" si="5"/>
        <v>19890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36"/>
      <c r="I89" s="36"/>
      <c r="J89" s="8" t="str">
        <f t="shared" si="4"/>
        <v>借</v>
      </c>
      <c r="K89" s="9">
        <f t="shared" si="5"/>
        <v>19890</v>
      </c>
    </row>
    <row r="90" spans="1:11" ht="20.100000000000001" customHeight="1" x14ac:dyDescent="0.15">
      <c r="A90" s="10"/>
      <c r="B90" s="5"/>
      <c r="C90" s="5"/>
      <c r="D90" s="35"/>
      <c r="E90" s="10"/>
      <c r="F90" s="10"/>
      <c r="G90" s="10"/>
      <c r="H90" s="36"/>
      <c r="I90" s="36"/>
      <c r="J90" s="8" t="str">
        <f t="shared" si="4"/>
        <v>借</v>
      </c>
      <c r="K90" s="9">
        <f t="shared" si="5"/>
        <v>19890</v>
      </c>
    </row>
    <row r="91" spans="1:11" ht="20.100000000000001" customHeight="1" x14ac:dyDescent="0.15">
      <c r="A91" s="5"/>
      <c r="B91" s="5"/>
      <c r="C91" s="5"/>
      <c r="D91" s="35"/>
      <c r="E91" s="10"/>
      <c r="F91" s="10"/>
      <c r="G91" s="10"/>
      <c r="H91" s="36"/>
      <c r="I91" s="36"/>
      <c r="J91" s="8" t="str">
        <f t="shared" si="4"/>
        <v>借</v>
      </c>
      <c r="K91" s="9">
        <f t="shared" si="5"/>
        <v>19890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36"/>
      <c r="I92" s="36"/>
      <c r="J92" s="8" t="str">
        <f t="shared" si="4"/>
        <v>借</v>
      </c>
      <c r="K92" s="9">
        <f t="shared" si="5"/>
        <v>19890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36"/>
      <c r="I93" s="36"/>
      <c r="J93" s="8" t="str">
        <f t="shared" si="4"/>
        <v>借</v>
      </c>
      <c r="K93" s="9">
        <f t="shared" si="5"/>
        <v>19890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36"/>
      <c r="I94" s="36"/>
      <c r="J94" s="8" t="str">
        <f t="shared" si="4"/>
        <v>借</v>
      </c>
      <c r="K94" s="9">
        <f t="shared" si="5"/>
        <v>19890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36"/>
      <c r="I95" s="36"/>
      <c r="J95" s="8" t="str">
        <f t="shared" si="4"/>
        <v>借</v>
      </c>
      <c r="K95" s="9">
        <f t="shared" si="5"/>
        <v>19890</v>
      </c>
    </row>
    <row r="96" spans="1:11" ht="20.100000000000001" customHeight="1" x14ac:dyDescent="0.15">
      <c r="A96" s="5"/>
      <c r="B96" s="5"/>
      <c r="C96" s="5"/>
      <c r="D96" s="10"/>
      <c r="E96" s="10"/>
      <c r="F96" s="10"/>
      <c r="G96" s="10"/>
      <c r="H96" s="36"/>
      <c r="I96" s="36"/>
      <c r="J96" s="8" t="str">
        <f t="shared" si="4"/>
        <v>借</v>
      </c>
      <c r="K96" s="9">
        <f t="shared" si="5"/>
        <v>19890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36"/>
      <c r="I97" s="36"/>
      <c r="J97" s="8" t="str">
        <f t="shared" si="4"/>
        <v>借</v>
      </c>
      <c r="K97" s="9">
        <f t="shared" si="5"/>
        <v>19890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19890</v>
      </c>
    </row>
    <row r="99" spans="1:11" ht="20.100000000000001" customHeight="1" x14ac:dyDescent="0.15">
      <c r="A99" s="10"/>
      <c r="B99" s="5"/>
      <c r="C99" s="5"/>
      <c r="D99" s="11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19890</v>
      </c>
    </row>
    <row r="100" spans="1:11" ht="20.100000000000001" customHeight="1" x14ac:dyDescent="0.15">
      <c r="A100" s="10"/>
      <c r="B100" s="5"/>
      <c r="C100" s="5"/>
      <c r="D100" s="11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19890</v>
      </c>
    </row>
    <row r="101" spans="1:11" ht="20.100000000000001" customHeight="1" x14ac:dyDescent="0.15">
      <c r="A101" s="5"/>
      <c r="B101" s="5"/>
      <c r="C101" s="5"/>
      <c r="D101" s="11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19890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19890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19890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ref="J104:J114" si="6">IF((K103+H104-I104)&gt;0,"借","贷")</f>
        <v>借</v>
      </c>
      <c r="K104" s="9">
        <f t="shared" si="5"/>
        <v>19890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ref="K105:K119" si="7">K104+H105-I105</f>
        <v>19890</v>
      </c>
    </row>
    <row r="106" spans="1:11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19890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19890</v>
      </c>
    </row>
    <row r="108" spans="1:11" ht="20.100000000000001" customHeight="1" x14ac:dyDescent="0.15">
      <c r="A108" s="10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19890</v>
      </c>
    </row>
    <row r="109" spans="1:11" ht="20.100000000000001" customHeight="1" x14ac:dyDescent="0.15">
      <c r="A109" s="10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19890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6"/>
        <v>借</v>
      </c>
      <c r="K110" s="9">
        <f t="shared" si="7"/>
        <v>19890</v>
      </c>
    </row>
    <row r="111" spans="1:11" ht="20.100000000000001" customHeight="1" x14ac:dyDescent="0.15">
      <c r="A111" s="5"/>
      <c r="B111" s="5"/>
      <c r="C111" s="5"/>
      <c r="D111" s="10"/>
      <c r="E111" s="16"/>
      <c r="F111" s="10"/>
      <c r="G111" s="10"/>
      <c r="H111" s="8"/>
      <c r="I111" s="8"/>
      <c r="J111" s="8" t="str">
        <f t="shared" si="6"/>
        <v>借</v>
      </c>
      <c r="K111" s="9">
        <f t="shared" si="7"/>
        <v>19890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19890</v>
      </c>
    </row>
    <row r="113" spans="1:11" ht="20.100000000000001" customHeight="1" x14ac:dyDescent="0.15">
      <c r="A113" s="5"/>
      <c r="B113" s="5"/>
      <c r="C113" s="5"/>
      <c r="D113" s="10"/>
      <c r="E113" s="16"/>
      <c r="F113" s="10"/>
      <c r="G113" s="10"/>
      <c r="H113" s="8"/>
      <c r="I113" s="8"/>
      <c r="J113" s="8" t="str">
        <f t="shared" si="6"/>
        <v>借</v>
      </c>
      <c r="K113" s="9">
        <f t="shared" si="7"/>
        <v>19890</v>
      </c>
    </row>
    <row r="114" spans="1:11" ht="20.100000000000001" customHeight="1" x14ac:dyDescent="0.15">
      <c r="A114" s="5"/>
      <c r="B114" s="5"/>
      <c r="C114" s="5"/>
      <c r="D114" s="10"/>
      <c r="E114" s="16"/>
      <c r="F114" s="10"/>
      <c r="G114" s="10"/>
      <c r="H114" s="8"/>
      <c r="I114" s="8"/>
      <c r="J114" s="8" t="str">
        <f t="shared" si="6"/>
        <v>借</v>
      </c>
      <c r="K114" s="9">
        <f t="shared" si="7"/>
        <v>19890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ref="J115:J137" si="8">IF((K114+H115-I115)&gt;0,"借","贷")</f>
        <v>借</v>
      </c>
      <c r="K115" s="9">
        <f t="shared" si="7"/>
        <v>19890</v>
      </c>
    </row>
    <row r="116" spans="1:11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8"/>
        <v>借</v>
      </c>
      <c r="K116" s="9">
        <f t="shared" si="7"/>
        <v>19890</v>
      </c>
    </row>
    <row r="117" spans="1:11" ht="20.100000000000001" customHeight="1" x14ac:dyDescent="0.15">
      <c r="A117" s="10"/>
      <c r="B117" s="5"/>
      <c r="C117" s="5"/>
      <c r="D117" s="10"/>
      <c r="E117" s="10"/>
      <c r="F117" s="10"/>
      <c r="G117" s="10"/>
      <c r="H117" s="8"/>
      <c r="I117" s="8"/>
      <c r="J117" s="8" t="str">
        <f t="shared" si="8"/>
        <v>借</v>
      </c>
      <c r="K117" s="9">
        <f t="shared" si="7"/>
        <v>19890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8"/>
        <v>借</v>
      </c>
      <c r="K118" s="9">
        <f t="shared" si="7"/>
        <v>19890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8"/>
        <v>借</v>
      </c>
      <c r="K119" s="9">
        <f t="shared" si="7"/>
        <v>19890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8"/>
        <v>借</v>
      </c>
      <c r="K120" s="9">
        <f t="shared" ref="K120:K139" si="9">K119+H120-I120</f>
        <v>19890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8"/>
        <v>借</v>
      </c>
      <c r="K121" s="9">
        <f t="shared" si="9"/>
        <v>19890</v>
      </c>
    </row>
    <row r="122" spans="1:11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8"/>
        <v>借</v>
      </c>
      <c r="K122" s="9">
        <f t="shared" si="9"/>
        <v>19890</v>
      </c>
    </row>
    <row r="123" spans="1:11" ht="20.100000000000001" customHeight="1" x14ac:dyDescent="0.15">
      <c r="A123" s="5"/>
      <c r="B123" s="5"/>
      <c r="C123" s="5"/>
      <c r="D123" s="10"/>
      <c r="E123" s="10"/>
      <c r="F123" s="10"/>
      <c r="G123" s="10"/>
      <c r="H123" s="8"/>
      <c r="I123" s="8"/>
      <c r="J123" s="8" t="str">
        <f t="shared" si="8"/>
        <v>借</v>
      </c>
      <c r="K123" s="9">
        <f t="shared" si="9"/>
        <v>19890</v>
      </c>
    </row>
    <row r="124" spans="1:11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8"/>
        <v>借</v>
      </c>
      <c r="K124" s="9">
        <f t="shared" si="9"/>
        <v>19890</v>
      </c>
    </row>
    <row r="125" spans="1:11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8"/>
        <v>借</v>
      </c>
      <c r="K125" s="9">
        <f t="shared" si="9"/>
        <v>19890</v>
      </c>
    </row>
    <row r="126" spans="1:11" ht="20.100000000000001" customHeight="1" x14ac:dyDescent="0.15">
      <c r="A126" s="10"/>
      <c r="B126" s="5"/>
      <c r="C126" s="10"/>
      <c r="D126" s="10"/>
      <c r="E126" s="10"/>
      <c r="F126" s="10"/>
      <c r="G126" s="10"/>
      <c r="H126" s="8"/>
      <c r="I126" s="8"/>
      <c r="J126" s="8" t="str">
        <f t="shared" si="8"/>
        <v>借</v>
      </c>
      <c r="K126" s="9">
        <f t="shared" si="9"/>
        <v>19890</v>
      </c>
    </row>
    <row r="127" spans="1:11" ht="20.100000000000001" customHeight="1" x14ac:dyDescent="0.15">
      <c r="A127" s="10"/>
      <c r="B127" s="5"/>
      <c r="C127" s="10"/>
      <c r="D127" s="10"/>
      <c r="E127" s="10"/>
      <c r="F127" s="10"/>
      <c r="G127" s="10"/>
      <c r="H127" s="8"/>
      <c r="I127" s="8"/>
      <c r="J127" s="8" t="str">
        <f t="shared" si="8"/>
        <v>借</v>
      </c>
      <c r="K127" s="9">
        <f t="shared" si="9"/>
        <v>19890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8"/>
        <v>借</v>
      </c>
      <c r="K128" s="9">
        <f t="shared" si="9"/>
        <v>19890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8"/>
        <v>借</v>
      </c>
      <c r="K129" s="9">
        <f t="shared" si="9"/>
        <v>19890</v>
      </c>
    </row>
    <row r="130" spans="1:11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8"/>
        <v>借</v>
      </c>
      <c r="K130" s="9">
        <f t="shared" si="9"/>
        <v>19890</v>
      </c>
    </row>
    <row r="131" spans="1:11" ht="20.100000000000001" customHeight="1" x14ac:dyDescent="0.15">
      <c r="A131" s="5"/>
      <c r="B131" s="5"/>
      <c r="C131" s="10"/>
      <c r="D131" s="10"/>
      <c r="E131" s="16"/>
      <c r="F131" s="10"/>
      <c r="G131" s="10"/>
      <c r="H131" s="8"/>
      <c r="I131" s="8"/>
      <c r="J131" s="8" t="str">
        <f t="shared" si="8"/>
        <v>借</v>
      </c>
      <c r="K131" s="9">
        <f t="shared" si="9"/>
        <v>19890</v>
      </c>
    </row>
    <row r="132" spans="1:11" ht="20.100000000000001" customHeight="1" x14ac:dyDescent="0.15">
      <c r="A132" s="5"/>
      <c r="B132" s="5"/>
      <c r="C132" s="10"/>
      <c r="D132" s="10"/>
      <c r="E132" s="16"/>
      <c r="F132" s="10"/>
      <c r="G132" s="10"/>
      <c r="H132" s="8"/>
      <c r="I132" s="8"/>
      <c r="J132" s="8" t="str">
        <f t="shared" si="8"/>
        <v>借</v>
      </c>
      <c r="K132" s="9">
        <f t="shared" si="9"/>
        <v>19890</v>
      </c>
    </row>
    <row r="133" spans="1:11" ht="20.100000000000001" customHeight="1" x14ac:dyDescent="0.15">
      <c r="A133" s="5"/>
      <c r="B133" s="5"/>
      <c r="C133" s="10"/>
      <c r="D133" s="11"/>
      <c r="E133" s="10"/>
      <c r="F133" s="10"/>
      <c r="G133" s="10"/>
      <c r="H133" s="8"/>
      <c r="I133" s="8"/>
      <c r="J133" s="8" t="str">
        <f t="shared" si="8"/>
        <v>借</v>
      </c>
      <c r="K133" s="9">
        <f t="shared" si="9"/>
        <v>19890</v>
      </c>
    </row>
    <row r="134" spans="1:11" ht="20.100000000000001" customHeight="1" x14ac:dyDescent="0.15">
      <c r="A134" s="10"/>
      <c r="B134" s="5"/>
      <c r="C134" s="10"/>
      <c r="D134" s="11"/>
      <c r="E134" s="10"/>
      <c r="F134" s="10"/>
      <c r="G134" s="10"/>
      <c r="H134" s="8"/>
      <c r="I134" s="8"/>
      <c r="J134" s="8" t="str">
        <f t="shared" si="8"/>
        <v>借</v>
      </c>
      <c r="K134" s="9">
        <f t="shared" si="9"/>
        <v>19890</v>
      </c>
    </row>
    <row r="135" spans="1:11" ht="20.100000000000001" customHeight="1" x14ac:dyDescent="0.15">
      <c r="A135" s="10"/>
      <c r="B135" s="5"/>
      <c r="C135" s="5"/>
      <c r="D135" s="11"/>
      <c r="E135" s="10"/>
      <c r="F135" s="10"/>
      <c r="G135" s="10"/>
      <c r="H135" s="8"/>
      <c r="I135" s="8"/>
      <c r="J135" s="8" t="str">
        <f t="shared" si="8"/>
        <v>借</v>
      </c>
      <c r="K135" s="9">
        <f t="shared" si="9"/>
        <v>19890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8"/>
        <v>借</v>
      </c>
      <c r="K136" s="9">
        <f t="shared" si="9"/>
        <v>19890</v>
      </c>
    </row>
    <row r="137" spans="1:11" ht="20.100000000000001" customHeight="1" x14ac:dyDescent="0.15">
      <c r="A137" s="5"/>
      <c r="B137" s="5"/>
      <c r="C137" s="5"/>
      <c r="D137" s="11"/>
      <c r="E137" s="10"/>
      <c r="F137" s="10"/>
      <c r="G137" s="10"/>
      <c r="H137" s="8"/>
      <c r="I137" s="8"/>
      <c r="J137" s="8" t="str">
        <f t="shared" si="8"/>
        <v>借</v>
      </c>
      <c r="K137" s="9">
        <f t="shared" si="9"/>
        <v>19890</v>
      </c>
    </row>
    <row r="138" spans="1:11" ht="20.100000000000001" customHeight="1" x14ac:dyDescent="0.15">
      <c r="A138" s="5"/>
      <c r="B138" s="5"/>
      <c r="C138" s="5"/>
      <c r="D138" s="10"/>
      <c r="E138" s="16"/>
      <c r="F138" s="10"/>
      <c r="G138" s="10"/>
      <c r="H138" s="8"/>
      <c r="I138" s="8"/>
      <c r="J138" s="8" t="str">
        <f t="shared" ref="J138:J175" si="10">IF((K137+H138-I138)&gt;0,"借","贷")</f>
        <v>借</v>
      </c>
      <c r="K138" s="9">
        <f t="shared" si="9"/>
        <v>19890</v>
      </c>
    </row>
    <row r="139" spans="1:11" ht="20.100000000000001" customHeight="1" x14ac:dyDescent="0.15">
      <c r="A139" s="5"/>
      <c r="B139" s="5"/>
      <c r="C139" s="5"/>
      <c r="D139" s="11"/>
      <c r="E139" s="10"/>
      <c r="F139" s="10"/>
      <c r="G139" s="10"/>
      <c r="H139" s="8"/>
      <c r="I139" s="8"/>
      <c r="J139" s="8" t="str">
        <f t="shared" si="10"/>
        <v>借</v>
      </c>
      <c r="K139" s="9">
        <f t="shared" si="9"/>
        <v>19890</v>
      </c>
    </row>
    <row r="140" spans="1:11" ht="20.100000000000001" customHeight="1" x14ac:dyDescent="0.15">
      <c r="A140" s="5"/>
      <c r="B140" s="5"/>
      <c r="C140" s="5"/>
      <c r="D140" s="10"/>
      <c r="E140" s="16"/>
      <c r="F140" s="10"/>
      <c r="G140" s="10"/>
      <c r="H140" s="8"/>
      <c r="I140" s="8"/>
      <c r="J140" s="8" t="str">
        <f t="shared" si="10"/>
        <v>借</v>
      </c>
      <c r="K140" s="9">
        <f t="shared" ref="K140:K203" si="11">K139+H140-I140</f>
        <v>19890</v>
      </c>
    </row>
    <row r="141" spans="1:11" ht="20.100000000000001" customHeight="1" x14ac:dyDescent="0.15">
      <c r="A141" s="5"/>
      <c r="B141" s="5"/>
      <c r="C141" s="5"/>
      <c r="D141" s="11"/>
      <c r="E141" s="10"/>
      <c r="F141" s="10"/>
      <c r="G141" s="10"/>
      <c r="H141" s="8"/>
      <c r="I141" s="8"/>
      <c r="J141" s="8" t="str">
        <f t="shared" si="10"/>
        <v>借</v>
      </c>
      <c r="K141" s="9">
        <f t="shared" si="11"/>
        <v>19890</v>
      </c>
    </row>
    <row r="142" spans="1:11" ht="20.100000000000001" customHeight="1" x14ac:dyDescent="0.15">
      <c r="A142" s="10"/>
      <c r="B142" s="5"/>
      <c r="C142" s="5"/>
      <c r="D142" s="10"/>
      <c r="E142" s="16"/>
      <c r="F142" s="10"/>
      <c r="G142" s="10"/>
      <c r="H142" s="8"/>
      <c r="I142" s="8"/>
      <c r="J142" s="8" t="str">
        <f t="shared" si="10"/>
        <v>借</v>
      </c>
      <c r="K142" s="9">
        <f t="shared" si="11"/>
        <v>19890</v>
      </c>
    </row>
    <row r="143" spans="1:11" ht="20.100000000000001" customHeight="1" x14ac:dyDescent="0.15">
      <c r="A143" s="10"/>
      <c r="B143" s="5"/>
      <c r="C143" s="5"/>
      <c r="D143" s="11"/>
      <c r="E143" s="10"/>
      <c r="F143" s="10"/>
      <c r="G143" s="10"/>
      <c r="H143" s="8"/>
      <c r="I143" s="8"/>
      <c r="J143" s="8" t="str">
        <f t="shared" si="10"/>
        <v>借</v>
      </c>
      <c r="K143" s="9">
        <f t="shared" si="11"/>
        <v>19890</v>
      </c>
    </row>
    <row r="144" spans="1:11" ht="20.100000000000001" customHeight="1" x14ac:dyDescent="0.15">
      <c r="A144" s="5"/>
      <c r="B144" s="5"/>
      <c r="C144" s="5"/>
      <c r="D144" s="10"/>
      <c r="E144" s="16"/>
      <c r="F144" s="10"/>
      <c r="G144" s="10"/>
      <c r="H144" s="8"/>
      <c r="I144" s="8"/>
      <c r="J144" s="8" t="str">
        <f t="shared" si="10"/>
        <v>借</v>
      </c>
      <c r="K144" s="9">
        <f t="shared" si="11"/>
        <v>19890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10"/>
        <v>借</v>
      </c>
      <c r="K145" s="9">
        <f t="shared" si="11"/>
        <v>19890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10"/>
        <v>借</v>
      </c>
      <c r="K146" s="9">
        <f t="shared" si="11"/>
        <v>19890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10"/>
        <v>借</v>
      </c>
      <c r="K147" s="9">
        <f t="shared" si="11"/>
        <v>19890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36"/>
      <c r="I148" s="36"/>
      <c r="J148" s="8" t="str">
        <f t="shared" si="10"/>
        <v>借</v>
      </c>
      <c r="K148" s="9">
        <f t="shared" si="11"/>
        <v>19890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36"/>
      <c r="I149" s="36"/>
      <c r="J149" s="8" t="str">
        <f t="shared" si="10"/>
        <v>借</v>
      </c>
      <c r="K149" s="9">
        <f t="shared" si="11"/>
        <v>19890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10"/>
        <v>借</v>
      </c>
      <c r="K150" s="9">
        <f t="shared" si="11"/>
        <v>19890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10"/>
        <v>借</v>
      </c>
      <c r="K151" s="9">
        <f t="shared" si="11"/>
        <v>19890</v>
      </c>
    </row>
    <row r="152" spans="1:11" ht="20.100000000000001" customHeight="1" x14ac:dyDescent="0.15">
      <c r="A152" s="10"/>
      <c r="B152" s="5"/>
      <c r="C152" s="5"/>
      <c r="D152" s="10"/>
      <c r="E152" s="10"/>
      <c r="F152" s="10"/>
      <c r="G152" s="10"/>
      <c r="H152" s="36"/>
      <c r="I152" s="36"/>
      <c r="J152" s="8" t="str">
        <f t="shared" si="10"/>
        <v>借</v>
      </c>
      <c r="K152" s="9">
        <f t="shared" si="11"/>
        <v>19890</v>
      </c>
    </row>
    <row r="153" spans="1:11" ht="20.100000000000001" customHeight="1" x14ac:dyDescent="0.15">
      <c r="A153" s="10"/>
      <c r="B153" s="5"/>
      <c r="C153" s="5"/>
      <c r="D153" s="10"/>
      <c r="E153" s="10"/>
      <c r="F153" s="10"/>
      <c r="G153" s="10"/>
      <c r="H153" s="36"/>
      <c r="I153" s="36"/>
      <c r="J153" s="8" t="str">
        <f t="shared" si="10"/>
        <v>借</v>
      </c>
      <c r="K153" s="9">
        <f t="shared" si="11"/>
        <v>19890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36"/>
      <c r="I154" s="36"/>
      <c r="J154" s="8" t="str">
        <f t="shared" si="10"/>
        <v>借</v>
      </c>
      <c r="K154" s="9">
        <f t="shared" si="11"/>
        <v>19890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36"/>
      <c r="I155" s="36"/>
      <c r="J155" s="8" t="str">
        <f t="shared" si="10"/>
        <v>借</v>
      </c>
      <c r="K155" s="9">
        <f t="shared" si="11"/>
        <v>19890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36"/>
      <c r="I156" s="36"/>
      <c r="J156" s="8" t="str">
        <f t="shared" si="10"/>
        <v>借</v>
      </c>
      <c r="K156" s="9">
        <f t="shared" si="11"/>
        <v>19890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10"/>
        <v>借</v>
      </c>
      <c r="K157" s="9">
        <f t="shared" si="11"/>
        <v>19890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10"/>
        <v>借</v>
      </c>
      <c r="K158" s="9">
        <f t="shared" si="11"/>
        <v>19890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10"/>
        <v>借</v>
      </c>
      <c r="K159" s="9">
        <f t="shared" si="11"/>
        <v>19890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10"/>
        <v>借</v>
      </c>
      <c r="K160" s="9">
        <f t="shared" si="11"/>
        <v>19890</v>
      </c>
    </row>
    <row r="161" spans="1:11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10"/>
        <v>借</v>
      </c>
      <c r="K161" s="9">
        <f t="shared" si="11"/>
        <v>19890</v>
      </c>
    </row>
    <row r="162" spans="1:11" ht="20.100000000000001" customHeight="1" x14ac:dyDescent="0.15">
      <c r="A162" s="5"/>
      <c r="B162" s="5"/>
      <c r="C162" s="5"/>
      <c r="D162" s="10"/>
      <c r="E162" s="10"/>
      <c r="F162" s="10"/>
      <c r="G162" s="10"/>
      <c r="H162" s="8"/>
      <c r="I162" s="8"/>
      <c r="J162" s="8" t="str">
        <f t="shared" si="10"/>
        <v>借</v>
      </c>
      <c r="K162" s="9">
        <f t="shared" si="11"/>
        <v>19890</v>
      </c>
    </row>
    <row r="163" spans="1:11" ht="20.100000000000001" customHeight="1" x14ac:dyDescent="0.15">
      <c r="A163" s="5"/>
      <c r="B163" s="5"/>
      <c r="C163" s="5"/>
      <c r="D163" s="10"/>
      <c r="E163" s="10"/>
      <c r="F163" s="10"/>
      <c r="G163" s="10"/>
      <c r="H163" s="8"/>
      <c r="I163" s="8"/>
      <c r="J163" s="8" t="str">
        <f t="shared" si="10"/>
        <v>借</v>
      </c>
      <c r="K163" s="9">
        <f t="shared" si="11"/>
        <v>19890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10"/>
        <v>借</v>
      </c>
      <c r="K164" s="9">
        <f t="shared" si="11"/>
        <v>19890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10"/>
        <v>借</v>
      </c>
      <c r="K165" s="9">
        <f t="shared" si="11"/>
        <v>19890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10"/>
        <v>借</v>
      </c>
      <c r="K166" s="9">
        <f t="shared" si="11"/>
        <v>19890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10"/>
        <v>借</v>
      </c>
      <c r="K167" s="9">
        <f t="shared" si="11"/>
        <v>19890</v>
      </c>
    </row>
    <row r="168" spans="1:11" ht="20.100000000000001" customHeight="1" x14ac:dyDescent="0.15">
      <c r="A168" s="10"/>
      <c r="B168" s="5"/>
      <c r="C168" s="5"/>
      <c r="D168" s="10"/>
      <c r="E168" s="18"/>
      <c r="F168" s="10"/>
      <c r="G168" s="10"/>
      <c r="H168" s="36"/>
      <c r="I168" s="36"/>
      <c r="J168" s="8" t="str">
        <f t="shared" si="10"/>
        <v>借</v>
      </c>
      <c r="K168" s="9">
        <f t="shared" si="11"/>
        <v>19890</v>
      </c>
    </row>
    <row r="169" spans="1:11" ht="20.100000000000001" customHeight="1" x14ac:dyDescent="0.15">
      <c r="A169" s="10"/>
      <c r="B169" s="5"/>
      <c r="C169" s="5"/>
      <c r="D169" s="10"/>
      <c r="E169" s="10"/>
      <c r="F169" s="10"/>
      <c r="G169" s="10"/>
      <c r="H169" s="36"/>
      <c r="I169" s="36"/>
      <c r="J169" s="8" t="str">
        <f t="shared" si="10"/>
        <v>借</v>
      </c>
      <c r="K169" s="9">
        <f t="shared" si="11"/>
        <v>19890</v>
      </c>
    </row>
    <row r="170" spans="1:11" ht="20.100000000000001" customHeight="1" x14ac:dyDescent="0.15">
      <c r="A170" s="10"/>
      <c r="B170" s="5"/>
      <c r="C170" s="5"/>
      <c r="D170" s="10"/>
      <c r="E170" s="10"/>
      <c r="F170" s="10"/>
      <c r="G170" s="10"/>
      <c r="H170" s="36"/>
      <c r="I170" s="36"/>
      <c r="J170" s="8" t="str">
        <f t="shared" si="10"/>
        <v>借</v>
      </c>
      <c r="K170" s="9">
        <f t="shared" si="11"/>
        <v>19890</v>
      </c>
    </row>
    <row r="171" spans="1:11" ht="20.100000000000001" customHeight="1" x14ac:dyDescent="0.15">
      <c r="A171" s="10"/>
      <c r="B171" s="5"/>
      <c r="C171" s="5"/>
      <c r="D171" s="10"/>
      <c r="E171" s="10"/>
      <c r="F171" s="10"/>
      <c r="G171" s="10"/>
      <c r="H171" s="36"/>
      <c r="I171" s="36"/>
      <c r="J171" s="8" t="str">
        <f t="shared" si="10"/>
        <v>借</v>
      </c>
      <c r="K171" s="9">
        <f t="shared" si="11"/>
        <v>19890</v>
      </c>
    </row>
    <row r="172" spans="1:11" ht="20.100000000000001" customHeight="1" x14ac:dyDescent="0.15">
      <c r="A172" s="10"/>
      <c r="B172" s="5"/>
      <c r="C172" s="5"/>
      <c r="D172" s="10"/>
      <c r="E172" s="10"/>
      <c r="F172" s="10"/>
      <c r="G172" s="10"/>
      <c r="H172" s="36"/>
      <c r="I172" s="36"/>
      <c r="J172" s="8" t="str">
        <f t="shared" si="10"/>
        <v>借</v>
      </c>
      <c r="K172" s="9">
        <f t="shared" si="11"/>
        <v>19890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10"/>
        <v>借</v>
      </c>
      <c r="K173" s="9">
        <f t="shared" si="11"/>
        <v>19890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10"/>
        <v>借</v>
      </c>
      <c r="K174" s="9">
        <f t="shared" si="11"/>
        <v>19890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10"/>
        <v>借</v>
      </c>
      <c r="K175" s="9">
        <f t="shared" si="11"/>
        <v>19890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ref="J176:J203" si="12">IF((K175+H176-I176)&gt;0,"借","贷")</f>
        <v>借</v>
      </c>
      <c r="K176" s="9">
        <f t="shared" si="11"/>
        <v>19890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12"/>
        <v>借</v>
      </c>
      <c r="K177" s="9">
        <f t="shared" si="11"/>
        <v>19890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12"/>
        <v>借</v>
      </c>
      <c r="K178" s="9">
        <f t="shared" si="11"/>
        <v>19890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12"/>
        <v>借</v>
      </c>
      <c r="K179" s="9">
        <f t="shared" si="11"/>
        <v>19890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12"/>
        <v>借</v>
      </c>
      <c r="K180" s="9">
        <f t="shared" si="11"/>
        <v>19890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12"/>
        <v>借</v>
      </c>
      <c r="K181" s="9">
        <f t="shared" si="11"/>
        <v>19890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36"/>
      <c r="I182" s="36"/>
      <c r="J182" s="8" t="str">
        <f t="shared" si="12"/>
        <v>借</v>
      </c>
      <c r="K182" s="9">
        <f t="shared" si="11"/>
        <v>19890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36"/>
      <c r="I183" s="36"/>
      <c r="J183" s="8" t="str">
        <f t="shared" si="12"/>
        <v>借</v>
      </c>
      <c r="K183" s="9">
        <f t="shared" si="11"/>
        <v>19890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36"/>
      <c r="I184" s="36"/>
      <c r="J184" s="8" t="str">
        <f t="shared" si="12"/>
        <v>借</v>
      </c>
      <c r="K184" s="9">
        <f t="shared" si="11"/>
        <v>19890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36"/>
      <c r="I185" s="36"/>
      <c r="J185" s="8" t="str">
        <f t="shared" si="12"/>
        <v>借</v>
      </c>
      <c r="K185" s="9">
        <f t="shared" si="11"/>
        <v>19890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36"/>
      <c r="I186" s="36"/>
      <c r="J186" s="8" t="str">
        <f t="shared" si="12"/>
        <v>借</v>
      </c>
      <c r="K186" s="9">
        <f t="shared" si="11"/>
        <v>19890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12"/>
        <v>借</v>
      </c>
      <c r="K187" s="9">
        <f t="shared" si="11"/>
        <v>19890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12"/>
        <v>借</v>
      </c>
      <c r="K188" s="9">
        <f t="shared" si="11"/>
        <v>19890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12"/>
        <v>借</v>
      </c>
      <c r="K189" s="9">
        <f t="shared" si="11"/>
        <v>19890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12"/>
        <v>借</v>
      </c>
      <c r="K190" s="9">
        <f t="shared" si="11"/>
        <v>19890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36"/>
      <c r="J191" s="8" t="str">
        <f t="shared" si="12"/>
        <v>借</v>
      </c>
      <c r="K191" s="9">
        <f t="shared" si="11"/>
        <v>19890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36"/>
      <c r="J192" s="8" t="str">
        <f t="shared" si="12"/>
        <v>借</v>
      </c>
      <c r="K192" s="9">
        <f t="shared" si="11"/>
        <v>19890</v>
      </c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36"/>
      <c r="J193" s="8" t="str">
        <f t="shared" si="12"/>
        <v>借</v>
      </c>
      <c r="K193" s="9">
        <f t="shared" si="11"/>
        <v>19890</v>
      </c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36"/>
      <c r="J194" s="8" t="str">
        <f t="shared" si="12"/>
        <v>借</v>
      </c>
      <c r="K194" s="9">
        <f t="shared" si="11"/>
        <v>19890</v>
      </c>
    </row>
    <row r="195" spans="1:13" ht="20.100000000000001" customHeight="1" x14ac:dyDescent="0.15">
      <c r="A195" s="10"/>
      <c r="B195" s="5"/>
      <c r="C195" s="10"/>
      <c r="D195" s="10"/>
      <c r="E195" s="19"/>
      <c r="F195" s="10"/>
      <c r="G195" s="10"/>
      <c r="H195" s="8"/>
      <c r="I195" s="36"/>
      <c r="J195" s="8" t="str">
        <f t="shared" si="12"/>
        <v>借</v>
      </c>
      <c r="K195" s="9">
        <f t="shared" si="11"/>
        <v>19890</v>
      </c>
    </row>
    <row r="196" spans="1:13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36"/>
      <c r="J196" s="8" t="str">
        <f t="shared" si="12"/>
        <v>借</v>
      </c>
      <c r="K196" s="9">
        <f t="shared" si="11"/>
        <v>19890</v>
      </c>
    </row>
    <row r="197" spans="1:13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36"/>
      <c r="J197" s="8" t="str">
        <f t="shared" si="12"/>
        <v>借</v>
      </c>
      <c r="K197" s="9">
        <f t="shared" si="11"/>
        <v>19890</v>
      </c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36"/>
      <c r="J198" s="8" t="str">
        <f t="shared" si="12"/>
        <v>借</v>
      </c>
      <c r="K198" s="9">
        <f t="shared" si="11"/>
        <v>19890</v>
      </c>
    </row>
    <row r="199" spans="1:13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36"/>
      <c r="J199" s="8" t="str">
        <f t="shared" si="12"/>
        <v>借</v>
      </c>
      <c r="K199" s="9">
        <f t="shared" si="11"/>
        <v>19890</v>
      </c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36"/>
      <c r="J200" s="8" t="str">
        <f t="shared" si="12"/>
        <v>借</v>
      </c>
      <c r="K200" s="9">
        <f t="shared" si="11"/>
        <v>19890</v>
      </c>
    </row>
    <row r="201" spans="1:13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36"/>
      <c r="J201" s="8" t="str">
        <f t="shared" si="12"/>
        <v>借</v>
      </c>
      <c r="K201" s="9">
        <f t="shared" si="11"/>
        <v>19890</v>
      </c>
      <c r="M201" s="99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36"/>
      <c r="J202" s="8" t="str">
        <f t="shared" si="12"/>
        <v>借</v>
      </c>
      <c r="K202" s="9">
        <f t="shared" si="11"/>
        <v>19890</v>
      </c>
      <c r="M202" s="99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36"/>
      <c r="J203" s="8" t="str">
        <f t="shared" si="12"/>
        <v>借</v>
      </c>
      <c r="K203" s="9">
        <f t="shared" si="11"/>
        <v>19890</v>
      </c>
      <c r="M203" s="99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ref="J204:J267" si="13">IF((K203+H204-I204)&gt;0,"借","贷")</f>
        <v>借</v>
      </c>
      <c r="K204" s="9">
        <f>K203+H204-I204</f>
        <v>19890</v>
      </c>
    </row>
    <row r="205" spans="1:13" ht="20.100000000000001" customHeight="1" x14ac:dyDescent="0.15">
      <c r="A205" s="10"/>
      <c r="B205" s="5"/>
      <c r="C205" s="10"/>
      <c r="D205" s="35"/>
      <c r="E205" s="10"/>
      <c r="F205" s="10"/>
      <c r="G205" s="10"/>
      <c r="H205" s="8"/>
      <c r="I205" s="8"/>
      <c r="J205" s="8" t="str">
        <f t="shared" si="13"/>
        <v>借</v>
      </c>
      <c r="K205" s="9">
        <f t="shared" ref="K205:K268" si="14">K204+H205-I205</f>
        <v>19890</v>
      </c>
    </row>
    <row r="206" spans="1:13" ht="20.100000000000001" customHeight="1" x14ac:dyDescent="0.15">
      <c r="A206" s="10"/>
      <c r="B206" s="5"/>
      <c r="C206" s="10"/>
      <c r="D206" s="35"/>
      <c r="E206" s="10"/>
      <c r="F206" s="10"/>
      <c r="G206" s="10"/>
      <c r="H206" s="8"/>
      <c r="I206" s="8"/>
      <c r="J206" s="8" t="str">
        <f t="shared" si="13"/>
        <v>借</v>
      </c>
      <c r="K206" s="9">
        <f t="shared" si="14"/>
        <v>19890</v>
      </c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3"/>
        <v>借</v>
      </c>
      <c r="K207" s="9">
        <f t="shared" si="14"/>
        <v>19890</v>
      </c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3"/>
        <v>借</v>
      </c>
      <c r="K208" s="9">
        <f t="shared" si="14"/>
        <v>19890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3"/>
        <v>借</v>
      </c>
      <c r="K209" s="9">
        <f t="shared" si="14"/>
        <v>19890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3"/>
        <v>借</v>
      </c>
      <c r="K210" s="9">
        <f t="shared" si="14"/>
        <v>19890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3"/>
        <v>借</v>
      </c>
      <c r="K211" s="9">
        <f t="shared" si="14"/>
        <v>19890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3"/>
        <v>借</v>
      </c>
      <c r="K212" s="9">
        <f t="shared" si="14"/>
        <v>19890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3"/>
        <v>借</v>
      </c>
      <c r="K213" s="9">
        <f t="shared" si="14"/>
        <v>19890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3"/>
        <v>借</v>
      </c>
      <c r="K214" s="9">
        <f t="shared" si="14"/>
        <v>19890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3"/>
        <v>借</v>
      </c>
      <c r="K215" s="9">
        <f t="shared" si="14"/>
        <v>19890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3"/>
        <v>借</v>
      </c>
      <c r="K216" s="9">
        <f t="shared" si="14"/>
        <v>19890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3"/>
        <v>借</v>
      </c>
      <c r="K217" s="9">
        <f t="shared" si="14"/>
        <v>19890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3"/>
        <v>借</v>
      </c>
      <c r="K218" s="9">
        <f t="shared" si="14"/>
        <v>19890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3"/>
        <v>借</v>
      </c>
      <c r="K219" s="9">
        <f t="shared" si="14"/>
        <v>19890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3"/>
        <v>借</v>
      </c>
      <c r="K220" s="9">
        <f t="shared" si="14"/>
        <v>19890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3"/>
        <v>借</v>
      </c>
      <c r="K221" s="9">
        <f t="shared" si="14"/>
        <v>19890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3"/>
        <v>借</v>
      </c>
      <c r="K222" s="9">
        <f t="shared" si="14"/>
        <v>19890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3"/>
        <v>借</v>
      </c>
      <c r="K223" s="9">
        <f t="shared" si="14"/>
        <v>19890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3"/>
        <v>借</v>
      </c>
      <c r="K224" s="9">
        <f t="shared" si="14"/>
        <v>19890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3"/>
        <v>借</v>
      </c>
      <c r="K225" s="9">
        <f t="shared" si="14"/>
        <v>19890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3"/>
        <v>借</v>
      </c>
      <c r="K226" s="9">
        <f t="shared" si="14"/>
        <v>19890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3"/>
        <v>借</v>
      </c>
      <c r="K227" s="9">
        <f t="shared" si="14"/>
        <v>19890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3"/>
        <v>借</v>
      </c>
      <c r="K228" s="9">
        <f t="shared" si="14"/>
        <v>19890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3"/>
        <v>借</v>
      </c>
      <c r="K229" s="9">
        <f t="shared" si="14"/>
        <v>19890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3"/>
        <v>借</v>
      </c>
      <c r="K230" s="9">
        <f t="shared" si="14"/>
        <v>19890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3"/>
        <v>借</v>
      </c>
      <c r="K231" s="9">
        <f t="shared" si="14"/>
        <v>19890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3"/>
        <v>借</v>
      </c>
      <c r="K232" s="9">
        <f t="shared" si="14"/>
        <v>19890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3"/>
        <v>借</v>
      </c>
      <c r="K233" s="9">
        <f t="shared" si="14"/>
        <v>19890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3"/>
        <v>借</v>
      </c>
      <c r="K234" s="9">
        <f t="shared" si="14"/>
        <v>19890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3"/>
        <v>借</v>
      </c>
      <c r="K235" s="9">
        <f t="shared" si="14"/>
        <v>19890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3"/>
        <v>借</v>
      </c>
      <c r="K236" s="9">
        <f t="shared" si="14"/>
        <v>19890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3"/>
        <v>借</v>
      </c>
      <c r="K237" s="9">
        <f t="shared" si="14"/>
        <v>19890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3"/>
        <v>借</v>
      </c>
      <c r="K238" s="9">
        <f t="shared" si="14"/>
        <v>19890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3"/>
        <v>借</v>
      </c>
      <c r="K239" s="9">
        <f t="shared" si="14"/>
        <v>19890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3"/>
        <v>借</v>
      </c>
      <c r="K240" s="9">
        <f t="shared" si="14"/>
        <v>19890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3"/>
        <v>借</v>
      </c>
      <c r="K241" s="9">
        <f t="shared" si="14"/>
        <v>19890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3"/>
        <v>借</v>
      </c>
      <c r="K242" s="9">
        <f t="shared" si="14"/>
        <v>19890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3"/>
        <v>借</v>
      </c>
      <c r="K243" s="9">
        <f t="shared" si="14"/>
        <v>19890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3"/>
        <v>借</v>
      </c>
      <c r="K244" s="9">
        <f t="shared" si="14"/>
        <v>19890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13"/>
        <v>借</v>
      </c>
      <c r="K245" s="9">
        <f t="shared" si="14"/>
        <v>19890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13"/>
        <v>借</v>
      </c>
      <c r="K246" s="9">
        <f t="shared" si="14"/>
        <v>19890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3"/>
        <v>借</v>
      </c>
      <c r="K247" s="9">
        <f t="shared" si="14"/>
        <v>19890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3"/>
        <v>借</v>
      </c>
      <c r="K248" s="9">
        <f t="shared" si="14"/>
        <v>19890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13"/>
        <v>借</v>
      </c>
      <c r="K249" s="9">
        <f t="shared" si="14"/>
        <v>19890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23" t="str">
        <f t="shared" si="13"/>
        <v>借</v>
      </c>
      <c r="K250" s="9">
        <f t="shared" si="14"/>
        <v>19890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23" t="str">
        <f t="shared" si="13"/>
        <v>借</v>
      </c>
      <c r="K251" s="9">
        <f t="shared" si="14"/>
        <v>19890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23" t="str">
        <f t="shared" si="13"/>
        <v>借</v>
      </c>
      <c r="K252" s="9">
        <f t="shared" si="14"/>
        <v>19890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23" t="str">
        <f t="shared" si="13"/>
        <v>借</v>
      </c>
      <c r="K253" s="9">
        <f t="shared" si="14"/>
        <v>19890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3"/>
        <v>借</v>
      </c>
      <c r="K254" s="9">
        <f t="shared" si="14"/>
        <v>19890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3"/>
        <v>借</v>
      </c>
      <c r="K255" s="9">
        <f t="shared" si="14"/>
        <v>19890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3"/>
        <v>借</v>
      </c>
      <c r="K256" s="9">
        <f t="shared" si="14"/>
        <v>19890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3"/>
        <v>借</v>
      </c>
      <c r="K257" s="9">
        <f t="shared" si="14"/>
        <v>19890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3"/>
        <v>借</v>
      </c>
      <c r="K258" s="9">
        <f t="shared" si="14"/>
        <v>19890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3"/>
        <v>借</v>
      </c>
      <c r="K259" s="9">
        <f t="shared" si="14"/>
        <v>19890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3"/>
        <v>借</v>
      </c>
      <c r="K260" s="9">
        <f t="shared" si="14"/>
        <v>19890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3"/>
        <v>借</v>
      </c>
      <c r="K261" s="9">
        <f t="shared" si="14"/>
        <v>19890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4"/>
        <v>19890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4"/>
        <v>19890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4"/>
        <v>19890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4"/>
        <v>19890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4"/>
        <v>19890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4"/>
        <v>19890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ref="J268:J331" si="15">IF((K267+H268-I268)&gt;0,"借","贷")</f>
        <v>借</v>
      </c>
      <c r="K268" s="9">
        <f t="shared" si="14"/>
        <v>19890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5"/>
        <v>借</v>
      </c>
      <c r="K269" s="9">
        <f t="shared" ref="K269:K332" si="16">K268+H269-I269</f>
        <v>19890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5"/>
        <v>借</v>
      </c>
      <c r="K270" s="9">
        <f t="shared" si="16"/>
        <v>19890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5"/>
        <v>借</v>
      </c>
      <c r="K271" s="9">
        <f t="shared" si="16"/>
        <v>19890</v>
      </c>
    </row>
    <row r="272" spans="1:11" ht="20.100000000000001" customHeight="1" x14ac:dyDescent="0.15">
      <c r="A272" s="10"/>
      <c r="B272" s="5"/>
      <c r="D272" s="10"/>
      <c r="E272" s="10"/>
      <c r="F272" s="10"/>
      <c r="G272" s="10"/>
      <c r="H272" s="8"/>
      <c r="I272" s="8"/>
      <c r="J272" s="8" t="str">
        <f t="shared" si="15"/>
        <v>借</v>
      </c>
      <c r="K272" s="9">
        <f t="shared" si="16"/>
        <v>19890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5"/>
        <v>借</v>
      </c>
      <c r="K273" s="9">
        <f t="shared" si="16"/>
        <v>19890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5"/>
        <v>借</v>
      </c>
      <c r="K274" s="9">
        <f t="shared" si="16"/>
        <v>19890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5"/>
        <v>借</v>
      </c>
      <c r="K275" s="9">
        <f t="shared" si="16"/>
        <v>19890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5"/>
        <v>借</v>
      </c>
      <c r="K276" s="9">
        <f t="shared" si="16"/>
        <v>19890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5"/>
        <v>借</v>
      </c>
      <c r="K277" s="9">
        <f t="shared" si="16"/>
        <v>19890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5"/>
        <v>借</v>
      </c>
      <c r="K278" s="9">
        <f t="shared" si="16"/>
        <v>19890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5"/>
        <v>借</v>
      </c>
      <c r="K279" s="9">
        <f t="shared" si="16"/>
        <v>19890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5"/>
        <v>借</v>
      </c>
      <c r="K280" s="9">
        <f t="shared" si="16"/>
        <v>19890</v>
      </c>
    </row>
    <row r="281" spans="1:11" ht="20.100000000000001" customHeight="1" x14ac:dyDescent="0.15">
      <c r="A281" s="10"/>
      <c r="B281" s="5"/>
      <c r="C281" s="10"/>
      <c r="D281" s="32"/>
      <c r="E281" s="10"/>
      <c r="F281" s="10"/>
      <c r="G281" s="10"/>
      <c r="H281" s="8"/>
      <c r="I281" s="8"/>
      <c r="J281" s="8" t="str">
        <f t="shared" si="15"/>
        <v>借</v>
      </c>
      <c r="K281" s="9">
        <f t="shared" si="16"/>
        <v>19890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5"/>
        <v>借</v>
      </c>
      <c r="K282" s="9">
        <f t="shared" si="16"/>
        <v>19890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5"/>
        <v>借</v>
      </c>
      <c r="K283" s="9">
        <f t="shared" si="16"/>
        <v>19890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5"/>
        <v>借</v>
      </c>
      <c r="K284" s="9">
        <f t="shared" si="16"/>
        <v>19890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5"/>
        <v>借</v>
      </c>
      <c r="K285" s="9">
        <f t="shared" si="16"/>
        <v>19890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5"/>
        <v>借</v>
      </c>
      <c r="K286" s="9">
        <f t="shared" si="16"/>
        <v>19890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5"/>
        <v>借</v>
      </c>
      <c r="K287" s="9">
        <f t="shared" si="16"/>
        <v>19890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5"/>
        <v>借</v>
      </c>
      <c r="K288" s="9">
        <f t="shared" si="16"/>
        <v>19890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5"/>
        <v>借</v>
      </c>
      <c r="K289" s="9">
        <f t="shared" si="16"/>
        <v>19890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5"/>
        <v>借</v>
      </c>
      <c r="K290" s="9">
        <f t="shared" si="16"/>
        <v>19890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5"/>
        <v>借</v>
      </c>
      <c r="K291" s="9">
        <f t="shared" si="16"/>
        <v>19890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5"/>
        <v>借</v>
      </c>
      <c r="K292" s="9">
        <f t="shared" si="16"/>
        <v>19890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5"/>
        <v>借</v>
      </c>
      <c r="K293" s="9">
        <f t="shared" si="16"/>
        <v>19890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5"/>
        <v>借</v>
      </c>
      <c r="K294" s="9">
        <f t="shared" si="16"/>
        <v>19890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5"/>
        <v>借</v>
      </c>
      <c r="K295" s="9">
        <f t="shared" si="16"/>
        <v>19890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5"/>
        <v>借</v>
      </c>
      <c r="K296" s="9">
        <f t="shared" si="16"/>
        <v>19890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5"/>
        <v>借</v>
      </c>
      <c r="K297" s="9">
        <f t="shared" si="16"/>
        <v>19890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5"/>
        <v>借</v>
      </c>
      <c r="K298" s="9">
        <f t="shared" si="16"/>
        <v>19890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5"/>
        <v>借</v>
      </c>
      <c r="K299" s="9">
        <f t="shared" si="16"/>
        <v>19890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5"/>
        <v>借</v>
      </c>
      <c r="K300" s="9">
        <f t="shared" si="16"/>
        <v>19890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5"/>
        <v>借</v>
      </c>
      <c r="K301" s="9">
        <f t="shared" si="16"/>
        <v>19890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5"/>
        <v>借</v>
      </c>
      <c r="K302" s="9">
        <f t="shared" si="16"/>
        <v>19890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5"/>
        <v>借</v>
      </c>
      <c r="K303" s="9">
        <f t="shared" si="16"/>
        <v>19890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5"/>
        <v>借</v>
      </c>
      <c r="K304" s="9">
        <f t="shared" si="16"/>
        <v>19890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5"/>
        <v>借</v>
      </c>
      <c r="K305" s="9">
        <f t="shared" si="16"/>
        <v>19890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5"/>
        <v>借</v>
      </c>
      <c r="K306" s="9">
        <f t="shared" si="16"/>
        <v>19890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5"/>
        <v>借</v>
      </c>
      <c r="K307" s="9">
        <f t="shared" si="16"/>
        <v>19890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5"/>
        <v>借</v>
      </c>
      <c r="K308" s="9">
        <f t="shared" si="16"/>
        <v>19890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5"/>
        <v>借</v>
      </c>
      <c r="K309" s="9">
        <f t="shared" si="16"/>
        <v>19890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5"/>
        <v>借</v>
      </c>
      <c r="K310" s="9">
        <f t="shared" si="16"/>
        <v>19890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5"/>
        <v>借</v>
      </c>
      <c r="K311" s="9">
        <f t="shared" si="16"/>
        <v>19890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5"/>
        <v>借</v>
      </c>
      <c r="K312" s="9">
        <f t="shared" si="16"/>
        <v>19890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5"/>
        <v>借</v>
      </c>
      <c r="K313" s="9">
        <f t="shared" si="16"/>
        <v>19890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5"/>
        <v>借</v>
      </c>
      <c r="K314" s="9">
        <f t="shared" si="16"/>
        <v>19890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5"/>
        <v>借</v>
      </c>
      <c r="K315" s="9">
        <f t="shared" si="16"/>
        <v>19890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5"/>
        <v>借</v>
      </c>
      <c r="K316" s="9">
        <f t="shared" si="16"/>
        <v>19890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5"/>
        <v>借</v>
      </c>
      <c r="K317" s="9">
        <f t="shared" si="16"/>
        <v>19890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5"/>
        <v>借</v>
      </c>
      <c r="K318" s="9">
        <f t="shared" si="16"/>
        <v>19890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5"/>
        <v>借</v>
      </c>
      <c r="K319" s="9">
        <f t="shared" si="16"/>
        <v>19890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5"/>
        <v>借</v>
      </c>
      <c r="K320" s="9">
        <f t="shared" si="16"/>
        <v>19890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5"/>
        <v>借</v>
      </c>
      <c r="K321" s="9">
        <f t="shared" si="16"/>
        <v>19890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5"/>
        <v>借</v>
      </c>
      <c r="K322" s="9">
        <f t="shared" si="16"/>
        <v>19890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5"/>
        <v>借</v>
      </c>
      <c r="K323" s="9">
        <f t="shared" si="16"/>
        <v>19890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5"/>
        <v>借</v>
      </c>
      <c r="K324" s="9">
        <f t="shared" si="16"/>
        <v>19890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5"/>
        <v>借</v>
      </c>
      <c r="K325" s="9">
        <f t="shared" si="16"/>
        <v>19890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6"/>
        <v>19890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6"/>
        <v>19890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6"/>
        <v>19890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6"/>
        <v>19890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6"/>
        <v>19890</v>
      </c>
    </row>
    <row r="331" spans="1:11" ht="20.100000000000001" customHeight="1" x14ac:dyDescent="0.15">
      <c r="A331" s="10"/>
      <c r="B331" s="5"/>
      <c r="C331" s="10"/>
      <c r="D331" s="35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6"/>
        <v>19890</v>
      </c>
    </row>
    <row r="332" spans="1:11" ht="20.100000000000001" customHeight="1" x14ac:dyDescent="0.15">
      <c r="A332" s="10"/>
      <c r="B332" s="5"/>
      <c r="C332" s="10"/>
      <c r="D332" s="35"/>
      <c r="E332" s="10"/>
      <c r="F332" s="10"/>
      <c r="G332" s="10"/>
      <c r="H332" s="8"/>
      <c r="I332" s="8"/>
      <c r="J332" s="8" t="str">
        <f t="shared" ref="J332:J349" si="17">IF((K331+H332-I332)&gt;0,"借","贷")</f>
        <v>借</v>
      </c>
      <c r="K332" s="9">
        <f t="shared" si="16"/>
        <v>19890</v>
      </c>
    </row>
    <row r="333" spans="1:11" ht="20.100000000000001" customHeight="1" x14ac:dyDescent="0.15">
      <c r="A333" s="10"/>
      <c r="B333" s="5"/>
      <c r="C333" s="10"/>
      <c r="D333" s="35"/>
      <c r="E333" s="10"/>
      <c r="F333" s="10"/>
      <c r="G333" s="10"/>
      <c r="H333" s="8"/>
      <c r="I333" s="8"/>
      <c r="J333" s="8" t="str">
        <f t="shared" si="17"/>
        <v>借</v>
      </c>
      <c r="K333" s="9">
        <f t="shared" ref="K333:K349" si="18">K332+H333-I333</f>
        <v>19890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7"/>
        <v>借</v>
      </c>
      <c r="K334" s="9">
        <f t="shared" si="18"/>
        <v>19890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7"/>
        <v>借</v>
      </c>
      <c r="K335" s="9">
        <f t="shared" si="18"/>
        <v>19890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7"/>
        <v>借</v>
      </c>
      <c r="K336" s="9">
        <f t="shared" si="18"/>
        <v>19890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7"/>
        <v>借</v>
      </c>
      <c r="K337" s="9">
        <f t="shared" si="18"/>
        <v>19890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7"/>
        <v>借</v>
      </c>
      <c r="K338" s="9">
        <f t="shared" si="18"/>
        <v>19890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7"/>
        <v>借</v>
      </c>
      <c r="K339" s="9">
        <f t="shared" si="18"/>
        <v>19890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7"/>
        <v>借</v>
      </c>
      <c r="K340" s="9">
        <f t="shared" si="18"/>
        <v>19890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7"/>
        <v>借</v>
      </c>
      <c r="K341" s="9">
        <f t="shared" si="18"/>
        <v>19890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7"/>
        <v>借</v>
      </c>
      <c r="K342" s="9">
        <f t="shared" si="18"/>
        <v>19890</v>
      </c>
    </row>
    <row r="343" spans="1:11" ht="20.100000000000001" customHeight="1" x14ac:dyDescent="0.15">
      <c r="A343" s="10"/>
      <c r="B343" s="5"/>
      <c r="C343" s="10"/>
      <c r="D343" s="32"/>
      <c r="E343" s="10"/>
      <c r="F343" s="10"/>
      <c r="G343" s="10"/>
      <c r="H343" s="8"/>
      <c r="I343" s="8"/>
      <c r="J343" s="8" t="str">
        <f t="shared" si="17"/>
        <v>借</v>
      </c>
      <c r="K343" s="9">
        <f t="shared" si="18"/>
        <v>19890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7"/>
        <v>借</v>
      </c>
      <c r="K344" s="9">
        <f t="shared" si="18"/>
        <v>19890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7"/>
        <v>借</v>
      </c>
      <c r="K345" s="9">
        <f t="shared" si="18"/>
        <v>19890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7"/>
        <v>借</v>
      </c>
      <c r="K346" s="9">
        <f t="shared" si="18"/>
        <v>19890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7"/>
        <v>借</v>
      </c>
      <c r="K347" s="9">
        <f t="shared" si="18"/>
        <v>19890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7"/>
        <v>借</v>
      </c>
      <c r="K348" s="9">
        <f t="shared" si="18"/>
        <v>19890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7"/>
        <v>借</v>
      </c>
      <c r="K349" s="9">
        <f t="shared" si="18"/>
        <v>19890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ref="J350:J362" si="19">IF((K349+H350-I350)&gt;0,"借","贷")</f>
        <v>借</v>
      </c>
      <c r="K350" s="9">
        <f t="shared" ref="K350:K362" si="20">K349+H350-I350</f>
        <v>19890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9"/>
        <v>借</v>
      </c>
      <c r="K351" s="9">
        <f t="shared" si="20"/>
        <v>19890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9"/>
        <v>借</v>
      </c>
      <c r="K352" s="9">
        <f t="shared" si="20"/>
        <v>19890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9"/>
        <v>借</v>
      </c>
      <c r="K353" s="9">
        <f t="shared" si="20"/>
        <v>19890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9"/>
        <v>借</v>
      </c>
      <c r="K354" s="9">
        <f t="shared" si="20"/>
        <v>19890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9"/>
        <v>借</v>
      </c>
      <c r="K355" s="9">
        <f t="shared" si="20"/>
        <v>19890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9"/>
        <v>借</v>
      </c>
      <c r="K356" s="9">
        <f t="shared" si="20"/>
        <v>19890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9"/>
        <v>借</v>
      </c>
      <c r="K357" s="9">
        <f t="shared" si="20"/>
        <v>19890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9"/>
        <v>借</v>
      </c>
      <c r="K358" s="9">
        <f t="shared" si="20"/>
        <v>19890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9"/>
        <v>借</v>
      </c>
      <c r="K359" s="9">
        <f t="shared" si="20"/>
        <v>19890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9"/>
        <v>借</v>
      </c>
      <c r="K360" s="9">
        <f t="shared" si="20"/>
        <v>19890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9"/>
        <v>借</v>
      </c>
      <c r="K361" s="9">
        <f t="shared" si="20"/>
        <v>19890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9"/>
        <v>借</v>
      </c>
      <c r="K362" s="9">
        <f t="shared" si="20"/>
        <v>19890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ref="J363:J398" si="21">IF((K362+H363-I363)&gt;0,"借","贷")</f>
        <v>借</v>
      </c>
      <c r="K363" s="9">
        <f t="shared" ref="K363:K399" si="22">K362+H363-I363</f>
        <v>19890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21"/>
        <v>借</v>
      </c>
      <c r="K364" s="9">
        <f t="shared" si="22"/>
        <v>19890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21"/>
        <v>借</v>
      </c>
      <c r="K365" s="9">
        <f t="shared" si="22"/>
        <v>19890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21"/>
        <v>借</v>
      </c>
      <c r="K366" s="9">
        <f t="shared" si="22"/>
        <v>19890</v>
      </c>
    </row>
    <row r="367" spans="1:11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si="21"/>
        <v>借</v>
      </c>
      <c r="K367" s="9">
        <f t="shared" si="22"/>
        <v>19890</v>
      </c>
    </row>
    <row r="368" spans="1:11" ht="20.100000000000001" customHeight="1" x14ac:dyDescent="0.15">
      <c r="A368" s="10"/>
      <c r="B368" s="5"/>
      <c r="C368" s="10"/>
      <c r="D368" s="10"/>
      <c r="E368" s="10"/>
      <c r="F368" s="10"/>
      <c r="G368" s="10"/>
      <c r="H368" s="8"/>
      <c r="I368" s="8"/>
      <c r="J368" s="8" t="str">
        <f t="shared" si="21"/>
        <v>借</v>
      </c>
      <c r="K368" s="9">
        <f t="shared" si="22"/>
        <v>19890</v>
      </c>
    </row>
    <row r="369" spans="1:11" ht="20.100000000000001" customHeight="1" x14ac:dyDescent="0.15">
      <c r="A369" s="10"/>
      <c r="B369" s="5"/>
      <c r="C369" s="10"/>
      <c r="D369" s="10"/>
      <c r="E369" s="10"/>
      <c r="F369" s="10"/>
      <c r="G369" s="10"/>
      <c r="H369" s="8"/>
      <c r="I369" s="8"/>
      <c r="J369" s="8" t="str">
        <f t="shared" si="21"/>
        <v>借</v>
      </c>
      <c r="K369" s="9">
        <f t="shared" si="22"/>
        <v>19890</v>
      </c>
    </row>
    <row r="370" spans="1:11" ht="20.100000000000001" customHeight="1" x14ac:dyDescent="0.15">
      <c r="A370" s="10"/>
      <c r="B370" s="5"/>
      <c r="C370" s="10"/>
      <c r="D370" s="10"/>
      <c r="E370" s="10"/>
      <c r="F370" s="10"/>
      <c r="G370" s="10"/>
      <c r="H370" s="8"/>
      <c r="I370" s="8"/>
      <c r="J370" s="8" t="str">
        <f t="shared" si="21"/>
        <v>借</v>
      </c>
      <c r="K370" s="9">
        <f t="shared" si="22"/>
        <v>19890</v>
      </c>
    </row>
    <row r="371" spans="1:11" ht="20.100000000000001" customHeight="1" x14ac:dyDescent="0.15">
      <c r="A371" s="10"/>
      <c r="B371" s="5"/>
      <c r="C371" s="10"/>
      <c r="D371" s="10"/>
      <c r="E371" s="10"/>
      <c r="F371" s="10"/>
      <c r="G371" s="10"/>
      <c r="H371" s="8"/>
      <c r="I371" s="8"/>
      <c r="J371" s="8" t="str">
        <f t="shared" si="21"/>
        <v>借</v>
      </c>
      <c r="K371" s="9">
        <f t="shared" si="22"/>
        <v>19890</v>
      </c>
    </row>
    <row r="372" spans="1:11" ht="20.100000000000001" customHeight="1" x14ac:dyDescent="0.15">
      <c r="A372" s="10"/>
      <c r="B372" s="5"/>
      <c r="C372" s="10"/>
      <c r="D372" s="10"/>
      <c r="E372" s="10"/>
      <c r="F372" s="10"/>
      <c r="G372" s="10"/>
      <c r="H372" s="8"/>
      <c r="I372" s="8"/>
      <c r="J372" s="8" t="str">
        <f t="shared" si="21"/>
        <v>借</v>
      </c>
      <c r="K372" s="9">
        <f t="shared" si="22"/>
        <v>19890</v>
      </c>
    </row>
    <row r="373" spans="1:11" ht="20.100000000000001" customHeight="1" x14ac:dyDescent="0.15">
      <c r="A373" s="10"/>
      <c r="B373" s="5"/>
      <c r="C373" s="10"/>
      <c r="D373" s="10"/>
      <c r="E373" s="10"/>
      <c r="F373" s="10"/>
      <c r="G373" s="10"/>
      <c r="H373" s="8"/>
      <c r="I373" s="8"/>
      <c r="J373" s="8" t="str">
        <f t="shared" si="21"/>
        <v>借</v>
      </c>
      <c r="K373" s="9">
        <f t="shared" si="22"/>
        <v>19890</v>
      </c>
    </row>
    <row r="374" spans="1:11" ht="20.100000000000001" customHeight="1" x14ac:dyDescent="0.15">
      <c r="B374" s="5"/>
      <c r="C374" s="10"/>
      <c r="D374" s="10"/>
      <c r="E374" s="10"/>
      <c r="F374" s="10"/>
      <c r="G374" s="10"/>
      <c r="H374" s="8"/>
      <c r="I374" s="8"/>
      <c r="J374" s="8" t="str">
        <f t="shared" si="21"/>
        <v>借</v>
      </c>
      <c r="K374" s="9">
        <f t="shared" si="22"/>
        <v>19890</v>
      </c>
    </row>
    <row r="375" spans="1:11" ht="20.100000000000001" customHeight="1" x14ac:dyDescent="0.15">
      <c r="B375" s="5"/>
      <c r="C375" s="10"/>
      <c r="D375" s="10"/>
      <c r="E375" s="10"/>
      <c r="F375" s="10"/>
      <c r="G375" s="10"/>
      <c r="H375" s="8"/>
      <c r="I375" s="8"/>
      <c r="J375" s="8" t="str">
        <f t="shared" si="21"/>
        <v>借</v>
      </c>
      <c r="K375" s="9">
        <f t="shared" si="22"/>
        <v>19890</v>
      </c>
    </row>
    <row r="376" spans="1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21"/>
        <v>借</v>
      </c>
      <c r="K376" s="9">
        <f t="shared" si="22"/>
        <v>19890</v>
      </c>
    </row>
    <row r="377" spans="1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21"/>
        <v>借</v>
      </c>
      <c r="K377" s="9">
        <f t="shared" si="22"/>
        <v>19890</v>
      </c>
    </row>
    <row r="378" spans="1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21"/>
        <v>借</v>
      </c>
      <c r="K378" s="9">
        <f t="shared" si="22"/>
        <v>19890</v>
      </c>
    </row>
    <row r="379" spans="1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21"/>
        <v>借</v>
      </c>
      <c r="K379" s="9">
        <f t="shared" si="22"/>
        <v>19890</v>
      </c>
    </row>
    <row r="380" spans="1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21"/>
        <v>借</v>
      </c>
      <c r="K380" s="9">
        <f t="shared" si="22"/>
        <v>19890</v>
      </c>
    </row>
    <row r="381" spans="1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21"/>
        <v>借</v>
      </c>
      <c r="K381" s="9">
        <f t="shared" si="22"/>
        <v>19890</v>
      </c>
    </row>
    <row r="382" spans="1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21"/>
        <v>借</v>
      </c>
      <c r="K382" s="9">
        <f t="shared" si="22"/>
        <v>19890</v>
      </c>
    </row>
    <row r="383" spans="1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21"/>
        <v>借</v>
      </c>
      <c r="K383" s="9">
        <f t="shared" si="22"/>
        <v>19890</v>
      </c>
    </row>
    <row r="384" spans="1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21"/>
        <v>借</v>
      </c>
      <c r="K384" s="9">
        <f t="shared" si="22"/>
        <v>19890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21"/>
        <v>借</v>
      </c>
      <c r="K385" s="9">
        <f t="shared" si="22"/>
        <v>19890</v>
      </c>
    </row>
    <row r="386" spans="2:11" ht="20.100000000000001" customHeight="1" x14ac:dyDescent="0.15">
      <c r="B386" s="5"/>
      <c r="C386" s="7"/>
      <c r="D386" s="10"/>
      <c r="E386" s="10"/>
      <c r="F386" s="10"/>
      <c r="G386" s="10"/>
      <c r="H386" s="8"/>
      <c r="I386" s="8"/>
      <c r="J386" s="8" t="str">
        <f t="shared" si="21"/>
        <v>借</v>
      </c>
      <c r="K386" s="9">
        <f t="shared" si="22"/>
        <v>19890</v>
      </c>
    </row>
    <row r="387" spans="2:11" ht="20.100000000000001" customHeight="1" x14ac:dyDescent="0.15">
      <c r="B387" s="5"/>
      <c r="C387" s="7"/>
      <c r="D387" s="10"/>
      <c r="E387" s="10"/>
      <c r="F387" s="10"/>
      <c r="G387" s="10"/>
      <c r="H387" s="8"/>
      <c r="I387" s="8"/>
      <c r="J387" s="8" t="str">
        <f t="shared" si="21"/>
        <v>借</v>
      </c>
      <c r="K387" s="9">
        <f t="shared" si="22"/>
        <v>19890</v>
      </c>
    </row>
    <row r="388" spans="2:11" ht="20.100000000000001" customHeight="1" x14ac:dyDescent="0.15">
      <c r="B388" s="5"/>
      <c r="C388" s="7"/>
      <c r="D388" s="10"/>
      <c r="E388" s="10"/>
      <c r="F388" s="10"/>
      <c r="G388" s="10"/>
      <c r="H388" s="8"/>
      <c r="I388" s="8"/>
      <c r="J388" s="8" t="str">
        <f t="shared" si="21"/>
        <v>借</v>
      </c>
      <c r="K388" s="9">
        <f t="shared" si="22"/>
        <v>19890</v>
      </c>
    </row>
    <row r="389" spans="2:11" ht="20.100000000000001" customHeight="1" x14ac:dyDescent="0.15">
      <c r="B389" s="5"/>
      <c r="C389" s="7"/>
      <c r="D389" s="10"/>
      <c r="E389" s="10"/>
      <c r="F389" s="10"/>
      <c r="G389" s="10"/>
      <c r="H389" s="8"/>
      <c r="I389" s="8"/>
      <c r="J389" s="8" t="str">
        <f t="shared" si="21"/>
        <v>借</v>
      </c>
      <c r="K389" s="9">
        <f t="shared" si="22"/>
        <v>19890</v>
      </c>
    </row>
    <row r="390" spans="2:11" ht="20.100000000000001" customHeight="1" x14ac:dyDescent="0.15">
      <c r="B390" s="5"/>
      <c r="C390" s="7"/>
      <c r="D390" s="10"/>
      <c r="E390" s="10"/>
      <c r="F390" s="10"/>
      <c r="G390" s="10"/>
      <c r="H390" s="8"/>
      <c r="I390" s="8"/>
      <c r="J390" s="8" t="str">
        <f t="shared" si="21"/>
        <v>借</v>
      </c>
      <c r="K390" s="9">
        <f t="shared" si="22"/>
        <v>19890</v>
      </c>
    </row>
    <row r="391" spans="2:11" ht="20.100000000000001" customHeight="1" x14ac:dyDescent="0.15">
      <c r="B391" s="5"/>
      <c r="C391" s="7"/>
      <c r="D391" s="10"/>
      <c r="E391" s="10"/>
      <c r="F391" s="10"/>
      <c r="G391" s="10"/>
      <c r="H391" s="8"/>
      <c r="I391" s="8"/>
      <c r="J391" s="8" t="str">
        <f t="shared" si="21"/>
        <v>借</v>
      </c>
      <c r="K391" s="9">
        <f t="shared" si="22"/>
        <v>19890</v>
      </c>
    </row>
    <row r="392" spans="2:11" ht="20.100000000000001" customHeight="1" x14ac:dyDescent="0.15">
      <c r="B392" s="5"/>
      <c r="C392" s="7"/>
      <c r="D392" s="10"/>
      <c r="E392" s="10"/>
      <c r="F392" s="10"/>
      <c r="G392" s="10"/>
      <c r="H392" s="8"/>
      <c r="I392" s="8"/>
      <c r="J392" s="8" t="str">
        <f t="shared" si="21"/>
        <v>借</v>
      </c>
      <c r="K392" s="9">
        <f t="shared" si="22"/>
        <v>19890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21"/>
        <v>借</v>
      </c>
      <c r="K393" s="9">
        <f t="shared" si="22"/>
        <v>19890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21"/>
        <v>借</v>
      </c>
      <c r="K394" s="9">
        <f t="shared" si="22"/>
        <v>19890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21"/>
        <v>借</v>
      </c>
      <c r="K395" s="9">
        <f t="shared" si="22"/>
        <v>19890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21"/>
        <v>借</v>
      </c>
      <c r="K396" s="9">
        <f t="shared" si="22"/>
        <v>19890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21"/>
        <v>借</v>
      </c>
      <c r="K397" s="9">
        <f t="shared" si="22"/>
        <v>19890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21"/>
        <v>借</v>
      </c>
      <c r="K398" s="9">
        <f t="shared" si="22"/>
        <v>19890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ref="J399:J462" si="23">IF((K398+H399-I399)&gt;0,"借","贷")</f>
        <v>借</v>
      </c>
      <c r="K399" s="9">
        <f t="shared" si="22"/>
        <v>19890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23"/>
        <v>借</v>
      </c>
      <c r="K400" s="9">
        <f t="shared" ref="K400:K463" si="24">K399+H400-I400</f>
        <v>19890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23"/>
        <v>借</v>
      </c>
      <c r="K401" s="9">
        <f t="shared" si="24"/>
        <v>19890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23"/>
        <v>借</v>
      </c>
      <c r="K402" s="9">
        <f t="shared" si="24"/>
        <v>19890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23"/>
        <v>借</v>
      </c>
      <c r="K403" s="9">
        <f t="shared" si="24"/>
        <v>19890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23"/>
        <v>借</v>
      </c>
      <c r="K404" s="9">
        <f t="shared" si="24"/>
        <v>19890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23"/>
        <v>借</v>
      </c>
      <c r="K405" s="9">
        <f t="shared" si="24"/>
        <v>19890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23"/>
        <v>借</v>
      </c>
      <c r="K406" s="9">
        <f t="shared" si="24"/>
        <v>19890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23"/>
        <v>借</v>
      </c>
      <c r="K407" s="9">
        <f t="shared" si="24"/>
        <v>19890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23"/>
        <v>借</v>
      </c>
      <c r="K408" s="9">
        <f t="shared" si="24"/>
        <v>19890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23"/>
        <v>借</v>
      </c>
      <c r="K409" s="9">
        <f t="shared" si="24"/>
        <v>19890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23"/>
        <v>借</v>
      </c>
      <c r="K410" s="9">
        <f t="shared" si="24"/>
        <v>19890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23"/>
        <v>借</v>
      </c>
      <c r="K411" s="9">
        <f t="shared" si="24"/>
        <v>19890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23"/>
        <v>借</v>
      </c>
      <c r="K412" s="9">
        <f t="shared" si="24"/>
        <v>19890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23"/>
        <v>借</v>
      </c>
      <c r="K413" s="9">
        <f t="shared" si="24"/>
        <v>19890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23"/>
        <v>借</v>
      </c>
      <c r="K414" s="9">
        <f t="shared" si="24"/>
        <v>19890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23"/>
        <v>借</v>
      </c>
      <c r="K415" s="9">
        <f t="shared" si="24"/>
        <v>19890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23"/>
        <v>借</v>
      </c>
      <c r="K416" s="9">
        <f t="shared" si="24"/>
        <v>19890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23"/>
        <v>借</v>
      </c>
      <c r="K417" s="9">
        <f t="shared" si="24"/>
        <v>19890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23"/>
        <v>借</v>
      </c>
      <c r="K418" s="9">
        <f t="shared" si="24"/>
        <v>19890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23"/>
        <v>借</v>
      </c>
      <c r="K419" s="9">
        <f t="shared" si="24"/>
        <v>19890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23"/>
        <v>借</v>
      </c>
      <c r="K420" s="9">
        <f t="shared" si="24"/>
        <v>19890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23"/>
        <v>借</v>
      </c>
      <c r="K421" s="9">
        <f t="shared" si="24"/>
        <v>19890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23"/>
        <v>借</v>
      </c>
      <c r="K422" s="9">
        <f t="shared" si="24"/>
        <v>19890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23"/>
        <v>借</v>
      </c>
      <c r="K423" s="9">
        <f t="shared" si="24"/>
        <v>19890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23"/>
        <v>借</v>
      </c>
      <c r="K424" s="9">
        <f t="shared" si="24"/>
        <v>19890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23"/>
        <v>借</v>
      </c>
      <c r="K425" s="9">
        <f t="shared" si="24"/>
        <v>19890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23"/>
        <v>借</v>
      </c>
      <c r="K426" s="9">
        <f t="shared" si="24"/>
        <v>19890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23"/>
        <v>借</v>
      </c>
      <c r="K427" s="9">
        <f t="shared" si="24"/>
        <v>19890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23"/>
        <v>借</v>
      </c>
      <c r="K428" s="9">
        <f t="shared" si="24"/>
        <v>19890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23"/>
        <v>借</v>
      </c>
      <c r="K429" s="9">
        <f t="shared" si="24"/>
        <v>19890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23"/>
        <v>借</v>
      </c>
      <c r="K430" s="9">
        <f t="shared" si="24"/>
        <v>19890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23"/>
        <v>借</v>
      </c>
      <c r="K431" s="9">
        <f t="shared" si="24"/>
        <v>19890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23"/>
        <v>借</v>
      </c>
      <c r="K432" s="9">
        <f t="shared" si="24"/>
        <v>19890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23"/>
        <v>借</v>
      </c>
      <c r="K433" s="9">
        <f t="shared" si="24"/>
        <v>19890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23"/>
        <v>借</v>
      </c>
      <c r="K434" s="9">
        <f t="shared" si="24"/>
        <v>19890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23"/>
        <v>借</v>
      </c>
      <c r="K435" s="9">
        <f t="shared" si="24"/>
        <v>19890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23"/>
        <v>借</v>
      </c>
      <c r="K436" s="9">
        <f t="shared" si="24"/>
        <v>19890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23"/>
        <v>借</v>
      </c>
      <c r="K437" s="9">
        <f t="shared" si="24"/>
        <v>19890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23"/>
        <v>借</v>
      </c>
      <c r="K438" s="9">
        <f t="shared" si="24"/>
        <v>19890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23"/>
        <v>借</v>
      </c>
      <c r="K439" s="9">
        <f t="shared" si="24"/>
        <v>19890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23"/>
        <v>借</v>
      </c>
      <c r="K440" s="9">
        <f t="shared" si="24"/>
        <v>19890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23"/>
        <v>借</v>
      </c>
      <c r="K441" s="9">
        <f t="shared" si="24"/>
        <v>19890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23"/>
        <v>借</v>
      </c>
      <c r="K442" s="9">
        <f t="shared" si="24"/>
        <v>19890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23"/>
        <v>借</v>
      </c>
      <c r="K443" s="9">
        <f t="shared" si="24"/>
        <v>19890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23"/>
        <v>借</v>
      </c>
      <c r="K444" s="9">
        <f t="shared" si="24"/>
        <v>19890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23"/>
        <v>借</v>
      </c>
      <c r="K445" s="9">
        <f t="shared" si="24"/>
        <v>19890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23"/>
        <v>借</v>
      </c>
      <c r="K446" s="9">
        <f t="shared" si="24"/>
        <v>19890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23"/>
        <v>借</v>
      </c>
      <c r="K447" s="9">
        <f t="shared" si="24"/>
        <v>19890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23"/>
        <v>借</v>
      </c>
      <c r="K448" s="9">
        <f t="shared" si="24"/>
        <v>19890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23"/>
        <v>借</v>
      </c>
      <c r="K449" s="9">
        <f t="shared" si="24"/>
        <v>19890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23"/>
        <v>借</v>
      </c>
      <c r="K450" s="9">
        <f t="shared" si="24"/>
        <v>19890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23"/>
        <v>借</v>
      </c>
      <c r="K451" s="9">
        <f t="shared" si="24"/>
        <v>19890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23"/>
        <v>借</v>
      </c>
      <c r="K452" s="9">
        <f t="shared" si="24"/>
        <v>19890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23"/>
        <v>借</v>
      </c>
      <c r="K453" s="9">
        <f t="shared" si="24"/>
        <v>19890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23"/>
        <v>借</v>
      </c>
      <c r="K454" s="9">
        <f t="shared" si="24"/>
        <v>19890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23"/>
        <v>借</v>
      </c>
      <c r="K455" s="9">
        <f t="shared" si="24"/>
        <v>19890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23"/>
        <v>借</v>
      </c>
      <c r="K456" s="9">
        <f t="shared" si="24"/>
        <v>19890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23"/>
        <v>借</v>
      </c>
      <c r="K457" s="9">
        <f t="shared" si="24"/>
        <v>19890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3"/>
        <v>借</v>
      </c>
      <c r="K458" s="9">
        <f t="shared" si="24"/>
        <v>19890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3"/>
        <v>借</v>
      </c>
      <c r="K459" s="9">
        <f t="shared" si="24"/>
        <v>19890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3"/>
        <v>借</v>
      </c>
      <c r="K460" s="9">
        <f t="shared" si="24"/>
        <v>19890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3"/>
        <v>借</v>
      </c>
      <c r="K461" s="9">
        <f t="shared" si="24"/>
        <v>19890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3"/>
        <v>借</v>
      </c>
      <c r="K462" s="9">
        <f t="shared" si="24"/>
        <v>19890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ref="J463:J506" si="25">IF((K462+H463-I463)&gt;0,"借","贷")</f>
        <v>借</v>
      </c>
      <c r="K463" s="9">
        <f t="shared" si="24"/>
        <v>19890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5"/>
        <v>借</v>
      </c>
      <c r="K464" s="9">
        <f t="shared" ref="K464:K506" si="26">K463+H464-I464</f>
        <v>19890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5"/>
        <v>借</v>
      </c>
      <c r="K465" s="9">
        <f t="shared" si="26"/>
        <v>19890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5"/>
        <v>借</v>
      </c>
      <c r="K466" s="9">
        <f t="shared" si="26"/>
        <v>19890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5"/>
        <v>借</v>
      </c>
      <c r="K467" s="9">
        <f t="shared" si="26"/>
        <v>19890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5"/>
        <v>借</v>
      </c>
      <c r="K468" s="9">
        <f t="shared" si="26"/>
        <v>19890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25"/>
        <v>借</v>
      </c>
      <c r="K469" s="9">
        <f t="shared" si="26"/>
        <v>19890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5"/>
        <v>借</v>
      </c>
      <c r="K470" s="9">
        <f t="shared" si="26"/>
        <v>19890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5"/>
        <v>借</v>
      </c>
      <c r="K471" s="9">
        <f t="shared" si="26"/>
        <v>19890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5"/>
        <v>借</v>
      </c>
      <c r="K472" s="9">
        <f t="shared" si="26"/>
        <v>19890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5"/>
        <v>借</v>
      </c>
      <c r="K473" s="9">
        <f t="shared" si="26"/>
        <v>19890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5"/>
        <v>借</v>
      </c>
      <c r="K474" s="9">
        <f t="shared" si="26"/>
        <v>19890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5"/>
        <v>借</v>
      </c>
      <c r="K475" s="9">
        <f t="shared" si="26"/>
        <v>19890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5"/>
        <v>借</v>
      </c>
      <c r="K476" s="9">
        <f t="shared" si="26"/>
        <v>19890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5"/>
        <v>借</v>
      </c>
      <c r="K477" s="9">
        <f t="shared" si="26"/>
        <v>19890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5"/>
        <v>借</v>
      </c>
      <c r="K478" s="9">
        <f t="shared" si="26"/>
        <v>19890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5"/>
        <v>借</v>
      </c>
      <c r="K479" s="9">
        <f t="shared" si="26"/>
        <v>19890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5"/>
        <v>借</v>
      </c>
      <c r="K480" s="9">
        <f t="shared" si="26"/>
        <v>19890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5"/>
        <v>借</v>
      </c>
      <c r="K481" s="9">
        <f t="shared" si="26"/>
        <v>19890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5"/>
        <v>借</v>
      </c>
      <c r="K482" s="9">
        <f t="shared" si="26"/>
        <v>19890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5"/>
        <v>借</v>
      </c>
      <c r="K483" s="9">
        <f t="shared" si="26"/>
        <v>19890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5"/>
        <v>借</v>
      </c>
      <c r="K484" s="9">
        <f t="shared" si="26"/>
        <v>19890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5"/>
        <v>借</v>
      </c>
      <c r="K485" s="9">
        <f t="shared" si="26"/>
        <v>19890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5"/>
        <v>借</v>
      </c>
      <c r="K486" s="9">
        <f t="shared" si="26"/>
        <v>19890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5"/>
        <v>借</v>
      </c>
      <c r="K487" s="9">
        <f t="shared" si="26"/>
        <v>19890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5"/>
        <v>借</v>
      </c>
      <c r="K488" s="9">
        <f t="shared" si="26"/>
        <v>19890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5"/>
        <v>借</v>
      </c>
      <c r="K489" s="9">
        <f t="shared" si="26"/>
        <v>19890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5"/>
        <v>借</v>
      </c>
      <c r="K490" s="9">
        <f t="shared" si="26"/>
        <v>19890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5"/>
        <v>借</v>
      </c>
      <c r="K491" s="9">
        <f t="shared" si="26"/>
        <v>19890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5"/>
        <v>借</v>
      </c>
      <c r="K492" s="9">
        <f t="shared" si="26"/>
        <v>19890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5"/>
        <v>借</v>
      </c>
      <c r="K493" s="9">
        <f t="shared" si="26"/>
        <v>19890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5"/>
        <v>借</v>
      </c>
      <c r="K494" s="9">
        <f t="shared" si="26"/>
        <v>19890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5"/>
        <v>借</v>
      </c>
      <c r="K495" s="9">
        <f t="shared" si="26"/>
        <v>19890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5"/>
        <v>借</v>
      </c>
      <c r="K496" s="9">
        <f t="shared" si="26"/>
        <v>19890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5"/>
        <v>借</v>
      </c>
      <c r="K497" s="9">
        <f t="shared" si="26"/>
        <v>19890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5"/>
        <v>借</v>
      </c>
      <c r="K498" s="9">
        <f t="shared" si="26"/>
        <v>19890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5"/>
        <v>借</v>
      </c>
      <c r="K499" s="9">
        <f t="shared" si="26"/>
        <v>19890</v>
      </c>
    </row>
    <row r="500" spans="2:11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25"/>
        <v>借</v>
      </c>
      <c r="K500" s="9">
        <f t="shared" si="26"/>
        <v>19890</v>
      </c>
    </row>
    <row r="501" spans="2:11" ht="20.100000000000001" customHeight="1" x14ac:dyDescent="0.15">
      <c r="B501" s="5"/>
      <c r="C501" s="10"/>
      <c r="D501" s="10"/>
      <c r="E501" s="10"/>
      <c r="F501" s="10"/>
      <c r="G501" s="10"/>
      <c r="H501" s="8"/>
      <c r="I501" s="8"/>
      <c r="J501" s="8" t="str">
        <f t="shared" si="25"/>
        <v>借</v>
      </c>
      <c r="K501" s="9">
        <f t="shared" si="26"/>
        <v>19890</v>
      </c>
    </row>
    <row r="502" spans="2:11" ht="20.100000000000001" customHeight="1" x14ac:dyDescent="0.15">
      <c r="B502" s="5"/>
      <c r="C502" s="10"/>
      <c r="D502" s="10"/>
      <c r="E502" s="10"/>
      <c r="F502" s="10"/>
      <c r="G502" s="10"/>
      <c r="H502" s="8"/>
      <c r="I502" s="8"/>
      <c r="J502" s="8" t="str">
        <f t="shared" si="25"/>
        <v>借</v>
      </c>
      <c r="K502" s="9">
        <f t="shared" si="26"/>
        <v>19890</v>
      </c>
    </row>
    <row r="503" spans="2:11" ht="20.100000000000001" customHeight="1" x14ac:dyDescent="0.15">
      <c r="B503" s="5"/>
      <c r="C503" s="10"/>
      <c r="D503" s="10"/>
      <c r="E503" s="10"/>
      <c r="F503" s="10"/>
      <c r="G503" s="10"/>
      <c r="H503" s="8"/>
      <c r="I503" s="8"/>
      <c r="J503" s="8" t="str">
        <f t="shared" si="25"/>
        <v>借</v>
      </c>
      <c r="K503" s="9">
        <f t="shared" si="26"/>
        <v>19890</v>
      </c>
    </row>
    <row r="504" spans="2:11" ht="20.100000000000001" customHeight="1" x14ac:dyDescent="0.15">
      <c r="B504" s="5"/>
      <c r="C504" s="10"/>
      <c r="D504" s="10"/>
      <c r="E504" s="10"/>
      <c r="F504" s="10"/>
      <c r="G504" s="10"/>
      <c r="H504" s="8"/>
      <c r="I504" s="8"/>
      <c r="J504" s="8" t="str">
        <f t="shared" si="25"/>
        <v>借</v>
      </c>
      <c r="K504" s="9">
        <f t="shared" si="26"/>
        <v>19890</v>
      </c>
    </row>
    <row r="505" spans="2:11" ht="20.100000000000001" customHeight="1" x14ac:dyDescent="0.15">
      <c r="B505" s="5"/>
      <c r="C505" s="10"/>
      <c r="D505" s="10"/>
      <c r="E505" s="10"/>
      <c r="F505" s="10"/>
      <c r="G505" s="10"/>
      <c r="H505" s="8"/>
      <c r="I505" s="8"/>
      <c r="J505" s="8" t="str">
        <f t="shared" si="25"/>
        <v>借</v>
      </c>
      <c r="K505" s="9">
        <f t="shared" si="26"/>
        <v>19890</v>
      </c>
    </row>
    <row r="506" spans="2:11" ht="20.100000000000001" customHeight="1" x14ac:dyDescent="0.15">
      <c r="B506" s="5"/>
      <c r="C506" s="10"/>
      <c r="D506" s="10"/>
      <c r="E506" s="10"/>
      <c r="F506" s="10"/>
      <c r="G506" s="10"/>
      <c r="H506" s="8"/>
      <c r="I506" s="8"/>
      <c r="J506" s="8" t="str">
        <f t="shared" si="25"/>
        <v>借</v>
      </c>
      <c r="K506" s="9">
        <f t="shared" si="26"/>
        <v>19890</v>
      </c>
    </row>
  </sheetData>
  <autoFilter ref="A4:M506" xr:uid="{00000000-0009-0000-0000-000003000000}"/>
  <mergeCells count="4">
    <mergeCell ref="A1:K1"/>
    <mergeCell ref="A2:K2"/>
    <mergeCell ref="M70:M73"/>
    <mergeCell ref="M201:M203"/>
  </mergeCells>
  <phoneticPr fontId="22" type="noConversion"/>
  <dataValidations count="2">
    <dataValidation type="list" allowBlank="1" showInputMessage="1" showErrorMessage="1" sqref="A2:F2 H2:K2 G5:G1048576" xr:uid="{00000000-0002-0000-0300-000000000000}">
      <formula1>#REF!</formula1>
    </dataValidation>
    <dataValidation allowBlank="1" showInputMessage="1" showErrorMessage="1" sqref="G1:G4 L75:L76" xr:uid="{00000000-0002-0000-0300-000001000000}"/>
  </dataValidation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9"/>
  <sheetViews>
    <sheetView workbookViewId="0">
      <selection activeCell="B5" sqref="B5:I9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1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1" ht="20.100000000000001" customHeight="1" x14ac:dyDescent="0.15">
      <c r="A2" s="95" t="s">
        <v>52</v>
      </c>
      <c r="B2" s="95"/>
      <c r="C2" s="95"/>
      <c r="D2" s="95"/>
      <c r="E2" s="95"/>
      <c r="F2" s="95"/>
      <c r="G2" s="95"/>
      <c r="H2" s="102"/>
      <c r="I2" s="102"/>
      <c r="J2" s="102"/>
      <c r="K2" s="95"/>
    </row>
    <row r="3" spans="1:11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SUM(H5:H90002)</f>
        <v>10000</v>
      </c>
      <c r="I3" s="4">
        <f>SUM(I5:I90002)</f>
        <v>10110</v>
      </c>
      <c r="J3" s="4"/>
      <c r="K3" s="3">
        <f>K5+H3-I3</f>
        <v>890</v>
      </c>
    </row>
    <row r="4" spans="1:11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1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</row>
    <row r="6" spans="1:11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17" si="0">IF((K5+H6-I6)&gt;0,"借","贷")</f>
        <v>借</v>
      </c>
      <c r="K6" s="9">
        <f t="shared" ref="K6:K17" si="1">K5+H6-I6</f>
        <v>11000</v>
      </c>
    </row>
    <row r="7" spans="1:11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1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1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1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1" ht="20.100000000000001" customHeight="1" x14ac:dyDescent="0.15">
      <c r="A11" s="5"/>
      <c r="B11" s="5"/>
      <c r="C11" s="5"/>
      <c r="D11" s="49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1" ht="20.100000000000001" customHeight="1" x14ac:dyDescent="0.15">
      <c r="A12" s="5"/>
      <c r="B12" s="5"/>
      <c r="C12" s="5"/>
      <c r="D12" s="49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1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1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1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1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ref="J18:J70" si="2">IF((K17+H18-I18)&gt;0,"借","贷")</f>
        <v>借</v>
      </c>
      <c r="K18" s="9">
        <f t="shared" ref="K18:K70" si="3">K17+H18-I18</f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2"/>
        <v>借</v>
      </c>
      <c r="K19" s="9">
        <f t="shared" si="3"/>
        <v>890</v>
      </c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2"/>
        <v>借</v>
      </c>
      <c r="K20" s="9">
        <f t="shared" si="3"/>
        <v>890</v>
      </c>
    </row>
    <row r="21" spans="1:13" ht="20.100000000000001" customHeight="1" x14ac:dyDescent="0.15">
      <c r="A21" s="5"/>
      <c r="B21" s="5"/>
      <c r="C21" s="5"/>
      <c r="D21" s="33"/>
      <c r="E21" s="10"/>
      <c r="F21" s="10"/>
      <c r="G21" s="10"/>
      <c r="H21" s="8"/>
      <c r="I21" s="8"/>
      <c r="J21" s="8" t="str">
        <f t="shared" si="2"/>
        <v>借</v>
      </c>
      <c r="K21" s="9">
        <f t="shared" si="3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2"/>
        <v>借</v>
      </c>
      <c r="K22" s="9">
        <f t="shared" si="3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2"/>
        <v>借</v>
      </c>
      <c r="K23" s="9">
        <f t="shared" si="3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2"/>
        <v>借</v>
      </c>
      <c r="K24" s="9">
        <f t="shared" si="3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2"/>
        <v>借</v>
      </c>
      <c r="K25" s="9">
        <f t="shared" si="3"/>
        <v>890</v>
      </c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2"/>
        <v>借</v>
      </c>
      <c r="K26" s="9">
        <f t="shared" si="3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2"/>
        <v>借</v>
      </c>
      <c r="K27" s="9">
        <f t="shared" si="3"/>
        <v>890</v>
      </c>
    </row>
    <row r="28" spans="1:13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890</v>
      </c>
      <c r="M28" s="99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890</v>
      </c>
      <c r="M29" s="99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890</v>
      </c>
      <c r="M30" s="99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890</v>
      </c>
      <c r="M31" s="99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890</v>
      </c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890</v>
      </c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890</v>
      </c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890</v>
      </c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890</v>
      </c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890</v>
      </c>
      <c r="M58" s="99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890</v>
      </c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890</v>
      </c>
    </row>
    <row r="61" spans="1:13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890</v>
      </c>
    </row>
    <row r="62" spans="1:13" ht="20.100000000000001" customHeight="1" x14ac:dyDescent="0.15">
      <c r="A62" s="5"/>
      <c r="B62" s="5"/>
      <c r="C62" s="10"/>
      <c r="D62" s="33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2"/>
        <v>借</v>
      </c>
      <c r="K63" s="9">
        <f t="shared" si="3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2"/>
        <v>借</v>
      </c>
      <c r="K64" s="9">
        <f t="shared" si="3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2"/>
        <v>借</v>
      </c>
      <c r="K65" s="9">
        <f t="shared" si="3"/>
        <v>890</v>
      </c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14"/>
      <c r="J66" s="8" t="str">
        <f t="shared" si="2"/>
        <v>借</v>
      </c>
      <c r="K66" s="9">
        <f t="shared" si="3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0"/>
      <c r="J67" s="8" t="str">
        <f t="shared" si="2"/>
        <v>借</v>
      </c>
      <c r="K67" s="9">
        <f t="shared" si="3"/>
        <v>890</v>
      </c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14"/>
      <c r="J68" s="8" t="str">
        <f t="shared" si="2"/>
        <v>借</v>
      </c>
      <c r="K68" s="9">
        <f t="shared" si="3"/>
        <v>890</v>
      </c>
    </row>
    <row r="69" spans="1:13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890</v>
      </c>
      <c r="M69" s="99"/>
    </row>
    <row r="70" spans="1:13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si="2"/>
        <v>借</v>
      </c>
      <c r="K70" s="9">
        <f t="shared" si="3"/>
        <v>890</v>
      </c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ref="J71:J134" si="4">IF((K70+H71-I71)&gt;0,"借","贷")</f>
        <v>借</v>
      </c>
      <c r="K71" s="9">
        <f t="shared" ref="K71:K134" si="5">K70+H71-I71</f>
        <v>890</v>
      </c>
      <c r="M71" s="99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5"/>
        <v>890</v>
      </c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890</v>
      </c>
      <c r="L74" s="10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890</v>
      </c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890</v>
      </c>
    </row>
    <row r="78" spans="1:13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4"/>
        <v>借</v>
      </c>
      <c r="K79" s="9">
        <f t="shared" si="5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4"/>
        <v>借</v>
      </c>
      <c r="K80" s="9">
        <f t="shared" si="5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890</v>
      </c>
    </row>
    <row r="82" spans="1:11" ht="20.100000000000001" customHeight="1" x14ac:dyDescent="0.15">
      <c r="A82" s="5"/>
      <c r="B82" s="5"/>
      <c r="C82" s="10"/>
      <c r="D82" s="10"/>
      <c r="E82" s="10"/>
      <c r="F82" s="10"/>
      <c r="G82" s="10"/>
      <c r="H82" s="8"/>
      <c r="I82" s="8"/>
      <c r="J82" s="8" t="str">
        <f t="shared" si="4"/>
        <v>借</v>
      </c>
      <c r="K82" s="9">
        <f t="shared" si="5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4"/>
        <v>借</v>
      </c>
      <c r="K83" s="9">
        <f t="shared" si="5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4"/>
        <v>借</v>
      </c>
      <c r="K84" s="9">
        <f t="shared" si="5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4"/>
        <v>借</v>
      </c>
      <c r="K85" s="9">
        <f t="shared" si="5"/>
        <v>890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10"/>
      <c r="I86" s="10"/>
      <c r="J86" s="8" t="str">
        <f t="shared" si="4"/>
        <v>借</v>
      </c>
      <c r="K86" s="9">
        <f t="shared" si="5"/>
        <v>890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10"/>
      <c r="I87" s="10"/>
      <c r="J87" s="8" t="str">
        <f t="shared" si="4"/>
        <v>借</v>
      </c>
      <c r="K87" s="9">
        <f t="shared" si="5"/>
        <v>890</v>
      </c>
    </row>
    <row r="88" spans="1:11" ht="20.100000000000001" customHeight="1" x14ac:dyDescent="0.15">
      <c r="A88" s="10"/>
      <c r="B88" s="5"/>
      <c r="C88" s="5"/>
      <c r="D88" s="35"/>
      <c r="E88" s="10"/>
      <c r="F88" s="10"/>
      <c r="G88" s="10"/>
      <c r="H88" s="10"/>
      <c r="I88" s="10"/>
      <c r="J88" s="8" t="str">
        <f t="shared" si="4"/>
        <v>借</v>
      </c>
      <c r="K88" s="9">
        <f t="shared" si="5"/>
        <v>890</v>
      </c>
    </row>
    <row r="89" spans="1:11" ht="20.100000000000001" customHeight="1" x14ac:dyDescent="0.15">
      <c r="A89" s="5"/>
      <c r="B89" s="5"/>
      <c r="C89" s="5"/>
      <c r="D89" s="35"/>
      <c r="E89" s="10"/>
      <c r="F89" s="10"/>
      <c r="G89" s="10"/>
      <c r="H89" s="10"/>
      <c r="I89" s="10"/>
      <c r="J89" s="8" t="str">
        <f t="shared" si="4"/>
        <v>借</v>
      </c>
      <c r="K89" s="9">
        <f t="shared" si="5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4"/>
        <v>借</v>
      </c>
      <c r="K90" s="9">
        <f t="shared" si="5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4"/>
        <v>借</v>
      </c>
      <c r="K91" s="9">
        <f t="shared" si="5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4"/>
        <v>借</v>
      </c>
      <c r="K92" s="9">
        <f t="shared" si="5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10"/>
      <c r="I93" s="10"/>
      <c r="J93" s="8" t="str">
        <f t="shared" si="4"/>
        <v>借</v>
      </c>
      <c r="K93" s="9">
        <f t="shared" si="5"/>
        <v>890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4"/>
        <v>借</v>
      </c>
      <c r="K94" s="9">
        <f t="shared" si="5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4"/>
        <v>借</v>
      </c>
      <c r="K95" s="9">
        <f t="shared" si="5"/>
        <v>890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4"/>
        <v>借</v>
      </c>
      <c r="K96" s="9">
        <f t="shared" si="5"/>
        <v>890</v>
      </c>
    </row>
    <row r="97" spans="1:11" ht="20.100000000000001" customHeight="1" x14ac:dyDescent="0.15">
      <c r="A97" s="10"/>
      <c r="B97" s="5"/>
      <c r="C97" s="5"/>
      <c r="D97" s="11"/>
      <c r="E97" s="10"/>
      <c r="F97" s="10"/>
      <c r="G97" s="10"/>
      <c r="H97" s="8"/>
      <c r="I97" s="8"/>
      <c r="J97" s="8" t="str">
        <f t="shared" si="4"/>
        <v>借</v>
      </c>
      <c r="K97" s="9">
        <f t="shared" si="5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890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890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4"/>
        <v>借</v>
      </c>
      <c r="K107" s="9">
        <f t="shared" si="5"/>
        <v>890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4"/>
        <v>借</v>
      </c>
      <c r="K108" s="9">
        <f t="shared" si="5"/>
        <v>890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4"/>
        <v>借</v>
      </c>
      <c r="K109" s="9">
        <f t="shared" si="5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4"/>
        <v>借</v>
      </c>
      <c r="K110" s="9">
        <f t="shared" si="5"/>
        <v>890</v>
      </c>
    </row>
    <row r="111" spans="1:11" ht="20.100000000000001" customHeight="1" x14ac:dyDescent="0.15">
      <c r="A111" s="5"/>
      <c r="B111" s="5"/>
      <c r="C111" s="5"/>
      <c r="D111" s="10"/>
      <c r="E111" s="16"/>
      <c r="F111" s="10"/>
      <c r="G111" s="10"/>
      <c r="H111" s="8"/>
      <c r="I111" s="8"/>
      <c r="J111" s="8" t="str">
        <f t="shared" si="4"/>
        <v>借</v>
      </c>
      <c r="K111" s="9">
        <f t="shared" si="5"/>
        <v>890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890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890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890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890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4"/>
        <v>借</v>
      </c>
      <c r="K124" s="9">
        <f t="shared" si="5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4"/>
        <v>借</v>
      </c>
      <c r="K125" s="9">
        <f t="shared" si="5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890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4"/>
        <v>借</v>
      </c>
      <c r="K128" s="9">
        <f t="shared" si="5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4"/>
        <v>借</v>
      </c>
      <c r="K129" s="9">
        <f t="shared" si="5"/>
        <v>890</v>
      </c>
    </row>
    <row r="130" spans="1:11" ht="20.100000000000001" customHeight="1" x14ac:dyDescent="0.15">
      <c r="A130" s="5"/>
      <c r="B130" s="5"/>
      <c r="C130" s="10"/>
      <c r="D130" s="10"/>
      <c r="E130" s="16"/>
      <c r="F130" s="10"/>
      <c r="G130" s="10"/>
      <c r="H130" s="8"/>
      <c r="I130" s="8"/>
      <c r="J130" s="8" t="str">
        <f t="shared" si="4"/>
        <v>借</v>
      </c>
      <c r="K130" s="9">
        <f t="shared" si="5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4"/>
        <v>借</v>
      </c>
      <c r="K131" s="9">
        <f t="shared" si="5"/>
        <v>890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4"/>
        <v>借</v>
      </c>
      <c r="K132" s="9">
        <f t="shared" si="5"/>
        <v>890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4"/>
        <v>借</v>
      </c>
      <c r="K133" s="9">
        <f t="shared" si="5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4"/>
        <v>借</v>
      </c>
      <c r="K134" s="9">
        <f t="shared" si="5"/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ref="J135:J198" si="6">IF((K134+H135-I135)&gt;0,"借","贷")</f>
        <v>借</v>
      </c>
      <c r="K135" s="9">
        <f t="shared" ref="K135:K198" si="7">K134+H135-I135</f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6"/>
        <v>借</v>
      </c>
      <c r="K136" s="9">
        <f t="shared" si="7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6"/>
        <v>借</v>
      </c>
      <c r="K137" s="9">
        <f t="shared" si="7"/>
        <v>890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6"/>
        <v>借</v>
      </c>
      <c r="K138" s="9">
        <f t="shared" si="7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6"/>
        <v>借</v>
      </c>
      <c r="K139" s="9">
        <f t="shared" si="7"/>
        <v>890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6"/>
        <v>借</v>
      </c>
      <c r="K142" s="9">
        <f t="shared" si="7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6"/>
        <v>借</v>
      </c>
      <c r="K143" s="9">
        <f t="shared" si="7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6"/>
        <v>借</v>
      </c>
      <c r="K144" s="9">
        <f t="shared" si="7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6"/>
        <v>借</v>
      </c>
      <c r="K145" s="9">
        <f t="shared" si="7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6"/>
        <v>借</v>
      </c>
      <c r="K146" s="9">
        <f t="shared" si="7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6"/>
        <v>借</v>
      </c>
      <c r="K147" s="9">
        <f t="shared" si="7"/>
        <v>890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36"/>
      <c r="I148" s="36"/>
      <c r="J148" s="8" t="str">
        <f t="shared" si="6"/>
        <v>借</v>
      </c>
      <c r="K148" s="9">
        <f t="shared" si="7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6"/>
        <v>借</v>
      </c>
      <c r="K149" s="9">
        <f t="shared" si="7"/>
        <v>890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36"/>
      <c r="I150" s="36"/>
      <c r="J150" s="8" t="str">
        <f t="shared" si="6"/>
        <v>借</v>
      </c>
      <c r="K150" s="9">
        <f t="shared" si="7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6"/>
        <v>借</v>
      </c>
      <c r="K151" s="9">
        <f t="shared" si="7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6"/>
        <v>借</v>
      </c>
      <c r="K152" s="9">
        <f t="shared" si="7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36"/>
      <c r="I153" s="36"/>
      <c r="J153" s="8" t="str">
        <f t="shared" si="6"/>
        <v>借</v>
      </c>
      <c r="K153" s="9">
        <f t="shared" si="7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890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6"/>
        <v>借</v>
      </c>
      <c r="K163" s="9">
        <f t="shared" si="7"/>
        <v>890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36"/>
      <c r="I164" s="36"/>
      <c r="J164" s="8" t="str">
        <f t="shared" si="6"/>
        <v>借</v>
      </c>
      <c r="K164" s="9">
        <f t="shared" si="7"/>
        <v>890</v>
      </c>
    </row>
    <row r="165" spans="1:11" ht="20.100000000000001" customHeight="1" x14ac:dyDescent="0.15">
      <c r="A165" s="10"/>
      <c r="B165" s="5"/>
      <c r="C165" s="5"/>
      <c r="D165" s="10"/>
      <c r="E165" s="18"/>
      <c r="F165" s="10"/>
      <c r="G165" s="10"/>
      <c r="H165" s="36"/>
      <c r="I165" s="36"/>
      <c r="J165" s="8" t="str">
        <f t="shared" si="6"/>
        <v>借</v>
      </c>
      <c r="K165" s="9">
        <f t="shared" si="7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6"/>
        <v>借</v>
      </c>
      <c r="K166" s="9">
        <f t="shared" si="7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6"/>
        <v>借</v>
      </c>
      <c r="K167" s="9">
        <f t="shared" si="7"/>
        <v>890</v>
      </c>
    </row>
    <row r="168" spans="1:11" ht="20.100000000000001" customHeight="1" x14ac:dyDescent="0.15">
      <c r="A168" s="10"/>
      <c r="B168" s="5"/>
      <c r="C168" s="5"/>
      <c r="D168" s="10"/>
      <c r="E168" s="10"/>
      <c r="F168" s="10"/>
      <c r="G168" s="10"/>
      <c r="H168" s="36"/>
      <c r="I168" s="36"/>
      <c r="J168" s="8" t="str">
        <f t="shared" si="6"/>
        <v>借</v>
      </c>
      <c r="K168" s="9">
        <f t="shared" si="7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6"/>
        <v>借</v>
      </c>
      <c r="K169" s="9">
        <f t="shared" si="7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6"/>
        <v>借</v>
      </c>
      <c r="K170" s="9">
        <f t="shared" si="7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6"/>
        <v>借</v>
      </c>
      <c r="K171" s="9">
        <f t="shared" si="7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6"/>
        <v>借</v>
      </c>
      <c r="K172" s="9">
        <f t="shared" si="7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6"/>
        <v>借</v>
      </c>
      <c r="K173" s="9">
        <f t="shared" si="7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6"/>
        <v>借</v>
      </c>
      <c r="K174" s="9">
        <f t="shared" si="7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6"/>
        <v>借</v>
      </c>
      <c r="K175" s="9">
        <f t="shared" si="7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6"/>
        <v>借</v>
      </c>
      <c r="K176" s="9">
        <f t="shared" si="7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6"/>
        <v>借</v>
      </c>
      <c r="K177" s="9">
        <f t="shared" si="7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6"/>
        <v>借</v>
      </c>
      <c r="K178" s="9">
        <f t="shared" si="7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6"/>
        <v>借</v>
      </c>
      <c r="K179" s="9">
        <f t="shared" si="7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6"/>
        <v>借</v>
      </c>
      <c r="K180" s="9">
        <f t="shared" si="7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6"/>
        <v>借</v>
      </c>
      <c r="K181" s="9">
        <f t="shared" si="7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36"/>
      <c r="I182" s="36"/>
      <c r="J182" s="8" t="str">
        <f t="shared" si="6"/>
        <v>借</v>
      </c>
      <c r="K182" s="9">
        <f t="shared" si="7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6"/>
        <v>借</v>
      </c>
      <c r="K183" s="9">
        <f t="shared" si="7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6"/>
        <v>借</v>
      </c>
      <c r="K184" s="9">
        <f t="shared" si="7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6"/>
        <v>借</v>
      </c>
      <c r="K185" s="9">
        <f t="shared" si="7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6"/>
        <v>借</v>
      </c>
      <c r="K186" s="9">
        <f t="shared" si="7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7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7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7"/>
        <v>890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7"/>
        <v>890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6"/>
        <v>借</v>
      </c>
      <c r="K191" s="9">
        <f t="shared" si="7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7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7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7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7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7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7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7"/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62" si="8">IF((K198+H199-I199)&gt;0,"借","贷")</f>
        <v>借</v>
      </c>
      <c r="K199" s="9">
        <f t="shared" ref="K199:K262" si="9">K198+H199-I199</f>
        <v>890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8"/>
        <v>借</v>
      </c>
      <c r="K200" s="9">
        <f t="shared" si="9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8"/>
        <v>借</v>
      </c>
      <c r="K201" s="9">
        <f t="shared" si="9"/>
        <v>890</v>
      </c>
    </row>
    <row r="202" spans="1:11" ht="20.100000000000001" customHeight="1" x14ac:dyDescent="0.15">
      <c r="A202" s="10"/>
      <c r="B202" s="5"/>
      <c r="C202" s="10"/>
      <c r="D202" s="35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9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9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9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9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9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9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9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9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9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8"/>
        <v>借</v>
      </c>
      <c r="K211" s="9">
        <f t="shared" si="9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8"/>
        <v>借</v>
      </c>
      <c r="K212" s="9">
        <f t="shared" si="9"/>
        <v>890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8"/>
        <v>借</v>
      </c>
      <c r="K213" s="9">
        <f t="shared" si="9"/>
        <v>890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8"/>
        <v>借</v>
      </c>
      <c r="K214" s="9">
        <f t="shared" si="9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8"/>
        <v>借</v>
      </c>
      <c r="K215" s="9">
        <f t="shared" si="9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9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9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9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9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9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9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9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9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9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9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9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9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9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9">
        <f t="shared" si="9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9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9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9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9">
        <f t="shared" si="9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9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9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si="9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9">
        <f t="shared" si="9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9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9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si="9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8"/>
        <v>借</v>
      </c>
      <c r="K241" s="9">
        <f t="shared" si="9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8"/>
        <v>借</v>
      </c>
      <c r="K242" s="9">
        <f t="shared" si="9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8"/>
        <v>借</v>
      </c>
      <c r="K243" s="9">
        <f t="shared" si="9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8"/>
        <v>借</v>
      </c>
      <c r="K244" s="9">
        <f t="shared" si="9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8"/>
        <v>借</v>
      </c>
      <c r="K246" s="9">
        <f t="shared" si="9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8"/>
        <v>借</v>
      </c>
      <c r="K247" s="9">
        <f t="shared" si="9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8"/>
        <v>借</v>
      </c>
      <c r="K248" s="9">
        <f t="shared" si="9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8"/>
        <v>借</v>
      </c>
      <c r="K249" s="9">
        <f t="shared" si="9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8"/>
        <v>借</v>
      </c>
      <c r="K250" s="9">
        <f t="shared" si="9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8"/>
        <v>借</v>
      </c>
      <c r="K251" s="9">
        <f t="shared" si="9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8"/>
        <v>借</v>
      </c>
      <c r="K252" s="9">
        <f t="shared" si="9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8"/>
        <v>借</v>
      </c>
      <c r="K253" s="9">
        <f t="shared" si="9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8"/>
        <v>借</v>
      </c>
      <c r="K254" s="9">
        <f t="shared" si="9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8"/>
        <v>借</v>
      </c>
      <c r="K255" s="9">
        <f t="shared" si="9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8"/>
        <v>借</v>
      </c>
      <c r="K256" s="9">
        <f t="shared" si="9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8"/>
        <v>借</v>
      </c>
      <c r="K257" s="9">
        <f t="shared" si="9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8"/>
        <v>借</v>
      </c>
      <c r="K258" s="9">
        <f t="shared" si="9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8"/>
        <v>借</v>
      </c>
      <c r="K259" s="9">
        <f t="shared" si="9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8"/>
        <v>借</v>
      </c>
      <c r="K260" s="9">
        <f t="shared" si="9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8"/>
        <v>借</v>
      </c>
      <c r="K261" s="9">
        <f t="shared" si="9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8"/>
        <v>借</v>
      </c>
      <c r="K262" s="9">
        <f t="shared" si="9"/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ref="J263:J326" si="10">IF((K262+H263-I263)&gt;0,"借","贷")</f>
        <v>借</v>
      </c>
      <c r="K263" s="9">
        <f t="shared" ref="K263:K326" si="11">K262+H263-I263</f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0"/>
        <v>借</v>
      </c>
      <c r="K264" s="9">
        <f t="shared" si="11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0"/>
        <v>借</v>
      </c>
      <c r="K265" s="9">
        <f t="shared" si="11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11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11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11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11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11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11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11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11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11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11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11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11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11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11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11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11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11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11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11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11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11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11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11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11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11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11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11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11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11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11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11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11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11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11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si="11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11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11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11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si="11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0"/>
        <v>借</v>
      </c>
      <c r="K310" s="9">
        <f t="shared" si="11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0"/>
        <v>借</v>
      </c>
      <c r="K311" s="9">
        <f t="shared" si="11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0"/>
        <v>借</v>
      </c>
      <c r="K312" s="9">
        <f t="shared" si="11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0"/>
        <v>借</v>
      </c>
      <c r="K313" s="9">
        <f t="shared" si="11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0"/>
        <v>借</v>
      </c>
      <c r="K314" s="9">
        <f t="shared" si="11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0"/>
        <v>借</v>
      </c>
      <c r="K315" s="9">
        <f t="shared" si="11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0"/>
        <v>借</v>
      </c>
      <c r="K316" s="9">
        <f t="shared" si="11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0"/>
        <v>借</v>
      </c>
      <c r="K317" s="9">
        <f t="shared" si="11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0"/>
        <v>借</v>
      </c>
      <c r="K318" s="9">
        <f t="shared" si="11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0"/>
        <v>借</v>
      </c>
      <c r="K319" s="9">
        <f t="shared" si="11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0"/>
        <v>借</v>
      </c>
      <c r="K320" s="9">
        <f t="shared" si="11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0"/>
        <v>借</v>
      </c>
      <c r="K321" s="9">
        <f t="shared" si="11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0"/>
        <v>借</v>
      </c>
      <c r="K322" s="9">
        <f t="shared" si="11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0"/>
        <v>借</v>
      </c>
      <c r="K323" s="9">
        <f t="shared" si="11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0"/>
        <v>借</v>
      </c>
      <c r="K324" s="9">
        <f t="shared" si="11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0"/>
        <v>借</v>
      </c>
      <c r="K325" s="9">
        <f t="shared" si="11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0"/>
        <v>借</v>
      </c>
      <c r="K326" s="9">
        <f t="shared" si="11"/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ref="J327:J390" si="12">IF((K326+H327-I327)&gt;0,"借","贷")</f>
        <v>借</v>
      </c>
      <c r="K327" s="9">
        <f t="shared" ref="K327:K390" si="13">K326+H327-I327</f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2"/>
        <v>借</v>
      </c>
      <c r="K328" s="9">
        <f t="shared" si="13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2"/>
        <v>借</v>
      </c>
      <c r="K329" s="9">
        <f t="shared" si="13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3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3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3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3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3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3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3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3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3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3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3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3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3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3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3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3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3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3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3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3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3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3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3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3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3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3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3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3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3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3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3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3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3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3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si="13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3"/>
        <v>890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3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3"/>
        <v>890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si="13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2"/>
        <v>借</v>
      </c>
      <c r="K374" s="9">
        <f t="shared" si="13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2"/>
        <v>借</v>
      </c>
      <c r="K375" s="9">
        <f t="shared" si="13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2"/>
        <v>借</v>
      </c>
      <c r="K376" s="9">
        <f t="shared" si="13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2"/>
        <v>借</v>
      </c>
      <c r="K377" s="9">
        <f t="shared" si="13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2"/>
        <v>借</v>
      </c>
      <c r="K378" s="9">
        <f t="shared" si="13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2"/>
        <v>借</v>
      </c>
      <c r="K379" s="9">
        <f t="shared" si="13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2"/>
        <v>借</v>
      </c>
      <c r="K380" s="9">
        <f t="shared" si="13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2"/>
        <v>借</v>
      </c>
      <c r="K381" s="9">
        <f t="shared" si="13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2"/>
        <v>借</v>
      </c>
      <c r="K382" s="9">
        <f t="shared" si="13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2"/>
        <v>借</v>
      </c>
      <c r="K383" s="9">
        <f t="shared" si="13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2"/>
        <v>借</v>
      </c>
      <c r="K384" s="9">
        <f t="shared" si="13"/>
        <v>890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2"/>
        <v>借</v>
      </c>
      <c r="K385" s="9">
        <f t="shared" si="13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2"/>
        <v>借</v>
      </c>
      <c r="K386" s="9">
        <f t="shared" si="13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2"/>
        <v>借</v>
      </c>
      <c r="K387" s="9">
        <f t="shared" si="13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2"/>
        <v>借</v>
      </c>
      <c r="K388" s="9">
        <f t="shared" si="13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2"/>
        <v>借</v>
      </c>
      <c r="K389" s="9">
        <f t="shared" si="13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2"/>
        <v>借</v>
      </c>
      <c r="K390" s="9">
        <f t="shared" si="13"/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ref="J391:J454" si="14">IF((K390+H391-I391)&gt;0,"借","贷")</f>
        <v>借</v>
      </c>
      <c r="K391" s="9">
        <f t="shared" ref="K391:K454" si="15">K390+H391-I391</f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4"/>
        <v>借</v>
      </c>
      <c r="K392" s="9">
        <f t="shared" si="15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4"/>
        <v>借</v>
      </c>
      <c r="K393" s="9">
        <f t="shared" si="15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5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5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5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5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5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5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5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5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5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5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5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5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5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5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5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5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5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5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5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5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5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5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5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5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5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5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5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5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5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5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5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5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5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5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si="15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5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5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5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si="15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4"/>
        <v>借</v>
      </c>
      <c r="K438" s="9">
        <f t="shared" si="15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4"/>
        <v>借</v>
      </c>
      <c r="K439" s="9">
        <f t="shared" si="15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4"/>
        <v>借</v>
      </c>
      <c r="K440" s="9">
        <f t="shared" si="15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4"/>
        <v>借</v>
      </c>
      <c r="K441" s="9">
        <f t="shared" si="15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4"/>
        <v>借</v>
      </c>
      <c r="K442" s="9">
        <f t="shared" si="15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4"/>
        <v>借</v>
      </c>
      <c r="K443" s="9">
        <f t="shared" si="15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4"/>
        <v>借</v>
      </c>
      <c r="K444" s="9">
        <f t="shared" si="15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4"/>
        <v>借</v>
      </c>
      <c r="K445" s="9">
        <f t="shared" si="15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4"/>
        <v>借</v>
      </c>
      <c r="K446" s="9">
        <f t="shared" si="15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4"/>
        <v>借</v>
      </c>
      <c r="K447" s="9">
        <f t="shared" si="15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4"/>
        <v>借</v>
      </c>
      <c r="K448" s="9">
        <f t="shared" si="15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4"/>
        <v>借</v>
      </c>
      <c r="K449" s="9">
        <f t="shared" si="15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4"/>
        <v>借</v>
      </c>
      <c r="K450" s="9">
        <f t="shared" si="15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4"/>
        <v>借</v>
      </c>
      <c r="K451" s="9">
        <f t="shared" si="15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4"/>
        <v>借</v>
      </c>
      <c r="K452" s="9">
        <f t="shared" si="15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4"/>
        <v>借</v>
      </c>
      <c r="K453" s="9">
        <f t="shared" si="15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4"/>
        <v>借</v>
      </c>
      <c r="K454" s="9">
        <f t="shared" si="15"/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ref="J455:J499" si="16">IF((K454+H455-I455)&gt;0,"借","贷")</f>
        <v>借</v>
      </c>
      <c r="K455" s="9">
        <f t="shared" ref="K455:K499" si="17">K454+H455-I455</f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6"/>
        <v>借</v>
      </c>
      <c r="K456" s="9">
        <f t="shared" si="17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6"/>
        <v>借</v>
      </c>
      <c r="K457" s="9">
        <f t="shared" si="17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7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7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7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7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7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7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7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7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7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7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7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7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7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7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7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7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7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7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7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7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7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7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7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7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7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7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7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7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7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7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7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7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7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7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si="17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7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7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7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si="17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6"/>
        <v>借</v>
      </c>
      <c r="K497" s="9">
        <f t="shared" si="17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6"/>
        <v>借</v>
      </c>
      <c r="K498" s="9">
        <f t="shared" si="17"/>
        <v>890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6"/>
        <v>借</v>
      </c>
      <c r="K499" s="9">
        <f t="shared" si="17"/>
        <v>890</v>
      </c>
    </row>
  </sheetData>
  <autoFilter ref="A4:M499" xr:uid="{00000000-0009-0000-0000-000004000000}"/>
  <mergeCells count="5">
    <mergeCell ref="A1:K1"/>
    <mergeCell ref="A2:K2"/>
    <mergeCell ref="M28:M31"/>
    <mergeCell ref="M55:M58"/>
    <mergeCell ref="M69:M71"/>
  </mergeCells>
  <phoneticPr fontId="22" type="noConversion"/>
  <dataValidations count="2">
    <dataValidation allowBlank="1" showInputMessage="1" showErrorMessage="1" sqref="G1 A2:XFD2 G3:G4 L73:L74" xr:uid="{00000000-0002-0000-0400-000000000000}"/>
    <dataValidation type="list" allowBlank="1" showInputMessage="1" showErrorMessage="1" sqref="G5:G1048576" xr:uid="{00000000-0002-0000-0400-000001000000}">
      <formula1>#REF!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8"/>
  <sheetViews>
    <sheetView workbookViewId="0">
      <selection activeCell="I10" sqref="I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53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99"/>
      <c r="M27" s="99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99"/>
      <c r="M28" s="99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99"/>
      <c r="M29" s="99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99"/>
      <c r="M30" s="99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99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99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99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500-000000000000}"/>
    <dataValidation type="list" allowBlank="1" showInputMessage="1" showErrorMessage="1" sqref="G5:G1048576" xr:uid="{00000000-0002-0000-0500-000001000000}">
      <formula1>#REF!</formula1>
    </dataValidation>
  </dataValidation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54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40000</v>
      </c>
      <c r="I3" s="4">
        <f>SUM(I5:I90001)</f>
        <v>40000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55</v>
      </c>
      <c r="E5" s="7"/>
      <c r="F5" s="7" t="s">
        <v>56</v>
      </c>
      <c r="G5" s="7" t="s">
        <v>57</v>
      </c>
      <c r="H5" s="8">
        <v>40000</v>
      </c>
      <c r="I5" s="8"/>
      <c r="J5" s="8" t="s">
        <v>39</v>
      </c>
      <c r="K5" s="9">
        <f>H5-I5</f>
        <v>40000</v>
      </c>
      <c r="L5" t="s">
        <v>57</v>
      </c>
    </row>
    <row r="6" spans="1:12" ht="20.100000000000001" customHeight="1" x14ac:dyDescent="0.15">
      <c r="A6" s="5"/>
      <c r="B6" s="5">
        <v>5</v>
      </c>
      <c r="C6" s="5">
        <v>12</v>
      </c>
      <c r="D6" s="10" t="s">
        <v>58</v>
      </c>
      <c r="E6" s="10"/>
      <c r="F6" s="10" t="s">
        <v>56</v>
      </c>
      <c r="G6" s="10" t="s">
        <v>57</v>
      </c>
      <c r="H6" s="8"/>
      <c r="I6" s="8">
        <v>40000</v>
      </c>
      <c r="J6" s="8" t="str">
        <f t="shared" ref="J6:J69" si="0">IF((K5+H6-I6)&gt;0,"借","贷")</f>
        <v>贷</v>
      </c>
      <c r="K6" s="9">
        <f t="shared" ref="K6:K69" si="1">K5+H6-I6</f>
        <v>0</v>
      </c>
      <c r="L6" t="s">
        <v>57</v>
      </c>
    </row>
    <row r="7" spans="1:12" ht="20.100000000000001" customHeight="1" x14ac:dyDescent="0.15">
      <c r="A7" s="5"/>
      <c r="B7" s="5"/>
      <c r="C7" s="5"/>
      <c r="D7" s="31"/>
      <c r="E7" s="10"/>
      <c r="F7" s="10"/>
      <c r="G7" s="7"/>
      <c r="H7" s="8"/>
      <c r="I7" s="8"/>
      <c r="J7" s="8" t="str">
        <f t="shared" si="0"/>
        <v>贷</v>
      </c>
      <c r="K7" s="9">
        <f t="shared" si="1"/>
        <v>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贷</v>
      </c>
      <c r="K8" s="9">
        <f t="shared" si="1"/>
        <v>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贷</v>
      </c>
      <c r="K9" s="9">
        <f t="shared" si="1"/>
        <v>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贷</v>
      </c>
      <c r="K10" s="9">
        <f t="shared" si="1"/>
        <v>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贷</v>
      </c>
      <c r="K11" s="9">
        <f t="shared" si="1"/>
        <v>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贷</v>
      </c>
      <c r="K12" s="9">
        <f t="shared" si="1"/>
        <v>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贷</v>
      </c>
      <c r="K13" s="9">
        <f t="shared" si="1"/>
        <v>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贷</v>
      </c>
      <c r="K14" s="9">
        <f t="shared" si="1"/>
        <v>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贷</v>
      </c>
      <c r="K15" s="9">
        <f t="shared" si="1"/>
        <v>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贷</v>
      </c>
      <c r="K16" s="9">
        <f t="shared" si="1"/>
        <v>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贷</v>
      </c>
      <c r="K17" s="9">
        <f t="shared" si="1"/>
        <v>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贷</v>
      </c>
      <c r="K18" s="9">
        <f t="shared" si="1"/>
        <v>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贷</v>
      </c>
      <c r="K19" s="9">
        <f t="shared" si="1"/>
        <v>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贷</v>
      </c>
      <c r="K20" s="9">
        <f t="shared" si="1"/>
        <v>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贷</v>
      </c>
      <c r="K21" s="9">
        <f t="shared" si="1"/>
        <v>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贷</v>
      </c>
      <c r="K22" s="9">
        <f t="shared" si="1"/>
        <v>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贷</v>
      </c>
      <c r="K23" s="9">
        <f t="shared" si="1"/>
        <v>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贷</v>
      </c>
      <c r="K24" s="9">
        <f t="shared" si="1"/>
        <v>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贷</v>
      </c>
      <c r="K25" s="9">
        <f t="shared" si="1"/>
        <v>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贷</v>
      </c>
      <c r="K26" s="9">
        <f t="shared" si="1"/>
        <v>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贷</v>
      </c>
      <c r="K27" s="9">
        <f t="shared" si="1"/>
        <v>0</v>
      </c>
      <c r="L27" s="99"/>
      <c r="M27" s="99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贷</v>
      </c>
      <c r="K28" s="9">
        <f t="shared" si="1"/>
        <v>0</v>
      </c>
      <c r="L28" s="99"/>
      <c r="M28" s="99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贷</v>
      </c>
      <c r="K29" s="9">
        <f t="shared" si="1"/>
        <v>0</v>
      </c>
      <c r="L29" s="99"/>
      <c r="M29" s="99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贷</v>
      </c>
      <c r="K30" s="9">
        <f t="shared" si="1"/>
        <v>0</v>
      </c>
      <c r="L30" s="99"/>
      <c r="M30" s="99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贷</v>
      </c>
      <c r="K31" s="9">
        <f t="shared" si="1"/>
        <v>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贷</v>
      </c>
      <c r="K32" s="9">
        <f t="shared" si="1"/>
        <v>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贷</v>
      </c>
      <c r="K33" s="9">
        <f t="shared" si="1"/>
        <v>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贷</v>
      </c>
      <c r="K34" s="9">
        <f t="shared" si="1"/>
        <v>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贷</v>
      </c>
      <c r="K35" s="9">
        <f t="shared" si="1"/>
        <v>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贷</v>
      </c>
      <c r="K36" s="9">
        <f t="shared" si="1"/>
        <v>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贷</v>
      </c>
      <c r="K37" s="9">
        <f t="shared" si="1"/>
        <v>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贷</v>
      </c>
      <c r="K38" s="9">
        <f t="shared" si="1"/>
        <v>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贷</v>
      </c>
      <c r="K39" s="9">
        <f t="shared" si="1"/>
        <v>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贷</v>
      </c>
      <c r="K40" s="9">
        <f t="shared" si="1"/>
        <v>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贷</v>
      </c>
      <c r="K41" s="9">
        <f t="shared" si="1"/>
        <v>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贷</v>
      </c>
      <c r="K42" s="9">
        <f t="shared" si="1"/>
        <v>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贷</v>
      </c>
      <c r="K43" s="9">
        <f t="shared" si="1"/>
        <v>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贷</v>
      </c>
      <c r="K44" s="9">
        <f t="shared" si="1"/>
        <v>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贷</v>
      </c>
      <c r="K45" s="9">
        <f t="shared" si="1"/>
        <v>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贷</v>
      </c>
      <c r="K46" s="9">
        <f t="shared" si="1"/>
        <v>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贷</v>
      </c>
      <c r="K47" s="9">
        <f t="shared" si="1"/>
        <v>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贷</v>
      </c>
      <c r="K48" s="9">
        <f t="shared" si="1"/>
        <v>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贷</v>
      </c>
      <c r="K49" s="9">
        <f t="shared" si="1"/>
        <v>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贷</v>
      </c>
      <c r="K50" s="9">
        <f t="shared" si="1"/>
        <v>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贷</v>
      </c>
      <c r="K51" s="9">
        <f t="shared" si="1"/>
        <v>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贷</v>
      </c>
      <c r="K52" s="9">
        <f t="shared" si="1"/>
        <v>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贷</v>
      </c>
      <c r="K53" s="9">
        <f t="shared" si="1"/>
        <v>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贷</v>
      </c>
      <c r="K54" s="9">
        <f t="shared" si="1"/>
        <v>0</v>
      </c>
      <c r="M54" s="99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贷</v>
      </c>
      <c r="K55" s="9">
        <f t="shared" si="1"/>
        <v>0</v>
      </c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贷</v>
      </c>
      <c r="K56" s="9">
        <f t="shared" si="1"/>
        <v>0</v>
      </c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贷</v>
      </c>
      <c r="K57" s="9">
        <f t="shared" si="1"/>
        <v>0</v>
      </c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贷</v>
      </c>
      <c r="K58" s="9">
        <f t="shared" si="1"/>
        <v>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贷</v>
      </c>
      <c r="K59" s="9">
        <f t="shared" si="1"/>
        <v>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贷</v>
      </c>
      <c r="K60" s="9">
        <f t="shared" si="1"/>
        <v>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贷</v>
      </c>
      <c r="K61" s="9">
        <f t="shared" si="1"/>
        <v>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贷</v>
      </c>
      <c r="K62" s="9">
        <f t="shared" si="1"/>
        <v>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贷</v>
      </c>
      <c r="K63" s="9">
        <f t="shared" si="1"/>
        <v>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贷</v>
      </c>
      <c r="K64" s="9">
        <f t="shared" si="1"/>
        <v>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贷</v>
      </c>
      <c r="K65" s="9">
        <f t="shared" si="1"/>
        <v>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贷</v>
      </c>
      <c r="K66" s="9">
        <f t="shared" si="1"/>
        <v>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贷</v>
      </c>
      <c r="K67" s="9">
        <f t="shared" si="1"/>
        <v>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贷</v>
      </c>
      <c r="K68" s="9">
        <f t="shared" si="1"/>
        <v>0</v>
      </c>
      <c r="M68" s="99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贷</v>
      </c>
      <c r="K69" s="9">
        <f t="shared" si="1"/>
        <v>0</v>
      </c>
      <c r="M69" s="99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贷</v>
      </c>
      <c r="K70" s="9">
        <f t="shared" ref="K70:K133" si="3">K69+H70-I70</f>
        <v>0</v>
      </c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贷</v>
      </c>
      <c r="K71" s="9">
        <f t="shared" si="3"/>
        <v>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贷</v>
      </c>
      <c r="K72" s="9">
        <f t="shared" si="3"/>
        <v>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贷</v>
      </c>
      <c r="K73" s="9">
        <f t="shared" si="3"/>
        <v>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贷</v>
      </c>
      <c r="K74" s="9">
        <f t="shared" si="3"/>
        <v>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贷</v>
      </c>
      <c r="K75" s="9">
        <f t="shared" si="3"/>
        <v>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贷</v>
      </c>
      <c r="K76" s="9">
        <f t="shared" si="3"/>
        <v>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贷</v>
      </c>
      <c r="K77" s="9">
        <f t="shared" si="3"/>
        <v>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贷</v>
      </c>
      <c r="K78" s="9">
        <f t="shared" si="3"/>
        <v>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贷</v>
      </c>
      <c r="K79" s="9">
        <f t="shared" si="3"/>
        <v>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贷</v>
      </c>
      <c r="K80" s="9">
        <f t="shared" si="3"/>
        <v>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贷</v>
      </c>
      <c r="K81" s="9">
        <f t="shared" si="3"/>
        <v>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贷</v>
      </c>
      <c r="K82" s="9">
        <f t="shared" si="3"/>
        <v>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贷</v>
      </c>
      <c r="K83" s="9">
        <f t="shared" si="3"/>
        <v>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贷</v>
      </c>
      <c r="K84" s="9">
        <f t="shared" si="3"/>
        <v>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贷</v>
      </c>
      <c r="K85" s="9">
        <f t="shared" si="3"/>
        <v>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贷</v>
      </c>
      <c r="K86" s="9">
        <f t="shared" si="3"/>
        <v>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贷</v>
      </c>
      <c r="K87" s="9">
        <f t="shared" si="3"/>
        <v>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贷</v>
      </c>
      <c r="K88" s="9">
        <f t="shared" si="3"/>
        <v>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贷</v>
      </c>
      <c r="K89" s="9">
        <f t="shared" si="3"/>
        <v>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贷</v>
      </c>
      <c r="K90" s="9">
        <f t="shared" si="3"/>
        <v>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贷</v>
      </c>
      <c r="K91" s="9">
        <f t="shared" si="3"/>
        <v>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贷</v>
      </c>
      <c r="K92" s="9">
        <f t="shared" si="3"/>
        <v>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贷</v>
      </c>
      <c r="K93" s="9">
        <f t="shared" si="3"/>
        <v>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贷</v>
      </c>
      <c r="K94" s="9">
        <f t="shared" si="3"/>
        <v>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贷</v>
      </c>
      <c r="K95" s="9">
        <f t="shared" si="3"/>
        <v>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贷</v>
      </c>
      <c r="K96" s="9">
        <f t="shared" si="3"/>
        <v>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贷</v>
      </c>
      <c r="K97" s="9">
        <f t="shared" si="3"/>
        <v>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贷</v>
      </c>
      <c r="K98" s="9">
        <f t="shared" si="3"/>
        <v>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贷</v>
      </c>
      <c r="K99" s="9">
        <f t="shared" si="3"/>
        <v>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贷</v>
      </c>
      <c r="K100" s="9">
        <f t="shared" si="3"/>
        <v>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贷</v>
      </c>
      <c r="K101" s="9">
        <f t="shared" si="3"/>
        <v>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贷</v>
      </c>
      <c r="K102" s="9">
        <f t="shared" si="3"/>
        <v>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贷</v>
      </c>
      <c r="K103" s="9">
        <f t="shared" si="3"/>
        <v>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贷</v>
      </c>
      <c r="K104" s="9">
        <f t="shared" si="3"/>
        <v>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贷</v>
      </c>
      <c r="K105" s="9">
        <f t="shared" si="3"/>
        <v>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贷</v>
      </c>
      <c r="K106" s="9">
        <f t="shared" si="3"/>
        <v>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贷</v>
      </c>
      <c r="K107" s="9">
        <f t="shared" si="3"/>
        <v>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贷</v>
      </c>
      <c r="K108" s="9">
        <f t="shared" si="3"/>
        <v>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贷</v>
      </c>
      <c r="K109" s="9">
        <f t="shared" si="3"/>
        <v>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贷</v>
      </c>
      <c r="K110" s="9">
        <f t="shared" si="3"/>
        <v>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贷</v>
      </c>
      <c r="K111" s="9">
        <f t="shared" si="3"/>
        <v>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贷</v>
      </c>
      <c r="K112" s="9">
        <f t="shared" si="3"/>
        <v>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贷</v>
      </c>
      <c r="K113" s="9">
        <f t="shared" si="3"/>
        <v>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贷</v>
      </c>
      <c r="K114" s="9">
        <f t="shared" si="3"/>
        <v>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贷</v>
      </c>
      <c r="K115" s="9">
        <f t="shared" si="3"/>
        <v>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贷</v>
      </c>
      <c r="K116" s="9">
        <f t="shared" si="3"/>
        <v>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贷</v>
      </c>
      <c r="K117" s="9">
        <f t="shared" si="3"/>
        <v>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贷</v>
      </c>
      <c r="K118" s="9">
        <f t="shared" si="3"/>
        <v>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贷</v>
      </c>
      <c r="K119" s="9">
        <f t="shared" si="3"/>
        <v>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贷</v>
      </c>
      <c r="K120" s="9">
        <f t="shared" si="3"/>
        <v>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贷</v>
      </c>
      <c r="K121" s="9">
        <f t="shared" si="3"/>
        <v>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贷</v>
      </c>
      <c r="K122" s="9">
        <f t="shared" si="3"/>
        <v>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贷</v>
      </c>
      <c r="K123" s="9">
        <f t="shared" si="3"/>
        <v>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贷</v>
      </c>
      <c r="K124" s="9">
        <f t="shared" si="3"/>
        <v>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贷</v>
      </c>
      <c r="K125" s="9">
        <f t="shared" si="3"/>
        <v>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贷</v>
      </c>
      <c r="K126" s="9">
        <f t="shared" si="3"/>
        <v>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贷</v>
      </c>
      <c r="K127" s="9">
        <f t="shared" si="3"/>
        <v>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贷</v>
      </c>
      <c r="K128" s="9">
        <f t="shared" si="3"/>
        <v>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贷</v>
      </c>
      <c r="K129" s="9">
        <f t="shared" si="3"/>
        <v>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贷</v>
      </c>
      <c r="K130" s="9">
        <f t="shared" si="3"/>
        <v>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贷</v>
      </c>
      <c r="K131" s="9">
        <f t="shared" si="3"/>
        <v>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贷</v>
      </c>
      <c r="K132" s="9">
        <f t="shared" si="3"/>
        <v>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贷</v>
      </c>
      <c r="K133" s="9">
        <f t="shared" si="3"/>
        <v>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贷</v>
      </c>
      <c r="K134" s="9">
        <f t="shared" ref="K134:K197" si="5">K133+H134-I134</f>
        <v>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贷</v>
      </c>
      <c r="K135" s="9">
        <f t="shared" si="5"/>
        <v>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贷</v>
      </c>
      <c r="K136" s="9">
        <f t="shared" si="5"/>
        <v>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贷</v>
      </c>
      <c r="K137" s="9">
        <f t="shared" si="5"/>
        <v>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贷</v>
      </c>
      <c r="K138" s="9">
        <f t="shared" si="5"/>
        <v>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贷</v>
      </c>
      <c r="K139" s="9">
        <f t="shared" si="5"/>
        <v>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贷</v>
      </c>
      <c r="K140" s="9">
        <f t="shared" si="5"/>
        <v>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贷</v>
      </c>
      <c r="K141" s="9">
        <f t="shared" si="5"/>
        <v>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贷</v>
      </c>
      <c r="K142" s="9">
        <f t="shared" si="5"/>
        <v>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贷</v>
      </c>
      <c r="K143" s="9">
        <f t="shared" si="5"/>
        <v>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贷</v>
      </c>
      <c r="K144" s="9">
        <f t="shared" si="5"/>
        <v>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贷</v>
      </c>
      <c r="K145" s="9">
        <f t="shared" si="5"/>
        <v>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贷</v>
      </c>
      <c r="K146" s="9">
        <f t="shared" si="5"/>
        <v>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贷</v>
      </c>
      <c r="K147" s="9">
        <f t="shared" si="5"/>
        <v>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贷</v>
      </c>
      <c r="K148" s="9">
        <f t="shared" si="5"/>
        <v>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贷</v>
      </c>
      <c r="K149" s="9">
        <f t="shared" si="5"/>
        <v>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贷</v>
      </c>
      <c r="K150" s="9">
        <f t="shared" si="5"/>
        <v>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贷</v>
      </c>
      <c r="K151" s="9">
        <f t="shared" si="5"/>
        <v>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贷</v>
      </c>
      <c r="K152" s="9">
        <f t="shared" si="5"/>
        <v>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贷</v>
      </c>
      <c r="K153" s="9">
        <f t="shared" si="5"/>
        <v>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贷</v>
      </c>
      <c r="K154" s="9">
        <f t="shared" si="5"/>
        <v>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贷</v>
      </c>
      <c r="K155" s="9">
        <f t="shared" si="5"/>
        <v>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贷</v>
      </c>
      <c r="K156" s="9">
        <f t="shared" si="5"/>
        <v>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贷</v>
      </c>
      <c r="K157" s="9">
        <f t="shared" si="5"/>
        <v>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贷</v>
      </c>
      <c r="K158" s="9">
        <f t="shared" si="5"/>
        <v>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贷</v>
      </c>
      <c r="K159" s="9">
        <f t="shared" si="5"/>
        <v>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贷</v>
      </c>
      <c r="K160" s="9">
        <f t="shared" si="5"/>
        <v>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贷</v>
      </c>
      <c r="K161" s="9">
        <f t="shared" si="5"/>
        <v>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贷</v>
      </c>
      <c r="K162" s="9">
        <f t="shared" si="5"/>
        <v>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贷</v>
      </c>
      <c r="K163" s="9">
        <f t="shared" si="5"/>
        <v>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贷</v>
      </c>
      <c r="K164" s="9">
        <f t="shared" si="5"/>
        <v>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贷</v>
      </c>
      <c r="K165" s="9">
        <f t="shared" si="5"/>
        <v>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贷</v>
      </c>
      <c r="K166" s="9">
        <f t="shared" si="5"/>
        <v>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贷</v>
      </c>
      <c r="K167" s="9">
        <f t="shared" si="5"/>
        <v>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贷</v>
      </c>
      <c r="K168" s="9">
        <f t="shared" si="5"/>
        <v>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贷</v>
      </c>
      <c r="K169" s="9">
        <f t="shared" si="5"/>
        <v>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贷</v>
      </c>
      <c r="K170" s="9">
        <f t="shared" si="5"/>
        <v>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贷</v>
      </c>
      <c r="K171" s="9">
        <f t="shared" si="5"/>
        <v>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贷</v>
      </c>
      <c r="K172" s="9">
        <f t="shared" si="5"/>
        <v>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贷</v>
      </c>
      <c r="K173" s="9">
        <f t="shared" si="5"/>
        <v>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贷</v>
      </c>
      <c r="K174" s="9">
        <f t="shared" si="5"/>
        <v>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贷</v>
      </c>
      <c r="K175" s="9">
        <f t="shared" si="5"/>
        <v>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贷</v>
      </c>
      <c r="K176" s="9">
        <f t="shared" si="5"/>
        <v>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贷</v>
      </c>
      <c r="K177" s="9">
        <f t="shared" si="5"/>
        <v>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贷</v>
      </c>
      <c r="K178" s="9">
        <f t="shared" si="5"/>
        <v>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贷</v>
      </c>
      <c r="K179" s="9">
        <f t="shared" si="5"/>
        <v>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贷</v>
      </c>
      <c r="K180" s="9">
        <f t="shared" si="5"/>
        <v>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贷</v>
      </c>
      <c r="K181" s="9">
        <f t="shared" si="5"/>
        <v>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贷</v>
      </c>
      <c r="K182" s="9">
        <f t="shared" si="5"/>
        <v>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贷</v>
      </c>
      <c r="K183" s="9">
        <f t="shared" si="5"/>
        <v>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贷</v>
      </c>
      <c r="K184" s="9">
        <f t="shared" si="5"/>
        <v>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贷</v>
      </c>
      <c r="K185" s="9">
        <f t="shared" si="5"/>
        <v>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贷</v>
      </c>
      <c r="K186" s="9">
        <f t="shared" si="5"/>
        <v>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贷</v>
      </c>
      <c r="K187" s="9">
        <f t="shared" si="5"/>
        <v>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贷</v>
      </c>
      <c r="K188" s="9">
        <f t="shared" si="5"/>
        <v>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贷</v>
      </c>
      <c r="K189" s="9">
        <f t="shared" si="5"/>
        <v>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贷</v>
      </c>
      <c r="K190" s="9">
        <f t="shared" si="5"/>
        <v>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贷</v>
      </c>
      <c r="K191" s="9">
        <f t="shared" si="5"/>
        <v>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贷</v>
      </c>
      <c r="K192" s="9">
        <f t="shared" si="5"/>
        <v>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贷</v>
      </c>
      <c r="K193" s="9">
        <f t="shared" si="5"/>
        <v>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贷</v>
      </c>
      <c r="K194" s="9">
        <f t="shared" si="5"/>
        <v>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贷</v>
      </c>
      <c r="K195" s="9">
        <f t="shared" si="5"/>
        <v>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贷</v>
      </c>
      <c r="K196" s="9">
        <f t="shared" si="5"/>
        <v>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贷</v>
      </c>
      <c r="K197" s="9">
        <f t="shared" si="5"/>
        <v>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贷</v>
      </c>
      <c r="K198" s="9">
        <f t="shared" ref="K198:K261" si="7">K197+H198-I198</f>
        <v>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贷</v>
      </c>
      <c r="K199" s="9">
        <f t="shared" si="7"/>
        <v>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贷</v>
      </c>
      <c r="K200" s="9">
        <f t="shared" si="7"/>
        <v>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贷</v>
      </c>
      <c r="K201" s="9">
        <f t="shared" si="7"/>
        <v>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贷</v>
      </c>
      <c r="K202" s="9">
        <f t="shared" si="7"/>
        <v>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贷</v>
      </c>
      <c r="K203" s="9">
        <f t="shared" si="7"/>
        <v>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贷</v>
      </c>
      <c r="K204" s="9">
        <f t="shared" si="7"/>
        <v>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贷</v>
      </c>
      <c r="K205" s="9">
        <f t="shared" si="7"/>
        <v>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贷</v>
      </c>
      <c r="K206" s="9">
        <f t="shared" si="7"/>
        <v>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贷</v>
      </c>
      <c r="K207" s="9">
        <f t="shared" si="7"/>
        <v>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贷</v>
      </c>
      <c r="K208" s="9">
        <f t="shared" si="7"/>
        <v>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贷</v>
      </c>
      <c r="K209" s="9">
        <f t="shared" si="7"/>
        <v>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贷</v>
      </c>
      <c r="K210" s="9">
        <f t="shared" si="7"/>
        <v>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贷</v>
      </c>
      <c r="K211" s="9">
        <f t="shared" si="7"/>
        <v>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贷</v>
      </c>
      <c r="K212" s="9">
        <f t="shared" si="7"/>
        <v>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贷</v>
      </c>
      <c r="K213" s="9">
        <f t="shared" si="7"/>
        <v>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贷</v>
      </c>
      <c r="K214" s="9">
        <f t="shared" si="7"/>
        <v>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贷</v>
      </c>
      <c r="K215" s="9">
        <f t="shared" si="7"/>
        <v>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贷</v>
      </c>
      <c r="K216" s="9">
        <f t="shared" si="7"/>
        <v>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贷</v>
      </c>
      <c r="K217" s="9">
        <f t="shared" si="7"/>
        <v>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贷</v>
      </c>
      <c r="K218" s="9">
        <f t="shared" si="7"/>
        <v>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贷</v>
      </c>
      <c r="K219" s="9">
        <f t="shared" si="7"/>
        <v>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贷</v>
      </c>
      <c r="K220" s="9">
        <f t="shared" si="7"/>
        <v>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贷</v>
      </c>
      <c r="K221" s="9">
        <f t="shared" si="7"/>
        <v>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贷</v>
      </c>
      <c r="K222" s="9">
        <f t="shared" si="7"/>
        <v>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贷</v>
      </c>
      <c r="K223" s="9">
        <f t="shared" si="7"/>
        <v>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贷</v>
      </c>
      <c r="K224" s="9">
        <f t="shared" si="7"/>
        <v>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贷</v>
      </c>
      <c r="K225" s="9">
        <f t="shared" si="7"/>
        <v>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贷</v>
      </c>
      <c r="K226" s="9">
        <f t="shared" si="7"/>
        <v>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贷</v>
      </c>
      <c r="K227" s="9">
        <f t="shared" si="7"/>
        <v>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贷</v>
      </c>
      <c r="K228" s="9">
        <f t="shared" si="7"/>
        <v>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贷</v>
      </c>
      <c r="K229" s="9">
        <f t="shared" si="7"/>
        <v>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贷</v>
      </c>
      <c r="K230" s="9">
        <f t="shared" si="7"/>
        <v>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贷</v>
      </c>
      <c r="K231" s="9">
        <f t="shared" si="7"/>
        <v>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贷</v>
      </c>
      <c r="K232" s="9">
        <f t="shared" si="7"/>
        <v>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贷</v>
      </c>
      <c r="K233" s="9">
        <f t="shared" si="7"/>
        <v>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贷</v>
      </c>
      <c r="K234" s="9">
        <f t="shared" si="7"/>
        <v>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贷</v>
      </c>
      <c r="K235" s="9">
        <f t="shared" si="7"/>
        <v>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贷</v>
      </c>
      <c r="K236" s="9">
        <f t="shared" si="7"/>
        <v>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贷</v>
      </c>
      <c r="K237" s="9">
        <f t="shared" si="7"/>
        <v>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贷</v>
      </c>
      <c r="K238" s="9">
        <f t="shared" si="7"/>
        <v>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贷</v>
      </c>
      <c r="K239" s="9">
        <f t="shared" si="7"/>
        <v>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贷</v>
      </c>
      <c r="K240" s="9">
        <f t="shared" si="7"/>
        <v>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贷</v>
      </c>
      <c r="K241" s="9">
        <f t="shared" si="7"/>
        <v>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贷</v>
      </c>
      <c r="K242" s="9">
        <f t="shared" si="7"/>
        <v>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贷</v>
      </c>
      <c r="K243" s="9">
        <f t="shared" si="7"/>
        <v>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贷</v>
      </c>
      <c r="K244" s="9">
        <f t="shared" si="7"/>
        <v>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贷</v>
      </c>
      <c r="K245" s="9">
        <f t="shared" si="7"/>
        <v>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贷</v>
      </c>
      <c r="K246" s="9">
        <f t="shared" si="7"/>
        <v>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贷</v>
      </c>
      <c r="K247" s="9">
        <f t="shared" si="7"/>
        <v>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贷</v>
      </c>
      <c r="K248" s="9">
        <f t="shared" si="7"/>
        <v>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贷</v>
      </c>
      <c r="K249" s="9">
        <f t="shared" si="7"/>
        <v>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贷</v>
      </c>
      <c r="K250" s="9">
        <f t="shared" si="7"/>
        <v>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贷</v>
      </c>
      <c r="K251" s="9">
        <f t="shared" si="7"/>
        <v>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贷</v>
      </c>
      <c r="K252" s="9">
        <f t="shared" si="7"/>
        <v>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贷</v>
      </c>
      <c r="K253" s="9">
        <f t="shared" si="7"/>
        <v>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贷</v>
      </c>
      <c r="K254" s="9">
        <f t="shared" si="7"/>
        <v>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贷</v>
      </c>
      <c r="K255" s="9">
        <f t="shared" si="7"/>
        <v>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贷</v>
      </c>
      <c r="K256" s="9">
        <f t="shared" si="7"/>
        <v>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贷</v>
      </c>
      <c r="K257" s="9">
        <f t="shared" si="7"/>
        <v>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贷</v>
      </c>
      <c r="K258" s="9">
        <f t="shared" si="7"/>
        <v>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贷</v>
      </c>
      <c r="K259" s="9">
        <f t="shared" si="7"/>
        <v>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贷</v>
      </c>
      <c r="K260" s="9">
        <f t="shared" si="7"/>
        <v>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贷</v>
      </c>
      <c r="K261" s="9">
        <f t="shared" si="7"/>
        <v>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贷</v>
      </c>
      <c r="K262" s="9">
        <f t="shared" ref="K262:K325" si="9">K261+H262-I262</f>
        <v>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贷</v>
      </c>
      <c r="K263" s="9">
        <f t="shared" si="9"/>
        <v>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贷</v>
      </c>
      <c r="K264" s="9">
        <f t="shared" si="9"/>
        <v>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贷</v>
      </c>
      <c r="K265" s="9">
        <f t="shared" si="9"/>
        <v>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贷</v>
      </c>
      <c r="K266" s="9">
        <f t="shared" si="9"/>
        <v>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贷</v>
      </c>
      <c r="K267" s="9">
        <f t="shared" si="9"/>
        <v>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贷</v>
      </c>
      <c r="K268" s="9">
        <f t="shared" si="9"/>
        <v>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贷</v>
      </c>
      <c r="K269" s="9">
        <f t="shared" si="9"/>
        <v>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贷</v>
      </c>
      <c r="K270" s="9">
        <f t="shared" si="9"/>
        <v>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贷</v>
      </c>
      <c r="K271" s="9">
        <f t="shared" si="9"/>
        <v>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贷</v>
      </c>
      <c r="K272" s="9">
        <f t="shared" si="9"/>
        <v>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贷</v>
      </c>
      <c r="K273" s="9">
        <f t="shared" si="9"/>
        <v>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贷</v>
      </c>
      <c r="K274" s="9">
        <f t="shared" si="9"/>
        <v>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贷</v>
      </c>
      <c r="K275" s="9">
        <f t="shared" si="9"/>
        <v>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贷</v>
      </c>
      <c r="K276" s="9">
        <f t="shared" si="9"/>
        <v>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贷</v>
      </c>
      <c r="K277" s="9">
        <f t="shared" si="9"/>
        <v>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贷</v>
      </c>
      <c r="K278" s="9">
        <f t="shared" si="9"/>
        <v>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贷</v>
      </c>
      <c r="K279" s="9">
        <f t="shared" si="9"/>
        <v>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贷</v>
      </c>
      <c r="K280" s="9">
        <f t="shared" si="9"/>
        <v>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贷</v>
      </c>
      <c r="K281" s="9">
        <f t="shared" si="9"/>
        <v>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贷</v>
      </c>
      <c r="K282" s="9">
        <f t="shared" si="9"/>
        <v>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贷</v>
      </c>
      <c r="K283" s="9">
        <f t="shared" si="9"/>
        <v>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贷</v>
      </c>
      <c r="K284" s="9">
        <f t="shared" si="9"/>
        <v>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贷</v>
      </c>
      <c r="K285" s="9">
        <f t="shared" si="9"/>
        <v>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贷</v>
      </c>
      <c r="K286" s="9">
        <f t="shared" si="9"/>
        <v>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贷</v>
      </c>
      <c r="K287" s="9">
        <f t="shared" si="9"/>
        <v>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贷</v>
      </c>
      <c r="K288" s="9">
        <f t="shared" si="9"/>
        <v>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贷</v>
      </c>
      <c r="K289" s="9">
        <f t="shared" si="9"/>
        <v>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贷</v>
      </c>
      <c r="K290" s="9">
        <f t="shared" si="9"/>
        <v>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贷</v>
      </c>
      <c r="K291" s="9">
        <f t="shared" si="9"/>
        <v>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贷</v>
      </c>
      <c r="K292" s="9">
        <f t="shared" si="9"/>
        <v>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贷</v>
      </c>
      <c r="K293" s="9">
        <f t="shared" si="9"/>
        <v>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贷</v>
      </c>
      <c r="K294" s="9">
        <f t="shared" si="9"/>
        <v>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贷</v>
      </c>
      <c r="K295" s="9">
        <f t="shared" si="9"/>
        <v>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贷</v>
      </c>
      <c r="K296" s="9">
        <f t="shared" si="9"/>
        <v>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贷</v>
      </c>
      <c r="K297" s="9">
        <f t="shared" si="9"/>
        <v>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贷</v>
      </c>
      <c r="K298" s="9">
        <f t="shared" si="9"/>
        <v>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贷</v>
      </c>
      <c r="K299" s="9">
        <f t="shared" si="9"/>
        <v>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贷</v>
      </c>
      <c r="K300" s="9">
        <f t="shared" si="9"/>
        <v>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贷</v>
      </c>
      <c r="K301" s="9">
        <f t="shared" si="9"/>
        <v>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贷</v>
      </c>
      <c r="K302" s="9">
        <f t="shared" si="9"/>
        <v>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贷</v>
      </c>
      <c r="K303" s="9">
        <f t="shared" si="9"/>
        <v>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贷</v>
      </c>
      <c r="K304" s="9">
        <f t="shared" si="9"/>
        <v>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贷</v>
      </c>
      <c r="K305" s="9">
        <f t="shared" si="9"/>
        <v>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贷</v>
      </c>
      <c r="K306" s="9">
        <f t="shared" si="9"/>
        <v>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贷</v>
      </c>
      <c r="K307" s="9">
        <f t="shared" si="9"/>
        <v>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贷</v>
      </c>
      <c r="K308" s="9">
        <f t="shared" si="9"/>
        <v>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贷</v>
      </c>
      <c r="K309" s="9">
        <f t="shared" si="9"/>
        <v>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贷</v>
      </c>
      <c r="K310" s="9">
        <f t="shared" si="9"/>
        <v>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贷</v>
      </c>
      <c r="K311" s="9">
        <f t="shared" si="9"/>
        <v>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贷</v>
      </c>
      <c r="K312" s="9">
        <f t="shared" si="9"/>
        <v>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贷</v>
      </c>
      <c r="K313" s="9">
        <f t="shared" si="9"/>
        <v>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贷</v>
      </c>
      <c r="K314" s="9">
        <f t="shared" si="9"/>
        <v>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贷</v>
      </c>
      <c r="K315" s="9">
        <f t="shared" si="9"/>
        <v>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贷</v>
      </c>
      <c r="K316" s="9">
        <f t="shared" si="9"/>
        <v>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贷</v>
      </c>
      <c r="K317" s="9">
        <f t="shared" si="9"/>
        <v>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贷</v>
      </c>
      <c r="K318" s="9">
        <f t="shared" si="9"/>
        <v>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贷</v>
      </c>
      <c r="K319" s="9">
        <f t="shared" si="9"/>
        <v>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贷</v>
      </c>
      <c r="K320" s="9">
        <f t="shared" si="9"/>
        <v>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贷</v>
      </c>
      <c r="K321" s="9">
        <f t="shared" si="9"/>
        <v>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贷</v>
      </c>
      <c r="K322" s="9">
        <f t="shared" si="9"/>
        <v>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贷</v>
      </c>
      <c r="K323" s="9">
        <f t="shared" si="9"/>
        <v>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贷</v>
      </c>
      <c r="K324" s="9">
        <f t="shared" si="9"/>
        <v>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贷</v>
      </c>
      <c r="K325" s="9">
        <f t="shared" si="9"/>
        <v>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贷</v>
      </c>
      <c r="K326" s="9">
        <f t="shared" ref="K326:K389" si="11">K325+H326-I326</f>
        <v>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贷</v>
      </c>
      <c r="K327" s="9">
        <f t="shared" si="11"/>
        <v>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贷</v>
      </c>
      <c r="K328" s="9">
        <f t="shared" si="11"/>
        <v>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贷</v>
      </c>
      <c r="K329" s="9">
        <f t="shared" si="11"/>
        <v>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贷</v>
      </c>
      <c r="K330" s="9">
        <f t="shared" si="11"/>
        <v>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贷</v>
      </c>
      <c r="K331" s="9">
        <f t="shared" si="11"/>
        <v>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贷</v>
      </c>
      <c r="K332" s="9">
        <f t="shared" si="11"/>
        <v>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贷</v>
      </c>
      <c r="K333" s="9">
        <f t="shared" si="11"/>
        <v>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贷</v>
      </c>
      <c r="K334" s="9">
        <f t="shared" si="11"/>
        <v>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贷</v>
      </c>
      <c r="K335" s="9">
        <f t="shared" si="11"/>
        <v>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贷</v>
      </c>
      <c r="K336" s="9">
        <f t="shared" si="11"/>
        <v>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贷</v>
      </c>
      <c r="K337" s="9">
        <f t="shared" si="11"/>
        <v>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贷</v>
      </c>
      <c r="K338" s="9">
        <f t="shared" si="11"/>
        <v>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贷</v>
      </c>
      <c r="K339" s="9">
        <f t="shared" si="11"/>
        <v>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贷</v>
      </c>
      <c r="K340" s="9">
        <f t="shared" si="11"/>
        <v>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贷</v>
      </c>
      <c r="K341" s="9">
        <f t="shared" si="11"/>
        <v>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贷</v>
      </c>
      <c r="K342" s="9">
        <f t="shared" si="11"/>
        <v>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贷</v>
      </c>
      <c r="K343" s="9">
        <f t="shared" si="11"/>
        <v>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贷</v>
      </c>
      <c r="K344" s="9">
        <f t="shared" si="11"/>
        <v>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贷</v>
      </c>
      <c r="K345" s="9">
        <f t="shared" si="11"/>
        <v>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贷</v>
      </c>
      <c r="K346" s="9">
        <f t="shared" si="11"/>
        <v>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贷</v>
      </c>
      <c r="K347" s="9">
        <f t="shared" si="11"/>
        <v>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贷</v>
      </c>
      <c r="K348" s="9">
        <f t="shared" si="11"/>
        <v>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贷</v>
      </c>
      <c r="K349" s="9">
        <f t="shared" si="11"/>
        <v>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贷</v>
      </c>
      <c r="K350" s="9">
        <f t="shared" si="11"/>
        <v>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贷</v>
      </c>
      <c r="K351" s="9">
        <f t="shared" si="11"/>
        <v>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贷</v>
      </c>
      <c r="K352" s="9">
        <f t="shared" si="11"/>
        <v>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贷</v>
      </c>
      <c r="K353" s="9">
        <f t="shared" si="11"/>
        <v>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贷</v>
      </c>
      <c r="K354" s="9">
        <f t="shared" si="11"/>
        <v>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贷</v>
      </c>
      <c r="K355" s="9">
        <f t="shared" si="11"/>
        <v>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贷</v>
      </c>
      <c r="K356" s="9">
        <f t="shared" si="11"/>
        <v>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贷</v>
      </c>
      <c r="K357" s="9">
        <f t="shared" si="11"/>
        <v>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贷</v>
      </c>
      <c r="K358" s="9">
        <f t="shared" si="11"/>
        <v>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贷</v>
      </c>
      <c r="K359" s="9">
        <f t="shared" si="11"/>
        <v>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贷</v>
      </c>
      <c r="K360" s="9">
        <f t="shared" si="11"/>
        <v>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贷</v>
      </c>
      <c r="K361" s="9">
        <f t="shared" si="11"/>
        <v>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贷</v>
      </c>
      <c r="K362" s="9">
        <f t="shared" si="11"/>
        <v>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贷</v>
      </c>
      <c r="K363" s="9">
        <f t="shared" si="11"/>
        <v>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贷</v>
      </c>
      <c r="K364" s="9">
        <f t="shared" si="11"/>
        <v>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贷</v>
      </c>
      <c r="K365" s="9">
        <f t="shared" si="11"/>
        <v>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贷</v>
      </c>
      <c r="K366" s="9">
        <f t="shared" si="11"/>
        <v>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贷</v>
      </c>
      <c r="K367" s="9">
        <f t="shared" si="11"/>
        <v>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贷</v>
      </c>
      <c r="K368" s="9">
        <f t="shared" si="11"/>
        <v>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贷</v>
      </c>
      <c r="K369" s="9">
        <f t="shared" si="11"/>
        <v>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贷</v>
      </c>
      <c r="K370" s="9">
        <f t="shared" si="11"/>
        <v>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贷</v>
      </c>
      <c r="K371" s="9">
        <f t="shared" si="11"/>
        <v>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贷</v>
      </c>
      <c r="K372" s="9">
        <f t="shared" si="11"/>
        <v>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贷</v>
      </c>
      <c r="K373" s="9">
        <f t="shared" si="11"/>
        <v>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贷</v>
      </c>
      <c r="K374" s="9">
        <f t="shared" si="11"/>
        <v>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贷</v>
      </c>
      <c r="K375" s="9">
        <f t="shared" si="11"/>
        <v>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贷</v>
      </c>
      <c r="K376" s="9">
        <f t="shared" si="11"/>
        <v>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贷</v>
      </c>
      <c r="K377" s="9">
        <f t="shared" si="11"/>
        <v>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贷</v>
      </c>
      <c r="K378" s="9">
        <f t="shared" si="11"/>
        <v>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贷</v>
      </c>
      <c r="K379" s="9">
        <f t="shared" si="11"/>
        <v>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贷</v>
      </c>
      <c r="K380" s="9">
        <f t="shared" si="11"/>
        <v>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贷</v>
      </c>
      <c r="K381" s="9">
        <f t="shared" si="11"/>
        <v>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贷</v>
      </c>
      <c r="K382" s="9">
        <f t="shared" si="11"/>
        <v>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贷</v>
      </c>
      <c r="K383" s="9">
        <f t="shared" si="11"/>
        <v>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贷</v>
      </c>
      <c r="K384" s="9">
        <f t="shared" si="11"/>
        <v>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贷</v>
      </c>
      <c r="K385" s="9">
        <f t="shared" si="11"/>
        <v>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贷</v>
      </c>
      <c r="K386" s="9">
        <f t="shared" si="11"/>
        <v>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贷</v>
      </c>
      <c r="K387" s="9">
        <f t="shared" si="11"/>
        <v>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贷</v>
      </c>
      <c r="K388" s="9">
        <f t="shared" si="11"/>
        <v>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贷</v>
      </c>
      <c r="K389" s="9">
        <f t="shared" si="11"/>
        <v>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贷</v>
      </c>
      <c r="K390" s="9">
        <f t="shared" ref="K390:K453" si="13">K389+H390-I390</f>
        <v>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贷</v>
      </c>
      <c r="K391" s="9">
        <f t="shared" si="13"/>
        <v>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贷</v>
      </c>
      <c r="K392" s="9">
        <f t="shared" si="13"/>
        <v>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贷</v>
      </c>
      <c r="K393" s="9">
        <f t="shared" si="13"/>
        <v>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贷</v>
      </c>
      <c r="K394" s="9">
        <f t="shared" si="13"/>
        <v>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贷</v>
      </c>
      <c r="K395" s="9">
        <f t="shared" si="13"/>
        <v>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贷</v>
      </c>
      <c r="K396" s="9">
        <f t="shared" si="13"/>
        <v>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贷</v>
      </c>
      <c r="K397" s="9">
        <f t="shared" si="13"/>
        <v>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贷</v>
      </c>
      <c r="K398" s="9">
        <f t="shared" si="13"/>
        <v>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贷</v>
      </c>
      <c r="K399" s="9">
        <f t="shared" si="13"/>
        <v>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贷</v>
      </c>
      <c r="K400" s="9">
        <f t="shared" si="13"/>
        <v>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贷</v>
      </c>
      <c r="K401" s="9">
        <f t="shared" si="13"/>
        <v>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贷</v>
      </c>
      <c r="K402" s="9">
        <f t="shared" si="13"/>
        <v>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贷</v>
      </c>
      <c r="K403" s="9">
        <f t="shared" si="13"/>
        <v>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贷</v>
      </c>
      <c r="K404" s="9">
        <f t="shared" si="13"/>
        <v>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贷</v>
      </c>
      <c r="K405" s="9">
        <f t="shared" si="13"/>
        <v>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贷</v>
      </c>
      <c r="K406" s="9">
        <f t="shared" si="13"/>
        <v>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贷</v>
      </c>
      <c r="K407" s="9">
        <f t="shared" si="13"/>
        <v>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贷</v>
      </c>
      <c r="K408" s="9">
        <f t="shared" si="13"/>
        <v>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贷</v>
      </c>
      <c r="K409" s="9">
        <f t="shared" si="13"/>
        <v>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贷</v>
      </c>
      <c r="K410" s="9">
        <f t="shared" si="13"/>
        <v>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贷</v>
      </c>
      <c r="K411" s="9">
        <f t="shared" si="13"/>
        <v>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贷</v>
      </c>
      <c r="K412" s="9">
        <f t="shared" si="13"/>
        <v>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贷</v>
      </c>
      <c r="K413" s="9">
        <f t="shared" si="13"/>
        <v>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贷</v>
      </c>
      <c r="K414" s="9">
        <f t="shared" si="13"/>
        <v>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贷</v>
      </c>
      <c r="K415" s="9">
        <f t="shared" si="13"/>
        <v>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贷</v>
      </c>
      <c r="K416" s="9">
        <f t="shared" si="13"/>
        <v>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贷</v>
      </c>
      <c r="K417" s="9">
        <f t="shared" si="13"/>
        <v>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贷</v>
      </c>
      <c r="K418" s="9">
        <f t="shared" si="13"/>
        <v>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贷</v>
      </c>
      <c r="K419" s="9">
        <f t="shared" si="13"/>
        <v>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贷</v>
      </c>
      <c r="K420" s="9">
        <f t="shared" si="13"/>
        <v>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贷</v>
      </c>
      <c r="K421" s="9">
        <f t="shared" si="13"/>
        <v>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贷</v>
      </c>
      <c r="K422" s="9">
        <f t="shared" si="13"/>
        <v>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贷</v>
      </c>
      <c r="K423" s="9">
        <f t="shared" si="13"/>
        <v>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贷</v>
      </c>
      <c r="K424" s="9">
        <f t="shared" si="13"/>
        <v>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贷</v>
      </c>
      <c r="K425" s="9">
        <f t="shared" si="13"/>
        <v>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贷</v>
      </c>
      <c r="K426" s="9">
        <f t="shared" si="13"/>
        <v>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贷</v>
      </c>
      <c r="K427" s="9">
        <f t="shared" si="13"/>
        <v>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贷</v>
      </c>
      <c r="K428" s="9">
        <f t="shared" si="13"/>
        <v>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贷</v>
      </c>
      <c r="K429" s="9">
        <f t="shared" si="13"/>
        <v>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贷</v>
      </c>
      <c r="K430" s="9">
        <f t="shared" si="13"/>
        <v>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贷</v>
      </c>
      <c r="K431" s="9">
        <f t="shared" si="13"/>
        <v>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贷</v>
      </c>
      <c r="K432" s="9">
        <f t="shared" si="13"/>
        <v>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贷</v>
      </c>
      <c r="K433" s="9">
        <f t="shared" si="13"/>
        <v>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贷</v>
      </c>
      <c r="K434" s="9">
        <f t="shared" si="13"/>
        <v>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贷</v>
      </c>
      <c r="K435" s="9">
        <f t="shared" si="13"/>
        <v>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贷</v>
      </c>
      <c r="K436" s="9">
        <f t="shared" si="13"/>
        <v>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贷</v>
      </c>
      <c r="K437" s="9">
        <f t="shared" si="13"/>
        <v>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贷</v>
      </c>
      <c r="K438" s="9">
        <f t="shared" si="13"/>
        <v>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贷</v>
      </c>
      <c r="K439" s="9">
        <f t="shared" si="13"/>
        <v>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贷</v>
      </c>
      <c r="K440" s="9">
        <f t="shared" si="13"/>
        <v>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贷</v>
      </c>
      <c r="K441" s="9">
        <f t="shared" si="13"/>
        <v>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贷</v>
      </c>
      <c r="K442" s="9">
        <f t="shared" si="13"/>
        <v>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贷</v>
      </c>
      <c r="K443" s="9">
        <f t="shared" si="13"/>
        <v>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贷</v>
      </c>
      <c r="K444" s="9">
        <f t="shared" si="13"/>
        <v>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贷</v>
      </c>
      <c r="K445" s="9">
        <f t="shared" si="13"/>
        <v>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贷</v>
      </c>
      <c r="K446" s="9">
        <f t="shared" si="13"/>
        <v>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贷</v>
      </c>
      <c r="K447" s="9">
        <f t="shared" si="13"/>
        <v>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贷</v>
      </c>
      <c r="K448" s="9">
        <f t="shared" si="13"/>
        <v>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贷</v>
      </c>
      <c r="K449" s="9">
        <f t="shared" si="13"/>
        <v>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贷</v>
      </c>
      <c r="K450" s="9">
        <f t="shared" si="13"/>
        <v>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贷</v>
      </c>
      <c r="K451" s="9">
        <f t="shared" si="13"/>
        <v>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贷</v>
      </c>
      <c r="K452" s="9">
        <f t="shared" si="13"/>
        <v>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贷</v>
      </c>
      <c r="K453" s="9">
        <f t="shared" si="13"/>
        <v>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贷</v>
      </c>
      <c r="K454" s="9">
        <f t="shared" ref="K454:K498" si="15">K453+H454-I454</f>
        <v>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贷</v>
      </c>
      <c r="K455" s="9">
        <f t="shared" si="15"/>
        <v>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贷</v>
      </c>
      <c r="K456" s="9">
        <f t="shared" si="15"/>
        <v>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贷</v>
      </c>
      <c r="K457" s="9">
        <f t="shared" si="15"/>
        <v>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贷</v>
      </c>
      <c r="K458" s="9">
        <f t="shared" si="15"/>
        <v>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贷</v>
      </c>
      <c r="K459" s="9">
        <f t="shared" si="15"/>
        <v>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贷</v>
      </c>
      <c r="K460" s="9">
        <f t="shared" si="15"/>
        <v>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贷</v>
      </c>
      <c r="K461" s="9">
        <f t="shared" si="15"/>
        <v>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贷</v>
      </c>
      <c r="K462" s="9">
        <f t="shared" si="15"/>
        <v>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贷</v>
      </c>
      <c r="K463" s="9">
        <f t="shared" si="15"/>
        <v>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贷</v>
      </c>
      <c r="K464" s="9">
        <f t="shared" si="15"/>
        <v>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贷</v>
      </c>
      <c r="K465" s="9">
        <f t="shared" si="15"/>
        <v>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贷</v>
      </c>
      <c r="K466" s="9">
        <f t="shared" si="15"/>
        <v>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贷</v>
      </c>
      <c r="K467" s="9">
        <f t="shared" si="15"/>
        <v>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贷</v>
      </c>
      <c r="K468" s="9">
        <f t="shared" si="15"/>
        <v>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贷</v>
      </c>
      <c r="K469" s="9">
        <f t="shared" si="15"/>
        <v>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贷</v>
      </c>
      <c r="K470" s="9">
        <f t="shared" si="15"/>
        <v>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贷</v>
      </c>
      <c r="K471" s="9">
        <f t="shared" si="15"/>
        <v>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贷</v>
      </c>
      <c r="K472" s="9">
        <f t="shared" si="15"/>
        <v>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贷</v>
      </c>
      <c r="K473" s="9">
        <f t="shared" si="15"/>
        <v>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贷</v>
      </c>
      <c r="K474" s="9">
        <f t="shared" si="15"/>
        <v>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贷</v>
      </c>
      <c r="K475" s="9">
        <f t="shared" si="15"/>
        <v>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贷</v>
      </c>
      <c r="K476" s="9">
        <f t="shared" si="15"/>
        <v>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贷</v>
      </c>
      <c r="K477" s="9">
        <f t="shared" si="15"/>
        <v>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贷</v>
      </c>
      <c r="K478" s="9">
        <f t="shared" si="15"/>
        <v>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贷</v>
      </c>
      <c r="K479" s="9">
        <f t="shared" si="15"/>
        <v>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贷</v>
      </c>
      <c r="K480" s="9">
        <f t="shared" si="15"/>
        <v>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贷</v>
      </c>
      <c r="K481" s="9">
        <f t="shared" si="15"/>
        <v>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贷</v>
      </c>
      <c r="K482" s="9">
        <f t="shared" si="15"/>
        <v>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贷</v>
      </c>
      <c r="K483" s="9">
        <f t="shared" si="15"/>
        <v>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贷</v>
      </c>
      <c r="K484" s="9">
        <f t="shared" si="15"/>
        <v>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贷</v>
      </c>
      <c r="K485" s="9">
        <f t="shared" si="15"/>
        <v>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贷</v>
      </c>
      <c r="K486" s="9">
        <f t="shared" si="15"/>
        <v>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贷</v>
      </c>
      <c r="K487" s="9">
        <f t="shared" si="15"/>
        <v>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贷</v>
      </c>
      <c r="K488" s="9">
        <f t="shared" si="15"/>
        <v>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贷</v>
      </c>
      <c r="K489" s="9">
        <f t="shared" si="15"/>
        <v>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贷</v>
      </c>
      <c r="K490" s="9">
        <f t="shared" si="15"/>
        <v>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贷</v>
      </c>
      <c r="K491" s="9">
        <f t="shared" si="15"/>
        <v>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贷</v>
      </c>
      <c r="K492" s="9">
        <f t="shared" si="15"/>
        <v>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贷</v>
      </c>
      <c r="K493" s="9">
        <f t="shared" si="15"/>
        <v>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贷</v>
      </c>
      <c r="K494" s="9">
        <f t="shared" si="15"/>
        <v>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贷</v>
      </c>
      <c r="K495" s="9">
        <f t="shared" si="15"/>
        <v>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贷</v>
      </c>
      <c r="K496" s="9">
        <f t="shared" si="15"/>
        <v>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贷</v>
      </c>
      <c r="K497" s="9">
        <f t="shared" si="15"/>
        <v>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贷</v>
      </c>
      <c r="K498" s="9">
        <f t="shared" si="15"/>
        <v>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600-000000000000}"/>
    <dataValidation type="list" allowBlank="1" showInputMessage="1" showErrorMessage="1" sqref="G5:G1048576" xr:uid="{00000000-0002-0000-0600-000001000000}">
      <formula1>#REF!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98"/>
  <sheetViews>
    <sheetView topLeftCell="B1"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59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99"/>
      <c r="M27" s="99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99"/>
      <c r="M28" s="99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99"/>
      <c r="M29" s="99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99"/>
      <c r="M30" s="99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99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99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99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700-000000000000}"/>
    <dataValidation type="list" allowBlank="1" showInputMessage="1" showErrorMessage="1" sqref="G5:G1048576" xr:uid="{00000000-0002-0000-0700-000001000000}">
      <formula1>#REF!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16"/>
  <sheetViews>
    <sheetView workbookViewId="0">
      <selection activeCell="E18" sqref="E18"/>
    </sheetView>
  </sheetViews>
  <sheetFormatPr defaultColWidth="9" defaultRowHeight="20.100000000000001" customHeight="1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3.1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  <c r="L1" s="2"/>
    </row>
    <row r="2" spans="1:13" ht="20.100000000000001" customHeight="1" x14ac:dyDescent="0.15">
      <c r="B2" t="s">
        <v>60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SUM(H5:H190019)</f>
        <v>10000</v>
      </c>
      <c r="I3" s="4">
        <f>SUM(I5:I190019)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7" t="s">
        <v>40</v>
      </c>
      <c r="E6" s="7"/>
      <c r="F6" s="7" t="s">
        <v>41</v>
      </c>
      <c r="G6" s="7" t="s">
        <v>42</v>
      </c>
      <c r="H6" s="8">
        <v>10000</v>
      </c>
      <c r="I6" s="8"/>
      <c r="J6" s="8" t="str">
        <f t="shared" ref="J6:J15" si="0">IF((K5+H6-I6)&gt;0,"借","贷")</f>
        <v>借</v>
      </c>
      <c r="K6" s="9">
        <f t="shared" ref="K6:K15" si="1">K5+H6-I6</f>
        <v>11000</v>
      </c>
      <c r="L6" s="28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7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  <c r="L7" s="28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10"/>
      <c r="E11" s="10"/>
      <c r="F11" s="7"/>
      <c r="G11" s="7"/>
      <c r="H11" s="8"/>
      <c r="I11" s="8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7"/>
      <c r="G12" s="7"/>
      <c r="H12" s="8"/>
      <c r="I12" s="8"/>
      <c r="J12" s="8" t="str">
        <f t="shared" si="0"/>
        <v>借</v>
      </c>
      <c r="K12" s="9">
        <f t="shared" si="1"/>
        <v>890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7"/>
      <c r="G13" s="7"/>
      <c r="H13" s="8"/>
      <c r="I13" s="8"/>
      <c r="J13" s="8" t="str">
        <f t="shared" si="0"/>
        <v>借</v>
      </c>
      <c r="K13" s="9">
        <f t="shared" si="1"/>
        <v>890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10"/>
      <c r="J15" s="8" t="str">
        <f t="shared" si="0"/>
        <v>借</v>
      </c>
      <c r="K15" s="9">
        <f t="shared" si="1"/>
        <v>890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10"/>
      <c r="J16" s="8" t="str">
        <f t="shared" ref="J16:J70" si="2">IF((K15+H16-I16)&gt;0,"借","贷")</f>
        <v>借</v>
      </c>
      <c r="K16" s="9">
        <f t="shared" ref="K16:K70" si="3">K15+H16-I16</f>
        <v>890</v>
      </c>
      <c r="L16" s="28"/>
    </row>
    <row r="17" spans="1:12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10"/>
      <c r="J17" s="8" t="str">
        <f t="shared" si="2"/>
        <v>借</v>
      </c>
      <c r="K17" s="9">
        <f t="shared" si="3"/>
        <v>890</v>
      </c>
      <c r="L17" s="28"/>
    </row>
    <row r="18" spans="1:12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10"/>
      <c r="J18" s="8" t="str">
        <f t="shared" si="2"/>
        <v>借</v>
      </c>
      <c r="K18" s="9">
        <f t="shared" si="3"/>
        <v>890</v>
      </c>
      <c r="L18" s="28"/>
    </row>
    <row r="19" spans="1:12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10"/>
      <c r="J19" s="8" t="str">
        <f t="shared" si="2"/>
        <v>借</v>
      </c>
      <c r="K19" s="9">
        <f t="shared" si="3"/>
        <v>890</v>
      </c>
      <c r="L19" s="28"/>
    </row>
    <row r="20" spans="1:12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10"/>
      <c r="J20" s="8" t="str">
        <f t="shared" si="2"/>
        <v>借</v>
      </c>
      <c r="K20" s="9">
        <f t="shared" si="3"/>
        <v>890</v>
      </c>
      <c r="L20" s="28"/>
    </row>
    <row r="21" spans="1:12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10"/>
      <c r="J21" s="8" t="str">
        <f t="shared" si="2"/>
        <v>借</v>
      </c>
      <c r="K21" s="9">
        <f t="shared" si="3"/>
        <v>890</v>
      </c>
      <c r="L21" s="28"/>
    </row>
    <row r="22" spans="1:12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10"/>
      <c r="J22" s="8" t="str">
        <f t="shared" si="2"/>
        <v>借</v>
      </c>
      <c r="K22" s="9">
        <f t="shared" si="3"/>
        <v>890</v>
      </c>
      <c r="L22" s="28"/>
    </row>
    <row r="23" spans="1:12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10"/>
      <c r="J23" s="8" t="str">
        <f t="shared" si="2"/>
        <v>借</v>
      </c>
      <c r="K23" s="9">
        <f t="shared" si="3"/>
        <v>890</v>
      </c>
      <c r="L23" s="28"/>
    </row>
    <row r="24" spans="1:12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10"/>
      <c r="J24" s="8" t="str">
        <f t="shared" si="2"/>
        <v>借</v>
      </c>
      <c r="K24" s="9">
        <f t="shared" si="3"/>
        <v>890</v>
      </c>
      <c r="L24" s="28"/>
    </row>
    <row r="25" spans="1:12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36"/>
      <c r="J25" s="8" t="str">
        <f t="shared" si="2"/>
        <v>借</v>
      </c>
      <c r="K25" s="9">
        <f t="shared" si="3"/>
        <v>890</v>
      </c>
      <c r="L25" s="28"/>
    </row>
    <row r="26" spans="1:12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36"/>
      <c r="J26" s="8" t="str">
        <f t="shared" si="2"/>
        <v>借</v>
      </c>
      <c r="K26" s="9">
        <f t="shared" si="3"/>
        <v>890</v>
      </c>
      <c r="L26" s="28"/>
    </row>
    <row r="27" spans="1:12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36"/>
      <c r="J27" s="8" t="str">
        <f t="shared" si="2"/>
        <v>借</v>
      </c>
      <c r="K27" s="9">
        <f t="shared" si="3"/>
        <v>890</v>
      </c>
      <c r="L27" s="28"/>
    </row>
    <row r="28" spans="1:12" ht="20.100000000000001" customHeight="1" x14ac:dyDescent="0.15">
      <c r="A28" s="5"/>
      <c r="B28" s="5"/>
      <c r="C28" s="5"/>
      <c r="D28" s="10"/>
      <c r="E28" s="11"/>
      <c r="F28" s="10"/>
      <c r="G28" s="10"/>
      <c r="H28" s="8"/>
      <c r="I28" s="36"/>
      <c r="J28" s="8" t="str">
        <f t="shared" si="2"/>
        <v>借</v>
      </c>
      <c r="K28" s="9">
        <f t="shared" si="3"/>
        <v>890</v>
      </c>
      <c r="L28" s="28"/>
    </row>
    <row r="29" spans="1:12" ht="20.100000000000001" customHeight="1" x14ac:dyDescent="0.15">
      <c r="A29" s="5"/>
      <c r="B29" s="5"/>
      <c r="C29" s="5"/>
      <c r="D29" s="10"/>
      <c r="E29" s="11"/>
      <c r="F29" s="10"/>
      <c r="G29" s="10"/>
      <c r="H29" s="8"/>
      <c r="I29" s="8"/>
      <c r="J29" s="8" t="str">
        <f t="shared" si="2"/>
        <v>借</v>
      </c>
      <c r="K29" s="9">
        <f t="shared" si="3"/>
        <v>890</v>
      </c>
      <c r="L29" s="28"/>
    </row>
    <row r="30" spans="1:12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890</v>
      </c>
      <c r="L30" s="28"/>
    </row>
    <row r="31" spans="1:12" ht="20.100000000000001" customHeight="1" x14ac:dyDescent="0.15">
      <c r="A31" s="5"/>
      <c r="B31" s="5"/>
      <c r="C31" s="5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890</v>
      </c>
      <c r="L31" s="28"/>
    </row>
    <row r="32" spans="1:12" ht="20.100000000000001" customHeight="1" x14ac:dyDescent="0.15">
      <c r="A32" s="5"/>
      <c r="B32" s="5"/>
      <c r="C32" s="5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890</v>
      </c>
      <c r="L32" s="28"/>
    </row>
    <row r="33" spans="1:12" ht="20.100000000000001" customHeight="1" x14ac:dyDescent="0.15">
      <c r="A33" s="5"/>
      <c r="B33" s="5"/>
      <c r="C33" s="5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890</v>
      </c>
      <c r="L33" s="28"/>
    </row>
    <row r="34" spans="1:12" ht="20.100000000000001" customHeight="1" x14ac:dyDescent="0.15">
      <c r="A34" s="5"/>
      <c r="B34" s="5"/>
      <c r="C34" s="5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890</v>
      </c>
      <c r="L34" s="28"/>
    </row>
    <row r="35" spans="1:12" ht="20.100000000000001" customHeight="1" x14ac:dyDescent="0.15">
      <c r="A35" s="5"/>
      <c r="B35" s="5"/>
      <c r="C35" s="5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890</v>
      </c>
      <c r="L35" s="28"/>
    </row>
    <row r="36" spans="1:12" ht="20.100000000000001" customHeight="1" x14ac:dyDescent="0.15">
      <c r="A36" s="5"/>
      <c r="B36" s="5"/>
      <c r="C36" s="5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890</v>
      </c>
      <c r="L36" s="28"/>
    </row>
    <row r="37" spans="1:12" ht="20.100000000000001" customHeight="1" x14ac:dyDescent="0.15">
      <c r="A37" s="5"/>
      <c r="B37" s="5"/>
      <c r="C37" s="5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890</v>
      </c>
      <c r="L37" s="28"/>
    </row>
    <row r="38" spans="1:12" ht="20.100000000000001" customHeight="1" x14ac:dyDescent="0.15">
      <c r="A38" s="5"/>
      <c r="B38" s="5"/>
      <c r="C38" s="5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890</v>
      </c>
      <c r="L38" s="28"/>
    </row>
    <row r="39" spans="1:12" ht="20.100000000000001" customHeight="1" x14ac:dyDescent="0.15">
      <c r="A39" s="5"/>
      <c r="B39" s="5"/>
      <c r="C39" s="5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890</v>
      </c>
      <c r="L39" s="28"/>
    </row>
    <row r="40" spans="1:12" ht="20.100000000000001" customHeight="1" x14ac:dyDescent="0.15">
      <c r="A40" s="5"/>
      <c r="B40" s="5"/>
      <c r="C40" s="5"/>
      <c r="D40" s="10"/>
      <c r="E40" s="10"/>
      <c r="F40" s="10"/>
      <c r="G40" s="10"/>
      <c r="H40" s="8"/>
      <c r="I40" s="36"/>
      <c r="J40" s="8" t="str">
        <f t="shared" si="2"/>
        <v>借</v>
      </c>
      <c r="K40" s="9">
        <f t="shared" si="3"/>
        <v>890</v>
      </c>
      <c r="L40" s="28"/>
    </row>
    <row r="41" spans="1:12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36"/>
      <c r="J41" s="8" t="str">
        <f t="shared" si="2"/>
        <v>借</v>
      </c>
      <c r="K41" s="9">
        <f t="shared" si="3"/>
        <v>890</v>
      </c>
      <c r="L41" s="28"/>
    </row>
    <row r="42" spans="1:12" ht="20.100000000000001" customHeight="1" x14ac:dyDescent="0.15">
      <c r="A42" s="5"/>
      <c r="B42" s="5"/>
      <c r="C42" s="10"/>
      <c r="D42" s="10"/>
      <c r="E42" s="10"/>
      <c r="F42" s="10"/>
      <c r="G42" s="10"/>
      <c r="H42" s="36"/>
      <c r="I42" s="36"/>
      <c r="J42" s="8" t="str">
        <f t="shared" si="2"/>
        <v>借</v>
      </c>
      <c r="K42" s="9">
        <f t="shared" si="3"/>
        <v>890</v>
      </c>
      <c r="L42" s="28"/>
    </row>
    <row r="43" spans="1:12" ht="20.100000000000001" customHeight="1" x14ac:dyDescent="0.15">
      <c r="A43" s="5"/>
      <c r="B43" s="5"/>
      <c r="C43" s="10"/>
      <c r="D43" s="10"/>
      <c r="E43" s="10"/>
      <c r="F43" s="10"/>
      <c r="G43" s="10"/>
      <c r="H43" s="36"/>
      <c r="I43" s="36"/>
      <c r="J43" s="8" t="str">
        <f t="shared" si="2"/>
        <v>借</v>
      </c>
      <c r="K43" s="9">
        <f t="shared" si="3"/>
        <v>890</v>
      </c>
      <c r="L43" s="28"/>
    </row>
    <row r="44" spans="1:12" ht="20.100000000000001" customHeight="1" x14ac:dyDescent="0.15">
      <c r="A44" s="5"/>
      <c r="B44" s="5"/>
      <c r="C44" s="10"/>
      <c r="D44" s="10"/>
      <c r="E44" s="10"/>
      <c r="F44" s="10"/>
      <c r="G44" s="10"/>
      <c r="H44" s="36"/>
      <c r="I44" s="36"/>
      <c r="J44" s="8" t="str">
        <f t="shared" si="2"/>
        <v>借</v>
      </c>
      <c r="K44" s="9">
        <f t="shared" si="3"/>
        <v>890</v>
      </c>
      <c r="L44" s="28"/>
    </row>
    <row r="45" spans="1:12" ht="20.100000000000001" customHeight="1" x14ac:dyDescent="0.15">
      <c r="A45" s="5"/>
      <c r="B45" s="5"/>
      <c r="C45" s="10"/>
      <c r="D45" s="10"/>
      <c r="E45" s="10"/>
      <c r="F45" s="10"/>
      <c r="G45" s="10"/>
      <c r="H45" s="36"/>
      <c r="I45" s="36"/>
      <c r="J45" s="8" t="str">
        <f t="shared" si="2"/>
        <v>借</v>
      </c>
      <c r="K45" s="9">
        <f t="shared" si="3"/>
        <v>890</v>
      </c>
      <c r="L45" s="28"/>
    </row>
    <row r="46" spans="1:12" ht="20.100000000000001" customHeight="1" x14ac:dyDescent="0.15">
      <c r="A46" s="5"/>
      <c r="B46" s="5"/>
      <c r="C46" s="10"/>
      <c r="D46" s="10"/>
      <c r="E46" s="10"/>
      <c r="F46" s="10"/>
      <c r="G46" s="10"/>
      <c r="H46" s="36"/>
      <c r="I46" s="36"/>
      <c r="J46" s="8" t="str">
        <f t="shared" si="2"/>
        <v>借</v>
      </c>
      <c r="K46" s="9">
        <f t="shared" si="3"/>
        <v>890</v>
      </c>
      <c r="L46" s="28"/>
    </row>
    <row r="47" spans="1:12" ht="20.100000000000001" customHeight="1" x14ac:dyDescent="0.15">
      <c r="A47" s="5"/>
      <c r="B47" s="5"/>
      <c r="C47" s="10"/>
      <c r="D47" s="10"/>
      <c r="E47" s="10"/>
      <c r="F47" s="10"/>
      <c r="G47" s="10"/>
      <c r="H47" s="36"/>
      <c r="I47" s="36"/>
      <c r="J47" s="8" t="str">
        <f t="shared" si="2"/>
        <v>借</v>
      </c>
      <c r="K47" s="9">
        <f t="shared" si="3"/>
        <v>890</v>
      </c>
      <c r="L47" s="28"/>
    </row>
    <row r="48" spans="1:12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890</v>
      </c>
      <c r="L48" s="28"/>
    </row>
    <row r="49" spans="1:12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890</v>
      </c>
      <c r="L49" s="28"/>
    </row>
    <row r="50" spans="1:12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890</v>
      </c>
      <c r="L50" s="28"/>
    </row>
    <row r="51" spans="1:12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890</v>
      </c>
      <c r="L51" s="28"/>
    </row>
    <row r="52" spans="1:12" ht="20.100000000000001" customHeight="1" x14ac:dyDescent="0.15">
      <c r="A52" s="5"/>
      <c r="B52" s="5"/>
      <c r="C52" s="10"/>
      <c r="D52" s="48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890</v>
      </c>
      <c r="L52" s="28"/>
    </row>
    <row r="53" spans="1:12" ht="20.100000000000001" customHeight="1" x14ac:dyDescent="0.15">
      <c r="A53" s="5"/>
      <c r="B53" s="5"/>
      <c r="C53" s="10"/>
      <c r="D53" s="48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890</v>
      </c>
      <c r="L53" s="28"/>
    </row>
    <row r="54" spans="1:12" ht="20.100000000000001" customHeight="1" x14ac:dyDescent="0.15">
      <c r="A54" s="5"/>
      <c r="B54" s="5"/>
      <c r="C54" s="10"/>
      <c r="D54" s="49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890</v>
      </c>
      <c r="L54" s="28"/>
    </row>
    <row r="55" spans="1:12" ht="20.100000000000001" customHeight="1" x14ac:dyDescent="0.15">
      <c r="A55" s="5"/>
      <c r="B55" s="5"/>
      <c r="C55" s="10"/>
      <c r="D55" s="49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890</v>
      </c>
      <c r="L55" s="28"/>
    </row>
    <row r="56" spans="1:12" ht="20.100000000000001" customHeight="1" x14ac:dyDescent="0.15">
      <c r="A56" s="10"/>
      <c r="B56" s="5"/>
      <c r="C56" s="10"/>
      <c r="D56" s="49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890</v>
      </c>
      <c r="L56" s="28"/>
    </row>
    <row r="57" spans="1:12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890</v>
      </c>
      <c r="L57" s="28"/>
    </row>
    <row r="58" spans="1:12" ht="20.100000000000001" customHeight="1" x14ac:dyDescent="0.15">
      <c r="A58" s="10"/>
      <c r="B58" s="5"/>
      <c r="C58" s="10"/>
      <c r="D58" s="35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890</v>
      </c>
      <c r="L58" s="28"/>
    </row>
    <row r="59" spans="1:12" ht="20.100000000000001" customHeight="1" x14ac:dyDescent="0.15">
      <c r="A59" s="10"/>
      <c r="B59" s="5"/>
      <c r="C59" s="10"/>
      <c r="D59" s="35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890</v>
      </c>
      <c r="L59" s="28"/>
    </row>
    <row r="60" spans="1:12" ht="20.100000000000001" customHeight="1" x14ac:dyDescent="0.15">
      <c r="A60" s="10"/>
      <c r="B60" s="5"/>
      <c r="C60" s="10"/>
      <c r="D60" s="35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890</v>
      </c>
      <c r="L60" s="28"/>
    </row>
    <row r="61" spans="1:12" ht="20.100000000000001" customHeight="1" x14ac:dyDescent="0.15">
      <c r="A61" s="10"/>
      <c r="B61" s="5"/>
      <c r="C61" s="10"/>
      <c r="D61" s="35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890</v>
      </c>
      <c r="L61" s="28"/>
    </row>
    <row r="62" spans="1:12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890</v>
      </c>
      <c r="L62" s="28"/>
    </row>
    <row r="63" spans="1:12" ht="20.100000000000001" customHeight="1" x14ac:dyDescent="0.15">
      <c r="A63" s="10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890</v>
      </c>
      <c r="L63" s="28"/>
    </row>
    <row r="64" spans="1:12" ht="20.100000000000001" customHeight="1" x14ac:dyDescent="0.15">
      <c r="A64" s="10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890</v>
      </c>
      <c r="L64" s="28"/>
    </row>
    <row r="65" spans="1:12" ht="20.100000000000001" customHeight="1" x14ac:dyDescent="0.15">
      <c r="A65" s="5"/>
      <c r="B65" s="5"/>
      <c r="C65" s="10"/>
      <c r="D65" s="11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890</v>
      </c>
      <c r="L65" s="28"/>
    </row>
    <row r="66" spans="1:12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890</v>
      </c>
      <c r="L66" s="28"/>
    </row>
    <row r="67" spans="1:12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890</v>
      </c>
      <c r="L67" s="28"/>
    </row>
    <row r="68" spans="1:12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890</v>
      </c>
      <c r="L68" s="28"/>
    </row>
    <row r="69" spans="1:12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890</v>
      </c>
      <c r="L69" s="28"/>
    </row>
    <row r="70" spans="1:12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si="2"/>
        <v>借</v>
      </c>
      <c r="K70" s="9">
        <f t="shared" si="3"/>
        <v>890</v>
      </c>
      <c r="L70" s="28"/>
    </row>
    <row r="71" spans="1:12" ht="20.100000000000001" customHeight="1" x14ac:dyDescent="0.15">
      <c r="A71" s="10"/>
      <c r="B71" s="5"/>
      <c r="C71" s="10"/>
      <c r="D71" s="10"/>
      <c r="E71" s="10"/>
      <c r="F71" s="10"/>
      <c r="G71" s="10"/>
      <c r="H71" s="8"/>
      <c r="I71" s="15"/>
      <c r="J71" s="8" t="str">
        <f t="shared" ref="J71:J134" si="4">IF((K70+H71-I71)&gt;0,"借","贷")</f>
        <v>借</v>
      </c>
      <c r="K71" s="9">
        <f t="shared" ref="K71:K134" si="5">K70+H71-I71</f>
        <v>890</v>
      </c>
      <c r="L71" s="28"/>
    </row>
    <row r="72" spans="1:12" ht="20.100000000000001" customHeight="1" x14ac:dyDescent="0.15">
      <c r="A72" s="10"/>
      <c r="B72" s="5"/>
      <c r="C72" s="10"/>
      <c r="D72" s="10"/>
      <c r="E72" s="10"/>
      <c r="F72" s="10"/>
      <c r="G72" s="10"/>
      <c r="H72" s="8"/>
      <c r="I72" s="8"/>
      <c r="J72" s="8" t="str">
        <f t="shared" si="4"/>
        <v>借</v>
      </c>
      <c r="K72" s="9">
        <f t="shared" si="5"/>
        <v>890</v>
      </c>
      <c r="L72" s="28"/>
    </row>
    <row r="73" spans="1:12" ht="20.100000000000001" customHeight="1" x14ac:dyDescent="0.15">
      <c r="A73" s="5"/>
      <c r="B73" s="5"/>
      <c r="C73" s="10"/>
      <c r="D73" s="13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890</v>
      </c>
      <c r="L73" s="28"/>
    </row>
    <row r="74" spans="1:12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890</v>
      </c>
      <c r="L74" s="28"/>
    </row>
    <row r="75" spans="1:12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890</v>
      </c>
      <c r="L75" s="28"/>
    </row>
    <row r="76" spans="1:12" ht="20.100000000000001" customHeight="1" x14ac:dyDescent="0.15">
      <c r="A76" s="5"/>
      <c r="B76" s="5"/>
      <c r="C76" s="10"/>
      <c r="D76" s="35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890</v>
      </c>
      <c r="L76" s="28"/>
    </row>
    <row r="77" spans="1:12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890</v>
      </c>
      <c r="L77" s="28"/>
    </row>
    <row r="78" spans="1:12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890</v>
      </c>
      <c r="L78" s="28"/>
    </row>
    <row r="79" spans="1:12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8"/>
      <c r="J79" s="8" t="str">
        <f t="shared" si="4"/>
        <v>借</v>
      </c>
      <c r="K79" s="9">
        <f t="shared" si="5"/>
        <v>890</v>
      </c>
      <c r="L79" s="28"/>
    </row>
    <row r="80" spans="1:12" ht="20.100000000000001" customHeight="1" x14ac:dyDescent="0.15">
      <c r="A80" s="5"/>
      <c r="B80" s="5"/>
      <c r="C80" s="10"/>
      <c r="D80" s="11"/>
      <c r="E80" s="10"/>
      <c r="F80" s="10"/>
      <c r="G80" s="10"/>
      <c r="H80" s="8"/>
      <c r="I80" s="8"/>
      <c r="J80" s="8" t="str">
        <f t="shared" si="4"/>
        <v>借</v>
      </c>
      <c r="K80" s="9">
        <f t="shared" si="5"/>
        <v>890</v>
      </c>
      <c r="L80" s="28"/>
    </row>
    <row r="81" spans="1:12" ht="20.100000000000001" customHeight="1" x14ac:dyDescent="0.15">
      <c r="A81" s="10"/>
      <c r="B81" s="5"/>
      <c r="C81" s="10"/>
      <c r="D81" s="49"/>
      <c r="E81" s="10"/>
      <c r="F81" s="10"/>
      <c r="G81" s="10"/>
      <c r="H81" s="8"/>
      <c r="I81" s="8"/>
      <c r="J81" s="8" t="str">
        <f t="shared" si="4"/>
        <v>借</v>
      </c>
      <c r="K81" s="9">
        <f t="shared" si="5"/>
        <v>890</v>
      </c>
      <c r="L81" s="28"/>
    </row>
    <row r="82" spans="1:12" ht="20.100000000000001" customHeight="1" x14ac:dyDescent="0.15">
      <c r="A82" s="10"/>
      <c r="B82" s="5"/>
      <c r="C82" s="5"/>
      <c r="D82" s="35"/>
      <c r="E82" s="10"/>
      <c r="F82" s="10"/>
      <c r="G82" s="10"/>
      <c r="H82" s="8"/>
      <c r="I82" s="8"/>
      <c r="J82" s="8" t="str">
        <f t="shared" si="4"/>
        <v>借</v>
      </c>
      <c r="K82" s="9">
        <f t="shared" si="5"/>
        <v>890</v>
      </c>
      <c r="L82" s="28"/>
    </row>
    <row r="83" spans="1:12" ht="20.100000000000001" customHeight="1" x14ac:dyDescent="0.15">
      <c r="A83" s="5"/>
      <c r="B83" s="5"/>
      <c r="C83" s="5"/>
      <c r="D83" s="35"/>
      <c r="E83" s="10"/>
      <c r="F83" s="10"/>
      <c r="G83" s="10"/>
      <c r="H83" s="8"/>
      <c r="I83" s="15"/>
      <c r="J83" s="8" t="str">
        <f t="shared" si="4"/>
        <v>借</v>
      </c>
      <c r="K83" s="9">
        <f t="shared" si="5"/>
        <v>890</v>
      </c>
      <c r="L83" s="28"/>
    </row>
    <row r="84" spans="1:12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15"/>
      <c r="J84" s="8" t="str">
        <f t="shared" si="4"/>
        <v>借</v>
      </c>
      <c r="K84" s="9">
        <f t="shared" si="5"/>
        <v>890</v>
      </c>
      <c r="L84" s="28"/>
    </row>
    <row r="85" spans="1:12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15"/>
      <c r="J85" s="8" t="str">
        <f t="shared" si="4"/>
        <v>借</v>
      </c>
      <c r="K85" s="9">
        <f t="shared" si="5"/>
        <v>890</v>
      </c>
      <c r="L85" s="28"/>
    </row>
    <row r="86" spans="1:12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15"/>
      <c r="J86" s="8" t="str">
        <f t="shared" si="4"/>
        <v>借</v>
      </c>
      <c r="K86" s="9">
        <f t="shared" si="5"/>
        <v>890</v>
      </c>
      <c r="L86" s="28"/>
    </row>
    <row r="87" spans="1:12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15"/>
      <c r="J87" s="8" t="str">
        <f t="shared" si="4"/>
        <v>借</v>
      </c>
      <c r="K87" s="9">
        <f t="shared" si="5"/>
        <v>890</v>
      </c>
      <c r="L87" s="28"/>
    </row>
    <row r="88" spans="1:12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15"/>
      <c r="J88" s="8" t="str">
        <f t="shared" si="4"/>
        <v>借</v>
      </c>
      <c r="K88" s="9">
        <f t="shared" si="5"/>
        <v>890</v>
      </c>
      <c r="L88" s="28"/>
    </row>
    <row r="89" spans="1:12" ht="20.100000000000001" customHeight="1" x14ac:dyDescent="0.15">
      <c r="A89" s="5"/>
      <c r="B89" s="5"/>
      <c r="C89" s="5"/>
      <c r="D89" s="12"/>
      <c r="E89" s="10"/>
      <c r="F89" s="10"/>
      <c r="G89" s="10"/>
      <c r="H89" s="8"/>
      <c r="I89" s="15"/>
      <c r="J89" s="8" t="str">
        <f t="shared" si="4"/>
        <v>借</v>
      </c>
      <c r="K89" s="9">
        <f t="shared" si="5"/>
        <v>890</v>
      </c>
      <c r="L89" s="28"/>
    </row>
    <row r="90" spans="1:12" ht="20.100000000000001" customHeight="1" x14ac:dyDescent="0.15">
      <c r="A90" s="10"/>
      <c r="B90" s="5"/>
      <c r="C90" s="5"/>
      <c r="D90" s="12"/>
      <c r="E90" s="10"/>
      <c r="F90" s="10"/>
      <c r="G90" s="10"/>
      <c r="H90" s="8"/>
      <c r="I90" s="15"/>
      <c r="J90" s="8" t="str">
        <f t="shared" si="4"/>
        <v>借</v>
      </c>
      <c r="K90" s="9">
        <f t="shared" si="5"/>
        <v>890</v>
      </c>
      <c r="L90" s="28"/>
    </row>
    <row r="91" spans="1:12" ht="20.100000000000001" customHeight="1" x14ac:dyDescent="0.15">
      <c r="A91" s="10"/>
      <c r="B91" s="5"/>
      <c r="C91" s="5"/>
      <c r="D91" s="10"/>
      <c r="E91" s="10"/>
      <c r="F91" s="10"/>
      <c r="G91" s="10"/>
      <c r="H91" s="8"/>
      <c r="I91" s="15"/>
      <c r="J91" s="8" t="str">
        <f t="shared" si="4"/>
        <v>借</v>
      </c>
      <c r="K91" s="9">
        <f t="shared" si="5"/>
        <v>890</v>
      </c>
      <c r="L91" s="28"/>
    </row>
    <row r="92" spans="1:12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15"/>
      <c r="J92" s="8" t="str">
        <f t="shared" si="4"/>
        <v>借</v>
      </c>
      <c r="K92" s="9">
        <f t="shared" si="5"/>
        <v>890</v>
      </c>
      <c r="L92" s="28"/>
    </row>
    <row r="93" spans="1:12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15"/>
      <c r="J93" s="8" t="str">
        <f t="shared" si="4"/>
        <v>借</v>
      </c>
      <c r="K93" s="9">
        <f t="shared" si="5"/>
        <v>890</v>
      </c>
      <c r="L93" s="28"/>
    </row>
    <row r="94" spans="1:12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4"/>
        <v>借</v>
      </c>
      <c r="K94" s="9">
        <f t="shared" si="5"/>
        <v>890</v>
      </c>
      <c r="L94" s="28"/>
    </row>
    <row r="95" spans="1:12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15"/>
      <c r="J95" s="8" t="str">
        <f t="shared" si="4"/>
        <v>借</v>
      </c>
      <c r="K95" s="9">
        <f t="shared" si="5"/>
        <v>890</v>
      </c>
      <c r="L95" s="28"/>
    </row>
    <row r="96" spans="1:12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15"/>
      <c r="J96" s="8" t="str">
        <f t="shared" si="4"/>
        <v>借</v>
      </c>
      <c r="K96" s="9">
        <f t="shared" si="5"/>
        <v>890</v>
      </c>
      <c r="L96" s="28"/>
    </row>
    <row r="97" spans="1:12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15"/>
      <c r="J97" s="8" t="str">
        <f t="shared" si="4"/>
        <v>借</v>
      </c>
      <c r="K97" s="9">
        <f t="shared" si="5"/>
        <v>890</v>
      </c>
      <c r="L97" s="28"/>
    </row>
    <row r="98" spans="1:12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15"/>
      <c r="J98" s="8" t="str">
        <f t="shared" si="4"/>
        <v>借</v>
      </c>
      <c r="K98" s="9">
        <f t="shared" si="5"/>
        <v>890</v>
      </c>
      <c r="L98" s="28"/>
    </row>
    <row r="99" spans="1:12" ht="20.100000000000001" customHeight="1" x14ac:dyDescent="0.15">
      <c r="A99" s="10"/>
      <c r="B99" s="5"/>
      <c r="C99" s="5"/>
      <c r="D99" s="10"/>
      <c r="E99" s="10"/>
      <c r="F99" s="10"/>
      <c r="G99" s="10"/>
      <c r="H99" s="8"/>
      <c r="I99" s="15"/>
      <c r="J99" s="8" t="str">
        <f t="shared" si="4"/>
        <v>借</v>
      </c>
      <c r="K99" s="9">
        <f t="shared" si="5"/>
        <v>890</v>
      </c>
      <c r="L99" s="28"/>
    </row>
    <row r="100" spans="1:12" ht="20.100000000000001" customHeight="1" x14ac:dyDescent="0.15">
      <c r="A100" s="10"/>
      <c r="B100" s="5"/>
      <c r="C100" s="5"/>
      <c r="D100" s="10"/>
      <c r="E100" s="10"/>
      <c r="F100" s="10"/>
      <c r="G100" s="10"/>
      <c r="H100" s="8"/>
      <c r="I100" s="51"/>
      <c r="J100" s="8" t="str">
        <f t="shared" si="4"/>
        <v>借</v>
      </c>
      <c r="K100" s="9">
        <f t="shared" si="5"/>
        <v>890</v>
      </c>
      <c r="L100" s="28"/>
    </row>
    <row r="101" spans="1:12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15"/>
      <c r="J101" s="8" t="str">
        <f t="shared" si="4"/>
        <v>借</v>
      </c>
      <c r="K101" s="9">
        <f t="shared" si="5"/>
        <v>890</v>
      </c>
      <c r="L101" s="28"/>
    </row>
    <row r="102" spans="1:12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890</v>
      </c>
      <c r="L102" s="28"/>
    </row>
    <row r="103" spans="1:12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890</v>
      </c>
      <c r="L103" s="28"/>
    </row>
    <row r="104" spans="1:12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890</v>
      </c>
      <c r="L104" s="28"/>
    </row>
    <row r="105" spans="1:12" ht="20.100000000000001" customHeight="1" x14ac:dyDescent="0.15">
      <c r="A105" s="5"/>
      <c r="B105" s="5"/>
      <c r="C105" s="5"/>
      <c r="D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890</v>
      </c>
      <c r="L105" s="28"/>
    </row>
    <row r="106" spans="1:12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890</v>
      </c>
      <c r="L106" s="28"/>
    </row>
    <row r="107" spans="1:12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4"/>
        <v>借</v>
      </c>
      <c r="K107" s="9">
        <f t="shared" si="5"/>
        <v>890</v>
      </c>
      <c r="L107" s="28"/>
    </row>
    <row r="108" spans="1:12" ht="20.100000000000001" customHeight="1" x14ac:dyDescent="0.15">
      <c r="A108" s="10"/>
      <c r="B108" s="5"/>
      <c r="C108" s="5"/>
      <c r="D108" s="10"/>
      <c r="E108" s="10"/>
      <c r="F108" s="10"/>
      <c r="G108" s="10"/>
      <c r="H108" s="8"/>
      <c r="I108" s="15"/>
      <c r="J108" s="8" t="str">
        <f t="shared" si="4"/>
        <v>借</v>
      </c>
      <c r="K108" s="9">
        <f t="shared" si="5"/>
        <v>890</v>
      </c>
      <c r="L108" s="28"/>
    </row>
    <row r="109" spans="1:12" ht="20.100000000000001" customHeight="1" x14ac:dyDescent="0.15">
      <c r="A109" s="10"/>
      <c r="B109" s="5"/>
      <c r="C109" s="5"/>
      <c r="D109" s="10"/>
      <c r="E109" s="16"/>
      <c r="F109" s="10"/>
      <c r="G109" s="10"/>
      <c r="H109" s="8"/>
      <c r="I109" s="8"/>
      <c r="J109" s="8" t="str">
        <f t="shared" si="4"/>
        <v>借</v>
      </c>
      <c r="K109" s="9">
        <f t="shared" si="5"/>
        <v>890</v>
      </c>
      <c r="L109" s="28"/>
    </row>
    <row r="110" spans="1:12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4"/>
        <v>借</v>
      </c>
      <c r="K110" s="9">
        <f t="shared" si="5"/>
        <v>890</v>
      </c>
      <c r="L110" s="28"/>
    </row>
    <row r="111" spans="1:12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4"/>
        <v>借</v>
      </c>
      <c r="K111" s="9">
        <f t="shared" si="5"/>
        <v>890</v>
      </c>
      <c r="L111" s="28"/>
    </row>
    <row r="112" spans="1:12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890</v>
      </c>
      <c r="L112" s="28"/>
    </row>
    <row r="113" spans="1:12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890</v>
      </c>
      <c r="L113" s="28"/>
    </row>
    <row r="114" spans="1:12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890</v>
      </c>
      <c r="L114" s="28"/>
    </row>
    <row r="115" spans="1:12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890</v>
      </c>
      <c r="L115" s="28"/>
    </row>
    <row r="116" spans="1:12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890</v>
      </c>
      <c r="L116" s="28"/>
    </row>
    <row r="117" spans="1:12" ht="20.100000000000001" customHeight="1" x14ac:dyDescent="0.15">
      <c r="A117" s="10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890</v>
      </c>
      <c r="L117" s="28"/>
    </row>
    <row r="118" spans="1:12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890</v>
      </c>
      <c r="L118" s="28"/>
    </row>
    <row r="119" spans="1:12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890</v>
      </c>
      <c r="L119" s="28"/>
    </row>
    <row r="120" spans="1:12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890</v>
      </c>
      <c r="L120" s="28"/>
    </row>
    <row r="121" spans="1:12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890</v>
      </c>
      <c r="L121" s="28"/>
    </row>
    <row r="122" spans="1:12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890</v>
      </c>
      <c r="L122" s="28"/>
    </row>
    <row r="123" spans="1:12" ht="20.100000000000001" customHeight="1" x14ac:dyDescent="0.15">
      <c r="A123" s="5"/>
      <c r="B123" s="5"/>
      <c r="C123" s="5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890</v>
      </c>
      <c r="L123" s="28"/>
    </row>
    <row r="124" spans="1:12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4"/>
        <v>借</v>
      </c>
      <c r="K124" s="9">
        <f t="shared" si="5"/>
        <v>890</v>
      </c>
      <c r="L124" s="28"/>
    </row>
    <row r="125" spans="1:12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4"/>
        <v>借</v>
      </c>
      <c r="K125" s="9">
        <f t="shared" si="5"/>
        <v>890</v>
      </c>
      <c r="L125" s="28"/>
    </row>
    <row r="126" spans="1:12" ht="20.100000000000001" customHeight="1" x14ac:dyDescent="0.15">
      <c r="A126" s="10"/>
      <c r="B126" s="5"/>
      <c r="C126" s="5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890</v>
      </c>
      <c r="L126" s="28"/>
    </row>
    <row r="127" spans="1:12" ht="20.100000000000001" customHeight="1" x14ac:dyDescent="0.15">
      <c r="A127" s="10"/>
      <c r="B127" s="5"/>
      <c r="C127" s="5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890</v>
      </c>
      <c r="L127" s="28"/>
    </row>
    <row r="128" spans="1:12" ht="20.100000000000001" customHeight="1" x14ac:dyDescent="0.15">
      <c r="A128" s="5"/>
      <c r="B128" s="5"/>
      <c r="C128" s="5"/>
      <c r="D128" s="10"/>
      <c r="F128" s="10"/>
      <c r="G128" s="10"/>
      <c r="H128" s="8"/>
      <c r="I128" s="8"/>
      <c r="J128" s="8" t="str">
        <f t="shared" si="4"/>
        <v>借</v>
      </c>
      <c r="K128" s="9">
        <f t="shared" si="5"/>
        <v>890</v>
      </c>
      <c r="L128" s="28"/>
    </row>
    <row r="129" spans="1:12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5"/>
        <v>890</v>
      </c>
      <c r="L129" s="28"/>
    </row>
    <row r="130" spans="1:12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5"/>
        <v>890</v>
      </c>
      <c r="L130" s="28"/>
    </row>
    <row r="131" spans="1:12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4"/>
        <v>借</v>
      </c>
      <c r="K131" s="9">
        <f t="shared" si="5"/>
        <v>890</v>
      </c>
      <c r="L131" s="28"/>
    </row>
    <row r="132" spans="1:12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4"/>
        <v>借</v>
      </c>
      <c r="K132" s="9">
        <f t="shared" si="5"/>
        <v>890</v>
      </c>
      <c r="L132" s="28"/>
    </row>
    <row r="133" spans="1:12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4"/>
        <v>借</v>
      </c>
      <c r="K133" s="9">
        <f t="shared" si="5"/>
        <v>890</v>
      </c>
      <c r="L133" s="28"/>
    </row>
    <row r="134" spans="1:12" ht="20.100000000000001" customHeight="1" x14ac:dyDescent="0.15">
      <c r="A134" s="10"/>
      <c r="B134" s="5"/>
      <c r="C134" s="5"/>
      <c r="D134" s="10"/>
      <c r="E134" s="16"/>
      <c r="F134" s="10"/>
      <c r="G134" s="10"/>
      <c r="H134" s="8"/>
      <c r="I134" s="8"/>
      <c r="J134" s="8" t="str">
        <f t="shared" si="4"/>
        <v>借</v>
      </c>
      <c r="K134" s="9">
        <f t="shared" si="5"/>
        <v>890</v>
      </c>
      <c r="L134" s="28"/>
    </row>
    <row r="135" spans="1:12" ht="20.100000000000001" customHeight="1" x14ac:dyDescent="0.15">
      <c r="A135" s="10"/>
      <c r="B135" s="5"/>
      <c r="C135" s="5"/>
      <c r="D135" s="10"/>
      <c r="E135" s="16"/>
      <c r="F135" s="10"/>
      <c r="G135" s="10"/>
      <c r="H135" s="8"/>
      <c r="I135" s="8"/>
      <c r="J135" s="8" t="str">
        <f t="shared" ref="J135:J198" si="6">IF((K134+H135-I135)&gt;0,"借","贷")</f>
        <v>借</v>
      </c>
      <c r="K135" s="9">
        <f>K134+H135-I135</f>
        <v>890</v>
      </c>
      <c r="L135" s="28"/>
    </row>
    <row r="136" spans="1:12" ht="20.100000000000001" customHeight="1" x14ac:dyDescent="0.15">
      <c r="A136" s="5"/>
      <c r="B136" s="5"/>
      <c r="C136" s="5"/>
      <c r="D136" s="16"/>
      <c r="E136" s="16"/>
      <c r="F136" s="10"/>
      <c r="G136" s="10"/>
      <c r="H136" s="8"/>
      <c r="I136" s="8"/>
      <c r="J136" s="8" t="str">
        <f t="shared" si="6"/>
        <v>借</v>
      </c>
      <c r="K136" s="9">
        <f t="shared" ref="K136:K177" si="7">K135+H136-I136</f>
        <v>890</v>
      </c>
      <c r="L136" s="28"/>
    </row>
    <row r="137" spans="1:12" ht="20.100000000000001" customHeight="1" x14ac:dyDescent="0.15">
      <c r="A137" s="5"/>
      <c r="B137" s="5"/>
      <c r="C137" s="5"/>
      <c r="D137" s="16"/>
      <c r="E137" s="16"/>
      <c r="F137" s="10"/>
      <c r="G137" s="10"/>
      <c r="H137" s="8"/>
      <c r="I137" s="8"/>
      <c r="J137" s="8" t="str">
        <f t="shared" si="6"/>
        <v>借</v>
      </c>
      <c r="K137" s="9">
        <f t="shared" si="7"/>
        <v>890</v>
      </c>
      <c r="L137" s="28"/>
    </row>
    <row r="138" spans="1:12" ht="20.100000000000001" customHeight="1" x14ac:dyDescent="0.15">
      <c r="A138" s="5"/>
      <c r="B138" s="5"/>
      <c r="C138" s="5"/>
      <c r="D138" s="10"/>
      <c r="E138" s="16"/>
      <c r="F138" s="10"/>
      <c r="G138" s="10"/>
      <c r="H138" s="8"/>
      <c r="I138" s="8"/>
      <c r="J138" s="8" t="str">
        <f t="shared" si="6"/>
        <v>借</v>
      </c>
      <c r="K138" s="9">
        <f t="shared" si="7"/>
        <v>890</v>
      </c>
      <c r="L138" s="28"/>
    </row>
    <row r="139" spans="1:12" ht="20.100000000000001" customHeight="1" x14ac:dyDescent="0.15">
      <c r="A139" s="5"/>
      <c r="B139" s="5"/>
      <c r="C139" s="5"/>
      <c r="D139" s="10"/>
      <c r="E139" s="16"/>
      <c r="F139" s="10"/>
      <c r="G139" s="10"/>
      <c r="H139" s="8"/>
      <c r="I139" s="8"/>
      <c r="J139" s="8" t="str">
        <f t="shared" si="6"/>
        <v>借</v>
      </c>
      <c r="K139" s="9">
        <f t="shared" si="7"/>
        <v>890</v>
      </c>
      <c r="L139" s="28"/>
    </row>
    <row r="140" spans="1:12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890</v>
      </c>
      <c r="L140" s="28"/>
    </row>
    <row r="141" spans="1:12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890</v>
      </c>
      <c r="L141" s="28"/>
    </row>
    <row r="142" spans="1:12" ht="20.100000000000001" customHeight="1" x14ac:dyDescent="0.15">
      <c r="A142" s="10"/>
      <c r="B142" s="5"/>
      <c r="C142" s="5"/>
      <c r="D142" s="32"/>
      <c r="E142" s="10"/>
      <c r="F142" s="10"/>
      <c r="G142" s="10"/>
      <c r="H142" s="8"/>
      <c r="I142" s="8"/>
      <c r="J142" s="8" t="str">
        <f t="shared" si="6"/>
        <v>借</v>
      </c>
      <c r="K142" s="9">
        <f t="shared" si="7"/>
        <v>890</v>
      </c>
      <c r="L142" s="28"/>
    </row>
    <row r="143" spans="1:12" ht="20.100000000000001" customHeight="1" x14ac:dyDescent="0.15">
      <c r="A143" s="10"/>
      <c r="B143" s="5"/>
      <c r="C143" s="5"/>
      <c r="D143" s="10"/>
      <c r="E143" s="10"/>
      <c r="F143" s="10"/>
      <c r="G143" s="10"/>
      <c r="H143" s="8"/>
      <c r="I143" s="8"/>
      <c r="J143" s="8" t="str">
        <f t="shared" si="6"/>
        <v>借</v>
      </c>
      <c r="K143" s="9">
        <f t="shared" si="7"/>
        <v>890</v>
      </c>
      <c r="L143" s="28"/>
    </row>
    <row r="144" spans="1:12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6"/>
        <v>借</v>
      </c>
      <c r="K144" s="9">
        <f t="shared" si="7"/>
        <v>890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6"/>
        <v>借</v>
      </c>
      <c r="K145" s="9">
        <f t="shared" si="7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6"/>
        <v>借</v>
      </c>
      <c r="K146" s="9">
        <f t="shared" si="7"/>
        <v>890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6"/>
        <v>借</v>
      </c>
      <c r="K147" s="9">
        <f t="shared" si="7"/>
        <v>890</v>
      </c>
      <c r="L147" s="28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6"/>
        <v>借</v>
      </c>
      <c r="K148" s="9">
        <f t="shared" si="7"/>
        <v>890</v>
      </c>
      <c r="L148" s="28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6"/>
        <v>借</v>
      </c>
      <c r="K149" s="9">
        <f t="shared" si="7"/>
        <v>890</v>
      </c>
      <c r="L149" s="28"/>
    </row>
    <row r="150" spans="1:13" ht="20.100000000000001" customHeight="1" x14ac:dyDescent="0.15">
      <c r="A150" s="5"/>
      <c r="B150" s="5"/>
      <c r="C150" s="5"/>
      <c r="D150" s="48"/>
      <c r="E150" s="10"/>
      <c r="F150" s="10"/>
      <c r="G150" s="10"/>
      <c r="H150" s="8"/>
      <c r="I150" s="8"/>
      <c r="J150" s="8" t="str">
        <f t="shared" si="6"/>
        <v>借</v>
      </c>
      <c r="K150" s="9">
        <f t="shared" si="7"/>
        <v>890</v>
      </c>
      <c r="L150" s="28"/>
    </row>
    <row r="151" spans="1:13" ht="20.100000000000001" customHeight="1" x14ac:dyDescent="0.15">
      <c r="A151" s="5"/>
      <c r="B151" s="5"/>
      <c r="C151" s="5"/>
      <c r="D151" s="48"/>
      <c r="E151" s="10"/>
      <c r="F151" s="10"/>
      <c r="G151" s="10"/>
      <c r="H151" s="8"/>
      <c r="I151" s="8"/>
      <c r="J151" s="8" t="str">
        <f t="shared" si="6"/>
        <v>借</v>
      </c>
      <c r="K151" s="9">
        <f t="shared" si="7"/>
        <v>890</v>
      </c>
      <c r="L151" s="28"/>
    </row>
    <row r="152" spans="1:13" ht="20.100000000000001" customHeight="1" x14ac:dyDescent="0.15">
      <c r="A152" s="10"/>
      <c r="B152" s="5"/>
      <c r="C152" s="5"/>
      <c r="D152" s="48"/>
      <c r="E152" s="10"/>
      <c r="F152" s="10"/>
      <c r="G152" s="10"/>
      <c r="H152" s="8"/>
      <c r="I152" s="8"/>
      <c r="J152" s="8" t="str">
        <f t="shared" si="6"/>
        <v>借</v>
      </c>
      <c r="K152" s="9">
        <f t="shared" si="7"/>
        <v>890</v>
      </c>
      <c r="L152" s="28"/>
    </row>
    <row r="153" spans="1:13" ht="20.100000000000001" customHeight="1" x14ac:dyDescent="0.15">
      <c r="A153" s="10"/>
      <c r="B153" s="5"/>
      <c r="C153" s="5"/>
      <c r="D153" s="10"/>
      <c r="E153" s="10"/>
      <c r="F153" s="10"/>
      <c r="G153" s="10"/>
      <c r="H153" s="8"/>
      <c r="I153" s="8"/>
      <c r="J153" s="8" t="str">
        <f t="shared" si="6"/>
        <v>借</v>
      </c>
      <c r="K153" s="9">
        <f t="shared" si="7"/>
        <v>890</v>
      </c>
      <c r="L153" s="28"/>
    </row>
    <row r="154" spans="1:13" ht="20.100000000000001" customHeight="1" x14ac:dyDescent="0.15">
      <c r="A154" s="10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890</v>
      </c>
      <c r="L154" s="28"/>
      <c r="M154" s="99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890</v>
      </c>
      <c r="L155" s="28"/>
      <c r="M155" s="99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890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890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890</v>
      </c>
      <c r="L159" s="28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890</v>
      </c>
      <c r="L160" s="28"/>
    </row>
    <row r="161" spans="1:12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890</v>
      </c>
      <c r="L161" s="28"/>
    </row>
    <row r="162" spans="1:12" ht="20.100000000000001" customHeight="1" x14ac:dyDescent="0.15">
      <c r="A162" s="5"/>
      <c r="B162" s="5"/>
      <c r="C162" s="5"/>
      <c r="D162" s="10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890</v>
      </c>
      <c r="L162" s="28"/>
    </row>
    <row r="163" spans="1:12" ht="20.100000000000001" customHeight="1" x14ac:dyDescent="0.15">
      <c r="A163" s="5"/>
      <c r="B163" s="5"/>
      <c r="C163" s="5"/>
      <c r="D163" s="10"/>
      <c r="E163" s="10"/>
      <c r="F163" s="10"/>
      <c r="G163" s="10"/>
      <c r="H163" s="8"/>
      <c r="I163" s="8"/>
      <c r="J163" s="8" t="str">
        <f t="shared" si="6"/>
        <v>借</v>
      </c>
      <c r="K163" s="9">
        <f t="shared" si="7"/>
        <v>890</v>
      </c>
      <c r="L163" s="28"/>
    </row>
    <row r="164" spans="1:12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6"/>
        <v>借</v>
      </c>
      <c r="K164" s="9">
        <f t="shared" si="7"/>
        <v>890</v>
      </c>
      <c r="L164" s="28"/>
    </row>
    <row r="165" spans="1:12" ht="20.100000000000001" customHeight="1" x14ac:dyDescent="0.15">
      <c r="A165" s="10"/>
      <c r="B165" s="5"/>
      <c r="C165" s="5"/>
      <c r="D165" s="10"/>
      <c r="E165" s="18"/>
      <c r="F165" s="10"/>
      <c r="G165" s="10"/>
      <c r="H165" s="8"/>
      <c r="I165" s="8"/>
      <c r="J165" s="8" t="str">
        <f t="shared" si="6"/>
        <v>借</v>
      </c>
      <c r="K165" s="9">
        <f t="shared" si="7"/>
        <v>890</v>
      </c>
      <c r="L165" s="28"/>
    </row>
    <row r="166" spans="1:12" ht="20.100000000000001" customHeight="1" x14ac:dyDescent="0.15">
      <c r="A166" s="10"/>
      <c r="B166" s="5"/>
      <c r="C166" s="5"/>
      <c r="D166" s="10"/>
      <c r="E166" s="10"/>
      <c r="F166" s="10"/>
      <c r="G166" s="10"/>
      <c r="H166" s="8"/>
      <c r="I166" s="8"/>
      <c r="J166" s="8" t="str">
        <f t="shared" si="6"/>
        <v>借</v>
      </c>
      <c r="K166" s="9">
        <f t="shared" si="7"/>
        <v>890</v>
      </c>
      <c r="L166" s="28"/>
    </row>
    <row r="167" spans="1:12" ht="20.100000000000001" customHeight="1" x14ac:dyDescent="0.15">
      <c r="A167" s="10"/>
      <c r="B167" s="5"/>
      <c r="C167" s="5"/>
      <c r="D167" s="10"/>
      <c r="E167" s="10"/>
      <c r="F167" s="10"/>
      <c r="G167" s="10"/>
      <c r="H167" s="8"/>
      <c r="I167" s="8"/>
      <c r="J167" s="8" t="str">
        <f t="shared" si="6"/>
        <v>借</v>
      </c>
      <c r="K167" s="9">
        <f t="shared" si="7"/>
        <v>890</v>
      </c>
      <c r="L167" s="28"/>
    </row>
    <row r="168" spans="1:12" ht="20.100000000000001" customHeight="1" x14ac:dyDescent="0.15">
      <c r="A168" s="10"/>
      <c r="B168" s="5"/>
      <c r="C168" s="5"/>
      <c r="D168" s="10"/>
      <c r="E168" s="10"/>
      <c r="F168" s="10"/>
      <c r="G168" s="10"/>
      <c r="H168" s="8"/>
      <c r="I168" s="8"/>
      <c r="J168" s="8" t="str">
        <f t="shared" si="6"/>
        <v>借</v>
      </c>
      <c r="K168" s="9">
        <f t="shared" si="7"/>
        <v>890</v>
      </c>
      <c r="L168" s="28"/>
    </row>
    <row r="169" spans="1:12" ht="20.100000000000001" customHeight="1" x14ac:dyDescent="0.15">
      <c r="A169" s="10"/>
      <c r="B169" s="5"/>
      <c r="C169" s="5"/>
      <c r="D169" s="10"/>
      <c r="E169" s="10"/>
      <c r="F169" s="10"/>
      <c r="G169" s="10"/>
      <c r="H169" s="8"/>
      <c r="I169" s="8"/>
      <c r="J169" s="8" t="str">
        <f t="shared" si="6"/>
        <v>借</v>
      </c>
      <c r="K169" s="9">
        <f t="shared" si="7"/>
        <v>890</v>
      </c>
      <c r="L169" s="28"/>
    </row>
    <row r="170" spans="1:12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6"/>
        <v>借</v>
      </c>
      <c r="K170" s="9">
        <f t="shared" si="7"/>
        <v>890</v>
      </c>
      <c r="L170" s="28"/>
    </row>
    <row r="171" spans="1:12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6"/>
        <v>借</v>
      </c>
      <c r="K171" s="9">
        <f t="shared" si="7"/>
        <v>890</v>
      </c>
      <c r="L171" s="28"/>
    </row>
    <row r="172" spans="1:12" ht="20.100000000000001" customHeight="1" x14ac:dyDescent="0.15">
      <c r="A172" s="10"/>
      <c r="B172" s="5"/>
      <c r="C172" s="10"/>
      <c r="D172" s="35"/>
      <c r="E172" s="10"/>
      <c r="F172" s="10"/>
      <c r="G172" s="10"/>
      <c r="H172" s="8"/>
      <c r="I172" s="8"/>
      <c r="J172" s="8" t="str">
        <f t="shared" si="6"/>
        <v>借</v>
      </c>
      <c r="K172" s="9">
        <f t="shared" si="7"/>
        <v>890</v>
      </c>
      <c r="L172" s="28"/>
    </row>
    <row r="173" spans="1:12" ht="20.100000000000001" customHeight="1" x14ac:dyDescent="0.15">
      <c r="A173" s="10"/>
      <c r="B173" s="5"/>
      <c r="C173" s="10"/>
      <c r="D173" s="49"/>
      <c r="E173" s="10"/>
      <c r="F173" s="10"/>
      <c r="G173" s="10"/>
      <c r="H173" s="8"/>
      <c r="I173" s="8"/>
      <c r="J173" s="8" t="str">
        <f t="shared" si="6"/>
        <v>借</v>
      </c>
      <c r="K173" s="9">
        <f t="shared" si="7"/>
        <v>890</v>
      </c>
      <c r="L173" s="28"/>
    </row>
    <row r="174" spans="1:12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6"/>
        <v>借</v>
      </c>
      <c r="K174" s="9">
        <f t="shared" si="7"/>
        <v>890</v>
      </c>
      <c r="L174" s="28"/>
    </row>
    <row r="175" spans="1:12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6"/>
        <v>借</v>
      </c>
      <c r="K175" s="9">
        <f t="shared" si="7"/>
        <v>890</v>
      </c>
      <c r="L175" s="28"/>
    </row>
    <row r="176" spans="1:12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6"/>
        <v>借</v>
      </c>
      <c r="K176" s="9">
        <f t="shared" si="7"/>
        <v>890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6"/>
        <v>借</v>
      </c>
      <c r="K177" s="9">
        <f t="shared" si="7"/>
        <v>890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6"/>
        <v>借</v>
      </c>
      <c r="K178" s="9">
        <f t="shared" ref="K178:K229" si="8">_xlfn.IFS(J177="借",K177+H178-I178,J177="贷",H178-I178-K177)</f>
        <v>890</v>
      </c>
      <c r="L178" s="28"/>
    </row>
    <row r="179" spans="1:13" ht="20.100000000000001" customHeight="1" x14ac:dyDescent="0.15">
      <c r="A179" s="10"/>
      <c r="B179" s="10"/>
      <c r="C179" s="10"/>
      <c r="D179" s="10"/>
      <c r="E179" s="10"/>
      <c r="F179" s="10"/>
      <c r="G179" s="10"/>
      <c r="H179" s="8"/>
      <c r="I179" s="8"/>
      <c r="J179" s="8" t="str">
        <f t="shared" si="6"/>
        <v>借</v>
      </c>
      <c r="K179" s="9">
        <f t="shared" si="8"/>
        <v>890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6"/>
        <v>借</v>
      </c>
      <c r="K180" s="9">
        <f t="shared" si="8"/>
        <v>890</v>
      </c>
      <c r="L180" s="28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6"/>
        <v>借</v>
      </c>
      <c r="K181" s="9">
        <f t="shared" si="8"/>
        <v>890</v>
      </c>
      <c r="L181" s="28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6"/>
        <v>借</v>
      </c>
      <c r="K182" s="9">
        <f t="shared" si="8"/>
        <v>890</v>
      </c>
      <c r="L182" s="28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6"/>
        <v>借</v>
      </c>
      <c r="K183" s="9">
        <f t="shared" si="8"/>
        <v>890</v>
      </c>
      <c r="L183" s="28"/>
      <c r="M183" s="99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6"/>
        <v>借</v>
      </c>
      <c r="K184" s="9">
        <f t="shared" si="8"/>
        <v>890</v>
      </c>
      <c r="L184" s="28"/>
      <c r="M184" s="99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6"/>
        <v>借</v>
      </c>
      <c r="K185" s="9">
        <f t="shared" si="8"/>
        <v>890</v>
      </c>
      <c r="L185" s="28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6"/>
        <v>借</v>
      </c>
      <c r="K186" s="9">
        <f t="shared" si="8"/>
        <v>890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8"/>
        <v>890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8"/>
        <v>890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8"/>
        <v>890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8"/>
        <v>890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6"/>
        <v>借</v>
      </c>
      <c r="K191" s="9">
        <f t="shared" si="8"/>
        <v>890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8"/>
        <v>890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8"/>
        <v>890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8"/>
        <v>890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8"/>
        <v>890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8"/>
        <v>890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8"/>
        <v>890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8"/>
        <v>890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29" si="9">IF((K198+H199-I199)&gt;0,"借","贷")</f>
        <v>借</v>
      </c>
      <c r="K199" s="9">
        <f t="shared" si="8"/>
        <v>890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9"/>
        <v>借</v>
      </c>
      <c r="K200" s="9">
        <f t="shared" si="8"/>
        <v>890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9"/>
        <v>借</v>
      </c>
      <c r="K201" s="9">
        <f t="shared" si="8"/>
        <v>890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9"/>
        <v>借</v>
      </c>
      <c r="K202" s="9">
        <f t="shared" si="8"/>
        <v>890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9"/>
        <v>借</v>
      </c>
      <c r="K203" s="9">
        <f t="shared" si="8"/>
        <v>890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9"/>
        <v>借</v>
      </c>
      <c r="K204" s="9">
        <f t="shared" si="8"/>
        <v>890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9"/>
        <v>借</v>
      </c>
      <c r="K205" s="9">
        <f t="shared" si="8"/>
        <v>890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9"/>
        <v>借</v>
      </c>
      <c r="K206" s="9">
        <f t="shared" si="8"/>
        <v>890</v>
      </c>
      <c r="L206" s="28"/>
    </row>
    <row r="207" spans="1:12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9"/>
        <v>借</v>
      </c>
      <c r="K207" s="9">
        <f t="shared" si="8"/>
        <v>890</v>
      </c>
      <c r="L207" s="28"/>
    </row>
    <row r="208" spans="1:12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9"/>
        <v>借</v>
      </c>
      <c r="K208" s="9">
        <f t="shared" si="8"/>
        <v>890</v>
      </c>
      <c r="L208" s="28"/>
    </row>
    <row r="209" spans="1:13" ht="20.100000000000001" customHeight="1" x14ac:dyDescent="0.15">
      <c r="A209" s="10"/>
      <c r="B209" s="5"/>
      <c r="C209" s="10"/>
      <c r="D209" s="35"/>
      <c r="E209" s="10"/>
      <c r="F209" s="10"/>
      <c r="G209" s="10"/>
      <c r="H209" s="8"/>
      <c r="I209" s="8"/>
      <c r="J209" s="8" t="str">
        <f t="shared" si="9"/>
        <v>借</v>
      </c>
      <c r="K209" s="9">
        <f t="shared" si="8"/>
        <v>890</v>
      </c>
      <c r="L209" s="28"/>
    </row>
    <row r="210" spans="1:13" ht="20.100000000000001" customHeight="1" x14ac:dyDescent="0.15">
      <c r="A210" s="10"/>
      <c r="B210" s="5"/>
      <c r="C210" s="10"/>
      <c r="D210" s="49"/>
      <c r="E210" s="10"/>
      <c r="F210" s="10"/>
      <c r="G210" s="10"/>
      <c r="H210" s="8"/>
      <c r="I210" s="8"/>
      <c r="J210" s="8" t="str">
        <f t="shared" si="9"/>
        <v>借</v>
      </c>
      <c r="K210" s="9">
        <f t="shared" si="8"/>
        <v>890</v>
      </c>
      <c r="L210" s="28"/>
    </row>
    <row r="211" spans="1:13" ht="20.100000000000001" customHeight="1" x14ac:dyDescent="0.15">
      <c r="A211" s="10"/>
      <c r="B211" s="5"/>
      <c r="C211" s="10"/>
      <c r="D211" s="49"/>
      <c r="E211" s="10"/>
      <c r="F211" s="10"/>
      <c r="G211" s="10"/>
      <c r="H211" s="8"/>
      <c r="I211" s="8"/>
      <c r="J211" s="8" t="str">
        <f t="shared" si="9"/>
        <v>借</v>
      </c>
      <c r="K211" s="9">
        <f t="shared" si="8"/>
        <v>890</v>
      </c>
      <c r="L211" s="28"/>
    </row>
    <row r="212" spans="1:13" ht="20.100000000000001" customHeight="1" x14ac:dyDescent="0.15">
      <c r="A212" s="10"/>
      <c r="B212" s="5"/>
      <c r="C212" s="10"/>
      <c r="D212" s="49"/>
      <c r="E212" s="10"/>
      <c r="F212" s="10"/>
      <c r="G212" s="10"/>
      <c r="H212" s="8"/>
      <c r="I212" s="8"/>
      <c r="J212" s="8" t="str">
        <f t="shared" si="9"/>
        <v>借</v>
      </c>
      <c r="K212" s="9">
        <f t="shared" si="8"/>
        <v>890</v>
      </c>
      <c r="L212" s="28"/>
    </row>
    <row r="213" spans="1:13" ht="20.100000000000001" customHeight="1" x14ac:dyDescent="0.15">
      <c r="A213" s="10"/>
      <c r="B213" s="5"/>
      <c r="C213" s="10"/>
      <c r="D213" s="35"/>
      <c r="E213" s="10"/>
      <c r="F213" s="10"/>
      <c r="G213" s="10"/>
      <c r="H213" s="8"/>
      <c r="I213" s="8"/>
      <c r="J213" s="8" t="str">
        <f t="shared" si="9"/>
        <v>借</v>
      </c>
      <c r="K213" s="9">
        <f t="shared" si="8"/>
        <v>890</v>
      </c>
      <c r="L213" s="28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9"/>
        <v>借</v>
      </c>
      <c r="K214" s="9">
        <f t="shared" si="8"/>
        <v>890</v>
      </c>
      <c r="L214" s="28"/>
    </row>
    <row r="215" spans="1:13" ht="20.100000000000001" customHeight="1" x14ac:dyDescent="0.15">
      <c r="A215" s="10"/>
      <c r="B215" s="5"/>
      <c r="C215" s="10"/>
      <c r="D215" s="35"/>
      <c r="E215" s="10"/>
      <c r="F215" s="10"/>
      <c r="G215" s="10"/>
      <c r="H215" s="8"/>
      <c r="I215" s="8"/>
      <c r="J215" s="8" t="str">
        <f t="shared" si="9"/>
        <v>借</v>
      </c>
      <c r="K215" s="9">
        <f t="shared" si="8"/>
        <v>890</v>
      </c>
      <c r="L215" s="28"/>
    </row>
    <row r="216" spans="1:13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9"/>
        <v>借</v>
      </c>
      <c r="K216" s="9">
        <f t="shared" si="8"/>
        <v>890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9"/>
        <v>借</v>
      </c>
      <c r="K217" s="9">
        <f t="shared" si="8"/>
        <v>890</v>
      </c>
      <c r="L217" s="28"/>
    </row>
    <row r="218" spans="1:13" ht="20.100000000000001" customHeight="1" x14ac:dyDescent="0.15">
      <c r="A218" s="10"/>
      <c r="B218" s="5"/>
      <c r="C218" s="10"/>
      <c r="D218" s="32"/>
      <c r="E218" s="10"/>
      <c r="F218" s="10"/>
      <c r="G218" s="10"/>
      <c r="H218" s="8"/>
      <c r="I218" s="8"/>
      <c r="J218" s="8" t="str">
        <f t="shared" si="9"/>
        <v>借</v>
      </c>
      <c r="K218" s="9">
        <f t="shared" si="8"/>
        <v>890</v>
      </c>
      <c r="L218" s="28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9"/>
        <v>借</v>
      </c>
      <c r="K219" s="9">
        <f t="shared" si="8"/>
        <v>890</v>
      </c>
      <c r="L219" s="28"/>
      <c r="M219" s="99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9"/>
        <v>借</v>
      </c>
      <c r="K220" s="9">
        <f t="shared" si="8"/>
        <v>890</v>
      </c>
      <c r="L220" s="28"/>
      <c r="M220" s="99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9"/>
        <v>借</v>
      </c>
      <c r="K221" s="9">
        <f t="shared" si="8"/>
        <v>890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9"/>
        <v>借</v>
      </c>
      <c r="K222" s="9">
        <f t="shared" si="8"/>
        <v>890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9"/>
        <v>借</v>
      </c>
      <c r="K223" s="9">
        <f t="shared" si="8"/>
        <v>890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9"/>
        <v>借</v>
      </c>
      <c r="K224" s="9">
        <f t="shared" si="8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9"/>
        <v>借</v>
      </c>
      <c r="K225" s="9">
        <f t="shared" si="8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9"/>
        <v>借</v>
      </c>
      <c r="K226" s="9">
        <f t="shared" si="8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9"/>
        <v>借</v>
      </c>
      <c r="K227" s="9">
        <f t="shared" si="8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9"/>
        <v>借</v>
      </c>
      <c r="K228" s="9">
        <f t="shared" si="8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9"/>
        <v>借</v>
      </c>
      <c r="K229" s="9">
        <f t="shared" si="8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ref="J230:J242" si="10">IF((K229+H230-I230)&gt;0,"借","贷")</f>
        <v>借</v>
      </c>
      <c r="K230" s="9">
        <f t="shared" ref="K230:K249" si="11">_xlfn.IFS(J229="借",K229+H230-I230,J229="贷",H230-I230-K229)</f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0"/>
        <v>借</v>
      </c>
      <c r="K231" s="9">
        <f t="shared" si="11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0"/>
        <v>借</v>
      </c>
      <c r="K232" s="9">
        <f t="shared" si="11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0"/>
        <v>借</v>
      </c>
      <c r="K233" s="9">
        <f t="shared" si="11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0"/>
        <v>借</v>
      </c>
      <c r="K234" s="9">
        <f t="shared" si="11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0"/>
        <v>借</v>
      </c>
      <c r="K235" s="9">
        <f t="shared" si="11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0"/>
        <v>借</v>
      </c>
      <c r="K236" s="9">
        <f t="shared" si="11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0"/>
        <v>借</v>
      </c>
      <c r="K237" s="9">
        <f t="shared" si="11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0"/>
        <v>借</v>
      </c>
      <c r="K238" s="9">
        <f t="shared" si="11"/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0"/>
        <v>借</v>
      </c>
      <c r="K239" s="9">
        <f t="shared" si="11"/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0"/>
        <v>借</v>
      </c>
      <c r="K240" s="9">
        <f t="shared" si="11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0"/>
        <v>借</v>
      </c>
      <c r="K241" s="9">
        <f t="shared" si="11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0"/>
        <v>借</v>
      </c>
      <c r="K242" s="9">
        <f t="shared" si="11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ref="J243:J263" si="12">IF((K242+H243-I243)&gt;0,"借","贷")</f>
        <v>借</v>
      </c>
      <c r="K243" s="21">
        <f t="shared" si="11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2"/>
        <v>借</v>
      </c>
      <c r="K244" s="9">
        <f t="shared" si="11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12"/>
        <v>借</v>
      </c>
      <c r="K245" s="9">
        <f t="shared" si="11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12"/>
        <v>借</v>
      </c>
      <c r="K246" s="9">
        <f t="shared" si="11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2"/>
        <v>借</v>
      </c>
      <c r="K247" s="21">
        <f t="shared" si="11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2"/>
        <v>借</v>
      </c>
      <c r="K248" s="9">
        <f t="shared" si="11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2"/>
        <v>借</v>
      </c>
      <c r="K249" s="9">
        <f t="shared" si="11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2"/>
        <v>借</v>
      </c>
      <c r="K250" s="9">
        <f t="shared" ref="K250:K263" si="13">_xlfn.IFS(J249="借",K249+H250-I250,J249="贷",H250-I250-K249)</f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2"/>
        <v>借</v>
      </c>
      <c r="K251" s="9">
        <f t="shared" si="13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38"/>
      <c r="I252" s="8"/>
      <c r="J252" s="8" t="str">
        <f t="shared" si="12"/>
        <v>借</v>
      </c>
      <c r="K252" s="9">
        <f t="shared" si="13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2"/>
        <v>借</v>
      </c>
      <c r="K253" s="9">
        <f t="shared" si="13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2"/>
        <v>借</v>
      </c>
      <c r="K254" s="9">
        <f t="shared" si="13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23" t="str">
        <f t="shared" si="12"/>
        <v>借</v>
      </c>
      <c r="K255" s="9">
        <f t="shared" si="13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23" t="str">
        <f t="shared" si="12"/>
        <v>借</v>
      </c>
      <c r="K256" s="9">
        <f t="shared" si="13"/>
        <v>890</v>
      </c>
      <c r="L256" s="28"/>
    </row>
    <row r="257" spans="1:13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23" t="str">
        <f t="shared" si="12"/>
        <v>借</v>
      </c>
      <c r="K257" s="9">
        <f t="shared" si="13"/>
        <v>890</v>
      </c>
      <c r="L257" s="28"/>
    </row>
    <row r="258" spans="1:13" ht="20.100000000000001" customHeight="1" x14ac:dyDescent="0.15">
      <c r="A258" s="10"/>
      <c r="B258" s="5"/>
      <c r="C258" s="10"/>
      <c r="D258" s="35"/>
      <c r="E258" s="10"/>
      <c r="F258" s="10"/>
      <c r="G258" s="10"/>
      <c r="H258" s="8"/>
      <c r="I258" s="8"/>
      <c r="J258" s="23" t="str">
        <f t="shared" si="12"/>
        <v>借</v>
      </c>
      <c r="K258" s="9">
        <f t="shared" si="13"/>
        <v>890</v>
      </c>
      <c r="L258" s="28"/>
    </row>
    <row r="259" spans="1:13" ht="20.100000000000001" customHeight="1" x14ac:dyDescent="0.15">
      <c r="A259" s="10"/>
      <c r="B259" s="5"/>
      <c r="C259" s="10"/>
      <c r="D259" s="35"/>
      <c r="E259" s="10"/>
      <c r="F259" s="10"/>
      <c r="G259" s="10"/>
      <c r="H259" s="8"/>
      <c r="I259" s="8"/>
      <c r="J259" s="23" t="str">
        <f t="shared" si="12"/>
        <v>借</v>
      </c>
      <c r="K259" s="9">
        <f t="shared" si="13"/>
        <v>890</v>
      </c>
      <c r="L259" s="28"/>
    </row>
    <row r="260" spans="1:13" ht="20.100000000000001" customHeight="1" x14ac:dyDescent="0.15">
      <c r="A260" s="10"/>
      <c r="B260" s="5"/>
      <c r="C260" s="10"/>
      <c r="D260" s="35"/>
      <c r="E260" s="10"/>
      <c r="F260" s="10"/>
      <c r="G260" s="10"/>
      <c r="H260" s="8"/>
      <c r="I260" s="8"/>
      <c r="J260" s="23" t="str">
        <f t="shared" si="12"/>
        <v>借</v>
      </c>
      <c r="K260" s="9">
        <f t="shared" si="13"/>
        <v>890</v>
      </c>
      <c r="L260" s="28"/>
    </row>
    <row r="261" spans="1:13" ht="20.100000000000001" customHeight="1" x14ac:dyDescent="0.15">
      <c r="A261" s="10"/>
      <c r="B261" s="5"/>
      <c r="C261" s="10"/>
      <c r="D261" s="35"/>
      <c r="E261" s="10"/>
      <c r="F261" s="10"/>
      <c r="G261" s="10"/>
      <c r="H261" s="8"/>
      <c r="I261" s="8"/>
      <c r="J261" s="8" t="str">
        <f t="shared" si="12"/>
        <v>借</v>
      </c>
      <c r="K261" s="9">
        <f t="shared" si="13"/>
        <v>890</v>
      </c>
      <c r="L261" s="28"/>
    </row>
    <row r="262" spans="1:13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2"/>
        <v>借</v>
      </c>
      <c r="K262" s="9">
        <f t="shared" si="13"/>
        <v>890</v>
      </c>
      <c r="L262" s="28"/>
    </row>
    <row r="263" spans="1:13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2"/>
        <v>借</v>
      </c>
      <c r="K263" s="9">
        <f t="shared" si="13"/>
        <v>890</v>
      </c>
      <c r="L263" s="28"/>
    </row>
    <row r="264" spans="1:13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284" si="14">IF((K263+H264-I264)&gt;0,"借","贷")</f>
        <v>借</v>
      </c>
      <c r="K264" s="9">
        <f t="shared" ref="K264:K303" si="15">_xlfn.IFS(J263="借",K263+H264-I264,J263="贷",H264-I264-K263)</f>
        <v>890</v>
      </c>
      <c r="L264" s="28"/>
      <c r="M264" s="99"/>
    </row>
    <row r="265" spans="1:13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4"/>
        <v>借</v>
      </c>
      <c r="K265" s="9">
        <f t="shared" si="15"/>
        <v>890</v>
      </c>
      <c r="L265" s="28"/>
      <c r="M265" s="99"/>
    </row>
    <row r="266" spans="1:13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4"/>
        <v>借</v>
      </c>
      <c r="K266" s="9">
        <f t="shared" si="15"/>
        <v>890</v>
      </c>
      <c r="L266" s="28"/>
    </row>
    <row r="267" spans="1:13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4"/>
        <v>借</v>
      </c>
      <c r="K267" s="9">
        <f t="shared" si="15"/>
        <v>890</v>
      </c>
      <c r="L267" s="28"/>
    </row>
    <row r="268" spans="1:13" ht="20.100000000000001" customHeight="1" x14ac:dyDescent="0.15">
      <c r="A268" s="10"/>
      <c r="B268" s="5"/>
      <c r="C268" s="10"/>
      <c r="D268" s="13"/>
      <c r="E268" s="10"/>
      <c r="F268" s="10"/>
      <c r="G268" s="10"/>
      <c r="H268" s="8"/>
      <c r="I268" s="8"/>
      <c r="J268" s="8" t="str">
        <f t="shared" si="14"/>
        <v>借</v>
      </c>
      <c r="K268" s="9">
        <f t="shared" si="15"/>
        <v>890</v>
      </c>
      <c r="L268" s="28"/>
    </row>
    <row r="269" spans="1:13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4"/>
        <v>借</v>
      </c>
      <c r="K269" s="9">
        <f t="shared" si="15"/>
        <v>890</v>
      </c>
      <c r="L269" s="28"/>
    </row>
    <row r="270" spans="1:13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4"/>
        <v>借</v>
      </c>
      <c r="K270" s="9">
        <f t="shared" si="15"/>
        <v>890</v>
      </c>
      <c r="L270" s="28"/>
    </row>
    <row r="271" spans="1:13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4"/>
        <v>借</v>
      </c>
      <c r="K271" s="9">
        <f t="shared" si="15"/>
        <v>890</v>
      </c>
      <c r="L271" s="28"/>
    </row>
    <row r="272" spans="1:13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4"/>
        <v>借</v>
      </c>
      <c r="K272" s="9">
        <f t="shared" si="15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4"/>
        <v>借</v>
      </c>
      <c r="K273" s="9">
        <f t="shared" si="15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4"/>
        <v>借</v>
      </c>
      <c r="K274" s="9">
        <f t="shared" si="15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10"/>
      <c r="J275" s="8" t="str">
        <f t="shared" si="14"/>
        <v>借</v>
      </c>
      <c r="K275" s="9">
        <f t="shared" si="15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10"/>
      <c r="J276" s="8" t="str">
        <f t="shared" si="14"/>
        <v>借</v>
      </c>
      <c r="K276" s="9">
        <f t="shared" si="15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4"/>
        <v>借</v>
      </c>
      <c r="K277" s="9">
        <f t="shared" si="15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4"/>
        <v>借</v>
      </c>
      <c r="K278" s="9">
        <f t="shared" si="15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4"/>
        <v>借</v>
      </c>
      <c r="K279" s="9">
        <f t="shared" si="15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4"/>
        <v>借</v>
      </c>
      <c r="K280" s="9">
        <f t="shared" si="15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4"/>
        <v>借</v>
      </c>
      <c r="K281" s="9">
        <f t="shared" si="15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4"/>
        <v>借</v>
      </c>
      <c r="K282" s="9">
        <f t="shared" si="15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4"/>
        <v>借</v>
      </c>
      <c r="K283" s="9">
        <f t="shared" si="15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4"/>
        <v>借</v>
      </c>
      <c r="K284" s="9">
        <f t="shared" si="15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ref="J285:J302" si="16">IF((K284+H285-I285)&gt;0,"借","贷")</f>
        <v>借</v>
      </c>
      <c r="K285" s="9">
        <f t="shared" si="15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6"/>
        <v>借</v>
      </c>
      <c r="K286" s="9">
        <f t="shared" si="15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6"/>
        <v>借</v>
      </c>
      <c r="K287" s="9">
        <f t="shared" si="15"/>
        <v>890</v>
      </c>
      <c r="L287" s="28"/>
    </row>
    <row r="288" spans="1:12" ht="20.100000000000001" customHeight="1" x14ac:dyDescent="0.15">
      <c r="A288" s="10"/>
      <c r="B288" s="5"/>
      <c r="C288" s="10"/>
      <c r="D288" s="35"/>
      <c r="E288" s="10"/>
      <c r="F288" s="10"/>
      <c r="G288" s="10"/>
      <c r="H288" s="8"/>
      <c r="I288" s="8"/>
      <c r="J288" s="8" t="str">
        <f t="shared" si="16"/>
        <v>借</v>
      </c>
      <c r="K288" s="9">
        <f t="shared" si="15"/>
        <v>890</v>
      </c>
      <c r="L288" s="28"/>
    </row>
    <row r="289" spans="1:12" ht="20.100000000000001" customHeight="1" x14ac:dyDescent="0.15">
      <c r="A289" s="10"/>
      <c r="B289" s="5"/>
      <c r="C289" s="10"/>
      <c r="D289" s="35"/>
      <c r="E289" s="10"/>
      <c r="F289" s="10"/>
      <c r="G289" s="10"/>
      <c r="H289" s="8"/>
      <c r="I289" s="8"/>
      <c r="J289" s="8" t="str">
        <f t="shared" si="16"/>
        <v>借</v>
      </c>
      <c r="K289" s="9">
        <f t="shared" si="15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6"/>
        <v>借</v>
      </c>
      <c r="K290" s="9">
        <f t="shared" si="15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6"/>
        <v>借</v>
      </c>
      <c r="K291" s="9">
        <f t="shared" si="15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6"/>
        <v>借</v>
      </c>
      <c r="K292" s="9">
        <f t="shared" si="15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6"/>
        <v>借</v>
      </c>
      <c r="K293" s="9">
        <f t="shared" si="15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6"/>
        <v>借</v>
      </c>
      <c r="K294" s="9">
        <f t="shared" si="15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6"/>
        <v>借</v>
      </c>
      <c r="K295" s="9">
        <f t="shared" si="15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6"/>
        <v>借</v>
      </c>
      <c r="K296" s="9">
        <f t="shared" si="15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6"/>
        <v>借</v>
      </c>
      <c r="K297" s="9">
        <f t="shared" si="15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6"/>
        <v>借</v>
      </c>
      <c r="K298" s="9">
        <f t="shared" si="15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6"/>
        <v>借</v>
      </c>
      <c r="K299" s="9">
        <f t="shared" si="15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6"/>
        <v>借</v>
      </c>
      <c r="K300" s="9">
        <f t="shared" si="15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6"/>
        <v>借</v>
      </c>
      <c r="K301" s="9">
        <f t="shared" si="15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6"/>
        <v>借</v>
      </c>
      <c r="K302" s="9">
        <f t="shared" si="15"/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ref="J303:J351" si="17">IF((K302+H303-I303)&gt;0,"借","贷")</f>
        <v>借</v>
      </c>
      <c r="K303" s="9">
        <f t="shared" si="15"/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7"/>
        <v>借</v>
      </c>
      <c r="K304" s="9">
        <f t="shared" ref="K304:K311" si="18">_xlfn.IFS(J303="借",K303+H304-I304,J303="贷",H304-I304-K303)</f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7"/>
        <v>借</v>
      </c>
      <c r="K305" s="9">
        <f t="shared" si="18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7"/>
        <v>借</v>
      </c>
      <c r="K306" s="9">
        <f t="shared" si="18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7"/>
        <v>借</v>
      </c>
      <c r="K307" s="9">
        <f t="shared" si="18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7"/>
        <v>借</v>
      </c>
      <c r="K308" s="9">
        <f t="shared" si="18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7"/>
        <v>借</v>
      </c>
      <c r="K309" s="9">
        <f t="shared" si="18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7"/>
        <v>借</v>
      </c>
      <c r="K310" s="9">
        <f t="shared" si="18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7"/>
        <v>借</v>
      </c>
      <c r="K311" s="9">
        <f t="shared" si="18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7"/>
        <v>借</v>
      </c>
      <c r="K312" s="9">
        <f t="shared" ref="K312:K351" si="19">_xlfn.IFS(J311="借",K311+H312-I312,J311="贷",H312-I312-K311)</f>
        <v>890</v>
      </c>
      <c r="L312" s="28"/>
    </row>
    <row r="313" spans="1:12" ht="20.100000000000001" customHeight="1" x14ac:dyDescent="0.15">
      <c r="A313" s="10"/>
      <c r="B313" s="5"/>
      <c r="C313" s="10"/>
      <c r="E313" s="10"/>
      <c r="F313" s="10"/>
      <c r="G313" s="10"/>
      <c r="H313" s="8"/>
      <c r="I313" s="8"/>
      <c r="J313" s="8" t="str">
        <f t="shared" si="17"/>
        <v>借</v>
      </c>
      <c r="K313" s="9">
        <f t="shared" si="19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7"/>
        <v>借</v>
      </c>
      <c r="K314" s="9">
        <f t="shared" si="19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7"/>
        <v>借</v>
      </c>
      <c r="K315" s="9">
        <f t="shared" si="19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7"/>
        <v>借</v>
      </c>
      <c r="K316" s="9">
        <f t="shared" si="19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7"/>
        <v>借</v>
      </c>
      <c r="K317" s="9">
        <f t="shared" si="19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7"/>
        <v>借</v>
      </c>
      <c r="K318" s="9">
        <f t="shared" si="19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7"/>
        <v>借</v>
      </c>
      <c r="K319" s="9">
        <f t="shared" si="19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7"/>
        <v>借</v>
      </c>
      <c r="K320" s="9">
        <f t="shared" si="19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7"/>
        <v>借</v>
      </c>
      <c r="K321" s="9">
        <f t="shared" si="19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7"/>
        <v>借</v>
      </c>
      <c r="K322" s="9">
        <f t="shared" si="19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7"/>
        <v>借</v>
      </c>
      <c r="K323" s="9">
        <f t="shared" si="19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7"/>
        <v>借</v>
      </c>
      <c r="K324" s="9">
        <f t="shared" si="19"/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7"/>
        <v>借</v>
      </c>
      <c r="K325" s="9">
        <f t="shared" si="19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7"/>
        <v>借</v>
      </c>
      <c r="K326" s="9">
        <f t="shared" si="19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7"/>
        <v>借</v>
      </c>
      <c r="K327" s="9">
        <f t="shared" si="19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7"/>
        <v>借</v>
      </c>
      <c r="K328" s="9">
        <f t="shared" si="19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7"/>
        <v>借</v>
      </c>
      <c r="K329" s="9">
        <f t="shared" si="19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7"/>
        <v>借</v>
      </c>
      <c r="K330" s="9">
        <f t="shared" si="19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7"/>
        <v>借</v>
      </c>
      <c r="K331" s="9">
        <f t="shared" si="19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7"/>
        <v>借</v>
      </c>
      <c r="K332" s="9">
        <f t="shared" si="19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7"/>
        <v>借</v>
      </c>
      <c r="K333" s="9">
        <f t="shared" si="19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7"/>
        <v>借</v>
      </c>
      <c r="K334" s="9">
        <f t="shared" si="19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7"/>
        <v>借</v>
      </c>
      <c r="K335" s="9">
        <f t="shared" si="19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7"/>
        <v>借</v>
      </c>
      <c r="K336" s="9">
        <f t="shared" si="19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7"/>
        <v>借</v>
      </c>
      <c r="K337" s="9">
        <f t="shared" si="19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7"/>
        <v>借</v>
      </c>
      <c r="K338" s="9">
        <f t="shared" si="19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7"/>
        <v>借</v>
      </c>
      <c r="K339" s="9">
        <f t="shared" si="19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7"/>
        <v>借</v>
      </c>
      <c r="K340" s="9">
        <f t="shared" si="19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7"/>
        <v>借</v>
      </c>
      <c r="K341" s="9">
        <f t="shared" si="19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7"/>
        <v>借</v>
      </c>
      <c r="K342" s="9">
        <f t="shared" si="19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7"/>
        <v>借</v>
      </c>
      <c r="K343" s="9">
        <f t="shared" si="19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7"/>
        <v>借</v>
      </c>
      <c r="K344" s="9">
        <f t="shared" si="19"/>
        <v>890</v>
      </c>
      <c r="L344" s="28"/>
    </row>
    <row r="345" spans="1:12" ht="20.100000000000001" customHeight="1" x14ac:dyDescent="0.15">
      <c r="A345" s="10"/>
      <c r="B345" s="5"/>
      <c r="C345" s="10"/>
      <c r="D345" s="32"/>
      <c r="E345" s="10"/>
      <c r="F345" s="10"/>
      <c r="G345" s="10"/>
      <c r="H345" s="8"/>
      <c r="I345" s="8"/>
      <c r="J345" s="8" t="str">
        <f t="shared" si="17"/>
        <v>借</v>
      </c>
      <c r="K345" s="9">
        <f t="shared" si="19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7"/>
        <v>借</v>
      </c>
      <c r="K346" s="9">
        <f t="shared" si="19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7"/>
        <v>借</v>
      </c>
      <c r="K347" s="9">
        <f t="shared" si="19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7"/>
        <v>借</v>
      </c>
      <c r="K348" s="9">
        <f t="shared" si="19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7"/>
        <v>借</v>
      </c>
      <c r="K349" s="9">
        <f t="shared" si="19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7"/>
        <v>借</v>
      </c>
      <c r="K350" s="9">
        <f t="shared" si="19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7"/>
        <v>借</v>
      </c>
      <c r="K351" s="9">
        <f t="shared" si="19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ref="J352:J360" si="20">IF((K351+H352-I352)&gt;0,"借","贷")</f>
        <v>借</v>
      </c>
      <c r="K352" s="9">
        <f t="shared" ref="K352:K360" si="21">_xlfn.IFS(J351="借",K351+H352-I352,J351="贷",H352-I352-K351)</f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20"/>
        <v>借</v>
      </c>
      <c r="K353" s="9">
        <f t="shared" si="21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20"/>
        <v>借</v>
      </c>
      <c r="K354" s="9">
        <f t="shared" si="21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20"/>
        <v>借</v>
      </c>
      <c r="K355" s="9">
        <f t="shared" si="21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20"/>
        <v>借</v>
      </c>
      <c r="K356" s="9">
        <f t="shared" si="21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20"/>
        <v>借</v>
      </c>
      <c r="K357" s="9">
        <f t="shared" si="21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20"/>
        <v>借</v>
      </c>
      <c r="K358" s="9">
        <f t="shared" si="21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F359" s="10"/>
      <c r="G359" s="10"/>
      <c r="H359" s="8"/>
      <c r="I359" s="8"/>
      <c r="J359" s="8" t="str">
        <f t="shared" si="20"/>
        <v>借</v>
      </c>
      <c r="K359" s="9">
        <f t="shared" si="21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20"/>
        <v>借</v>
      </c>
      <c r="K360" s="9">
        <f t="shared" si="21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ref="J361:J366" si="22">IF((K360+H361-I361)&gt;0,"借","贷")</f>
        <v>借</v>
      </c>
      <c r="K361" s="9">
        <f t="shared" ref="K361:K383" si="23">_xlfn.IFS(J360="借",K360+H361-I361,J360="贷",H361-I361-K360)</f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22"/>
        <v>借</v>
      </c>
      <c r="K362" s="9">
        <f t="shared" si="23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22"/>
        <v>借</v>
      </c>
      <c r="K363" s="9">
        <f t="shared" si="23"/>
        <v>890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22"/>
        <v>借</v>
      </c>
      <c r="K364" s="9">
        <f t="shared" si="23"/>
        <v>890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22"/>
        <v>借</v>
      </c>
      <c r="K365" s="9">
        <f t="shared" si="23"/>
        <v>890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22"/>
        <v>借</v>
      </c>
      <c r="K366" s="9">
        <f t="shared" si="23"/>
        <v>890</v>
      </c>
      <c r="L366" s="28"/>
    </row>
    <row r="367" spans="1:12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ref="J367:J404" si="24">IF((K366+H367-I367)&gt;0,"借","贷")</f>
        <v>借</v>
      </c>
      <c r="K367" s="9">
        <f t="shared" si="23"/>
        <v>890</v>
      </c>
      <c r="L367" s="28"/>
    </row>
    <row r="368" spans="1:12" ht="20.100000000000001" customHeight="1" x14ac:dyDescent="0.15">
      <c r="A368" s="10"/>
      <c r="B368" s="5"/>
      <c r="C368" s="10"/>
      <c r="D368" s="10"/>
      <c r="E368" s="10"/>
      <c r="F368" s="10"/>
      <c r="G368" s="10"/>
      <c r="H368" s="8"/>
      <c r="I368" s="8"/>
      <c r="J368" s="8" t="str">
        <f t="shared" si="24"/>
        <v>借</v>
      </c>
      <c r="K368" s="9">
        <f t="shared" si="23"/>
        <v>890</v>
      </c>
      <c r="L368" s="28"/>
    </row>
    <row r="369" spans="1:12" ht="20.100000000000001" customHeight="1" x14ac:dyDescent="0.15">
      <c r="A369" s="10"/>
      <c r="B369" s="5"/>
      <c r="C369" s="10"/>
      <c r="D369" s="10"/>
      <c r="E369" s="10"/>
      <c r="F369" s="10"/>
      <c r="G369" s="10"/>
      <c r="H369" s="8"/>
      <c r="I369" s="8"/>
      <c r="J369" s="8" t="str">
        <f t="shared" si="24"/>
        <v>借</v>
      </c>
      <c r="K369" s="9">
        <f t="shared" si="23"/>
        <v>890</v>
      </c>
      <c r="L369" s="28"/>
    </row>
    <row r="370" spans="1:12" ht="20.100000000000001" customHeight="1" x14ac:dyDescent="0.15">
      <c r="A370" s="10"/>
      <c r="B370" s="5"/>
      <c r="C370" s="10"/>
      <c r="D370" s="10"/>
      <c r="E370" s="10"/>
      <c r="F370" s="10"/>
      <c r="G370" s="10"/>
      <c r="H370" s="8"/>
      <c r="I370" s="8"/>
      <c r="J370" s="8" t="str">
        <f t="shared" si="24"/>
        <v>借</v>
      </c>
      <c r="K370" s="9">
        <f t="shared" si="23"/>
        <v>890</v>
      </c>
      <c r="L370" s="28"/>
    </row>
    <row r="371" spans="1:12" ht="20.100000000000001" customHeight="1" x14ac:dyDescent="0.15">
      <c r="A371" s="10"/>
      <c r="B371" s="5"/>
      <c r="C371" s="10"/>
      <c r="D371" s="10"/>
      <c r="E371" s="10"/>
      <c r="F371" s="10"/>
      <c r="G371" s="10"/>
      <c r="H371" s="8"/>
      <c r="I371" s="8"/>
      <c r="J371" s="8" t="str">
        <f t="shared" si="24"/>
        <v>借</v>
      </c>
      <c r="K371" s="9">
        <f t="shared" si="23"/>
        <v>890</v>
      </c>
      <c r="L371" s="28"/>
    </row>
    <row r="372" spans="1:12" ht="20.100000000000001" customHeight="1" x14ac:dyDescent="0.15">
      <c r="A372" s="10"/>
      <c r="B372" s="5"/>
      <c r="C372" s="10"/>
      <c r="D372" s="10"/>
      <c r="E372" s="10"/>
      <c r="F372" s="10"/>
      <c r="G372" s="10"/>
      <c r="H372" s="8"/>
      <c r="I372" s="8"/>
      <c r="J372" s="8" t="str">
        <f t="shared" si="24"/>
        <v>借</v>
      </c>
      <c r="K372" s="9">
        <f t="shared" si="23"/>
        <v>890</v>
      </c>
      <c r="L372" s="28"/>
    </row>
    <row r="373" spans="1:12" ht="20.100000000000001" customHeight="1" x14ac:dyDescent="0.15">
      <c r="A373" s="10"/>
      <c r="B373" s="5"/>
      <c r="C373" s="10"/>
      <c r="D373" s="10"/>
      <c r="E373" s="10"/>
      <c r="F373" s="10"/>
      <c r="G373" s="10"/>
      <c r="H373" s="8"/>
      <c r="I373" s="8"/>
      <c r="J373" s="8" t="str">
        <f t="shared" si="24"/>
        <v>借</v>
      </c>
      <c r="K373" s="9">
        <f t="shared" si="23"/>
        <v>890</v>
      </c>
      <c r="L373" s="28"/>
    </row>
    <row r="374" spans="1:12" ht="20.100000000000001" customHeight="1" x14ac:dyDescent="0.15">
      <c r="A374" s="10"/>
      <c r="B374" s="5"/>
      <c r="C374" s="10"/>
      <c r="D374" s="10"/>
      <c r="E374" s="10"/>
      <c r="F374" s="10"/>
      <c r="G374" s="10"/>
      <c r="H374" s="8"/>
      <c r="I374" s="8"/>
      <c r="J374" s="8" t="str">
        <f t="shared" si="24"/>
        <v>借</v>
      </c>
      <c r="K374" s="9">
        <f t="shared" si="23"/>
        <v>890</v>
      </c>
      <c r="L374" s="28"/>
    </row>
    <row r="375" spans="1:12" ht="20.100000000000001" customHeight="1" x14ac:dyDescent="0.15">
      <c r="A375" s="10"/>
      <c r="B375" s="5"/>
      <c r="C375" s="10"/>
      <c r="D375" s="10"/>
      <c r="E375" s="10"/>
      <c r="F375" s="10"/>
      <c r="G375" s="10"/>
      <c r="H375" s="8"/>
      <c r="I375" s="8"/>
      <c r="J375" s="8" t="str">
        <f t="shared" si="24"/>
        <v>借</v>
      </c>
      <c r="K375" s="9">
        <f t="shared" si="23"/>
        <v>890</v>
      </c>
      <c r="L375" s="28"/>
    </row>
    <row r="376" spans="1:12" ht="20.100000000000001" customHeight="1" x14ac:dyDescent="0.15">
      <c r="A376" s="10"/>
      <c r="B376" s="5"/>
      <c r="C376" s="10"/>
      <c r="D376" s="10"/>
      <c r="E376" s="10"/>
      <c r="F376" s="10"/>
      <c r="G376" s="10"/>
      <c r="H376" s="8"/>
      <c r="I376" s="8"/>
      <c r="J376" s="8" t="str">
        <f t="shared" si="24"/>
        <v>借</v>
      </c>
      <c r="K376" s="9">
        <f t="shared" si="23"/>
        <v>890</v>
      </c>
      <c r="L376" s="28"/>
    </row>
    <row r="377" spans="1:12" ht="20.100000000000001" customHeight="1" x14ac:dyDescent="0.15">
      <c r="A377" s="10"/>
      <c r="B377" s="5"/>
      <c r="C377" s="10"/>
      <c r="D377" s="10"/>
      <c r="E377" s="10"/>
      <c r="F377" s="10"/>
      <c r="G377" s="10"/>
      <c r="H377" s="8"/>
      <c r="I377" s="8"/>
      <c r="J377" s="8" t="str">
        <f t="shared" si="24"/>
        <v>借</v>
      </c>
      <c r="K377" s="9">
        <f t="shared" si="23"/>
        <v>890</v>
      </c>
      <c r="L377" s="28"/>
    </row>
    <row r="378" spans="1:12" ht="20.100000000000001" customHeight="1" x14ac:dyDescent="0.15">
      <c r="A378" s="10"/>
      <c r="B378" s="5"/>
      <c r="C378" s="10"/>
      <c r="D378" s="10"/>
      <c r="E378" s="10"/>
      <c r="F378" s="10"/>
      <c r="G378" s="10"/>
      <c r="H378" s="8"/>
      <c r="I378" s="8"/>
      <c r="J378" s="8" t="str">
        <f t="shared" si="24"/>
        <v>借</v>
      </c>
      <c r="K378" s="9">
        <f t="shared" si="23"/>
        <v>890</v>
      </c>
      <c r="L378" s="28"/>
    </row>
    <row r="379" spans="1:12" ht="20.100000000000001" customHeight="1" x14ac:dyDescent="0.15">
      <c r="A379" s="10"/>
      <c r="B379" s="5"/>
      <c r="C379" s="10"/>
      <c r="D379" s="10"/>
      <c r="E379" s="10"/>
      <c r="F379" s="10"/>
      <c r="G379" s="10"/>
      <c r="H379" s="8"/>
      <c r="I379" s="8"/>
      <c r="J379" s="8" t="str">
        <f t="shared" si="24"/>
        <v>借</v>
      </c>
      <c r="K379" s="9">
        <f t="shared" si="23"/>
        <v>890</v>
      </c>
      <c r="L379" s="28"/>
    </row>
    <row r="380" spans="1:12" ht="20.100000000000001" customHeight="1" x14ac:dyDescent="0.15">
      <c r="A380" s="10"/>
      <c r="B380" s="5"/>
      <c r="C380" s="10"/>
      <c r="D380" s="10"/>
      <c r="E380" s="10"/>
      <c r="F380" s="10"/>
      <c r="G380" s="10"/>
      <c r="H380" s="8"/>
      <c r="I380" s="8"/>
      <c r="J380" s="8" t="str">
        <f t="shared" si="24"/>
        <v>借</v>
      </c>
      <c r="K380" s="9">
        <f t="shared" si="23"/>
        <v>890</v>
      </c>
      <c r="L380" s="28"/>
    </row>
    <row r="381" spans="1:12" ht="20.100000000000001" customHeight="1" x14ac:dyDescent="0.15">
      <c r="A381" s="10"/>
      <c r="B381" s="5"/>
      <c r="C381" s="10"/>
      <c r="D381" s="10"/>
      <c r="E381" s="10"/>
      <c r="F381" s="10"/>
      <c r="G381" s="10"/>
      <c r="H381" s="8"/>
      <c r="I381" s="8"/>
      <c r="J381" s="8" t="str">
        <f t="shared" si="24"/>
        <v>借</v>
      </c>
      <c r="K381" s="9">
        <f t="shared" si="23"/>
        <v>890</v>
      </c>
      <c r="L381" s="28"/>
    </row>
    <row r="382" spans="1:12" ht="20.100000000000001" customHeight="1" x14ac:dyDescent="0.15">
      <c r="A382" s="10"/>
      <c r="B382" s="5"/>
      <c r="C382" s="10"/>
      <c r="D382" s="10"/>
      <c r="E382" s="10"/>
      <c r="F382" s="10"/>
      <c r="G382" s="10"/>
      <c r="H382" s="8"/>
      <c r="I382" s="8"/>
      <c r="J382" s="8" t="str">
        <f t="shared" si="24"/>
        <v>借</v>
      </c>
      <c r="K382" s="9">
        <f t="shared" si="23"/>
        <v>890</v>
      </c>
      <c r="L382" s="28"/>
    </row>
    <row r="383" spans="1:12" ht="20.100000000000001" customHeight="1" x14ac:dyDescent="0.15">
      <c r="A383" s="10"/>
      <c r="B383" s="5"/>
      <c r="C383" s="10"/>
      <c r="D383" s="10"/>
      <c r="E383" s="10"/>
      <c r="F383" s="10"/>
      <c r="G383" s="10"/>
      <c r="H383" s="8"/>
      <c r="I383" s="8"/>
      <c r="J383" s="8" t="str">
        <f t="shared" si="24"/>
        <v>借</v>
      </c>
      <c r="K383" s="9">
        <f t="shared" si="23"/>
        <v>890</v>
      </c>
      <c r="L383" s="28"/>
    </row>
    <row r="384" spans="1:12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24"/>
        <v>借</v>
      </c>
      <c r="K384" s="9">
        <f t="shared" ref="K384:K447" si="25">_xlfn.IFS(J383="借",K383+H384-I384,J383="贷",H384-I384-K383)</f>
        <v>890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24"/>
        <v>借</v>
      </c>
      <c r="K385" s="9">
        <f t="shared" si="25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24"/>
        <v>借</v>
      </c>
      <c r="K386" s="9">
        <f t="shared" si="25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24"/>
        <v>借</v>
      </c>
      <c r="K387" s="9">
        <f t="shared" si="25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24"/>
        <v>借</v>
      </c>
      <c r="K388" s="9">
        <f t="shared" si="25"/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24"/>
        <v>借</v>
      </c>
      <c r="K389" s="9">
        <f t="shared" si="25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24"/>
        <v>借</v>
      </c>
      <c r="K390" s="9">
        <f t="shared" si="25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24"/>
        <v>借</v>
      </c>
      <c r="K391" s="9">
        <f t="shared" si="25"/>
        <v>890</v>
      </c>
      <c r="L391" s="28"/>
    </row>
    <row r="392" spans="2:12" ht="20.100000000000001" customHeight="1" x14ac:dyDescent="0.15">
      <c r="B392" s="5"/>
      <c r="C392" s="7"/>
      <c r="D392" s="10"/>
      <c r="E392" s="10"/>
      <c r="F392" s="10"/>
      <c r="G392" s="10"/>
      <c r="H392" s="8"/>
      <c r="I392" s="8"/>
      <c r="J392" s="8" t="str">
        <f t="shared" si="24"/>
        <v>借</v>
      </c>
      <c r="K392" s="9">
        <f t="shared" si="25"/>
        <v>890</v>
      </c>
      <c r="L392" s="28"/>
    </row>
    <row r="393" spans="2:12" ht="20.100000000000001" customHeight="1" x14ac:dyDescent="0.15">
      <c r="B393" s="5"/>
      <c r="C393" s="7"/>
      <c r="D393" s="10"/>
      <c r="E393" s="10"/>
      <c r="F393" s="10"/>
      <c r="G393" s="10"/>
      <c r="H393" s="8"/>
      <c r="I393" s="8"/>
      <c r="J393" s="8" t="str">
        <f t="shared" si="24"/>
        <v>借</v>
      </c>
      <c r="K393" s="9">
        <f t="shared" si="25"/>
        <v>890</v>
      </c>
      <c r="L393" s="28"/>
    </row>
    <row r="394" spans="2:12" ht="20.100000000000001" customHeight="1" x14ac:dyDescent="0.15">
      <c r="B394" s="5"/>
      <c r="C394" s="7"/>
      <c r="D394" s="10"/>
      <c r="E394" s="10"/>
      <c r="F394" s="10"/>
      <c r="G394" s="10"/>
      <c r="H394" s="8"/>
      <c r="I394" s="8"/>
      <c r="J394" s="8" t="str">
        <f t="shared" si="24"/>
        <v>借</v>
      </c>
      <c r="K394" s="9">
        <f t="shared" si="25"/>
        <v>890</v>
      </c>
      <c r="L394" s="28"/>
    </row>
    <row r="395" spans="2:12" ht="20.100000000000001" customHeight="1" x14ac:dyDescent="0.15">
      <c r="B395" s="5"/>
      <c r="C395" s="7"/>
      <c r="D395" s="10"/>
      <c r="E395" s="10"/>
      <c r="F395" s="10"/>
      <c r="G395" s="10"/>
      <c r="H395" s="8"/>
      <c r="I395" s="8"/>
      <c r="J395" s="8" t="str">
        <f t="shared" si="24"/>
        <v>借</v>
      </c>
      <c r="K395" s="9">
        <f t="shared" si="25"/>
        <v>890</v>
      </c>
      <c r="L395" s="28"/>
    </row>
    <row r="396" spans="2:12" ht="20.100000000000001" customHeight="1" x14ac:dyDescent="0.15">
      <c r="B396" s="5"/>
      <c r="C396" s="7"/>
      <c r="D396" s="10"/>
      <c r="E396" s="10"/>
      <c r="F396" s="10"/>
      <c r="G396" s="10"/>
      <c r="H396" s="8"/>
      <c r="I396" s="8"/>
      <c r="J396" s="8" t="str">
        <f t="shared" si="24"/>
        <v>借</v>
      </c>
      <c r="K396" s="9">
        <f t="shared" si="25"/>
        <v>890</v>
      </c>
      <c r="L396" s="28"/>
    </row>
    <row r="397" spans="2:12" ht="20.100000000000001" customHeight="1" x14ac:dyDescent="0.15">
      <c r="B397" s="5"/>
      <c r="C397" s="7"/>
      <c r="D397" s="10"/>
      <c r="E397" s="10"/>
      <c r="F397" s="10"/>
      <c r="G397" s="10"/>
      <c r="H397" s="8"/>
      <c r="I397" s="8"/>
      <c r="J397" s="8" t="str">
        <f t="shared" si="24"/>
        <v>借</v>
      </c>
      <c r="K397" s="9">
        <f t="shared" si="25"/>
        <v>890</v>
      </c>
      <c r="L397" s="28"/>
    </row>
    <row r="398" spans="2:12" ht="20.100000000000001" customHeight="1" x14ac:dyDescent="0.15">
      <c r="B398" s="5"/>
      <c r="C398" s="7"/>
      <c r="D398" s="10"/>
      <c r="E398" s="10"/>
      <c r="F398" s="10"/>
      <c r="G398" s="10"/>
      <c r="H398" s="8"/>
      <c r="I398" s="8"/>
      <c r="J398" s="8" t="str">
        <f t="shared" si="24"/>
        <v>借</v>
      </c>
      <c r="K398" s="9">
        <f t="shared" si="25"/>
        <v>890</v>
      </c>
      <c r="L398" s="28"/>
    </row>
    <row r="399" spans="2:12" ht="20.100000000000001" customHeight="1" x14ac:dyDescent="0.15">
      <c r="B399" s="5"/>
      <c r="C399" s="7"/>
      <c r="D399" s="10"/>
      <c r="E399" s="10"/>
      <c r="F399" s="10"/>
      <c r="G399" s="10"/>
      <c r="H399" s="8"/>
      <c r="I399" s="8"/>
      <c r="J399" s="8" t="str">
        <f t="shared" si="24"/>
        <v>借</v>
      </c>
      <c r="K399" s="9">
        <f t="shared" si="25"/>
        <v>890</v>
      </c>
      <c r="L399" s="28"/>
    </row>
    <row r="400" spans="2:12" ht="20.100000000000001" customHeight="1" x14ac:dyDescent="0.15">
      <c r="B400" s="5"/>
      <c r="C400" s="7"/>
      <c r="D400" s="10"/>
      <c r="E400" s="10"/>
      <c r="F400" s="10"/>
      <c r="G400" s="10"/>
      <c r="H400" s="8"/>
      <c r="I400" s="8"/>
      <c r="J400" s="8" t="str">
        <f t="shared" si="24"/>
        <v>借</v>
      </c>
      <c r="K400" s="9">
        <f t="shared" si="25"/>
        <v>890</v>
      </c>
      <c r="L400" s="28"/>
    </row>
    <row r="401" spans="2:12" ht="20.100000000000001" customHeight="1" x14ac:dyDescent="0.15">
      <c r="B401" s="5"/>
      <c r="C401" s="7"/>
      <c r="D401" s="10"/>
      <c r="E401" s="10"/>
      <c r="F401" s="10"/>
      <c r="G401" s="10"/>
      <c r="H401" s="8"/>
      <c r="I401" s="8"/>
      <c r="J401" s="8" t="str">
        <f t="shared" si="24"/>
        <v>借</v>
      </c>
      <c r="K401" s="9">
        <f t="shared" si="25"/>
        <v>890</v>
      </c>
      <c r="L401" s="28"/>
    </row>
    <row r="402" spans="2:12" ht="20.100000000000001" customHeight="1" x14ac:dyDescent="0.15">
      <c r="B402" s="5"/>
      <c r="C402" s="7"/>
      <c r="D402" s="10"/>
      <c r="E402" s="10"/>
      <c r="F402" s="10"/>
      <c r="G402" s="10"/>
      <c r="H402" s="8"/>
      <c r="I402" s="8"/>
      <c r="J402" s="8" t="str">
        <f t="shared" si="24"/>
        <v>借</v>
      </c>
      <c r="K402" s="9">
        <f t="shared" si="25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24"/>
        <v>借</v>
      </c>
      <c r="K403" s="9">
        <f t="shared" si="25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24"/>
        <v>借</v>
      </c>
      <c r="K404" s="9">
        <f t="shared" si="25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ref="J405:J468" si="26">IF((K404+H405-I405)&gt;0,"借","贷")</f>
        <v>借</v>
      </c>
      <c r="K405" s="9">
        <f t="shared" si="25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26"/>
        <v>借</v>
      </c>
      <c r="K406" s="9">
        <f t="shared" si="25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26"/>
        <v>借</v>
      </c>
      <c r="K407" s="9">
        <f t="shared" si="25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26"/>
        <v>借</v>
      </c>
      <c r="K408" s="9">
        <f t="shared" si="25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26"/>
        <v>借</v>
      </c>
      <c r="K409" s="9">
        <f t="shared" si="25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26"/>
        <v>借</v>
      </c>
      <c r="K410" s="9">
        <f t="shared" si="25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26"/>
        <v>借</v>
      </c>
      <c r="K411" s="9">
        <f t="shared" si="25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26"/>
        <v>借</v>
      </c>
      <c r="K412" s="9">
        <f t="shared" si="25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26"/>
        <v>借</v>
      </c>
      <c r="K413" s="9">
        <f t="shared" si="25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26"/>
        <v>借</v>
      </c>
      <c r="K414" s="9">
        <f t="shared" si="25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26"/>
        <v>借</v>
      </c>
      <c r="K415" s="9">
        <f t="shared" si="25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26"/>
        <v>借</v>
      </c>
      <c r="K416" s="9">
        <f t="shared" si="25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26"/>
        <v>借</v>
      </c>
      <c r="K417" s="9">
        <f t="shared" si="25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26"/>
        <v>借</v>
      </c>
      <c r="K418" s="9">
        <f t="shared" si="25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26"/>
        <v>借</v>
      </c>
      <c r="K419" s="9">
        <f t="shared" si="25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26"/>
        <v>借</v>
      </c>
      <c r="K420" s="9">
        <f t="shared" si="25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26"/>
        <v>借</v>
      </c>
      <c r="K421" s="9">
        <f t="shared" si="25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26"/>
        <v>借</v>
      </c>
      <c r="K422" s="9">
        <f t="shared" si="25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26"/>
        <v>借</v>
      </c>
      <c r="K423" s="9">
        <f t="shared" si="25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26"/>
        <v>借</v>
      </c>
      <c r="K424" s="9">
        <f t="shared" si="25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26"/>
        <v>借</v>
      </c>
      <c r="K425" s="9">
        <f t="shared" si="25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26"/>
        <v>借</v>
      </c>
      <c r="K426" s="9">
        <f t="shared" si="25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26"/>
        <v>借</v>
      </c>
      <c r="K427" s="9">
        <f t="shared" si="25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26"/>
        <v>借</v>
      </c>
      <c r="K428" s="9">
        <f t="shared" si="25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26"/>
        <v>借</v>
      </c>
      <c r="K429" s="9">
        <f t="shared" si="25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26"/>
        <v>借</v>
      </c>
      <c r="K430" s="9">
        <f t="shared" si="25"/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26"/>
        <v>借</v>
      </c>
      <c r="K431" s="9">
        <f t="shared" si="25"/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26"/>
        <v>借</v>
      </c>
      <c r="K432" s="9">
        <f t="shared" si="25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26"/>
        <v>借</v>
      </c>
      <c r="K433" s="9">
        <f t="shared" si="25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26"/>
        <v>借</v>
      </c>
      <c r="K434" s="9">
        <f t="shared" si="25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26"/>
        <v>借</v>
      </c>
      <c r="K435" s="9">
        <f t="shared" si="25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26"/>
        <v>借</v>
      </c>
      <c r="K436" s="9">
        <f t="shared" si="25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26"/>
        <v>借</v>
      </c>
      <c r="K437" s="9">
        <f t="shared" si="25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26"/>
        <v>借</v>
      </c>
      <c r="K438" s="9">
        <f t="shared" si="25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26"/>
        <v>借</v>
      </c>
      <c r="K439" s="9">
        <f t="shared" si="25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26"/>
        <v>借</v>
      </c>
      <c r="K440" s="9">
        <f t="shared" si="25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26"/>
        <v>借</v>
      </c>
      <c r="K441" s="9">
        <f t="shared" si="25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26"/>
        <v>借</v>
      </c>
      <c r="K442" s="9">
        <f t="shared" si="25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26"/>
        <v>借</v>
      </c>
      <c r="K443" s="9">
        <f t="shared" si="25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26"/>
        <v>借</v>
      </c>
      <c r="K444" s="9">
        <f t="shared" si="25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26"/>
        <v>借</v>
      </c>
      <c r="K445" s="9">
        <f t="shared" si="25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26"/>
        <v>借</v>
      </c>
      <c r="K446" s="9">
        <f t="shared" si="25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26"/>
        <v>借</v>
      </c>
      <c r="K447" s="9">
        <f t="shared" si="25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26"/>
        <v>借</v>
      </c>
      <c r="K448" s="9">
        <f t="shared" ref="K448:K511" si="27">_xlfn.IFS(J447="借",K447+H448-I448,J447="贷",H448-I448-K447)</f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26"/>
        <v>借</v>
      </c>
      <c r="K449" s="9">
        <f t="shared" si="27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26"/>
        <v>借</v>
      </c>
      <c r="K450" s="9">
        <f t="shared" si="27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26"/>
        <v>借</v>
      </c>
      <c r="K451" s="9">
        <f t="shared" si="27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26"/>
        <v>借</v>
      </c>
      <c r="K452" s="9">
        <f t="shared" si="27"/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26"/>
        <v>借</v>
      </c>
      <c r="K453" s="9">
        <f t="shared" si="27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26"/>
        <v>借</v>
      </c>
      <c r="K454" s="9">
        <f t="shared" si="27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26"/>
        <v>借</v>
      </c>
      <c r="K455" s="9">
        <f t="shared" si="27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26"/>
        <v>借</v>
      </c>
      <c r="K456" s="9">
        <f t="shared" si="27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26"/>
        <v>借</v>
      </c>
      <c r="K457" s="9">
        <f t="shared" si="27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6"/>
        <v>借</v>
      </c>
      <c r="K458" s="9">
        <f t="shared" si="27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6"/>
        <v>借</v>
      </c>
      <c r="K459" s="9">
        <f t="shared" si="27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6"/>
        <v>借</v>
      </c>
      <c r="K460" s="9">
        <f t="shared" si="27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6"/>
        <v>借</v>
      </c>
      <c r="K461" s="9">
        <f t="shared" si="27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6"/>
        <v>借</v>
      </c>
      <c r="K462" s="9">
        <f t="shared" si="27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26"/>
        <v>借</v>
      </c>
      <c r="K463" s="9">
        <f t="shared" si="27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6"/>
        <v>借</v>
      </c>
      <c r="K464" s="9">
        <f t="shared" si="27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6"/>
        <v>借</v>
      </c>
      <c r="K465" s="9">
        <f t="shared" si="27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6"/>
        <v>借</v>
      </c>
      <c r="K466" s="9">
        <f t="shared" si="27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6"/>
        <v>借</v>
      </c>
      <c r="K467" s="9">
        <f t="shared" si="27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6"/>
        <v>借</v>
      </c>
      <c r="K468" s="9">
        <f t="shared" si="27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ref="J469:J516" si="28">IF((K468+H469-I469)&gt;0,"借","贷")</f>
        <v>借</v>
      </c>
      <c r="K469" s="9">
        <f t="shared" si="27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8"/>
        <v>借</v>
      </c>
      <c r="K470" s="9">
        <f t="shared" si="27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8"/>
        <v>借</v>
      </c>
      <c r="K471" s="9">
        <f t="shared" si="27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8"/>
        <v>借</v>
      </c>
      <c r="K472" s="9">
        <f t="shared" si="27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8"/>
        <v>借</v>
      </c>
      <c r="K473" s="9">
        <f t="shared" si="27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8"/>
        <v>借</v>
      </c>
      <c r="K474" s="9">
        <f t="shared" si="27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8"/>
        <v>借</v>
      </c>
      <c r="K475" s="9">
        <f t="shared" si="27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8"/>
        <v>借</v>
      </c>
      <c r="K476" s="9">
        <f t="shared" si="27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8"/>
        <v>借</v>
      </c>
      <c r="K477" s="9">
        <f t="shared" si="27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8"/>
        <v>借</v>
      </c>
      <c r="K478" s="9">
        <f t="shared" si="27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8"/>
        <v>借</v>
      </c>
      <c r="K479" s="9">
        <f t="shared" si="27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8"/>
        <v>借</v>
      </c>
      <c r="K480" s="9">
        <f t="shared" si="27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8"/>
        <v>借</v>
      </c>
      <c r="K481" s="9">
        <f t="shared" si="27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8"/>
        <v>借</v>
      </c>
      <c r="K482" s="9">
        <f t="shared" si="27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8"/>
        <v>借</v>
      </c>
      <c r="K483" s="9">
        <f t="shared" si="27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8"/>
        <v>借</v>
      </c>
      <c r="K484" s="9">
        <f t="shared" si="27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8"/>
        <v>借</v>
      </c>
      <c r="K485" s="9">
        <f t="shared" si="27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8"/>
        <v>借</v>
      </c>
      <c r="K486" s="9">
        <f t="shared" si="27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8"/>
        <v>借</v>
      </c>
      <c r="K487" s="9">
        <f t="shared" si="27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8"/>
        <v>借</v>
      </c>
      <c r="K488" s="9">
        <f t="shared" si="27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8"/>
        <v>借</v>
      </c>
      <c r="K489" s="9">
        <f t="shared" si="27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8"/>
        <v>借</v>
      </c>
      <c r="K490" s="9">
        <f t="shared" si="27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8"/>
        <v>借</v>
      </c>
      <c r="K491" s="9">
        <f t="shared" si="27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8"/>
        <v>借</v>
      </c>
      <c r="K492" s="9">
        <f t="shared" si="27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8"/>
        <v>借</v>
      </c>
      <c r="K493" s="9">
        <f t="shared" si="27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8"/>
        <v>借</v>
      </c>
      <c r="K494" s="9">
        <f t="shared" si="27"/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8"/>
        <v>借</v>
      </c>
      <c r="K495" s="9">
        <f t="shared" si="27"/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8"/>
        <v>借</v>
      </c>
      <c r="K496" s="9">
        <f t="shared" si="27"/>
        <v>890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8"/>
        <v>借</v>
      </c>
      <c r="K497" s="9">
        <f t="shared" si="27"/>
        <v>890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8"/>
        <v>借</v>
      </c>
      <c r="K498" s="9">
        <f t="shared" si="27"/>
        <v>890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8"/>
        <v>借</v>
      </c>
      <c r="K499" s="9">
        <f t="shared" si="27"/>
        <v>890</v>
      </c>
      <c r="L499" s="28"/>
    </row>
    <row r="500" spans="2:12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28"/>
        <v>借</v>
      </c>
      <c r="K500" s="9">
        <f t="shared" si="27"/>
        <v>890</v>
      </c>
      <c r="L500" s="28"/>
    </row>
    <row r="501" spans="2:12" ht="20.100000000000001" customHeight="1" x14ac:dyDescent="0.15">
      <c r="B501" s="5"/>
      <c r="C501" s="10"/>
      <c r="D501" s="10"/>
      <c r="E501" s="10"/>
      <c r="F501" s="10"/>
      <c r="G501" s="10"/>
      <c r="H501" s="8"/>
      <c r="I501" s="8"/>
      <c r="J501" s="8" t="str">
        <f t="shared" si="28"/>
        <v>借</v>
      </c>
      <c r="K501" s="9">
        <f t="shared" si="27"/>
        <v>890</v>
      </c>
      <c r="L501" s="28"/>
    </row>
    <row r="502" spans="2:12" ht="20.100000000000001" customHeight="1" x14ac:dyDescent="0.15">
      <c r="B502" s="5"/>
      <c r="C502" s="10"/>
      <c r="D502" s="10"/>
      <c r="E502" s="10"/>
      <c r="F502" s="10"/>
      <c r="G502" s="10"/>
      <c r="H502" s="8"/>
      <c r="I502" s="8"/>
      <c r="J502" s="8" t="str">
        <f t="shared" si="28"/>
        <v>借</v>
      </c>
      <c r="K502" s="9">
        <f t="shared" si="27"/>
        <v>890</v>
      </c>
      <c r="L502" s="28"/>
    </row>
    <row r="503" spans="2:12" ht="20.100000000000001" customHeight="1" x14ac:dyDescent="0.15">
      <c r="B503" s="5"/>
      <c r="C503" s="10"/>
      <c r="D503" s="10"/>
      <c r="E503" s="10"/>
      <c r="F503" s="10"/>
      <c r="G503" s="10"/>
      <c r="H503" s="8"/>
      <c r="I503" s="8"/>
      <c r="J503" s="8" t="str">
        <f t="shared" si="28"/>
        <v>借</v>
      </c>
      <c r="K503" s="9">
        <f t="shared" si="27"/>
        <v>890</v>
      </c>
      <c r="L503" s="28"/>
    </row>
    <row r="504" spans="2:12" ht="20.100000000000001" customHeight="1" x14ac:dyDescent="0.15">
      <c r="B504" s="5"/>
      <c r="C504" s="10"/>
      <c r="D504" s="10"/>
      <c r="E504" s="10"/>
      <c r="F504" s="10"/>
      <c r="G504" s="10"/>
      <c r="H504" s="8"/>
      <c r="I504" s="8"/>
      <c r="J504" s="8" t="str">
        <f t="shared" si="28"/>
        <v>借</v>
      </c>
      <c r="K504" s="9">
        <f t="shared" si="27"/>
        <v>890</v>
      </c>
      <c r="L504" s="28"/>
    </row>
    <row r="505" spans="2:12" ht="20.100000000000001" customHeight="1" x14ac:dyDescent="0.15">
      <c r="B505" s="5"/>
      <c r="C505" s="10"/>
      <c r="D505" s="10"/>
      <c r="E505" s="10"/>
      <c r="F505" s="10"/>
      <c r="G505" s="10"/>
      <c r="H505" s="8"/>
      <c r="I505" s="8"/>
      <c r="J505" s="8" t="str">
        <f t="shared" si="28"/>
        <v>借</v>
      </c>
      <c r="K505" s="9">
        <f t="shared" si="27"/>
        <v>890</v>
      </c>
      <c r="L505" s="28"/>
    </row>
    <row r="506" spans="2:12" ht="20.100000000000001" customHeight="1" x14ac:dyDescent="0.15">
      <c r="B506" s="5"/>
      <c r="C506" s="10"/>
      <c r="D506" s="10"/>
      <c r="E506" s="10"/>
      <c r="F506" s="10"/>
      <c r="G506" s="10"/>
      <c r="H506" s="8"/>
      <c r="I506" s="8"/>
      <c r="J506" s="8" t="str">
        <f t="shared" si="28"/>
        <v>借</v>
      </c>
      <c r="K506" s="9">
        <f t="shared" si="27"/>
        <v>890</v>
      </c>
      <c r="L506" s="28"/>
    </row>
    <row r="507" spans="2:12" ht="20.100000000000001" customHeight="1" x14ac:dyDescent="0.15">
      <c r="B507" s="5"/>
      <c r="C507" s="10"/>
      <c r="D507" s="10"/>
      <c r="E507" s="10"/>
      <c r="F507" s="10"/>
      <c r="G507" s="10"/>
      <c r="H507" s="8"/>
      <c r="I507" s="8"/>
      <c r="J507" s="8" t="str">
        <f t="shared" si="28"/>
        <v>借</v>
      </c>
      <c r="K507" s="9">
        <f t="shared" si="27"/>
        <v>890</v>
      </c>
      <c r="L507" s="28"/>
    </row>
    <row r="508" spans="2:12" ht="20.100000000000001" customHeight="1" x14ac:dyDescent="0.15">
      <c r="B508" s="5"/>
      <c r="C508" s="10"/>
      <c r="D508" s="10"/>
      <c r="E508" s="10"/>
      <c r="F508" s="10"/>
      <c r="G508" s="10"/>
      <c r="H508" s="8"/>
      <c r="I508" s="8"/>
      <c r="J508" s="8" t="str">
        <f t="shared" si="28"/>
        <v>借</v>
      </c>
      <c r="K508" s="9">
        <f t="shared" si="27"/>
        <v>890</v>
      </c>
      <c r="L508" s="28"/>
    </row>
    <row r="509" spans="2:12" ht="20.100000000000001" customHeight="1" x14ac:dyDescent="0.15">
      <c r="B509" s="5"/>
      <c r="C509" s="10"/>
      <c r="D509" s="10"/>
      <c r="E509" s="10"/>
      <c r="F509" s="10"/>
      <c r="G509" s="10"/>
      <c r="H509" s="8"/>
      <c r="I509" s="8"/>
      <c r="J509" s="8" t="str">
        <f t="shared" si="28"/>
        <v>借</v>
      </c>
      <c r="K509" s="9">
        <f t="shared" si="27"/>
        <v>890</v>
      </c>
      <c r="L509" s="28"/>
    </row>
    <row r="510" spans="2:12" ht="20.100000000000001" customHeight="1" x14ac:dyDescent="0.15">
      <c r="B510" s="5"/>
      <c r="C510" s="10"/>
      <c r="D510" s="10"/>
      <c r="E510" s="10"/>
      <c r="F510" s="10"/>
      <c r="G510" s="10"/>
      <c r="H510" s="8"/>
      <c r="I510" s="8"/>
      <c r="J510" s="8" t="str">
        <f t="shared" si="28"/>
        <v>借</v>
      </c>
      <c r="K510" s="9">
        <f t="shared" si="27"/>
        <v>890</v>
      </c>
      <c r="L510" s="28"/>
    </row>
    <row r="511" spans="2:12" ht="20.100000000000001" customHeight="1" x14ac:dyDescent="0.15">
      <c r="B511" s="5"/>
      <c r="C511" s="10"/>
      <c r="D511" s="10"/>
      <c r="E511" s="10"/>
      <c r="F511" s="10"/>
      <c r="G511" s="10"/>
      <c r="H511" s="8"/>
      <c r="I511" s="8"/>
      <c r="J511" s="8" t="str">
        <f t="shared" si="28"/>
        <v>借</v>
      </c>
      <c r="K511" s="9">
        <f t="shared" si="27"/>
        <v>890</v>
      </c>
      <c r="L511" s="28"/>
    </row>
    <row r="512" spans="2:12" ht="20.100000000000001" customHeight="1" x14ac:dyDescent="0.15">
      <c r="B512" s="5"/>
      <c r="C512" s="10"/>
      <c r="D512" s="10"/>
      <c r="E512" s="10"/>
      <c r="F512" s="10"/>
      <c r="G512" s="10"/>
      <c r="H512" s="8"/>
      <c r="I512" s="8"/>
      <c r="J512" s="8" t="str">
        <f t="shared" si="28"/>
        <v>借</v>
      </c>
      <c r="K512" s="9">
        <f t="shared" ref="K512:K516" si="29">_xlfn.IFS(J511="借",K511+H512-I512,J511="贷",H512-I512-K511)</f>
        <v>890</v>
      </c>
      <c r="L512" s="28"/>
    </row>
    <row r="513" spans="2:12" ht="20.100000000000001" customHeight="1" x14ac:dyDescent="0.15">
      <c r="B513" s="5"/>
      <c r="C513" s="10"/>
      <c r="D513" s="10"/>
      <c r="E513" s="10"/>
      <c r="F513" s="10"/>
      <c r="G513" s="10"/>
      <c r="H513" s="8"/>
      <c r="I513" s="8"/>
      <c r="J513" s="8" t="str">
        <f t="shared" si="28"/>
        <v>借</v>
      </c>
      <c r="K513" s="9">
        <f t="shared" si="29"/>
        <v>890</v>
      </c>
      <c r="L513" s="28"/>
    </row>
    <row r="514" spans="2:12" ht="20.100000000000001" customHeight="1" x14ac:dyDescent="0.15">
      <c r="B514" s="5"/>
      <c r="C514" s="10"/>
      <c r="D514" s="10"/>
      <c r="E514" s="10"/>
      <c r="F514" s="10"/>
      <c r="G514" s="10"/>
      <c r="H514" s="8"/>
      <c r="I514" s="8"/>
      <c r="J514" s="8" t="str">
        <f t="shared" si="28"/>
        <v>借</v>
      </c>
      <c r="K514" s="9">
        <f t="shared" si="29"/>
        <v>890</v>
      </c>
      <c r="L514" s="28"/>
    </row>
    <row r="515" spans="2:12" ht="20.100000000000001" customHeight="1" x14ac:dyDescent="0.15">
      <c r="B515" s="5"/>
      <c r="C515" s="10"/>
      <c r="D515" s="10"/>
      <c r="E515" s="10"/>
      <c r="F515" s="10"/>
      <c r="G515" s="10"/>
      <c r="H515" s="8"/>
      <c r="I515" s="8"/>
      <c r="J515" s="8" t="str">
        <f t="shared" si="28"/>
        <v>借</v>
      </c>
      <c r="K515" s="9">
        <f t="shared" si="29"/>
        <v>890</v>
      </c>
      <c r="L515" s="28"/>
    </row>
    <row r="516" spans="2:12" ht="20.100000000000001" customHeight="1" x14ac:dyDescent="0.15">
      <c r="B516" s="5"/>
      <c r="C516" s="10"/>
      <c r="D516" s="10"/>
      <c r="F516" s="10"/>
      <c r="G516" s="10"/>
      <c r="H516" s="8"/>
      <c r="I516" s="8"/>
      <c r="J516" s="8" t="str">
        <f t="shared" si="28"/>
        <v>借</v>
      </c>
      <c r="K516" s="9">
        <f t="shared" si="29"/>
        <v>890</v>
      </c>
      <c r="L516" s="28"/>
    </row>
  </sheetData>
  <autoFilter ref="A4:M516" xr:uid="{00000000-0009-0000-0000-000008000000}"/>
  <mergeCells count="5">
    <mergeCell ref="A1:K1"/>
    <mergeCell ref="M154:M155"/>
    <mergeCell ref="M183:M184"/>
    <mergeCell ref="M219:M220"/>
    <mergeCell ref="M264:M265"/>
  </mergeCells>
  <phoneticPr fontId="22" type="noConversion"/>
  <dataValidations count="1">
    <dataValidation type="list" allowBlank="1" showInputMessage="1" showErrorMessage="1" sqref="G5:G1048576 A1:L1" xr:uid="{00000000-0002-0000-0800-000000000000}">
      <formula1>#REF!</formula1>
    </dataValidation>
  </dataValidations>
  <pageMargins left="0.75" right="0.75" top="1" bottom="1" header="0.5" footer="0.5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98"/>
  <sheetViews>
    <sheetView topLeftCell="D1" workbookViewId="0">
      <selection activeCell="E26" sqref="E2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  <c r="L1" s="2"/>
    </row>
    <row r="2" spans="1:13" ht="20.100000000000001" customHeight="1" x14ac:dyDescent="0.15">
      <c r="B2" t="s">
        <v>62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SUM(H5:H190001)</f>
        <v>0</v>
      </c>
      <c r="I3" s="4">
        <f>SUM(I5:I190001)</f>
        <v>0</v>
      </c>
      <c r="J3" s="4"/>
      <c r="K3" s="3">
        <f>H3-I3</f>
        <v>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/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f>H5-I5</f>
        <v>0</v>
      </c>
      <c r="L5" s="28"/>
    </row>
    <row r="6" spans="1:13" ht="20.100000000000001" customHeight="1" x14ac:dyDescent="0.15">
      <c r="A6" s="5"/>
      <c r="B6" s="5"/>
      <c r="C6" s="5"/>
      <c r="D6" s="10"/>
      <c r="E6" s="10"/>
      <c r="F6" s="7"/>
      <c r="G6" s="7"/>
      <c r="H6" s="8"/>
      <c r="I6" s="8"/>
      <c r="J6" s="8" t="str">
        <f t="shared" ref="J6:J69" si="0">IF((K5+H6-I6)&gt;0,"借","贷")</f>
        <v>贷</v>
      </c>
      <c r="K6" s="9">
        <f t="shared" ref="K6:K69" si="1">K5+H6-I6</f>
        <v>0</v>
      </c>
      <c r="L6" s="28"/>
    </row>
    <row r="7" spans="1:13" ht="20.100000000000001" customHeight="1" x14ac:dyDescent="0.15">
      <c r="A7" s="5"/>
      <c r="B7" s="5"/>
      <c r="C7" s="5"/>
      <c r="D7" s="10"/>
      <c r="E7" s="10"/>
      <c r="F7" s="7"/>
      <c r="G7" s="7"/>
      <c r="H7" s="8"/>
      <c r="I7" s="8"/>
      <c r="J7" s="8" t="str">
        <f t="shared" si="0"/>
        <v>贷</v>
      </c>
      <c r="K7" s="9">
        <f t="shared" si="1"/>
        <v>0</v>
      </c>
      <c r="L7" s="28"/>
    </row>
    <row r="8" spans="1:13" ht="20.100000000000001" customHeight="1" x14ac:dyDescent="0.15">
      <c r="A8" s="5"/>
      <c r="B8" s="5"/>
      <c r="C8" s="5"/>
      <c r="D8" s="10"/>
      <c r="E8" s="10"/>
      <c r="F8" s="7"/>
      <c r="G8" s="7"/>
      <c r="H8" s="8"/>
      <c r="I8" s="8"/>
      <c r="J8" s="8" t="str">
        <f t="shared" si="0"/>
        <v>贷</v>
      </c>
      <c r="K8" s="9">
        <f t="shared" si="1"/>
        <v>0</v>
      </c>
      <c r="L8" s="28"/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贷</v>
      </c>
      <c r="K9" s="9">
        <f t="shared" si="1"/>
        <v>0</v>
      </c>
      <c r="L9" s="28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贷</v>
      </c>
      <c r="K10" s="9">
        <f t="shared" si="1"/>
        <v>0</v>
      </c>
      <c r="L10" s="28"/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贷</v>
      </c>
      <c r="K11" s="9">
        <f t="shared" si="1"/>
        <v>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贷</v>
      </c>
      <c r="K12" s="9">
        <f t="shared" si="1"/>
        <v>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贷</v>
      </c>
      <c r="K13" s="9">
        <f t="shared" si="1"/>
        <v>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贷</v>
      </c>
      <c r="K14" s="9">
        <f t="shared" si="1"/>
        <v>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贷</v>
      </c>
      <c r="K15" s="9">
        <f t="shared" si="1"/>
        <v>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贷</v>
      </c>
      <c r="K16" s="9">
        <f t="shared" si="1"/>
        <v>0</v>
      </c>
      <c r="L16" s="28"/>
    </row>
    <row r="17" spans="1:12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贷</v>
      </c>
      <c r="K17" s="9">
        <f t="shared" si="1"/>
        <v>0</v>
      </c>
      <c r="L17" s="28"/>
    </row>
    <row r="18" spans="1:12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贷</v>
      </c>
      <c r="K18" s="9">
        <f t="shared" si="1"/>
        <v>0</v>
      </c>
      <c r="L18" s="28"/>
    </row>
    <row r="19" spans="1:12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贷</v>
      </c>
      <c r="K19" s="9">
        <f t="shared" si="1"/>
        <v>0</v>
      </c>
      <c r="L19" s="28"/>
    </row>
    <row r="20" spans="1:12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贷</v>
      </c>
      <c r="K20" s="9">
        <f t="shared" si="1"/>
        <v>0</v>
      </c>
      <c r="L20" s="28"/>
    </row>
    <row r="21" spans="1:12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贷</v>
      </c>
      <c r="K21" s="9">
        <f t="shared" si="1"/>
        <v>0</v>
      </c>
      <c r="L21" s="28"/>
    </row>
    <row r="22" spans="1:12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14"/>
      <c r="J22" s="8" t="str">
        <f t="shared" si="0"/>
        <v>贷</v>
      </c>
      <c r="K22" s="9">
        <f t="shared" si="1"/>
        <v>0</v>
      </c>
      <c r="L22" s="28"/>
    </row>
    <row r="23" spans="1:12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14"/>
      <c r="J23" s="8" t="str">
        <f t="shared" si="0"/>
        <v>贷</v>
      </c>
      <c r="K23" s="9">
        <f t="shared" si="1"/>
        <v>0</v>
      </c>
      <c r="L23" s="28"/>
    </row>
    <row r="24" spans="1:12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14"/>
      <c r="J24" s="8" t="str">
        <f t="shared" si="0"/>
        <v>贷</v>
      </c>
      <c r="K24" s="9">
        <f t="shared" si="1"/>
        <v>0</v>
      </c>
      <c r="L24" s="28"/>
    </row>
    <row r="25" spans="1:12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14"/>
      <c r="J25" s="8" t="str">
        <f t="shared" si="0"/>
        <v>贷</v>
      </c>
      <c r="K25" s="9">
        <f t="shared" si="1"/>
        <v>0</v>
      </c>
      <c r="L25" s="28"/>
    </row>
    <row r="26" spans="1:12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贷</v>
      </c>
      <c r="K26" s="9">
        <f t="shared" si="1"/>
        <v>0</v>
      </c>
      <c r="L26" s="28"/>
    </row>
    <row r="27" spans="1:12" ht="20.100000000000001" customHeight="1" x14ac:dyDescent="0.15">
      <c r="A27" s="5"/>
      <c r="B27" s="5"/>
      <c r="C27" s="5"/>
      <c r="D27" s="10"/>
      <c r="E27" s="11"/>
      <c r="F27" s="10"/>
      <c r="G27" s="10"/>
      <c r="H27" s="8"/>
      <c r="I27" s="8"/>
      <c r="J27" s="8" t="str">
        <f t="shared" si="0"/>
        <v>贷</v>
      </c>
      <c r="K27" s="9">
        <f t="shared" si="1"/>
        <v>0</v>
      </c>
      <c r="L27" s="28"/>
    </row>
    <row r="28" spans="1:12" ht="20.100000000000001" customHeight="1" x14ac:dyDescent="0.15">
      <c r="A28" s="5"/>
      <c r="B28" s="5"/>
      <c r="C28" s="5"/>
      <c r="D28" s="10"/>
      <c r="E28" s="11"/>
      <c r="F28" s="10"/>
      <c r="G28" s="10"/>
      <c r="H28" s="8"/>
      <c r="I28" s="8"/>
      <c r="J28" s="8" t="str">
        <f t="shared" si="0"/>
        <v>贷</v>
      </c>
      <c r="K28" s="9">
        <f t="shared" si="1"/>
        <v>0</v>
      </c>
      <c r="L28" s="28"/>
    </row>
    <row r="29" spans="1:12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贷</v>
      </c>
      <c r="K29" s="9">
        <f t="shared" si="1"/>
        <v>0</v>
      </c>
      <c r="L29" s="28"/>
    </row>
    <row r="30" spans="1:12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0"/>
        <v>贷</v>
      </c>
      <c r="K30" s="9">
        <f t="shared" si="1"/>
        <v>0</v>
      </c>
      <c r="L30" s="28"/>
    </row>
    <row r="31" spans="1:12" ht="20.100000000000001" customHeight="1" x14ac:dyDescent="0.15">
      <c r="A31" s="5"/>
      <c r="B31" s="5"/>
      <c r="C31" s="5"/>
      <c r="D31" s="10"/>
      <c r="E31" s="10"/>
      <c r="F31" s="10"/>
      <c r="G31" s="10"/>
      <c r="H31" s="8"/>
      <c r="I31" s="8"/>
      <c r="J31" s="8" t="str">
        <f t="shared" si="0"/>
        <v>贷</v>
      </c>
      <c r="K31" s="9">
        <f t="shared" si="1"/>
        <v>0</v>
      </c>
      <c r="L31" s="28"/>
    </row>
    <row r="32" spans="1:12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贷</v>
      </c>
      <c r="K32" s="9">
        <f t="shared" si="1"/>
        <v>0</v>
      </c>
      <c r="L32" s="28"/>
    </row>
    <row r="33" spans="1:12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贷</v>
      </c>
      <c r="K33" s="9">
        <f t="shared" si="1"/>
        <v>0</v>
      </c>
      <c r="L33" s="28"/>
    </row>
    <row r="34" spans="1:12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贷</v>
      </c>
      <c r="K34" s="9">
        <f t="shared" si="1"/>
        <v>0</v>
      </c>
      <c r="L34" s="28"/>
    </row>
    <row r="35" spans="1:12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贷</v>
      </c>
      <c r="K35" s="9">
        <f t="shared" si="1"/>
        <v>0</v>
      </c>
      <c r="L35" s="28"/>
    </row>
    <row r="36" spans="1:12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贷</v>
      </c>
      <c r="K36" s="9">
        <f t="shared" si="1"/>
        <v>0</v>
      </c>
      <c r="L36" s="28"/>
    </row>
    <row r="37" spans="1:12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贷</v>
      </c>
      <c r="K37" s="9">
        <f t="shared" si="1"/>
        <v>0</v>
      </c>
      <c r="L37" s="28"/>
    </row>
    <row r="38" spans="1:12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贷</v>
      </c>
      <c r="K38" s="9">
        <f t="shared" si="1"/>
        <v>0</v>
      </c>
      <c r="L38" s="28"/>
    </row>
    <row r="39" spans="1:12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贷</v>
      </c>
      <c r="K39" s="9">
        <f t="shared" si="1"/>
        <v>0</v>
      </c>
      <c r="L39" s="28"/>
    </row>
    <row r="40" spans="1:12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贷</v>
      </c>
      <c r="K40" s="9">
        <f t="shared" si="1"/>
        <v>0</v>
      </c>
      <c r="L40" s="28"/>
    </row>
    <row r="41" spans="1:12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贷</v>
      </c>
      <c r="K41" s="9">
        <f t="shared" si="1"/>
        <v>0</v>
      </c>
      <c r="L41" s="28"/>
    </row>
    <row r="42" spans="1:12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贷</v>
      </c>
      <c r="K42" s="9">
        <f t="shared" si="1"/>
        <v>0</v>
      </c>
      <c r="L42" s="28"/>
    </row>
    <row r="43" spans="1:12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贷</v>
      </c>
      <c r="K43" s="9">
        <f t="shared" si="1"/>
        <v>0</v>
      </c>
      <c r="L43" s="28"/>
    </row>
    <row r="44" spans="1:12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贷</v>
      </c>
      <c r="K44" s="9">
        <f t="shared" si="1"/>
        <v>0</v>
      </c>
      <c r="L44" s="28"/>
    </row>
    <row r="45" spans="1:12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贷</v>
      </c>
      <c r="K45" s="9">
        <f t="shared" si="1"/>
        <v>0</v>
      </c>
      <c r="L45" s="28"/>
    </row>
    <row r="46" spans="1:12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贷</v>
      </c>
      <c r="K46" s="9">
        <f t="shared" si="1"/>
        <v>0</v>
      </c>
      <c r="L46" s="28"/>
    </row>
    <row r="47" spans="1:12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贷</v>
      </c>
      <c r="K47" s="9">
        <f t="shared" si="1"/>
        <v>0</v>
      </c>
      <c r="L47" s="28"/>
    </row>
    <row r="48" spans="1:12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贷</v>
      </c>
      <c r="K48" s="9">
        <f t="shared" si="1"/>
        <v>0</v>
      </c>
      <c r="L48" s="28"/>
    </row>
    <row r="49" spans="1:12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贷</v>
      </c>
      <c r="K49" s="9">
        <f t="shared" si="1"/>
        <v>0</v>
      </c>
      <c r="L49" s="28"/>
    </row>
    <row r="50" spans="1:12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贷</v>
      </c>
      <c r="K50" s="9">
        <f t="shared" si="1"/>
        <v>0</v>
      </c>
      <c r="L50" s="28"/>
    </row>
    <row r="51" spans="1:12" ht="20.100000000000001" customHeight="1" x14ac:dyDescent="0.15">
      <c r="A51" s="5"/>
      <c r="B51" s="5"/>
      <c r="C51" s="10"/>
      <c r="D51" s="48"/>
      <c r="E51" s="10"/>
      <c r="F51" s="10"/>
      <c r="G51" s="10"/>
      <c r="H51" s="8"/>
      <c r="I51" s="8"/>
      <c r="J51" s="8" t="str">
        <f t="shared" si="0"/>
        <v>贷</v>
      </c>
      <c r="K51" s="9">
        <f t="shared" si="1"/>
        <v>0</v>
      </c>
      <c r="L51" s="28"/>
    </row>
    <row r="52" spans="1:12" ht="20.100000000000001" customHeight="1" x14ac:dyDescent="0.15">
      <c r="A52" s="5"/>
      <c r="B52" s="5"/>
      <c r="C52" s="10"/>
      <c r="D52" s="48"/>
      <c r="E52" s="10"/>
      <c r="F52" s="10"/>
      <c r="G52" s="10"/>
      <c r="H52" s="8"/>
      <c r="I52" s="8"/>
      <c r="J52" s="8" t="str">
        <f t="shared" si="0"/>
        <v>贷</v>
      </c>
      <c r="K52" s="9">
        <f t="shared" si="1"/>
        <v>0</v>
      </c>
      <c r="L52" s="28"/>
    </row>
    <row r="53" spans="1:12" ht="20.100000000000001" customHeight="1" x14ac:dyDescent="0.15">
      <c r="A53" s="5"/>
      <c r="B53" s="5"/>
      <c r="C53" s="10"/>
      <c r="D53" s="49"/>
      <c r="E53" s="10"/>
      <c r="F53" s="10"/>
      <c r="G53" s="10"/>
      <c r="H53" s="8"/>
      <c r="I53" s="8"/>
      <c r="J53" s="8" t="str">
        <f t="shared" si="0"/>
        <v>贷</v>
      </c>
      <c r="K53" s="9">
        <f t="shared" si="1"/>
        <v>0</v>
      </c>
      <c r="L53" s="28"/>
    </row>
    <row r="54" spans="1:12" ht="20.100000000000001" customHeight="1" x14ac:dyDescent="0.15">
      <c r="A54" s="5"/>
      <c r="B54" s="5"/>
      <c r="C54" s="10"/>
      <c r="D54" s="49"/>
      <c r="E54" s="10"/>
      <c r="F54" s="10"/>
      <c r="G54" s="10"/>
      <c r="H54" s="8"/>
      <c r="I54" s="8"/>
      <c r="J54" s="8" t="str">
        <f t="shared" si="0"/>
        <v>贷</v>
      </c>
      <c r="K54" s="9">
        <f t="shared" si="1"/>
        <v>0</v>
      </c>
      <c r="L54" s="28"/>
    </row>
    <row r="55" spans="1:12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贷</v>
      </c>
      <c r="K55" s="9">
        <f t="shared" si="1"/>
        <v>0</v>
      </c>
      <c r="L55" s="28"/>
    </row>
    <row r="56" spans="1:12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贷</v>
      </c>
      <c r="K56" s="9">
        <f t="shared" si="1"/>
        <v>0</v>
      </c>
      <c r="L56" s="28"/>
    </row>
    <row r="57" spans="1:12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贷</v>
      </c>
      <c r="K57" s="9">
        <f t="shared" si="1"/>
        <v>0</v>
      </c>
      <c r="L57" s="28"/>
    </row>
    <row r="58" spans="1:12" ht="20.100000000000001" customHeight="1" x14ac:dyDescent="0.15">
      <c r="A58" s="10"/>
      <c r="B58" s="5"/>
      <c r="C58" s="10"/>
      <c r="D58" s="48"/>
      <c r="E58" s="10"/>
      <c r="F58" s="10"/>
      <c r="G58" s="10"/>
      <c r="H58" s="8"/>
      <c r="I58" s="8"/>
      <c r="J58" s="8" t="str">
        <f t="shared" si="0"/>
        <v>贷</v>
      </c>
      <c r="K58" s="9">
        <f t="shared" si="1"/>
        <v>0</v>
      </c>
      <c r="L58" s="28"/>
    </row>
    <row r="59" spans="1:12" ht="20.100000000000001" customHeight="1" x14ac:dyDescent="0.15">
      <c r="A59" s="10"/>
      <c r="B59" s="5"/>
      <c r="C59" s="10"/>
      <c r="D59" s="35"/>
      <c r="E59" s="10"/>
      <c r="F59" s="10"/>
      <c r="G59" s="10"/>
      <c r="H59" s="8"/>
      <c r="I59" s="8"/>
      <c r="J59" s="8" t="str">
        <f t="shared" si="0"/>
        <v>贷</v>
      </c>
      <c r="K59" s="9">
        <f t="shared" si="1"/>
        <v>0</v>
      </c>
      <c r="L59" s="28"/>
    </row>
    <row r="60" spans="1:12" ht="20.100000000000001" customHeight="1" x14ac:dyDescent="0.15">
      <c r="A60" s="10"/>
      <c r="B60" s="5"/>
      <c r="C60" s="10"/>
      <c r="D60" s="35"/>
      <c r="E60" s="10"/>
      <c r="F60" s="10"/>
      <c r="G60" s="10"/>
      <c r="H60" s="8"/>
      <c r="I60" s="8"/>
      <c r="J60" s="8" t="str">
        <f t="shared" si="0"/>
        <v>贷</v>
      </c>
      <c r="K60" s="9">
        <f t="shared" si="1"/>
        <v>0</v>
      </c>
      <c r="L60" s="28"/>
    </row>
    <row r="61" spans="1:12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贷</v>
      </c>
      <c r="K61" s="9">
        <f t="shared" si="1"/>
        <v>0</v>
      </c>
      <c r="L61" s="28"/>
    </row>
    <row r="62" spans="1:12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贷</v>
      </c>
      <c r="K62" s="9">
        <f t="shared" si="1"/>
        <v>0</v>
      </c>
      <c r="L62" s="28"/>
    </row>
    <row r="63" spans="1:12" ht="20.100000000000001" customHeight="1" x14ac:dyDescent="0.15">
      <c r="A63" s="10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贷</v>
      </c>
      <c r="K63" s="9">
        <f t="shared" si="1"/>
        <v>0</v>
      </c>
      <c r="L63" s="28"/>
    </row>
    <row r="64" spans="1:12" ht="20.100000000000001" customHeight="1" x14ac:dyDescent="0.15">
      <c r="A64" s="5"/>
      <c r="B64" s="5"/>
      <c r="C64" s="10"/>
      <c r="D64" s="11"/>
      <c r="E64" s="10"/>
      <c r="F64" s="10"/>
      <c r="G64" s="10"/>
      <c r="H64" s="8"/>
      <c r="I64" s="8"/>
      <c r="J64" s="8" t="str">
        <f t="shared" si="0"/>
        <v>贷</v>
      </c>
      <c r="K64" s="9">
        <f t="shared" si="1"/>
        <v>0</v>
      </c>
      <c r="L64" s="28"/>
    </row>
    <row r="65" spans="1:12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贷</v>
      </c>
      <c r="K65" s="9">
        <f t="shared" si="1"/>
        <v>0</v>
      </c>
      <c r="L65" s="28"/>
    </row>
    <row r="66" spans="1:12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贷</v>
      </c>
      <c r="K66" s="9">
        <f t="shared" si="1"/>
        <v>0</v>
      </c>
      <c r="L66" s="28"/>
    </row>
    <row r="67" spans="1:12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贷</v>
      </c>
      <c r="K67" s="9">
        <f t="shared" si="1"/>
        <v>0</v>
      </c>
      <c r="L67" s="28"/>
    </row>
    <row r="68" spans="1:12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贷</v>
      </c>
      <c r="K68" s="9">
        <f t="shared" si="1"/>
        <v>0</v>
      </c>
      <c r="L68" s="28"/>
    </row>
    <row r="69" spans="1:12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贷</v>
      </c>
      <c r="K69" s="9">
        <f t="shared" si="1"/>
        <v>0</v>
      </c>
      <c r="L69" s="28"/>
    </row>
    <row r="70" spans="1:12" ht="20.100000000000001" customHeight="1" x14ac:dyDescent="0.15">
      <c r="A70" s="10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贷</v>
      </c>
      <c r="K70" s="9">
        <f t="shared" ref="K70:K133" si="3">K69+H70-I70</f>
        <v>0</v>
      </c>
      <c r="L70" s="28"/>
    </row>
    <row r="71" spans="1:12" ht="20.100000000000001" customHeight="1" x14ac:dyDescent="0.15">
      <c r="A71" s="10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贷</v>
      </c>
      <c r="K71" s="9">
        <f t="shared" si="3"/>
        <v>0</v>
      </c>
      <c r="L71" s="28"/>
    </row>
    <row r="72" spans="1:12" ht="20.100000000000001" customHeight="1" x14ac:dyDescent="0.15">
      <c r="A72" s="5"/>
      <c r="B72" s="5"/>
      <c r="C72" s="10"/>
      <c r="D72" s="13"/>
      <c r="E72" s="10"/>
      <c r="F72" s="10"/>
      <c r="G72" s="10"/>
      <c r="H72" s="8"/>
      <c r="I72" s="15"/>
      <c r="J72" s="8" t="str">
        <f t="shared" si="2"/>
        <v>贷</v>
      </c>
      <c r="K72" s="9">
        <f t="shared" si="3"/>
        <v>0</v>
      </c>
      <c r="L72" s="28"/>
    </row>
    <row r="73" spans="1:12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贷</v>
      </c>
      <c r="K73" s="9">
        <f t="shared" si="3"/>
        <v>0</v>
      </c>
      <c r="L73" s="28"/>
    </row>
    <row r="74" spans="1:12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贷</v>
      </c>
      <c r="K74" s="9">
        <f t="shared" si="3"/>
        <v>0</v>
      </c>
      <c r="L74" s="28"/>
    </row>
    <row r="75" spans="1:12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贷</v>
      </c>
      <c r="K75" s="9">
        <f t="shared" si="3"/>
        <v>0</v>
      </c>
      <c r="L75" s="28"/>
    </row>
    <row r="76" spans="1:12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贷</v>
      </c>
      <c r="K76" s="9">
        <f t="shared" si="3"/>
        <v>0</v>
      </c>
      <c r="L76" s="28"/>
    </row>
    <row r="77" spans="1:12" ht="20.100000000000001" customHeight="1" x14ac:dyDescent="0.15">
      <c r="A77" s="5"/>
      <c r="B77" s="5"/>
      <c r="C77" s="10"/>
      <c r="D77" s="13"/>
      <c r="E77" s="10"/>
      <c r="F77" s="10"/>
      <c r="G77" s="10"/>
      <c r="H77" s="8"/>
      <c r="I77" s="8"/>
      <c r="J77" s="8" t="str">
        <f t="shared" si="2"/>
        <v>贷</v>
      </c>
      <c r="K77" s="9">
        <f t="shared" si="3"/>
        <v>0</v>
      </c>
      <c r="L77" s="28"/>
    </row>
    <row r="78" spans="1:12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2"/>
        <v>贷</v>
      </c>
      <c r="K78" s="9">
        <f t="shared" si="3"/>
        <v>0</v>
      </c>
      <c r="L78" s="28"/>
    </row>
    <row r="79" spans="1:12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贷</v>
      </c>
      <c r="K79" s="9">
        <f t="shared" si="3"/>
        <v>0</v>
      </c>
      <c r="L79" s="28"/>
    </row>
    <row r="80" spans="1:12" ht="20.100000000000001" customHeight="1" x14ac:dyDescent="0.15">
      <c r="A80" s="10"/>
      <c r="B80" s="5"/>
      <c r="C80" s="10"/>
      <c r="D80" s="35"/>
      <c r="E80" s="10"/>
      <c r="F80" s="10"/>
      <c r="G80" s="10"/>
      <c r="H80" s="8"/>
      <c r="I80" s="8"/>
      <c r="J80" s="8" t="str">
        <f t="shared" si="2"/>
        <v>贷</v>
      </c>
      <c r="K80" s="9">
        <f t="shared" si="3"/>
        <v>0</v>
      </c>
      <c r="L80" s="28"/>
    </row>
    <row r="81" spans="1:12" ht="20.100000000000001" customHeight="1" x14ac:dyDescent="0.15">
      <c r="A81" s="10"/>
      <c r="B81" s="5"/>
      <c r="C81" s="5"/>
      <c r="D81" s="35"/>
      <c r="E81" s="10"/>
      <c r="F81" s="10"/>
      <c r="G81" s="10"/>
      <c r="H81" s="8"/>
      <c r="I81" s="8"/>
      <c r="J81" s="8" t="str">
        <f t="shared" si="2"/>
        <v>贷</v>
      </c>
      <c r="K81" s="9">
        <f t="shared" si="3"/>
        <v>0</v>
      </c>
      <c r="L81" s="28"/>
    </row>
    <row r="82" spans="1:12" ht="20.100000000000001" customHeight="1" x14ac:dyDescent="0.15">
      <c r="A82" s="5"/>
      <c r="B82" s="5"/>
      <c r="C82" s="5"/>
      <c r="D82" s="50"/>
      <c r="E82" s="10"/>
      <c r="F82" s="10"/>
      <c r="G82" s="10"/>
      <c r="H82" s="8"/>
      <c r="I82" s="15"/>
      <c r="J82" s="8" t="str">
        <f t="shared" si="2"/>
        <v>贷</v>
      </c>
      <c r="K82" s="9">
        <f t="shared" si="3"/>
        <v>0</v>
      </c>
      <c r="L82" s="28"/>
    </row>
    <row r="83" spans="1:12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贷</v>
      </c>
      <c r="K83" s="9">
        <f t="shared" si="3"/>
        <v>0</v>
      </c>
      <c r="L83" s="28"/>
    </row>
    <row r="84" spans="1:12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15"/>
      <c r="J84" s="8" t="str">
        <f t="shared" si="2"/>
        <v>贷</v>
      </c>
      <c r="K84" s="9">
        <f t="shared" si="3"/>
        <v>0</v>
      </c>
      <c r="L84" s="28"/>
    </row>
    <row r="85" spans="1:12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15"/>
      <c r="J85" s="8" t="str">
        <f t="shared" si="2"/>
        <v>贷</v>
      </c>
      <c r="K85" s="9">
        <f t="shared" si="3"/>
        <v>0</v>
      </c>
      <c r="L85" s="28"/>
    </row>
    <row r="86" spans="1:12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15"/>
      <c r="J86" s="8" t="str">
        <f t="shared" si="2"/>
        <v>贷</v>
      </c>
      <c r="K86" s="9">
        <f t="shared" si="3"/>
        <v>0</v>
      </c>
      <c r="L86" s="28"/>
    </row>
    <row r="87" spans="1:12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15"/>
      <c r="J87" s="8" t="str">
        <f t="shared" si="2"/>
        <v>贷</v>
      </c>
      <c r="K87" s="9">
        <f t="shared" si="3"/>
        <v>0</v>
      </c>
      <c r="L87" s="28"/>
    </row>
    <row r="88" spans="1:12" ht="20.100000000000001" customHeight="1" x14ac:dyDescent="0.15">
      <c r="A88" s="5"/>
      <c r="B88" s="5"/>
      <c r="C88" s="5"/>
      <c r="D88" s="12"/>
      <c r="E88" s="10"/>
      <c r="F88" s="10"/>
      <c r="G88" s="10"/>
      <c r="H88" s="8"/>
      <c r="I88" s="15"/>
      <c r="J88" s="8" t="str">
        <f t="shared" si="2"/>
        <v>贷</v>
      </c>
      <c r="K88" s="9">
        <f t="shared" si="3"/>
        <v>0</v>
      </c>
      <c r="L88" s="28"/>
    </row>
    <row r="89" spans="1:12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15"/>
      <c r="J89" s="8" t="str">
        <f t="shared" si="2"/>
        <v>贷</v>
      </c>
      <c r="K89" s="9">
        <f t="shared" si="3"/>
        <v>0</v>
      </c>
      <c r="L89" s="28"/>
    </row>
    <row r="90" spans="1:12" ht="20.100000000000001" customHeight="1" x14ac:dyDescent="0.15">
      <c r="A90" s="10"/>
      <c r="B90" s="5"/>
      <c r="C90" s="5"/>
      <c r="D90" s="10"/>
      <c r="E90" s="10"/>
      <c r="F90" s="10"/>
      <c r="G90" s="10"/>
      <c r="H90" s="8"/>
      <c r="I90" s="15"/>
      <c r="J90" s="8" t="str">
        <f t="shared" si="2"/>
        <v>贷</v>
      </c>
      <c r="K90" s="9">
        <f t="shared" si="3"/>
        <v>0</v>
      </c>
      <c r="L90" s="28"/>
    </row>
    <row r="91" spans="1:12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15"/>
      <c r="J91" s="8" t="str">
        <f t="shared" si="2"/>
        <v>贷</v>
      </c>
      <c r="K91" s="9">
        <f t="shared" si="3"/>
        <v>0</v>
      </c>
      <c r="L91" s="28"/>
    </row>
    <row r="92" spans="1:12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15"/>
      <c r="J92" s="8" t="str">
        <f t="shared" si="2"/>
        <v>贷</v>
      </c>
      <c r="K92" s="9">
        <f t="shared" si="3"/>
        <v>0</v>
      </c>
      <c r="L92" s="28"/>
    </row>
    <row r="93" spans="1:12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15"/>
      <c r="J93" s="8" t="str">
        <f t="shared" si="2"/>
        <v>贷</v>
      </c>
      <c r="K93" s="9">
        <f t="shared" si="3"/>
        <v>0</v>
      </c>
      <c r="L93" s="28"/>
    </row>
    <row r="94" spans="1:12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2"/>
        <v>贷</v>
      </c>
      <c r="K94" s="9">
        <f t="shared" si="3"/>
        <v>0</v>
      </c>
      <c r="L94" s="28"/>
    </row>
    <row r="95" spans="1:12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15"/>
      <c r="J95" s="8" t="str">
        <f t="shared" si="2"/>
        <v>贷</v>
      </c>
      <c r="K95" s="9">
        <f t="shared" si="3"/>
        <v>0</v>
      </c>
      <c r="L95" s="28"/>
    </row>
    <row r="96" spans="1:12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15"/>
      <c r="J96" s="8" t="str">
        <f t="shared" si="2"/>
        <v>贷</v>
      </c>
      <c r="K96" s="9">
        <f t="shared" si="3"/>
        <v>0</v>
      </c>
      <c r="L96" s="28"/>
    </row>
    <row r="97" spans="1:12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15"/>
      <c r="J97" s="8" t="str">
        <f t="shared" si="2"/>
        <v>贷</v>
      </c>
      <c r="K97" s="9">
        <f t="shared" si="3"/>
        <v>0</v>
      </c>
      <c r="L97" s="28"/>
    </row>
    <row r="98" spans="1:12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15"/>
      <c r="J98" s="8" t="str">
        <f t="shared" si="2"/>
        <v>贷</v>
      </c>
      <c r="K98" s="9">
        <f t="shared" si="3"/>
        <v>0</v>
      </c>
      <c r="L98" s="28"/>
    </row>
    <row r="99" spans="1:12" ht="20.100000000000001" customHeight="1" x14ac:dyDescent="0.15">
      <c r="A99" s="10"/>
      <c r="B99" s="5"/>
      <c r="C99" s="5"/>
      <c r="D99" s="10"/>
      <c r="E99" s="10"/>
      <c r="F99" s="10"/>
      <c r="G99" s="10"/>
      <c r="H99" s="8"/>
      <c r="I99" s="51"/>
      <c r="J99" s="8" t="str">
        <f t="shared" si="2"/>
        <v>贷</v>
      </c>
      <c r="K99" s="9">
        <f t="shared" si="3"/>
        <v>0</v>
      </c>
      <c r="L99" s="28"/>
    </row>
    <row r="100" spans="1:12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15"/>
      <c r="J100" s="8" t="str">
        <f t="shared" si="2"/>
        <v>贷</v>
      </c>
      <c r="K100" s="9">
        <f t="shared" si="3"/>
        <v>0</v>
      </c>
      <c r="L100" s="28"/>
    </row>
    <row r="101" spans="1:12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贷</v>
      </c>
      <c r="K101" s="9">
        <f t="shared" si="3"/>
        <v>0</v>
      </c>
      <c r="L101" s="28"/>
    </row>
    <row r="102" spans="1:12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贷</v>
      </c>
      <c r="K102" s="9">
        <f t="shared" si="3"/>
        <v>0</v>
      </c>
      <c r="L102" s="28"/>
    </row>
    <row r="103" spans="1:12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贷</v>
      </c>
      <c r="K103" s="9">
        <f t="shared" si="3"/>
        <v>0</v>
      </c>
      <c r="L103" s="28"/>
    </row>
    <row r="104" spans="1:12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贷</v>
      </c>
      <c r="K104" s="9">
        <f t="shared" si="3"/>
        <v>0</v>
      </c>
      <c r="L104" s="28"/>
    </row>
    <row r="105" spans="1:12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贷</v>
      </c>
      <c r="K105" s="9">
        <f t="shared" si="3"/>
        <v>0</v>
      </c>
      <c r="L105" s="28"/>
    </row>
    <row r="106" spans="1:12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贷</v>
      </c>
      <c r="K106" s="9">
        <f t="shared" si="3"/>
        <v>0</v>
      </c>
      <c r="L106" s="28"/>
    </row>
    <row r="107" spans="1:12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15"/>
      <c r="J107" s="8" t="str">
        <f t="shared" si="2"/>
        <v>贷</v>
      </c>
      <c r="K107" s="9">
        <f t="shared" si="3"/>
        <v>0</v>
      </c>
      <c r="L107" s="28"/>
    </row>
    <row r="108" spans="1:12" ht="20.100000000000001" customHeight="1" x14ac:dyDescent="0.15">
      <c r="A108" s="10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贷</v>
      </c>
      <c r="K108" s="9">
        <f t="shared" si="3"/>
        <v>0</v>
      </c>
      <c r="L108" s="28"/>
    </row>
    <row r="109" spans="1:12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贷</v>
      </c>
      <c r="K109" s="9">
        <f t="shared" si="3"/>
        <v>0</v>
      </c>
      <c r="L109" s="28"/>
    </row>
    <row r="110" spans="1:12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贷</v>
      </c>
      <c r="K110" s="9">
        <f t="shared" si="3"/>
        <v>0</v>
      </c>
      <c r="L110" s="28"/>
    </row>
    <row r="111" spans="1:12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贷</v>
      </c>
      <c r="K111" s="9">
        <f t="shared" si="3"/>
        <v>0</v>
      </c>
      <c r="L111" s="28"/>
    </row>
    <row r="112" spans="1:12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贷</v>
      </c>
      <c r="K112" s="9">
        <f t="shared" si="3"/>
        <v>0</v>
      </c>
      <c r="L112" s="28"/>
    </row>
    <row r="113" spans="1:12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贷</v>
      </c>
      <c r="K113" s="9">
        <f t="shared" si="3"/>
        <v>0</v>
      </c>
      <c r="L113" s="28"/>
    </row>
    <row r="114" spans="1:12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贷</v>
      </c>
      <c r="K114" s="9">
        <f t="shared" si="3"/>
        <v>0</v>
      </c>
      <c r="L114" s="28"/>
    </row>
    <row r="115" spans="1:12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贷</v>
      </c>
      <c r="K115" s="9">
        <f t="shared" si="3"/>
        <v>0</v>
      </c>
      <c r="L115" s="28"/>
    </row>
    <row r="116" spans="1:12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贷</v>
      </c>
      <c r="K116" s="9">
        <f t="shared" si="3"/>
        <v>0</v>
      </c>
      <c r="L116" s="28"/>
    </row>
    <row r="117" spans="1:12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贷</v>
      </c>
      <c r="K117" s="9">
        <f t="shared" si="3"/>
        <v>0</v>
      </c>
      <c r="L117" s="28"/>
    </row>
    <row r="118" spans="1:12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贷</v>
      </c>
      <c r="K118" s="9">
        <f t="shared" si="3"/>
        <v>0</v>
      </c>
      <c r="L118" s="28"/>
    </row>
    <row r="119" spans="1:12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贷</v>
      </c>
      <c r="K119" s="9">
        <f t="shared" si="3"/>
        <v>0</v>
      </c>
      <c r="L119" s="28"/>
    </row>
    <row r="120" spans="1:12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贷</v>
      </c>
      <c r="K120" s="9">
        <f t="shared" si="3"/>
        <v>0</v>
      </c>
      <c r="L120" s="28"/>
    </row>
    <row r="121" spans="1:12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贷</v>
      </c>
      <c r="K121" s="9">
        <f t="shared" si="3"/>
        <v>0</v>
      </c>
      <c r="L121" s="28"/>
    </row>
    <row r="122" spans="1:12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贷</v>
      </c>
      <c r="K122" s="9">
        <f t="shared" si="3"/>
        <v>0</v>
      </c>
      <c r="L122" s="28"/>
    </row>
    <row r="123" spans="1:12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贷</v>
      </c>
      <c r="K123" s="9">
        <f t="shared" si="3"/>
        <v>0</v>
      </c>
      <c r="L123" s="28"/>
    </row>
    <row r="124" spans="1:12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2"/>
        <v>贷</v>
      </c>
      <c r="K124" s="9">
        <f t="shared" si="3"/>
        <v>0</v>
      </c>
      <c r="L124" s="28"/>
    </row>
    <row r="125" spans="1:12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2"/>
        <v>贷</v>
      </c>
      <c r="K125" s="9">
        <f t="shared" si="3"/>
        <v>0</v>
      </c>
      <c r="L125" s="28"/>
    </row>
    <row r="126" spans="1:12" ht="20.100000000000001" customHeight="1" x14ac:dyDescent="0.15">
      <c r="A126" s="10"/>
      <c r="B126" s="5"/>
      <c r="C126" s="5"/>
      <c r="D126" s="10"/>
      <c r="E126" s="10"/>
      <c r="F126" s="10"/>
      <c r="G126" s="10"/>
      <c r="H126" s="8"/>
      <c r="I126" s="8"/>
      <c r="J126" s="8" t="str">
        <f t="shared" si="2"/>
        <v>贷</v>
      </c>
      <c r="K126" s="9">
        <f t="shared" si="3"/>
        <v>0</v>
      </c>
      <c r="L126" s="28"/>
    </row>
    <row r="127" spans="1:12" ht="20.100000000000001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2"/>
        <v>贷</v>
      </c>
      <c r="K127" s="9">
        <f t="shared" si="3"/>
        <v>0</v>
      </c>
      <c r="L127" s="28"/>
    </row>
    <row r="128" spans="1:12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贷</v>
      </c>
      <c r="K128" s="9">
        <f t="shared" si="3"/>
        <v>0</v>
      </c>
      <c r="L128" s="28"/>
    </row>
    <row r="129" spans="1:12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贷</v>
      </c>
      <c r="K129" s="9">
        <f t="shared" si="3"/>
        <v>0</v>
      </c>
      <c r="L129" s="28"/>
    </row>
    <row r="130" spans="1:12" ht="20.100000000000001" customHeight="1" x14ac:dyDescent="0.15">
      <c r="A130" s="5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贷</v>
      </c>
      <c r="K130" s="9">
        <f t="shared" si="3"/>
        <v>0</v>
      </c>
      <c r="L130" s="28"/>
    </row>
    <row r="131" spans="1:12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贷</v>
      </c>
      <c r="K131" s="9">
        <f t="shared" si="3"/>
        <v>0</v>
      </c>
      <c r="L131" s="28"/>
    </row>
    <row r="132" spans="1:12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贷</v>
      </c>
      <c r="K132" s="9">
        <f t="shared" si="3"/>
        <v>0</v>
      </c>
      <c r="L132" s="28"/>
    </row>
    <row r="133" spans="1:12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贷</v>
      </c>
      <c r="K133" s="9">
        <f t="shared" si="3"/>
        <v>0</v>
      </c>
      <c r="L133" s="28"/>
    </row>
    <row r="134" spans="1:12" ht="20.100000000000001" customHeight="1" x14ac:dyDescent="0.15">
      <c r="A134" s="5"/>
      <c r="B134" s="5"/>
      <c r="C134" s="5"/>
      <c r="D134" s="16"/>
      <c r="E134" s="16"/>
      <c r="F134" s="10"/>
      <c r="G134" s="10"/>
      <c r="H134" s="8"/>
      <c r="I134" s="8"/>
      <c r="J134" s="8" t="str">
        <f t="shared" ref="J134:J197" si="4">IF((K133+H134-I134)&gt;0,"借","贷")</f>
        <v>贷</v>
      </c>
      <c r="K134" s="9">
        <f t="shared" ref="K134:K175" si="5">K133+H134-I134</f>
        <v>0</v>
      </c>
      <c r="L134" s="28"/>
    </row>
    <row r="135" spans="1:12" ht="20.100000000000001" customHeight="1" x14ac:dyDescent="0.15">
      <c r="A135" s="5"/>
      <c r="B135" s="5"/>
      <c r="C135" s="5"/>
      <c r="D135" s="16"/>
      <c r="E135" s="16"/>
      <c r="F135" s="10"/>
      <c r="G135" s="10"/>
      <c r="H135" s="8"/>
      <c r="I135" s="8"/>
      <c r="J135" s="8" t="str">
        <f t="shared" si="4"/>
        <v>贷</v>
      </c>
      <c r="K135" s="9">
        <f t="shared" si="5"/>
        <v>0</v>
      </c>
      <c r="L135" s="28"/>
    </row>
    <row r="136" spans="1:12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贷</v>
      </c>
      <c r="K136" s="9">
        <f t="shared" si="5"/>
        <v>0</v>
      </c>
      <c r="L136" s="28"/>
    </row>
    <row r="137" spans="1:12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贷</v>
      </c>
      <c r="K137" s="9">
        <f t="shared" si="5"/>
        <v>0</v>
      </c>
      <c r="L137" s="28"/>
    </row>
    <row r="138" spans="1:12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贷</v>
      </c>
      <c r="K138" s="9">
        <f t="shared" si="5"/>
        <v>0</v>
      </c>
      <c r="L138" s="28"/>
    </row>
    <row r="139" spans="1:12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贷</v>
      </c>
      <c r="K139" s="9">
        <f t="shared" si="5"/>
        <v>0</v>
      </c>
      <c r="L139" s="28"/>
    </row>
    <row r="140" spans="1:12" ht="20.100000000000001" customHeight="1" x14ac:dyDescent="0.15">
      <c r="A140" s="10"/>
      <c r="B140" s="5"/>
      <c r="C140" s="5"/>
      <c r="D140" s="32"/>
      <c r="E140" s="10"/>
      <c r="F140" s="10"/>
      <c r="G140" s="10"/>
      <c r="H140" s="8"/>
      <c r="I140" s="8"/>
      <c r="J140" s="8" t="str">
        <f t="shared" si="4"/>
        <v>贷</v>
      </c>
      <c r="K140" s="9">
        <f t="shared" si="5"/>
        <v>0</v>
      </c>
      <c r="L140" s="28"/>
    </row>
    <row r="141" spans="1:12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贷</v>
      </c>
      <c r="K141" s="9">
        <f t="shared" si="5"/>
        <v>0</v>
      </c>
      <c r="L141" s="28"/>
    </row>
    <row r="142" spans="1:12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贷</v>
      </c>
      <c r="K142" s="9">
        <f t="shared" si="5"/>
        <v>0</v>
      </c>
      <c r="L142" s="28"/>
    </row>
    <row r="143" spans="1:12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贷</v>
      </c>
      <c r="K143" s="9">
        <f t="shared" si="5"/>
        <v>0</v>
      </c>
      <c r="L143" s="28"/>
    </row>
    <row r="144" spans="1:12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贷</v>
      </c>
      <c r="K144" s="9">
        <f t="shared" si="5"/>
        <v>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贷</v>
      </c>
      <c r="K145" s="9">
        <f t="shared" si="5"/>
        <v>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贷</v>
      </c>
      <c r="K146" s="9">
        <f t="shared" si="5"/>
        <v>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贷</v>
      </c>
      <c r="K147" s="9">
        <f t="shared" si="5"/>
        <v>0</v>
      </c>
      <c r="L147" s="28"/>
    </row>
    <row r="148" spans="1:13" ht="20.100000000000001" customHeight="1" x14ac:dyDescent="0.15">
      <c r="A148" s="5"/>
      <c r="B148" s="5"/>
      <c r="C148" s="5"/>
      <c r="D148" s="13"/>
      <c r="E148" s="10"/>
      <c r="F148" s="10"/>
      <c r="G148" s="10"/>
      <c r="H148" s="8"/>
      <c r="I148" s="8"/>
      <c r="J148" s="8" t="str">
        <f t="shared" si="4"/>
        <v>贷</v>
      </c>
      <c r="K148" s="9">
        <f t="shared" si="5"/>
        <v>0</v>
      </c>
      <c r="L148" s="28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贷</v>
      </c>
      <c r="K149" s="9">
        <f t="shared" si="5"/>
        <v>0</v>
      </c>
      <c r="L149" s="28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贷</v>
      </c>
      <c r="K150" s="9">
        <f t="shared" si="5"/>
        <v>0</v>
      </c>
      <c r="L150" s="28"/>
    </row>
    <row r="151" spans="1:13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贷</v>
      </c>
      <c r="K151" s="9">
        <f t="shared" si="5"/>
        <v>0</v>
      </c>
      <c r="L151" s="28"/>
    </row>
    <row r="152" spans="1:13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贷</v>
      </c>
      <c r="K152" s="9">
        <f t="shared" si="5"/>
        <v>0</v>
      </c>
      <c r="L152" s="28"/>
      <c r="M152" s="99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贷</v>
      </c>
      <c r="K153" s="9">
        <f t="shared" si="5"/>
        <v>0</v>
      </c>
      <c r="L153" s="28"/>
      <c r="M153" s="99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贷</v>
      </c>
      <c r="K154" s="9">
        <f t="shared" si="5"/>
        <v>0</v>
      </c>
      <c r="L154" s="28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贷</v>
      </c>
      <c r="K155" s="9">
        <f t="shared" si="5"/>
        <v>0</v>
      </c>
      <c r="L155" s="28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贷</v>
      </c>
      <c r="K156" s="9">
        <f t="shared" si="5"/>
        <v>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贷</v>
      </c>
      <c r="K157" s="9">
        <f t="shared" si="5"/>
        <v>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贷</v>
      </c>
      <c r="K158" s="9">
        <f t="shared" si="5"/>
        <v>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贷</v>
      </c>
      <c r="K159" s="9">
        <f t="shared" si="5"/>
        <v>0</v>
      </c>
      <c r="L159" s="28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贷</v>
      </c>
      <c r="K160" s="9">
        <f t="shared" si="5"/>
        <v>0</v>
      </c>
      <c r="L160" s="28"/>
    </row>
    <row r="161" spans="1:12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贷</v>
      </c>
      <c r="K161" s="9">
        <f t="shared" si="5"/>
        <v>0</v>
      </c>
      <c r="L161" s="28"/>
    </row>
    <row r="162" spans="1:12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贷</v>
      </c>
      <c r="K162" s="9">
        <f t="shared" si="5"/>
        <v>0</v>
      </c>
      <c r="L162" s="28"/>
    </row>
    <row r="163" spans="1:12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贷</v>
      </c>
      <c r="K163" s="9">
        <f t="shared" si="5"/>
        <v>0</v>
      </c>
      <c r="L163" s="28"/>
    </row>
    <row r="164" spans="1:12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贷</v>
      </c>
      <c r="K164" s="9">
        <f t="shared" si="5"/>
        <v>0</v>
      </c>
      <c r="L164" s="28"/>
    </row>
    <row r="165" spans="1:12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4"/>
        <v>贷</v>
      </c>
      <c r="K165" s="9">
        <f t="shared" si="5"/>
        <v>0</v>
      </c>
      <c r="L165" s="28"/>
    </row>
    <row r="166" spans="1:12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贷</v>
      </c>
      <c r="K166" s="9">
        <f t="shared" si="5"/>
        <v>0</v>
      </c>
      <c r="L166" s="28"/>
    </row>
    <row r="167" spans="1:12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贷</v>
      </c>
      <c r="K167" s="9">
        <f t="shared" si="5"/>
        <v>0</v>
      </c>
      <c r="L167" s="28"/>
    </row>
    <row r="168" spans="1:12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贷</v>
      </c>
      <c r="K168" s="9">
        <f t="shared" si="5"/>
        <v>0</v>
      </c>
      <c r="L168" s="28"/>
    </row>
    <row r="169" spans="1:12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贷</v>
      </c>
      <c r="K169" s="9">
        <f t="shared" si="5"/>
        <v>0</v>
      </c>
      <c r="L169" s="28"/>
    </row>
    <row r="170" spans="1:12" ht="20.100000000000001" customHeight="1" x14ac:dyDescent="0.15">
      <c r="A170" s="10"/>
      <c r="B170" s="5"/>
      <c r="C170" s="10"/>
      <c r="D170" s="35"/>
      <c r="E170" s="10"/>
      <c r="F170" s="10"/>
      <c r="G170" s="10"/>
      <c r="H170" s="8"/>
      <c r="I170" s="8"/>
      <c r="J170" s="8" t="str">
        <f t="shared" si="4"/>
        <v>贷</v>
      </c>
      <c r="K170" s="9">
        <f t="shared" si="5"/>
        <v>0</v>
      </c>
      <c r="L170" s="28"/>
    </row>
    <row r="171" spans="1:12" ht="20.100000000000001" customHeight="1" x14ac:dyDescent="0.15">
      <c r="A171" s="10"/>
      <c r="B171" s="5"/>
      <c r="C171" s="10"/>
      <c r="D171" s="35"/>
      <c r="E171" s="10"/>
      <c r="F171" s="10"/>
      <c r="G171" s="10"/>
      <c r="H171" s="8"/>
      <c r="I171" s="8"/>
      <c r="J171" s="8" t="str">
        <f t="shared" si="4"/>
        <v>贷</v>
      </c>
      <c r="K171" s="9">
        <f t="shared" si="5"/>
        <v>0</v>
      </c>
      <c r="L171" s="28"/>
    </row>
    <row r="172" spans="1:12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贷</v>
      </c>
      <c r="K172" s="9">
        <f t="shared" si="5"/>
        <v>0</v>
      </c>
      <c r="L172" s="28"/>
    </row>
    <row r="173" spans="1:12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贷</v>
      </c>
      <c r="K173" s="9">
        <f t="shared" si="5"/>
        <v>0</v>
      </c>
      <c r="L173" s="28"/>
    </row>
    <row r="174" spans="1:12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贷</v>
      </c>
      <c r="K174" s="9">
        <f t="shared" si="5"/>
        <v>0</v>
      </c>
      <c r="L174" s="28"/>
    </row>
    <row r="175" spans="1:12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贷</v>
      </c>
      <c r="K175" s="9">
        <f t="shared" si="5"/>
        <v>0</v>
      </c>
      <c r="L175" s="28"/>
    </row>
    <row r="176" spans="1:12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贷</v>
      </c>
      <c r="K176" s="9">
        <f t="shared" ref="K176:K239" si="6">_xlfn.IFS(J175="借",K175+H176-I176,J175="贷",H176-I176-K175)</f>
        <v>0</v>
      </c>
      <c r="L176" s="28"/>
    </row>
    <row r="177" spans="1:13" ht="20.100000000000001" customHeight="1" x14ac:dyDescent="0.15">
      <c r="A177" s="10"/>
      <c r="B177" s="10"/>
      <c r="C177" s="10"/>
      <c r="D177" s="10"/>
      <c r="E177" s="10"/>
      <c r="F177" s="10"/>
      <c r="G177" s="10"/>
      <c r="H177" s="8"/>
      <c r="I177" s="8"/>
      <c r="J177" s="8" t="str">
        <f t="shared" si="4"/>
        <v>贷</v>
      </c>
      <c r="K177" s="9">
        <f t="shared" si="6"/>
        <v>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贷</v>
      </c>
      <c r="K178" s="9">
        <f t="shared" si="6"/>
        <v>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贷</v>
      </c>
      <c r="K179" s="9">
        <f t="shared" si="6"/>
        <v>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贷</v>
      </c>
      <c r="K180" s="9">
        <f t="shared" si="6"/>
        <v>0</v>
      </c>
      <c r="L180" s="28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贷</v>
      </c>
      <c r="K181" s="9">
        <f t="shared" si="6"/>
        <v>0</v>
      </c>
      <c r="L181" s="28"/>
      <c r="M181" s="99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贷</v>
      </c>
      <c r="K182" s="9">
        <f t="shared" si="6"/>
        <v>0</v>
      </c>
      <c r="L182" s="28"/>
      <c r="M182" s="99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贷</v>
      </c>
      <c r="K183" s="9">
        <f t="shared" si="6"/>
        <v>0</v>
      </c>
      <c r="L183" s="28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贷</v>
      </c>
      <c r="K184" s="9">
        <f t="shared" si="6"/>
        <v>0</v>
      </c>
      <c r="L184" s="28"/>
    </row>
    <row r="185" spans="1:13" ht="20.100000000000001" customHeight="1" x14ac:dyDescent="0.15">
      <c r="A185" s="10"/>
      <c r="B185" s="5"/>
      <c r="C185" s="5"/>
      <c r="D185" s="10"/>
      <c r="E185" s="10"/>
      <c r="F185" s="10"/>
      <c r="G185" s="10"/>
      <c r="H185" s="8"/>
      <c r="I185" s="8"/>
      <c r="J185" s="8" t="str">
        <f t="shared" si="4"/>
        <v>贷</v>
      </c>
      <c r="K185" s="9">
        <f t="shared" si="6"/>
        <v>0</v>
      </c>
      <c r="L185" s="28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贷</v>
      </c>
      <c r="K186" s="9">
        <f t="shared" si="6"/>
        <v>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贷</v>
      </c>
      <c r="K187" s="9">
        <f t="shared" si="6"/>
        <v>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贷</v>
      </c>
      <c r="K188" s="9">
        <f t="shared" si="6"/>
        <v>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贷</v>
      </c>
      <c r="K189" s="9">
        <f t="shared" si="6"/>
        <v>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贷</v>
      </c>
      <c r="K190" s="9">
        <f t="shared" si="6"/>
        <v>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贷</v>
      </c>
      <c r="K191" s="9">
        <f t="shared" si="6"/>
        <v>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贷</v>
      </c>
      <c r="K192" s="9">
        <f t="shared" si="6"/>
        <v>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贷</v>
      </c>
      <c r="K193" s="9">
        <f t="shared" si="6"/>
        <v>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贷</v>
      </c>
      <c r="K194" s="9">
        <f t="shared" si="6"/>
        <v>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贷</v>
      </c>
      <c r="K195" s="9">
        <f t="shared" si="6"/>
        <v>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贷</v>
      </c>
      <c r="K196" s="9">
        <f t="shared" si="6"/>
        <v>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贷</v>
      </c>
      <c r="K197" s="9">
        <f t="shared" si="6"/>
        <v>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贷</v>
      </c>
      <c r="K198" s="9">
        <f t="shared" si="6"/>
        <v>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贷</v>
      </c>
      <c r="K199" s="9">
        <f t="shared" si="6"/>
        <v>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贷</v>
      </c>
      <c r="K200" s="9">
        <f t="shared" si="6"/>
        <v>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贷</v>
      </c>
      <c r="K201" s="9">
        <f t="shared" si="6"/>
        <v>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贷</v>
      </c>
      <c r="K202" s="9">
        <f t="shared" si="6"/>
        <v>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贷</v>
      </c>
      <c r="K203" s="9">
        <f t="shared" si="6"/>
        <v>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贷</v>
      </c>
      <c r="K204" s="9">
        <f t="shared" si="6"/>
        <v>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贷</v>
      </c>
      <c r="K205" s="9">
        <f t="shared" si="6"/>
        <v>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贷</v>
      </c>
      <c r="K206" s="9">
        <f t="shared" si="6"/>
        <v>0</v>
      </c>
      <c r="L206" s="28"/>
    </row>
    <row r="207" spans="1:12" ht="20.100000000000001" customHeight="1" x14ac:dyDescent="0.15">
      <c r="A207" s="10"/>
      <c r="B207" s="5"/>
      <c r="C207" s="10"/>
      <c r="D207" s="35"/>
      <c r="E207" s="10"/>
      <c r="F207" s="10"/>
      <c r="G207" s="10"/>
      <c r="H207" s="8"/>
      <c r="I207" s="8"/>
      <c r="J207" s="8" t="str">
        <f t="shared" si="7"/>
        <v>贷</v>
      </c>
      <c r="K207" s="9">
        <f t="shared" si="6"/>
        <v>0</v>
      </c>
      <c r="L207" s="28"/>
    </row>
    <row r="208" spans="1:12" ht="20.100000000000001" customHeight="1" x14ac:dyDescent="0.15">
      <c r="A208" s="10"/>
      <c r="B208" s="5"/>
      <c r="C208" s="10"/>
      <c r="D208" s="35"/>
      <c r="E208" s="10"/>
      <c r="F208" s="10"/>
      <c r="G208" s="10"/>
      <c r="H208" s="8"/>
      <c r="I208" s="8"/>
      <c r="J208" s="8" t="str">
        <f t="shared" si="7"/>
        <v>贷</v>
      </c>
      <c r="K208" s="9">
        <f t="shared" si="6"/>
        <v>0</v>
      </c>
      <c r="L208" s="28"/>
    </row>
    <row r="209" spans="1:13" ht="20.100000000000001" customHeight="1" x14ac:dyDescent="0.15">
      <c r="A209" s="10"/>
      <c r="B209" s="5"/>
      <c r="C209" s="10"/>
      <c r="D209" s="35"/>
      <c r="E209" s="10"/>
      <c r="F209" s="10"/>
      <c r="G209" s="10"/>
      <c r="H209" s="8"/>
      <c r="I209" s="8"/>
      <c r="J209" s="8" t="str">
        <f t="shared" si="7"/>
        <v>贷</v>
      </c>
      <c r="K209" s="9">
        <f t="shared" si="6"/>
        <v>0</v>
      </c>
      <c r="L209" s="28"/>
    </row>
    <row r="210" spans="1:13" ht="20.100000000000001" customHeight="1" x14ac:dyDescent="0.15">
      <c r="A210" s="10"/>
      <c r="B210" s="5"/>
      <c r="C210" s="10"/>
      <c r="D210" s="35"/>
      <c r="E210" s="10"/>
      <c r="F210" s="10"/>
      <c r="G210" s="10"/>
      <c r="H210" s="8"/>
      <c r="I210" s="8"/>
      <c r="J210" s="8" t="str">
        <f t="shared" si="7"/>
        <v>贷</v>
      </c>
      <c r="K210" s="9">
        <f t="shared" si="6"/>
        <v>0</v>
      </c>
      <c r="L210" s="28"/>
    </row>
    <row r="211" spans="1:13" ht="20.100000000000001" customHeight="1" x14ac:dyDescent="0.15">
      <c r="A211" s="10"/>
      <c r="B211" s="5"/>
      <c r="C211" s="10"/>
      <c r="D211" s="35"/>
      <c r="E211" s="10"/>
      <c r="F211" s="10"/>
      <c r="G211" s="10"/>
      <c r="H211" s="8"/>
      <c r="I211" s="8"/>
      <c r="J211" s="8" t="str">
        <f t="shared" si="7"/>
        <v>贷</v>
      </c>
      <c r="K211" s="9">
        <f t="shared" si="6"/>
        <v>0</v>
      </c>
      <c r="L211" s="28"/>
    </row>
    <row r="212" spans="1:13" ht="20.100000000000001" customHeight="1" x14ac:dyDescent="0.15">
      <c r="A212" s="10"/>
      <c r="B212" s="5"/>
      <c r="C212" s="10"/>
      <c r="D212" s="35"/>
      <c r="E212" s="10"/>
      <c r="F212" s="10"/>
      <c r="G212" s="10"/>
      <c r="H212" s="8"/>
      <c r="I212" s="8"/>
      <c r="J212" s="8" t="str">
        <f t="shared" si="7"/>
        <v>贷</v>
      </c>
      <c r="K212" s="9">
        <f t="shared" si="6"/>
        <v>0</v>
      </c>
      <c r="L212" s="28"/>
    </row>
    <row r="213" spans="1:13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贷</v>
      </c>
      <c r="K213" s="9">
        <f t="shared" si="6"/>
        <v>0</v>
      </c>
      <c r="L213" s="28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贷</v>
      </c>
      <c r="K214" s="9">
        <f t="shared" si="6"/>
        <v>0</v>
      </c>
      <c r="L214" s="28"/>
    </row>
    <row r="215" spans="1:13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贷</v>
      </c>
      <c r="K215" s="9">
        <f t="shared" si="6"/>
        <v>0</v>
      </c>
      <c r="L215" s="28"/>
    </row>
    <row r="216" spans="1:13" ht="20.100000000000001" customHeight="1" x14ac:dyDescent="0.15">
      <c r="A216" s="10"/>
      <c r="B216" s="5"/>
      <c r="C216" s="10"/>
      <c r="D216" s="32"/>
      <c r="E216" s="10"/>
      <c r="F216" s="10"/>
      <c r="G216" s="10"/>
      <c r="H216" s="8"/>
      <c r="I216" s="8"/>
      <c r="J216" s="8" t="str">
        <f t="shared" si="7"/>
        <v>贷</v>
      </c>
      <c r="K216" s="9">
        <f t="shared" si="6"/>
        <v>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贷</v>
      </c>
      <c r="K217" s="9">
        <f t="shared" si="6"/>
        <v>0</v>
      </c>
      <c r="L217" s="28"/>
      <c r="M217" s="99"/>
    </row>
    <row r="218" spans="1:13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贷</v>
      </c>
      <c r="K218" s="9">
        <f t="shared" si="6"/>
        <v>0</v>
      </c>
      <c r="L218" s="28"/>
      <c r="M218" s="99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贷</v>
      </c>
      <c r="K219" s="9">
        <f t="shared" si="6"/>
        <v>0</v>
      </c>
      <c r="L219" s="28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贷</v>
      </c>
      <c r="K220" s="9">
        <f t="shared" si="6"/>
        <v>0</v>
      </c>
      <c r="L220" s="28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贷</v>
      </c>
      <c r="K221" s="9">
        <f t="shared" si="6"/>
        <v>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贷</v>
      </c>
      <c r="K222" s="9">
        <f t="shared" si="6"/>
        <v>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贷</v>
      </c>
      <c r="K223" s="9">
        <f t="shared" si="6"/>
        <v>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贷</v>
      </c>
      <c r="K224" s="9">
        <f t="shared" si="6"/>
        <v>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贷</v>
      </c>
      <c r="K225" s="9">
        <f t="shared" si="6"/>
        <v>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贷</v>
      </c>
      <c r="K226" s="9">
        <f t="shared" si="6"/>
        <v>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贷</v>
      </c>
      <c r="K227" s="9">
        <f t="shared" si="6"/>
        <v>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贷</v>
      </c>
      <c r="K228" s="9">
        <f t="shared" si="6"/>
        <v>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贷</v>
      </c>
      <c r="K229" s="9">
        <f t="shared" si="6"/>
        <v>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贷</v>
      </c>
      <c r="K230" s="9">
        <f t="shared" si="6"/>
        <v>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贷</v>
      </c>
      <c r="K231" s="9">
        <f t="shared" si="6"/>
        <v>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贷</v>
      </c>
      <c r="K232" s="9">
        <f t="shared" si="6"/>
        <v>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贷</v>
      </c>
      <c r="K233" s="21">
        <f t="shared" si="6"/>
        <v>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贷</v>
      </c>
      <c r="K234" s="9">
        <f t="shared" si="6"/>
        <v>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贷</v>
      </c>
      <c r="K235" s="9">
        <f t="shared" si="6"/>
        <v>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贷</v>
      </c>
      <c r="K236" s="9">
        <f t="shared" si="6"/>
        <v>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贷</v>
      </c>
      <c r="K237" s="21">
        <f t="shared" si="6"/>
        <v>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贷</v>
      </c>
      <c r="K238" s="9">
        <f t="shared" si="6"/>
        <v>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贷</v>
      </c>
      <c r="K239" s="9">
        <f t="shared" si="6"/>
        <v>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贷</v>
      </c>
      <c r="K240" s="9">
        <f t="shared" ref="K240:K303" si="8">_xlfn.IFS(J239="借",K239+H240-I240,J239="贷",H240-I240-K239)</f>
        <v>0</v>
      </c>
      <c r="L240" s="28"/>
    </row>
    <row r="241" spans="1:13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贷</v>
      </c>
      <c r="K241" s="9">
        <f t="shared" si="8"/>
        <v>0</v>
      </c>
      <c r="L241" s="28"/>
    </row>
    <row r="242" spans="1:13" ht="20.100000000000001" customHeight="1" x14ac:dyDescent="0.15">
      <c r="A242" s="10"/>
      <c r="B242" s="5"/>
      <c r="C242" s="10"/>
      <c r="D242" s="10"/>
      <c r="E242" s="10"/>
      <c r="F242" s="10"/>
      <c r="G242" s="10"/>
      <c r="H242" s="38"/>
      <c r="I242" s="8"/>
      <c r="J242" s="8" t="str">
        <f t="shared" si="7"/>
        <v>贷</v>
      </c>
      <c r="K242" s="9">
        <f t="shared" si="8"/>
        <v>0</v>
      </c>
      <c r="L242" s="28"/>
    </row>
    <row r="243" spans="1:13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贷</v>
      </c>
      <c r="K243" s="9">
        <f t="shared" si="8"/>
        <v>0</v>
      </c>
      <c r="L243" s="28"/>
    </row>
    <row r="244" spans="1:13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7"/>
        <v>贷</v>
      </c>
      <c r="K244" s="9">
        <f t="shared" si="8"/>
        <v>0</v>
      </c>
      <c r="L244" s="28"/>
    </row>
    <row r="245" spans="1:13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贷</v>
      </c>
      <c r="K245" s="9">
        <f t="shared" si="8"/>
        <v>0</v>
      </c>
      <c r="L245" s="28"/>
    </row>
    <row r="246" spans="1:13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贷</v>
      </c>
      <c r="K246" s="9">
        <f t="shared" si="8"/>
        <v>0</v>
      </c>
      <c r="L246" s="28"/>
    </row>
    <row r="247" spans="1:13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贷</v>
      </c>
      <c r="K247" s="9">
        <f t="shared" si="8"/>
        <v>0</v>
      </c>
      <c r="L247" s="28"/>
    </row>
    <row r="248" spans="1:13" ht="20.100000000000001" customHeight="1" x14ac:dyDescent="0.15">
      <c r="A248" s="10"/>
      <c r="B248" s="5"/>
      <c r="C248" s="10"/>
      <c r="D248" s="35"/>
      <c r="E248" s="10"/>
      <c r="F248" s="10"/>
      <c r="G248" s="10"/>
      <c r="H248" s="8"/>
      <c r="I248" s="8"/>
      <c r="J248" s="23" t="str">
        <f t="shared" si="7"/>
        <v>贷</v>
      </c>
      <c r="K248" s="9">
        <f t="shared" si="8"/>
        <v>0</v>
      </c>
      <c r="L248" s="28"/>
    </row>
    <row r="249" spans="1:13" ht="20.100000000000001" customHeight="1" x14ac:dyDescent="0.15">
      <c r="A249" s="10"/>
      <c r="B249" s="5"/>
      <c r="C249" s="10"/>
      <c r="D249" s="35"/>
      <c r="E249" s="10"/>
      <c r="F249" s="10"/>
      <c r="G249" s="10"/>
      <c r="H249" s="8"/>
      <c r="I249" s="8"/>
      <c r="J249" s="23" t="str">
        <f t="shared" si="7"/>
        <v>贷</v>
      </c>
      <c r="K249" s="9">
        <f t="shared" si="8"/>
        <v>0</v>
      </c>
      <c r="L249" s="28"/>
    </row>
    <row r="250" spans="1:13" ht="20.100000000000001" customHeight="1" x14ac:dyDescent="0.15">
      <c r="A250" s="10"/>
      <c r="B250" s="5"/>
      <c r="C250" s="10"/>
      <c r="D250" s="35"/>
      <c r="E250" s="10"/>
      <c r="F250" s="10"/>
      <c r="G250" s="10"/>
      <c r="H250" s="8"/>
      <c r="I250" s="8"/>
      <c r="J250" s="23" t="str">
        <f t="shared" si="7"/>
        <v>贷</v>
      </c>
      <c r="K250" s="9">
        <f t="shared" si="8"/>
        <v>0</v>
      </c>
      <c r="L250" s="28"/>
    </row>
    <row r="251" spans="1:13" ht="20.100000000000001" customHeight="1" x14ac:dyDescent="0.15">
      <c r="A251" s="10"/>
      <c r="B251" s="5"/>
      <c r="C251" s="10"/>
      <c r="D251" s="35"/>
      <c r="E251" s="10"/>
      <c r="F251" s="10"/>
      <c r="G251" s="10"/>
      <c r="H251" s="8"/>
      <c r="I251" s="8"/>
      <c r="J251" s="8" t="str">
        <f t="shared" si="7"/>
        <v>贷</v>
      </c>
      <c r="K251" s="9">
        <f t="shared" si="8"/>
        <v>0</v>
      </c>
      <c r="L251" s="28"/>
    </row>
    <row r="252" spans="1:13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贷</v>
      </c>
      <c r="K252" s="9">
        <f t="shared" si="8"/>
        <v>0</v>
      </c>
      <c r="L252" s="28"/>
    </row>
    <row r="253" spans="1:13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贷</v>
      </c>
      <c r="K253" s="9">
        <f t="shared" si="8"/>
        <v>0</v>
      </c>
      <c r="L253" s="28"/>
    </row>
    <row r="254" spans="1:13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贷</v>
      </c>
      <c r="K254" s="9">
        <f t="shared" si="8"/>
        <v>0</v>
      </c>
      <c r="L254" s="28"/>
      <c r="M254" s="99"/>
    </row>
    <row r="255" spans="1:13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贷</v>
      </c>
      <c r="K255" s="9">
        <f t="shared" si="8"/>
        <v>0</v>
      </c>
      <c r="L255" s="28"/>
      <c r="M255" s="99"/>
    </row>
    <row r="256" spans="1:13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贷</v>
      </c>
      <c r="K256" s="9">
        <f t="shared" si="8"/>
        <v>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贷</v>
      </c>
      <c r="K257" s="9">
        <f t="shared" si="8"/>
        <v>0</v>
      </c>
      <c r="L257" s="28"/>
    </row>
    <row r="258" spans="1:12" ht="20.100000000000001" customHeight="1" x14ac:dyDescent="0.15">
      <c r="A258" s="10"/>
      <c r="B258" s="5"/>
      <c r="C258" s="10"/>
      <c r="D258" s="13"/>
      <c r="E258" s="10"/>
      <c r="F258" s="10"/>
      <c r="G258" s="10"/>
      <c r="H258" s="8"/>
      <c r="I258" s="8"/>
      <c r="J258" s="8" t="str">
        <f t="shared" si="7"/>
        <v>贷</v>
      </c>
      <c r="K258" s="9">
        <f t="shared" si="8"/>
        <v>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贷</v>
      </c>
      <c r="K259" s="9">
        <f t="shared" si="8"/>
        <v>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贷</v>
      </c>
      <c r="K260" s="9">
        <f t="shared" si="8"/>
        <v>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贷</v>
      </c>
      <c r="K261" s="9">
        <f t="shared" si="8"/>
        <v>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贷</v>
      </c>
      <c r="K262" s="9">
        <f t="shared" si="8"/>
        <v>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贷</v>
      </c>
      <c r="K263" s="9">
        <f t="shared" si="8"/>
        <v>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贷</v>
      </c>
      <c r="K264" s="9">
        <f t="shared" si="8"/>
        <v>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10"/>
      <c r="J265" s="8" t="str">
        <f t="shared" si="9"/>
        <v>贷</v>
      </c>
      <c r="K265" s="9">
        <f t="shared" si="8"/>
        <v>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10"/>
      <c r="J266" s="8" t="str">
        <f t="shared" si="9"/>
        <v>贷</v>
      </c>
      <c r="K266" s="9">
        <f t="shared" si="8"/>
        <v>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贷</v>
      </c>
      <c r="K267" s="9">
        <f t="shared" si="8"/>
        <v>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贷</v>
      </c>
      <c r="K268" s="9">
        <f t="shared" si="8"/>
        <v>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贷</v>
      </c>
      <c r="K269" s="9">
        <f t="shared" si="8"/>
        <v>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贷</v>
      </c>
      <c r="K270" s="9">
        <f t="shared" si="8"/>
        <v>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贷</v>
      </c>
      <c r="K271" s="9">
        <f t="shared" si="8"/>
        <v>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贷</v>
      </c>
      <c r="K272" s="9">
        <f t="shared" si="8"/>
        <v>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贷</v>
      </c>
      <c r="K273" s="9">
        <f t="shared" si="8"/>
        <v>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贷</v>
      </c>
      <c r="K274" s="9">
        <f t="shared" si="8"/>
        <v>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贷</v>
      </c>
      <c r="K275" s="9">
        <f t="shared" si="8"/>
        <v>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贷</v>
      </c>
      <c r="K276" s="9">
        <f t="shared" si="8"/>
        <v>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贷</v>
      </c>
      <c r="K277" s="9">
        <f t="shared" si="8"/>
        <v>0</v>
      </c>
      <c r="L277" s="28"/>
    </row>
    <row r="278" spans="1:12" ht="20.100000000000001" customHeight="1" x14ac:dyDescent="0.15">
      <c r="A278" s="10"/>
      <c r="B278" s="5"/>
      <c r="C278" s="10"/>
      <c r="D278" s="35"/>
      <c r="E278" s="10"/>
      <c r="F278" s="10"/>
      <c r="G278" s="10"/>
      <c r="H278" s="8"/>
      <c r="I278" s="8"/>
      <c r="J278" s="8" t="str">
        <f t="shared" si="9"/>
        <v>贷</v>
      </c>
      <c r="K278" s="9">
        <f t="shared" si="8"/>
        <v>0</v>
      </c>
      <c r="L278" s="28"/>
    </row>
    <row r="279" spans="1:12" ht="20.100000000000001" customHeight="1" x14ac:dyDescent="0.15">
      <c r="A279" s="10"/>
      <c r="B279" s="5"/>
      <c r="C279" s="10"/>
      <c r="D279" s="35"/>
      <c r="E279" s="10"/>
      <c r="F279" s="10"/>
      <c r="G279" s="10"/>
      <c r="H279" s="8"/>
      <c r="I279" s="8"/>
      <c r="J279" s="8" t="str">
        <f t="shared" si="9"/>
        <v>贷</v>
      </c>
      <c r="K279" s="9">
        <f t="shared" si="8"/>
        <v>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贷</v>
      </c>
      <c r="K280" s="9">
        <f t="shared" si="8"/>
        <v>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贷</v>
      </c>
      <c r="K281" s="9">
        <f t="shared" si="8"/>
        <v>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贷</v>
      </c>
      <c r="K282" s="9">
        <f t="shared" si="8"/>
        <v>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贷</v>
      </c>
      <c r="K283" s="9">
        <f t="shared" si="8"/>
        <v>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贷</v>
      </c>
      <c r="K284" s="9">
        <f t="shared" si="8"/>
        <v>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贷</v>
      </c>
      <c r="K285" s="9">
        <f t="shared" si="8"/>
        <v>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贷</v>
      </c>
      <c r="K286" s="9">
        <f t="shared" si="8"/>
        <v>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贷</v>
      </c>
      <c r="K287" s="9">
        <f t="shared" si="8"/>
        <v>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贷</v>
      </c>
      <c r="K288" s="9">
        <f t="shared" si="8"/>
        <v>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贷</v>
      </c>
      <c r="K289" s="9">
        <f t="shared" si="8"/>
        <v>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贷</v>
      </c>
      <c r="K290" s="9">
        <f t="shared" si="8"/>
        <v>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贷</v>
      </c>
      <c r="K291" s="9">
        <f t="shared" si="8"/>
        <v>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贷</v>
      </c>
      <c r="K292" s="9">
        <f t="shared" si="8"/>
        <v>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贷</v>
      </c>
      <c r="K293" s="9">
        <f t="shared" si="8"/>
        <v>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贷</v>
      </c>
      <c r="K294" s="9">
        <f t="shared" si="8"/>
        <v>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贷</v>
      </c>
      <c r="K295" s="9">
        <f t="shared" si="8"/>
        <v>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贷</v>
      </c>
      <c r="K296" s="9">
        <f t="shared" si="8"/>
        <v>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贷</v>
      </c>
      <c r="K297" s="9">
        <f t="shared" si="8"/>
        <v>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贷</v>
      </c>
      <c r="K298" s="9">
        <f t="shared" si="8"/>
        <v>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贷</v>
      </c>
      <c r="K299" s="9">
        <f t="shared" si="8"/>
        <v>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贷</v>
      </c>
      <c r="K300" s="9">
        <f t="shared" si="8"/>
        <v>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贷</v>
      </c>
      <c r="K301" s="9">
        <f t="shared" si="8"/>
        <v>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贷</v>
      </c>
      <c r="K302" s="9">
        <f t="shared" si="8"/>
        <v>0</v>
      </c>
      <c r="L302" s="28"/>
    </row>
    <row r="303" spans="1:12" ht="20.100000000000001" customHeight="1" x14ac:dyDescent="0.15">
      <c r="A303" s="10"/>
      <c r="B303" s="5"/>
      <c r="C303" s="10"/>
      <c r="E303" s="10"/>
      <c r="F303" s="10"/>
      <c r="G303" s="10"/>
      <c r="H303" s="8"/>
      <c r="I303" s="8"/>
      <c r="J303" s="8" t="str">
        <f t="shared" si="9"/>
        <v>贷</v>
      </c>
      <c r="K303" s="9">
        <f t="shared" si="8"/>
        <v>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贷</v>
      </c>
      <c r="K304" s="9">
        <f t="shared" ref="K304:K367" si="10">_xlfn.IFS(J303="借",K303+H304-I304,J303="贷",H304-I304-K303)</f>
        <v>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贷</v>
      </c>
      <c r="K305" s="9">
        <f t="shared" si="10"/>
        <v>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贷</v>
      </c>
      <c r="K306" s="9">
        <f t="shared" si="10"/>
        <v>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贷</v>
      </c>
      <c r="K307" s="9">
        <f t="shared" si="10"/>
        <v>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贷</v>
      </c>
      <c r="K308" s="9">
        <f t="shared" si="10"/>
        <v>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贷</v>
      </c>
      <c r="K309" s="9">
        <f t="shared" si="10"/>
        <v>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贷</v>
      </c>
      <c r="K310" s="9">
        <f t="shared" si="10"/>
        <v>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贷</v>
      </c>
      <c r="K311" s="9">
        <f t="shared" si="10"/>
        <v>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贷</v>
      </c>
      <c r="K312" s="9">
        <f t="shared" si="10"/>
        <v>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贷</v>
      </c>
      <c r="K313" s="9">
        <f t="shared" si="10"/>
        <v>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贷</v>
      </c>
      <c r="K314" s="9">
        <f t="shared" si="10"/>
        <v>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贷</v>
      </c>
      <c r="K315" s="9">
        <f t="shared" si="10"/>
        <v>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贷</v>
      </c>
      <c r="K316" s="9">
        <f t="shared" si="10"/>
        <v>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贷</v>
      </c>
      <c r="K317" s="9">
        <f t="shared" si="10"/>
        <v>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贷</v>
      </c>
      <c r="K318" s="9">
        <f t="shared" si="10"/>
        <v>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贷</v>
      </c>
      <c r="K319" s="9">
        <f t="shared" si="10"/>
        <v>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贷</v>
      </c>
      <c r="K320" s="9">
        <f t="shared" si="10"/>
        <v>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贷</v>
      </c>
      <c r="K321" s="9">
        <f t="shared" si="10"/>
        <v>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贷</v>
      </c>
      <c r="K322" s="9">
        <f t="shared" si="10"/>
        <v>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贷</v>
      </c>
      <c r="K323" s="9">
        <f t="shared" si="10"/>
        <v>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贷</v>
      </c>
      <c r="K324" s="9">
        <f t="shared" si="10"/>
        <v>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贷</v>
      </c>
      <c r="K325" s="9">
        <f t="shared" si="10"/>
        <v>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贷</v>
      </c>
      <c r="K326" s="9">
        <f t="shared" si="10"/>
        <v>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贷</v>
      </c>
      <c r="K327" s="9">
        <f t="shared" si="10"/>
        <v>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贷</v>
      </c>
      <c r="K328" s="9">
        <f t="shared" si="10"/>
        <v>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贷</v>
      </c>
      <c r="K329" s="9">
        <f t="shared" si="10"/>
        <v>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贷</v>
      </c>
      <c r="K330" s="9">
        <f t="shared" si="10"/>
        <v>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贷</v>
      </c>
      <c r="K331" s="9">
        <f t="shared" si="10"/>
        <v>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贷</v>
      </c>
      <c r="K332" s="9">
        <f t="shared" si="10"/>
        <v>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贷</v>
      </c>
      <c r="K333" s="9">
        <f t="shared" si="10"/>
        <v>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贷</v>
      </c>
      <c r="K334" s="9">
        <f t="shared" si="10"/>
        <v>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贷</v>
      </c>
      <c r="K335" s="9">
        <f t="shared" si="10"/>
        <v>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贷</v>
      </c>
      <c r="K336" s="9">
        <f t="shared" si="10"/>
        <v>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贷</v>
      </c>
      <c r="K337" s="9">
        <f t="shared" si="10"/>
        <v>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贷</v>
      </c>
      <c r="K338" s="9">
        <f t="shared" si="10"/>
        <v>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贷</v>
      </c>
      <c r="K339" s="9">
        <f t="shared" si="10"/>
        <v>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贷</v>
      </c>
      <c r="K340" s="9">
        <f t="shared" si="10"/>
        <v>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贷</v>
      </c>
      <c r="K341" s="9">
        <f t="shared" si="10"/>
        <v>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贷</v>
      </c>
      <c r="K342" s="9">
        <f t="shared" si="10"/>
        <v>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贷</v>
      </c>
      <c r="K343" s="9">
        <f t="shared" si="10"/>
        <v>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贷</v>
      </c>
      <c r="K344" s="9">
        <f t="shared" si="10"/>
        <v>0</v>
      </c>
      <c r="L344" s="28"/>
    </row>
    <row r="345" spans="1:12" ht="20.100000000000001" customHeight="1" x14ac:dyDescent="0.15">
      <c r="A345" s="10"/>
      <c r="B345" s="5"/>
      <c r="C345" s="10"/>
      <c r="D345" s="10"/>
      <c r="F345" s="10"/>
      <c r="G345" s="10"/>
      <c r="H345" s="8"/>
      <c r="I345" s="8"/>
      <c r="J345" s="8" t="str">
        <f t="shared" si="11"/>
        <v>贷</v>
      </c>
      <c r="K345" s="9">
        <f t="shared" si="10"/>
        <v>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贷</v>
      </c>
      <c r="K346" s="9">
        <f t="shared" si="10"/>
        <v>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贷</v>
      </c>
      <c r="K347" s="9">
        <f t="shared" si="10"/>
        <v>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贷</v>
      </c>
      <c r="K348" s="9">
        <f t="shared" si="10"/>
        <v>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贷</v>
      </c>
      <c r="K349" s="9">
        <f t="shared" si="10"/>
        <v>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贷</v>
      </c>
      <c r="K350" s="9">
        <f t="shared" si="10"/>
        <v>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贷</v>
      </c>
      <c r="K351" s="9">
        <f t="shared" si="10"/>
        <v>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贷</v>
      </c>
      <c r="K352" s="9">
        <f t="shared" si="10"/>
        <v>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贷</v>
      </c>
      <c r="K353" s="9">
        <f t="shared" si="10"/>
        <v>0</v>
      </c>
      <c r="L353" s="28"/>
    </row>
    <row r="354" spans="1:12" ht="18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贷</v>
      </c>
      <c r="K354" s="9">
        <f t="shared" si="10"/>
        <v>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贷</v>
      </c>
      <c r="K355" s="9">
        <f t="shared" si="10"/>
        <v>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贷</v>
      </c>
      <c r="K356" s="9">
        <f t="shared" si="10"/>
        <v>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贷</v>
      </c>
      <c r="K357" s="9">
        <f t="shared" si="10"/>
        <v>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贷</v>
      </c>
      <c r="K358" s="9">
        <f t="shared" si="10"/>
        <v>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贷</v>
      </c>
      <c r="K359" s="9">
        <f t="shared" si="10"/>
        <v>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贷</v>
      </c>
      <c r="K360" s="9">
        <f t="shared" si="10"/>
        <v>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贷</v>
      </c>
      <c r="K361" s="9">
        <f t="shared" si="10"/>
        <v>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贷</v>
      </c>
      <c r="K362" s="9">
        <f t="shared" si="10"/>
        <v>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贷</v>
      </c>
      <c r="K363" s="9">
        <f t="shared" si="10"/>
        <v>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贷</v>
      </c>
      <c r="K364" s="9">
        <f t="shared" si="10"/>
        <v>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贷</v>
      </c>
      <c r="K365" s="9">
        <f t="shared" si="10"/>
        <v>0</v>
      </c>
      <c r="L365" s="28"/>
    </row>
    <row r="366" spans="1:12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贷</v>
      </c>
      <c r="K366" s="9">
        <f t="shared" si="10"/>
        <v>0</v>
      </c>
      <c r="L366" s="28"/>
    </row>
    <row r="367" spans="1:12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贷</v>
      </c>
      <c r="K367" s="9">
        <f t="shared" si="10"/>
        <v>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贷</v>
      </c>
      <c r="K368" s="9">
        <f t="shared" ref="K368:K431" si="12">_xlfn.IFS(J367="借",K367+H368-I368,J367="贷",H368-I368-K367)</f>
        <v>0</v>
      </c>
      <c r="L368" s="28"/>
    </row>
    <row r="369" spans="2:12" ht="20.100000000000001" customHeight="1" x14ac:dyDescent="0.15">
      <c r="B369" s="5"/>
      <c r="C369" s="10"/>
      <c r="D369" s="10"/>
      <c r="E369" s="10"/>
      <c r="F369" s="10"/>
      <c r="G369" s="10"/>
      <c r="H369" s="8"/>
      <c r="I369" s="8"/>
      <c r="J369" s="8" t="str">
        <f t="shared" si="11"/>
        <v>贷</v>
      </c>
      <c r="K369" s="9">
        <f t="shared" si="12"/>
        <v>0</v>
      </c>
      <c r="L369" s="28"/>
    </row>
    <row r="370" spans="2:12" ht="20.100000000000001" customHeight="1" x14ac:dyDescent="0.15">
      <c r="B370" s="5"/>
      <c r="C370" s="10"/>
      <c r="D370" s="10"/>
      <c r="E370" s="10"/>
      <c r="F370" s="10"/>
      <c r="G370" s="10"/>
      <c r="H370" s="8"/>
      <c r="I370" s="8"/>
      <c r="J370" s="8" t="str">
        <f t="shared" si="11"/>
        <v>贷</v>
      </c>
      <c r="K370" s="9">
        <f t="shared" si="12"/>
        <v>0</v>
      </c>
      <c r="L370" s="28"/>
    </row>
    <row r="371" spans="2:12" ht="20.100000000000001" customHeight="1" x14ac:dyDescent="0.15">
      <c r="B371" s="5"/>
      <c r="C371" s="10"/>
      <c r="D371" s="10"/>
      <c r="E371" s="10"/>
      <c r="F371" s="10"/>
      <c r="G371" s="10"/>
      <c r="H371" s="8"/>
      <c r="I371" s="8"/>
      <c r="J371" s="8" t="str">
        <f t="shared" si="11"/>
        <v>贷</v>
      </c>
      <c r="K371" s="9">
        <f t="shared" si="12"/>
        <v>0</v>
      </c>
      <c r="L371" s="28"/>
    </row>
    <row r="372" spans="2:12" ht="20.100000000000001" customHeight="1" x14ac:dyDescent="0.15">
      <c r="B372" s="5"/>
      <c r="C372" s="10"/>
      <c r="D372" s="10"/>
      <c r="E372" s="10"/>
      <c r="F372" s="10"/>
      <c r="G372" s="10"/>
      <c r="H372" s="8"/>
      <c r="I372" s="8"/>
      <c r="J372" s="8" t="str">
        <f t="shared" si="11"/>
        <v>贷</v>
      </c>
      <c r="K372" s="9">
        <f t="shared" si="12"/>
        <v>0</v>
      </c>
      <c r="L372" s="28"/>
    </row>
    <row r="373" spans="2:12" ht="20.100000000000001" customHeight="1" x14ac:dyDescent="0.15">
      <c r="B373" s="5"/>
      <c r="C373" s="10"/>
      <c r="D373" s="10"/>
      <c r="E373" s="10"/>
      <c r="F373" s="10"/>
      <c r="G373" s="10"/>
      <c r="H373" s="8"/>
      <c r="I373" s="8"/>
      <c r="J373" s="8" t="str">
        <f t="shared" si="11"/>
        <v>贷</v>
      </c>
      <c r="K373" s="9">
        <f t="shared" si="12"/>
        <v>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贷</v>
      </c>
      <c r="K374" s="9">
        <f t="shared" si="12"/>
        <v>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贷</v>
      </c>
      <c r="K375" s="9">
        <f t="shared" si="12"/>
        <v>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贷</v>
      </c>
      <c r="K376" s="9">
        <f t="shared" si="12"/>
        <v>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贷</v>
      </c>
      <c r="K377" s="9">
        <f t="shared" si="12"/>
        <v>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贷</v>
      </c>
      <c r="K378" s="9">
        <f t="shared" si="12"/>
        <v>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贷</v>
      </c>
      <c r="K379" s="9">
        <f t="shared" si="12"/>
        <v>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贷</v>
      </c>
      <c r="K380" s="9">
        <f t="shared" si="12"/>
        <v>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贷</v>
      </c>
      <c r="K381" s="9">
        <f t="shared" si="12"/>
        <v>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贷</v>
      </c>
      <c r="K382" s="9">
        <f t="shared" si="12"/>
        <v>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贷</v>
      </c>
      <c r="K383" s="9">
        <f t="shared" si="12"/>
        <v>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贷</v>
      </c>
      <c r="K384" s="9">
        <f t="shared" si="12"/>
        <v>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1"/>
        <v>贷</v>
      </c>
      <c r="K385" s="9">
        <f t="shared" si="12"/>
        <v>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贷</v>
      </c>
      <c r="K386" s="9">
        <f t="shared" si="12"/>
        <v>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贷</v>
      </c>
      <c r="K387" s="9">
        <f t="shared" si="12"/>
        <v>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贷</v>
      </c>
      <c r="K388" s="9">
        <f t="shared" si="12"/>
        <v>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贷</v>
      </c>
      <c r="K389" s="9">
        <f t="shared" si="12"/>
        <v>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贷</v>
      </c>
      <c r="K390" s="9">
        <f t="shared" si="12"/>
        <v>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贷</v>
      </c>
      <c r="K391" s="9">
        <f t="shared" si="12"/>
        <v>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贷</v>
      </c>
      <c r="K392" s="9">
        <f t="shared" si="12"/>
        <v>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贷</v>
      </c>
      <c r="K393" s="9">
        <f t="shared" si="12"/>
        <v>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贷</v>
      </c>
      <c r="K394" s="9">
        <f t="shared" si="12"/>
        <v>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贷</v>
      </c>
      <c r="K395" s="9">
        <f t="shared" si="12"/>
        <v>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贷</v>
      </c>
      <c r="K396" s="9">
        <f t="shared" si="12"/>
        <v>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贷</v>
      </c>
      <c r="K397" s="9">
        <f t="shared" si="12"/>
        <v>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贷</v>
      </c>
      <c r="K398" s="9">
        <f t="shared" si="12"/>
        <v>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贷</v>
      </c>
      <c r="K399" s="9">
        <f t="shared" si="12"/>
        <v>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贷</v>
      </c>
      <c r="K400" s="9">
        <f t="shared" si="12"/>
        <v>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贷</v>
      </c>
      <c r="K401" s="9">
        <f t="shared" si="12"/>
        <v>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贷</v>
      </c>
      <c r="K402" s="9">
        <f t="shared" si="12"/>
        <v>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贷</v>
      </c>
      <c r="K403" s="9">
        <f t="shared" si="12"/>
        <v>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贷</v>
      </c>
      <c r="K404" s="9">
        <f t="shared" si="12"/>
        <v>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贷</v>
      </c>
      <c r="K405" s="9">
        <f t="shared" si="12"/>
        <v>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贷</v>
      </c>
      <c r="K406" s="9">
        <f t="shared" si="12"/>
        <v>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贷</v>
      </c>
      <c r="K407" s="9">
        <f t="shared" si="12"/>
        <v>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贷</v>
      </c>
      <c r="K408" s="9">
        <f t="shared" si="12"/>
        <v>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贷</v>
      </c>
      <c r="K409" s="9">
        <f t="shared" si="12"/>
        <v>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贷</v>
      </c>
      <c r="K410" s="9">
        <f t="shared" si="12"/>
        <v>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贷</v>
      </c>
      <c r="K411" s="9">
        <f t="shared" si="12"/>
        <v>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贷</v>
      </c>
      <c r="K412" s="9">
        <f t="shared" si="12"/>
        <v>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贷</v>
      </c>
      <c r="K413" s="9">
        <f t="shared" si="12"/>
        <v>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贷</v>
      </c>
      <c r="K414" s="9">
        <f t="shared" si="12"/>
        <v>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贷</v>
      </c>
      <c r="K415" s="9">
        <f t="shared" si="12"/>
        <v>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贷</v>
      </c>
      <c r="K416" s="9">
        <f t="shared" si="12"/>
        <v>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贷</v>
      </c>
      <c r="K417" s="9">
        <f t="shared" si="12"/>
        <v>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贷</v>
      </c>
      <c r="K418" s="9">
        <f t="shared" si="12"/>
        <v>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贷</v>
      </c>
      <c r="K419" s="9">
        <f t="shared" si="12"/>
        <v>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贷</v>
      </c>
      <c r="K420" s="9">
        <f t="shared" si="12"/>
        <v>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贷</v>
      </c>
      <c r="K421" s="9">
        <f t="shared" si="12"/>
        <v>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贷</v>
      </c>
      <c r="K422" s="9">
        <f t="shared" si="12"/>
        <v>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贷</v>
      </c>
      <c r="K423" s="9">
        <f t="shared" si="12"/>
        <v>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贷</v>
      </c>
      <c r="K424" s="9">
        <f t="shared" si="12"/>
        <v>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贷</v>
      </c>
      <c r="K425" s="9">
        <f t="shared" si="12"/>
        <v>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贷</v>
      </c>
      <c r="K426" s="9">
        <f t="shared" si="12"/>
        <v>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贷</v>
      </c>
      <c r="K427" s="9">
        <f t="shared" si="12"/>
        <v>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贷</v>
      </c>
      <c r="K428" s="9">
        <f t="shared" si="12"/>
        <v>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贷</v>
      </c>
      <c r="K429" s="9">
        <f t="shared" si="12"/>
        <v>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贷</v>
      </c>
      <c r="K430" s="9">
        <f t="shared" si="12"/>
        <v>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贷</v>
      </c>
      <c r="K431" s="9">
        <f t="shared" si="12"/>
        <v>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贷</v>
      </c>
      <c r="K432" s="9">
        <f t="shared" ref="K432:K495" si="14">_xlfn.IFS(J431="借",K431+H432-I432,J431="贷",H432-I432-K431)</f>
        <v>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贷</v>
      </c>
      <c r="K433" s="9">
        <f t="shared" si="14"/>
        <v>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贷</v>
      </c>
      <c r="K434" s="9">
        <f t="shared" si="14"/>
        <v>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贷</v>
      </c>
      <c r="K435" s="9">
        <f t="shared" si="14"/>
        <v>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贷</v>
      </c>
      <c r="K436" s="9">
        <f t="shared" si="14"/>
        <v>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贷</v>
      </c>
      <c r="K437" s="9">
        <f t="shared" si="14"/>
        <v>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贷</v>
      </c>
      <c r="K438" s="9">
        <f t="shared" si="14"/>
        <v>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贷</v>
      </c>
      <c r="K439" s="9">
        <f t="shared" si="14"/>
        <v>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贷</v>
      </c>
      <c r="K440" s="9">
        <f t="shared" si="14"/>
        <v>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贷</v>
      </c>
      <c r="K441" s="9">
        <f t="shared" si="14"/>
        <v>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贷</v>
      </c>
      <c r="K442" s="9">
        <f t="shared" si="14"/>
        <v>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贷</v>
      </c>
      <c r="K443" s="9">
        <f t="shared" si="14"/>
        <v>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贷</v>
      </c>
      <c r="K444" s="9">
        <f t="shared" si="14"/>
        <v>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贷</v>
      </c>
      <c r="K445" s="9">
        <f t="shared" si="14"/>
        <v>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贷</v>
      </c>
      <c r="K446" s="9">
        <f t="shared" si="14"/>
        <v>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贷</v>
      </c>
      <c r="K447" s="9">
        <f t="shared" si="14"/>
        <v>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贷</v>
      </c>
      <c r="K448" s="9">
        <f t="shared" si="14"/>
        <v>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贷</v>
      </c>
      <c r="K449" s="9">
        <f t="shared" si="14"/>
        <v>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贷</v>
      </c>
      <c r="K450" s="9">
        <f t="shared" si="14"/>
        <v>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贷</v>
      </c>
      <c r="K451" s="9">
        <f t="shared" si="14"/>
        <v>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贷</v>
      </c>
      <c r="K452" s="9">
        <f t="shared" si="14"/>
        <v>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贷</v>
      </c>
      <c r="K453" s="9">
        <f t="shared" si="14"/>
        <v>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5">IF((K453+H454-I454)&gt;0,"借","贷")</f>
        <v>贷</v>
      </c>
      <c r="K454" s="9">
        <f t="shared" si="14"/>
        <v>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贷</v>
      </c>
      <c r="K455" s="9">
        <f t="shared" si="14"/>
        <v>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贷</v>
      </c>
      <c r="K456" s="9">
        <f t="shared" si="14"/>
        <v>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贷</v>
      </c>
      <c r="K457" s="9">
        <f t="shared" si="14"/>
        <v>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贷</v>
      </c>
      <c r="K458" s="9">
        <f t="shared" si="14"/>
        <v>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贷</v>
      </c>
      <c r="K459" s="9">
        <f t="shared" si="14"/>
        <v>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贷</v>
      </c>
      <c r="K460" s="9">
        <f t="shared" si="14"/>
        <v>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贷</v>
      </c>
      <c r="K461" s="9">
        <f t="shared" si="14"/>
        <v>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贷</v>
      </c>
      <c r="K462" s="9">
        <f t="shared" si="14"/>
        <v>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贷</v>
      </c>
      <c r="K463" s="9">
        <f t="shared" si="14"/>
        <v>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贷</v>
      </c>
      <c r="K464" s="9">
        <f t="shared" si="14"/>
        <v>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贷</v>
      </c>
      <c r="K465" s="9">
        <f t="shared" si="14"/>
        <v>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贷</v>
      </c>
      <c r="K466" s="9">
        <f t="shared" si="14"/>
        <v>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贷</v>
      </c>
      <c r="K467" s="9">
        <f t="shared" si="14"/>
        <v>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贷</v>
      </c>
      <c r="K468" s="9">
        <f t="shared" si="14"/>
        <v>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贷</v>
      </c>
      <c r="K469" s="9">
        <f t="shared" si="14"/>
        <v>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贷</v>
      </c>
      <c r="K470" s="9">
        <f t="shared" si="14"/>
        <v>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贷</v>
      </c>
      <c r="K471" s="9">
        <f t="shared" si="14"/>
        <v>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贷</v>
      </c>
      <c r="K472" s="9">
        <f t="shared" si="14"/>
        <v>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贷</v>
      </c>
      <c r="K473" s="9">
        <f t="shared" si="14"/>
        <v>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贷</v>
      </c>
      <c r="K474" s="9">
        <f t="shared" si="14"/>
        <v>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贷</v>
      </c>
      <c r="K475" s="9">
        <f t="shared" si="14"/>
        <v>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贷</v>
      </c>
      <c r="K476" s="9">
        <f t="shared" si="14"/>
        <v>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贷</v>
      </c>
      <c r="K477" s="9">
        <f t="shared" si="14"/>
        <v>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贷</v>
      </c>
      <c r="K478" s="9">
        <f t="shared" si="14"/>
        <v>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贷</v>
      </c>
      <c r="K479" s="9">
        <f t="shared" si="14"/>
        <v>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贷</v>
      </c>
      <c r="K480" s="9">
        <f t="shared" si="14"/>
        <v>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贷</v>
      </c>
      <c r="K481" s="9">
        <f t="shared" si="14"/>
        <v>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贷</v>
      </c>
      <c r="K482" s="9">
        <f t="shared" si="14"/>
        <v>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贷</v>
      </c>
      <c r="K483" s="9">
        <f t="shared" si="14"/>
        <v>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贷</v>
      </c>
      <c r="K484" s="9">
        <f t="shared" si="14"/>
        <v>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贷</v>
      </c>
      <c r="K485" s="9">
        <f t="shared" si="14"/>
        <v>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贷</v>
      </c>
      <c r="K486" s="9">
        <f t="shared" si="14"/>
        <v>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贷</v>
      </c>
      <c r="K487" s="9">
        <f t="shared" si="14"/>
        <v>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贷</v>
      </c>
      <c r="K488" s="9">
        <f t="shared" si="14"/>
        <v>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贷</v>
      </c>
      <c r="K489" s="9">
        <f t="shared" si="14"/>
        <v>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贷</v>
      </c>
      <c r="K490" s="9">
        <f t="shared" si="14"/>
        <v>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贷</v>
      </c>
      <c r="K491" s="9">
        <f t="shared" si="14"/>
        <v>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贷</v>
      </c>
      <c r="K492" s="9">
        <f t="shared" si="14"/>
        <v>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贷</v>
      </c>
      <c r="K493" s="9">
        <f t="shared" si="14"/>
        <v>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贷</v>
      </c>
      <c r="K494" s="9">
        <f t="shared" si="14"/>
        <v>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贷</v>
      </c>
      <c r="K495" s="9">
        <f t="shared" si="14"/>
        <v>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贷</v>
      </c>
      <c r="K496" s="9">
        <f t="shared" ref="K496:K498" si="16">_xlfn.IFS(J495="借",K495+H496-I496,J495="贷",H496-I496-K495)</f>
        <v>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贷</v>
      </c>
      <c r="K497" s="9">
        <f t="shared" si="16"/>
        <v>0</v>
      </c>
      <c r="L497" s="28"/>
    </row>
    <row r="498" spans="2:12" ht="20.100000000000001" customHeight="1" x14ac:dyDescent="0.15">
      <c r="B498" s="5"/>
      <c r="C498" s="10"/>
      <c r="D498" s="10"/>
      <c r="F498" s="10"/>
      <c r="G498" s="10"/>
      <c r="H498" s="8"/>
      <c r="I498" s="8"/>
      <c r="J498" s="8" t="str">
        <f t="shared" si="15"/>
        <v>贷</v>
      </c>
      <c r="K498" s="9">
        <f t="shared" si="16"/>
        <v>0</v>
      </c>
      <c r="L498" s="28"/>
    </row>
  </sheetData>
  <mergeCells count="5">
    <mergeCell ref="A1:K1"/>
    <mergeCell ref="M152:M153"/>
    <mergeCell ref="M181:M182"/>
    <mergeCell ref="M217:M218"/>
    <mergeCell ref="M254:M255"/>
  </mergeCells>
  <phoneticPr fontId="22" type="noConversion"/>
  <dataValidations count="1">
    <dataValidation type="list" allowBlank="1" showInputMessage="1" showErrorMessage="1" sqref="G5:G1048576 A1:L1" xr:uid="{00000000-0002-0000-0900-000000000000}">
      <formula1>#REF!</formula1>
    </dataValidation>
  </dataValidation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63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99"/>
      <c r="M27" s="99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99"/>
      <c r="M28" s="99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99"/>
      <c r="M29" s="99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99"/>
      <c r="M30" s="99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99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99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99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A00-000000000000}"/>
    <dataValidation type="list" allowBlank="1" showInputMessage="1" showErrorMessage="1" sqref="G5:G1048576" xr:uid="{00000000-0002-0000-0A00-000001000000}">
      <formula1>#REF!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04"/>
  <sheetViews>
    <sheetView topLeftCell="B1" zoomScale="115" zoomScaleNormal="115" workbookViewId="0">
      <selection activeCell="B4" sqref="B4:I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2.75" customWidth="1"/>
    <col min="6" max="7" width="16.75" customWidth="1"/>
    <col min="8" max="8" width="19.875" style="1" customWidth="1"/>
    <col min="9" max="9" width="18.5" style="38" customWidth="1"/>
    <col min="10" max="10" width="6.375" style="1" customWidth="1"/>
    <col min="11" max="11" width="20" customWidth="1"/>
    <col min="12" max="12" width="20" style="10" customWidth="1"/>
    <col min="13" max="13" width="15.75" customWidth="1"/>
    <col min="14" max="14" width="10.375"/>
    <col min="15" max="15" width="11.5"/>
  </cols>
  <sheetData>
    <row r="1" spans="1:13" ht="24.9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3"/>
      <c r="J1" s="101"/>
      <c r="K1" s="100"/>
      <c r="L1" s="2"/>
    </row>
    <row r="2" spans="1:13" ht="20.100000000000001" customHeight="1" x14ac:dyDescent="0.15">
      <c r="A2" t="s">
        <v>64</v>
      </c>
      <c r="H2" s="1">
        <f>SUM(H4:H190008)</f>
        <v>10000</v>
      </c>
      <c r="I2" s="38">
        <f>SUM(I4:I190008)</f>
        <v>10110</v>
      </c>
      <c r="K2">
        <f>K4+H2-I2</f>
        <v>137276.51</v>
      </c>
      <c r="L2"/>
    </row>
    <row r="3" spans="1:13" ht="20.100000000000001" customHeight="1" x14ac:dyDescent="0.15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6" t="s">
        <v>34</v>
      </c>
      <c r="I3" s="39" t="s">
        <v>35</v>
      </c>
      <c r="J3" s="6" t="s">
        <v>36</v>
      </c>
      <c r="K3" s="40" t="s">
        <v>21</v>
      </c>
      <c r="L3" s="5" t="s">
        <v>37</v>
      </c>
      <c r="M3" t="s">
        <v>65</v>
      </c>
    </row>
    <row r="4" spans="1:13" ht="20.100000000000001" customHeight="1" x14ac:dyDescent="0.15">
      <c r="A4" s="5">
        <v>2026</v>
      </c>
      <c r="B4" s="5">
        <v>1</v>
      </c>
      <c r="C4" s="5">
        <v>1</v>
      </c>
      <c r="D4" s="7" t="s">
        <v>38</v>
      </c>
      <c r="E4" s="7"/>
      <c r="F4" s="7"/>
      <c r="G4" s="7"/>
      <c r="H4" s="8"/>
      <c r="I4" s="14"/>
      <c r="J4" s="8" t="s">
        <v>39</v>
      </c>
      <c r="K4" s="41">
        <v>137386.51</v>
      </c>
      <c r="L4" s="9"/>
    </row>
    <row r="5" spans="1:13" ht="20.100000000000001" customHeight="1" x14ac:dyDescent="0.15">
      <c r="A5" s="5"/>
      <c r="B5" s="5">
        <v>2</v>
      </c>
      <c r="C5" s="5">
        <v>2</v>
      </c>
      <c r="D5" s="7" t="s">
        <v>40</v>
      </c>
      <c r="E5" s="7"/>
      <c r="F5" s="7" t="s">
        <v>41</v>
      </c>
      <c r="G5" s="7" t="s">
        <v>42</v>
      </c>
      <c r="H5" s="8">
        <v>10000</v>
      </c>
      <c r="I5" s="14"/>
      <c r="J5" s="8" t="str">
        <f t="shared" ref="J5:J68" si="0">IF((K4+H5-I5)&gt;0,"借","贷")</f>
        <v>借</v>
      </c>
      <c r="K5" s="41">
        <f t="shared" ref="K5:K10" si="1">K4+H5-I5</f>
        <v>147386.51</v>
      </c>
      <c r="L5" s="9"/>
    </row>
    <row r="6" spans="1:13" ht="20.100000000000001" customHeight="1" x14ac:dyDescent="0.15">
      <c r="A6" s="5"/>
      <c r="B6" s="5">
        <v>2</v>
      </c>
      <c r="C6" s="5">
        <v>3</v>
      </c>
      <c r="D6" s="7" t="s">
        <v>43</v>
      </c>
      <c r="E6" s="7"/>
      <c r="F6" s="7" t="s">
        <v>44</v>
      </c>
      <c r="G6" s="7" t="s">
        <v>44</v>
      </c>
      <c r="H6" s="8"/>
      <c r="I6" s="14">
        <v>100</v>
      </c>
      <c r="J6" s="8" t="str">
        <f t="shared" si="0"/>
        <v>借</v>
      </c>
      <c r="K6" s="41">
        <f t="shared" si="1"/>
        <v>147286.51</v>
      </c>
      <c r="L6" s="9"/>
    </row>
    <row r="7" spans="1:13" ht="20.100000000000001" customHeight="1" x14ac:dyDescent="0.15">
      <c r="A7" s="5"/>
      <c r="B7" s="5">
        <v>2</v>
      </c>
      <c r="C7" s="5">
        <v>4</v>
      </c>
      <c r="D7" s="7" t="s">
        <v>45</v>
      </c>
      <c r="E7" s="7"/>
      <c r="F7" s="7" t="s">
        <v>46</v>
      </c>
      <c r="G7" s="7" t="s">
        <v>47</v>
      </c>
      <c r="H7" s="8"/>
      <c r="I7" s="14">
        <v>10000</v>
      </c>
      <c r="J7" s="8" t="str">
        <f t="shared" si="0"/>
        <v>借</v>
      </c>
      <c r="K7" s="41">
        <f t="shared" si="1"/>
        <v>137286.51</v>
      </c>
      <c r="L7" s="9"/>
    </row>
    <row r="8" spans="1:13" ht="20.100000000000001" customHeight="1" x14ac:dyDescent="0.15">
      <c r="A8" s="5"/>
      <c r="B8" s="5">
        <v>2</v>
      </c>
      <c r="C8" s="5">
        <v>5</v>
      </c>
      <c r="D8" s="7" t="s">
        <v>48</v>
      </c>
      <c r="E8" s="7"/>
      <c r="F8" s="7" t="s">
        <v>49</v>
      </c>
      <c r="G8" s="7" t="s">
        <v>49</v>
      </c>
      <c r="H8" s="8"/>
      <c r="I8" s="14">
        <v>10</v>
      </c>
      <c r="J8" s="8" t="str">
        <f t="shared" si="0"/>
        <v>借</v>
      </c>
      <c r="K8" s="41">
        <f t="shared" si="1"/>
        <v>137276.51</v>
      </c>
      <c r="L8" s="9"/>
    </row>
    <row r="9" spans="1:13" ht="20.100000000000001" customHeight="1" x14ac:dyDescent="0.15">
      <c r="A9" s="5"/>
      <c r="B9" s="5"/>
      <c r="C9" s="5"/>
      <c r="D9" s="7"/>
      <c r="E9" s="7"/>
      <c r="F9" s="7"/>
      <c r="G9" s="7"/>
      <c r="H9" s="8"/>
      <c r="I9" s="14"/>
      <c r="J9" s="8" t="str">
        <f t="shared" si="0"/>
        <v>借</v>
      </c>
      <c r="K9" s="41">
        <f t="shared" si="1"/>
        <v>137276.51</v>
      </c>
      <c r="L9" s="9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14"/>
      <c r="J10" s="8" t="str">
        <f t="shared" si="0"/>
        <v>借</v>
      </c>
      <c r="K10" s="41">
        <f t="shared" si="1"/>
        <v>137276.51</v>
      </c>
      <c r="L10" s="9"/>
    </row>
    <row r="11" spans="1:13" ht="20.100000000000001" customHeight="1" x14ac:dyDescent="0.15">
      <c r="A11" s="5"/>
      <c r="B11" s="5"/>
      <c r="C11" s="5"/>
      <c r="D11" s="7"/>
      <c r="E11" s="7"/>
      <c r="F11" s="7"/>
      <c r="G11" s="7"/>
      <c r="H11" s="8"/>
      <c r="I11" s="14"/>
      <c r="J11" s="8" t="str">
        <f t="shared" si="0"/>
        <v>借</v>
      </c>
      <c r="K11" s="41">
        <f t="shared" ref="K11:K42" si="2">K10+H11-I11</f>
        <v>137276.51</v>
      </c>
      <c r="L11" s="9"/>
      <c r="M11" s="99"/>
    </row>
    <row r="12" spans="1:13" ht="20.100000000000001" customHeight="1" x14ac:dyDescent="0.15">
      <c r="A12" s="5"/>
      <c r="B12" s="5"/>
      <c r="C12" s="5"/>
      <c r="D12" s="7"/>
      <c r="E12" s="7"/>
      <c r="F12" s="7"/>
      <c r="G12" s="7"/>
      <c r="H12" s="8"/>
      <c r="I12" s="14"/>
      <c r="J12" s="8" t="str">
        <f t="shared" si="0"/>
        <v>借</v>
      </c>
      <c r="K12" s="41">
        <f t="shared" si="2"/>
        <v>137276.51</v>
      </c>
      <c r="L12" s="9"/>
      <c r="M12" s="99"/>
    </row>
    <row r="13" spans="1:13" ht="20.100000000000001" customHeight="1" x14ac:dyDescent="0.15">
      <c r="A13" s="5"/>
      <c r="B13" s="5"/>
      <c r="C13" s="5"/>
      <c r="D13" s="7"/>
      <c r="E13" s="7"/>
      <c r="F13" s="7"/>
      <c r="G13" s="7"/>
      <c r="H13" s="8"/>
      <c r="I13" s="14"/>
      <c r="J13" s="8" t="str">
        <f t="shared" si="0"/>
        <v>借</v>
      </c>
      <c r="K13" s="41">
        <f t="shared" si="2"/>
        <v>137276.51</v>
      </c>
      <c r="L13" s="9"/>
    </row>
    <row r="14" spans="1:13" ht="20.100000000000001" customHeight="1" x14ac:dyDescent="0.15">
      <c r="A14" s="5"/>
      <c r="B14" s="5"/>
      <c r="C14" s="5"/>
      <c r="D14" s="7"/>
      <c r="E14" s="7"/>
      <c r="F14" s="7"/>
      <c r="G14" s="7"/>
      <c r="H14" s="8"/>
      <c r="I14" s="14"/>
      <c r="J14" s="8" t="str">
        <f t="shared" si="0"/>
        <v>借</v>
      </c>
      <c r="K14" s="41">
        <f t="shared" si="2"/>
        <v>137276.51</v>
      </c>
      <c r="L14" s="9"/>
    </row>
    <row r="15" spans="1:13" ht="20.100000000000001" customHeight="1" x14ac:dyDescent="0.15">
      <c r="A15" s="5"/>
      <c r="B15" s="5"/>
      <c r="C15" s="5"/>
      <c r="D15" s="7"/>
      <c r="E15" s="7"/>
      <c r="F15" s="7"/>
      <c r="G15" s="7"/>
      <c r="H15" s="8"/>
      <c r="I15" s="14"/>
      <c r="J15" s="8" t="str">
        <f t="shared" si="0"/>
        <v>借</v>
      </c>
      <c r="K15" s="41">
        <f t="shared" si="2"/>
        <v>137276.51</v>
      </c>
      <c r="L15" s="9"/>
    </row>
    <row r="16" spans="1:13" ht="20.100000000000001" customHeight="1" x14ac:dyDescent="0.15">
      <c r="A16" s="5"/>
      <c r="B16" s="5"/>
      <c r="C16" s="5"/>
      <c r="D16" s="7"/>
      <c r="E16" s="7"/>
      <c r="F16" s="7"/>
      <c r="G16" s="7"/>
      <c r="H16" s="8"/>
      <c r="I16" s="14"/>
      <c r="J16" s="8" t="str">
        <f t="shared" si="0"/>
        <v>借</v>
      </c>
      <c r="K16" s="41">
        <f t="shared" si="2"/>
        <v>137276.51</v>
      </c>
      <c r="L16" s="9"/>
    </row>
    <row r="17" spans="1:13" ht="20.100000000000001" customHeight="1" x14ac:dyDescent="0.15">
      <c r="A17" s="5"/>
      <c r="B17" s="5"/>
      <c r="C17" s="5"/>
      <c r="D17" s="7"/>
      <c r="E17" s="7"/>
      <c r="F17" s="7"/>
      <c r="G17" s="7"/>
      <c r="H17" s="8"/>
      <c r="I17" s="14"/>
      <c r="J17" s="8" t="str">
        <f t="shared" si="0"/>
        <v>借</v>
      </c>
      <c r="K17" s="41">
        <f t="shared" si="2"/>
        <v>137276.51</v>
      </c>
      <c r="L17" s="9"/>
    </row>
    <row r="18" spans="1:13" ht="20.100000000000001" customHeight="1" x14ac:dyDescent="0.15">
      <c r="A18" s="5"/>
      <c r="B18" s="5"/>
      <c r="C18" s="5"/>
      <c r="D18" s="7"/>
      <c r="E18" s="7"/>
      <c r="F18" s="7"/>
      <c r="G18" s="7"/>
      <c r="H18" s="8"/>
      <c r="I18" s="14"/>
      <c r="J18" s="8" t="str">
        <f t="shared" si="0"/>
        <v>借</v>
      </c>
      <c r="K18" s="41">
        <f t="shared" si="2"/>
        <v>137276.51</v>
      </c>
      <c r="L18" s="9"/>
    </row>
    <row r="19" spans="1:13" ht="20.100000000000001" customHeight="1" x14ac:dyDescent="0.15">
      <c r="A19" s="5"/>
      <c r="B19" s="5"/>
      <c r="C19" s="5"/>
      <c r="D19" s="7"/>
      <c r="E19" s="7"/>
      <c r="F19" s="7"/>
      <c r="G19" s="7"/>
      <c r="H19" s="8"/>
      <c r="I19" s="15"/>
      <c r="J19" s="8" t="str">
        <f t="shared" si="0"/>
        <v>借</v>
      </c>
      <c r="K19" s="41">
        <f t="shared" si="2"/>
        <v>137276.51</v>
      </c>
      <c r="L19" s="9"/>
    </row>
    <row r="20" spans="1:13" ht="20.100000000000001" customHeight="1" x14ac:dyDescent="0.15">
      <c r="A20" s="5"/>
      <c r="B20" s="5"/>
      <c r="C20" s="5"/>
      <c r="D20" s="7"/>
      <c r="E20" s="7"/>
      <c r="F20" s="7"/>
      <c r="G20" s="7"/>
      <c r="H20" s="8"/>
      <c r="I20" s="14"/>
      <c r="J20" s="8" t="str">
        <f t="shared" si="0"/>
        <v>借</v>
      </c>
      <c r="K20" s="41">
        <f t="shared" si="2"/>
        <v>137276.51</v>
      </c>
      <c r="L20" s="9"/>
    </row>
    <row r="21" spans="1:13" ht="20.100000000000001" customHeight="1" x14ac:dyDescent="0.15">
      <c r="A21" s="5"/>
      <c r="B21" s="5"/>
      <c r="C21" s="5"/>
      <c r="D21" s="7"/>
      <c r="E21" s="7"/>
      <c r="F21" s="7"/>
      <c r="G21" s="7"/>
      <c r="H21" s="8"/>
      <c r="I21" s="15"/>
      <c r="J21" s="8" t="str">
        <f t="shared" si="0"/>
        <v>借</v>
      </c>
      <c r="K21" s="41">
        <f t="shared" si="2"/>
        <v>137276.51</v>
      </c>
      <c r="L21" s="9"/>
    </row>
    <row r="22" spans="1:13" ht="20.100000000000001" customHeight="1" x14ac:dyDescent="0.15">
      <c r="A22" s="5"/>
      <c r="B22" s="5"/>
      <c r="C22" s="5"/>
      <c r="D22" s="7"/>
      <c r="E22" s="7"/>
      <c r="F22" s="7"/>
      <c r="G22" s="7"/>
      <c r="H22" s="8"/>
      <c r="I22" s="15"/>
      <c r="J22" s="8" t="str">
        <f t="shared" si="0"/>
        <v>借</v>
      </c>
      <c r="K22" s="41">
        <f t="shared" si="2"/>
        <v>137276.51</v>
      </c>
      <c r="L22" s="9"/>
    </row>
    <row r="23" spans="1:13" ht="20.100000000000001" customHeight="1" x14ac:dyDescent="0.15">
      <c r="A23" s="5"/>
      <c r="B23" s="5"/>
      <c r="C23" s="5"/>
      <c r="D23" s="7"/>
      <c r="E23" s="7"/>
      <c r="F23" s="7"/>
      <c r="G23" s="7"/>
      <c r="H23" s="8"/>
      <c r="I23" s="14"/>
      <c r="J23" s="8" t="str">
        <f t="shared" si="0"/>
        <v>借</v>
      </c>
      <c r="K23" s="41">
        <f t="shared" si="2"/>
        <v>137276.51</v>
      </c>
      <c r="L23" s="9"/>
    </row>
    <row r="24" spans="1:13" ht="20.100000000000001" customHeight="1" x14ac:dyDescent="0.15">
      <c r="A24" s="5"/>
      <c r="B24" s="5"/>
      <c r="C24" s="5"/>
      <c r="D24" s="7"/>
      <c r="E24" s="7"/>
      <c r="F24" s="7"/>
      <c r="G24" s="7"/>
      <c r="H24" s="8"/>
      <c r="I24" s="15"/>
      <c r="J24" s="8" t="str">
        <f t="shared" si="0"/>
        <v>借</v>
      </c>
      <c r="K24" s="41">
        <f t="shared" si="2"/>
        <v>137276.51</v>
      </c>
      <c r="L24" s="9"/>
    </row>
    <row r="25" spans="1:13" ht="20.100000000000001" customHeight="1" x14ac:dyDescent="0.15">
      <c r="A25" s="5"/>
      <c r="B25" s="5"/>
      <c r="C25" s="5"/>
      <c r="D25" s="7"/>
      <c r="E25" s="7"/>
      <c r="F25" s="7"/>
      <c r="G25" s="7"/>
      <c r="H25" s="8"/>
      <c r="I25" s="14"/>
      <c r="J25" s="8" t="str">
        <f t="shared" si="0"/>
        <v>借</v>
      </c>
      <c r="K25" s="41">
        <f t="shared" si="2"/>
        <v>137276.51</v>
      </c>
      <c r="L25" s="9"/>
      <c r="M25" s="99"/>
    </row>
    <row r="26" spans="1:13" ht="20.100000000000001" customHeight="1" x14ac:dyDescent="0.15">
      <c r="A26" s="5"/>
      <c r="B26" s="5"/>
      <c r="C26" s="5"/>
      <c r="D26" s="7"/>
      <c r="E26" s="7"/>
      <c r="F26" s="7"/>
      <c r="G26" s="7"/>
      <c r="H26" s="8"/>
      <c r="I26" s="14"/>
      <c r="J26" s="8" t="str">
        <f t="shared" si="0"/>
        <v>借</v>
      </c>
      <c r="K26" s="41">
        <f t="shared" si="2"/>
        <v>137276.51</v>
      </c>
      <c r="L26" s="9"/>
      <c r="M26" s="99"/>
    </row>
    <row r="27" spans="1:13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14"/>
      <c r="J27" s="8" t="str">
        <f t="shared" si="0"/>
        <v>借</v>
      </c>
      <c r="K27" s="41">
        <f t="shared" si="2"/>
        <v>137276.51</v>
      </c>
      <c r="L27" s="9"/>
      <c r="M27" s="99"/>
    </row>
    <row r="28" spans="1:13" ht="20.100000000000001" customHeight="1" x14ac:dyDescent="0.15">
      <c r="A28" s="5"/>
      <c r="B28" s="5"/>
      <c r="C28" s="5"/>
      <c r="D28" s="7"/>
      <c r="E28" s="7"/>
      <c r="F28" s="7"/>
      <c r="G28" s="7"/>
      <c r="H28" s="8"/>
      <c r="I28" s="14"/>
      <c r="J28" s="8" t="str">
        <f t="shared" si="0"/>
        <v>借</v>
      </c>
      <c r="K28" s="41">
        <f t="shared" si="2"/>
        <v>137276.51</v>
      </c>
      <c r="L28" s="9"/>
    </row>
    <row r="29" spans="1:13" ht="20.100000000000001" customHeight="1" x14ac:dyDescent="0.15">
      <c r="A29" s="5"/>
      <c r="B29" s="5"/>
      <c r="C29" s="5"/>
      <c r="D29" s="7"/>
      <c r="E29" s="7"/>
      <c r="F29" s="7"/>
      <c r="G29" s="7"/>
      <c r="H29" s="8"/>
      <c r="I29" s="14"/>
      <c r="J29" s="8" t="str">
        <f t="shared" si="0"/>
        <v>借</v>
      </c>
      <c r="K29" s="41">
        <f t="shared" si="2"/>
        <v>137276.51</v>
      </c>
      <c r="L29" s="9"/>
    </row>
    <row r="30" spans="1:13" ht="20.100000000000001" customHeight="1" x14ac:dyDescent="0.15">
      <c r="A30" s="5"/>
      <c r="B30" s="5"/>
      <c r="C30" s="5"/>
      <c r="D30" s="7"/>
      <c r="E30" s="7"/>
      <c r="F30" s="7"/>
      <c r="G30" s="7"/>
      <c r="H30" s="8"/>
      <c r="I30" s="14"/>
      <c r="J30" s="8" t="str">
        <f t="shared" si="0"/>
        <v>借</v>
      </c>
      <c r="K30" s="41">
        <f t="shared" si="2"/>
        <v>137276.51</v>
      </c>
      <c r="L30" s="9"/>
    </row>
    <row r="31" spans="1:13" ht="20.100000000000001" customHeight="1" x14ac:dyDescent="0.15">
      <c r="A31" s="5"/>
      <c r="B31" s="5"/>
      <c r="C31" s="5"/>
      <c r="D31" s="7"/>
      <c r="E31" s="7"/>
      <c r="F31" s="7"/>
      <c r="G31" s="7"/>
      <c r="H31" s="8"/>
      <c r="I31" s="14"/>
      <c r="J31" s="8" t="str">
        <f t="shared" si="0"/>
        <v>借</v>
      </c>
      <c r="K31" s="41">
        <f t="shared" si="2"/>
        <v>137276.51</v>
      </c>
      <c r="L31" s="9"/>
    </row>
    <row r="32" spans="1:13" ht="20.100000000000001" customHeight="1" x14ac:dyDescent="0.15">
      <c r="A32" s="5"/>
      <c r="B32" s="5"/>
      <c r="C32" s="5"/>
      <c r="D32" s="7"/>
      <c r="E32" s="7"/>
      <c r="F32" s="7"/>
      <c r="G32" s="7"/>
      <c r="H32" s="8"/>
      <c r="I32" s="14"/>
      <c r="J32" s="8" t="str">
        <f t="shared" si="0"/>
        <v>借</v>
      </c>
      <c r="K32" s="41">
        <f t="shared" si="2"/>
        <v>137276.51</v>
      </c>
      <c r="L32" s="9"/>
    </row>
    <row r="33" spans="1:13" ht="20.100000000000001" customHeight="1" x14ac:dyDescent="0.15">
      <c r="A33" s="5"/>
      <c r="B33" s="5"/>
      <c r="C33" s="5"/>
      <c r="D33" s="7"/>
      <c r="E33" s="7"/>
      <c r="F33" s="7"/>
      <c r="G33" s="7"/>
      <c r="H33" s="8"/>
      <c r="I33" s="14"/>
      <c r="J33" s="8" t="str">
        <f t="shared" si="0"/>
        <v>借</v>
      </c>
      <c r="K33" s="41">
        <f t="shared" si="2"/>
        <v>137276.51</v>
      </c>
      <c r="L33" s="9"/>
      <c r="M33" s="99"/>
    </row>
    <row r="34" spans="1:13" ht="20.100000000000001" customHeight="1" x14ac:dyDescent="0.15">
      <c r="A34" s="5"/>
      <c r="B34" s="5"/>
      <c r="C34" s="5"/>
      <c r="D34" s="7"/>
      <c r="E34" s="7"/>
      <c r="F34" s="7"/>
      <c r="G34" s="7"/>
      <c r="H34" s="8"/>
      <c r="I34" s="14"/>
      <c r="J34" s="8" t="str">
        <f t="shared" si="0"/>
        <v>借</v>
      </c>
      <c r="K34" s="41">
        <f t="shared" si="2"/>
        <v>137276.51</v>
      </c>
      <c r="L34" s="9"/>
      <c r="M34" s="99"/>
    </row>
    <row r="35" spans="1:13" ht="20.100000000000001" customHeight="1" x14ac:dyDescent="0.15">
      <c r="A35" s="5"/>
      <c r="B35" s="5"/>
      <c r="C35" s="5"/>
      <c r="D35" s="7"/>
      <c r="E35" s="7"/>
      <c r="F35" s="7"/>
      <c r="G35" s="7"/>
      <c r="H35" s="8"/>
      <c r="I35" s="14"/>
      <c r="J35" s="8" t="str">
        <f t="shared" si="0"/>
        <v>借</v>
      </c>
      <c r="K35" s="41">
        <f t="shared" si="2"/>
        <v>137276.51</v>
      </c>
      <c r="L35" s="9"/>
      <c r="M35" s="99"/>
    </row>
    <row r="36" spans="1:13" ht="20.100000000000001" customHeight="1" x14ac:dyDescent="0.15">
      <c r="A36" s="5"/>
      <c r="B36" s="5"/>
      <c r="C36" s="5"/>
      <c r="D36" s="7"/>
      <c r="E36" s="7"/>
      <c r="F36" s="7"/>
      <c r="G36" s="7"/>
      <c r="H36" s="8"/>
      <c r="I36" s="14"/>
      <c r="J36" s="8" t="str">
        <f t="shared" si="0"/>
        <v>借</v>
      </c>
      <c r="K36" s="41">
        <f t="shared" si="2"/>
        <v>137276.51</v>
      </c>
      <c r="L36" s="9"/>
    </row>
    <row r="37" spans="1:13" ht="20.100000000000001" customHeight="1" x14ac:dyDescent="0.15">
      <c r="A37" s="5"/>
      <c r="B37" s="5"/>
      <c r="C37" s="5"/>
      <c r="D37" s="7"/>
      <c r="E37" s="7"/>
      <c r="F37" s="7"/>
      <c r="G37" s="7"/>
      <c r="H37" s="8"/>
      <c r="I37" s="14"/>
      <c r="J37" s="8" t="str">
        <f t="shared" si="0"/>
        <v>借</v>
      </c>
      <c r="K37" s="41">
        <f t="shared" si="2"/>
        <v>137276.51</v>
      </c>
      <c r="L37" s="9"/>
    </row>
    <row r="38" spans="1:13" ht="20.100000000000001" customHeight="1" x14ac:dyDescent="0.15">
      <c r="A38" s="5"/>
      <c r="B38" s="5"/>
      <c r="C38" s="5"/>
      <c r="D38" s="7"/>
      <c r="E38" s="11"/>
      <c r="F38" s="7"/>
      <c r="G38" s="7"/>
      <c r="H38" s="8"/>
      <c r="I38" s="14"/>
      <c r="J38" s="8" t="str">
        <f t="shared" si="0"/>
        <v>借</v>
      </c>
      <c r="K38" s="41">
        <f t="shared" si="2"/>
        <v>137276.51</v>
      </c>
      <c r="L38" s="9"/>
    </row>
    <row r="39" spans="1:13" ht="20.100000000000001" customHeight="1" x14ac:dyDescent="0.15">
      <c r="A39" s="5"/>
      <c r="B39" s="5"/>
      <c r="C39" s="5"/>
      <c r="D39" s="7"/>
      <c r="E39" s="11"/>
      <c r="F39" s="7"/>
      <c r="G39" s="7"/>
      <c r="H39" s="8"/>
      <c r="I39" s="14"/>
      <c r="J39" s="8" t="str">
        <f t="shared" si="0"/>
        <v>借</v>
      </c>
      <c r="K39" s="41">
        <f t="shared" si="2"/>
        <v>137276.51</v>
      </c>
      <c r="L39" s="9"/>
    </row>
    <row r="40" spans="1:13" ht="20.100000000000001" customHeight="1" x14ac:dyDescent="0.15">
      <c r="A40" s="5"/>
      <c r="B40" s="5"/>
      <c r="C40" s="5"/>
      <c r="D40" s="7"/>
      <c r="E40" s="11"/>
      <c r="F40" s="7"/>
      <c r="G40" s="7"/>
      <c r="H40" s="8"/>
      <c r="I40" s="14"/>
      <c r="J40" s="8" t="str">
        <f t="shared" si="0"/>
        <v>借</v>
      </c>
      <c r="K40" s="41">
        <f t="shared" si="2"/>
        <v>137276.51</v>
      </c>
      <c r="L40" s="9"/>
    </row>
    <row r="41" spans="1:13" ht="20.100000000000001" customHeight="1" x14ac:dyDescent="0.15">
      <c r="A41" s="5"/>
      <c r="B41" s="5"/>
      <c r="C41" s="5"/>
      <c r="D41" s="7"/>
      <c r="E41" s="7"/>
      <c r="F41" s="7"/>
      <c r="G41" s="7"/>
      <c r="H41" s="8"/>
      <c r="I41" s="14"/>
      <c r="J41" s="8" t="str">
        <f t="shared" si="0"/>
        <v>借</v>
      </c>
      <c r="K41" s="41">
        <f t="shared" si="2"/>
        <v>137276.51</v>
      </c>
      <c r="L41" s="9"/>
    </row>
    <row r="42" spans="1:13" ht="20.100000000000001" customHeight="1" x14ac:dyDescent="0.15">
      <c r="A42" s="5"/>
      <c r="B42" s="5"/>
      <c r="C42" s="5"/>
      <c r="D42" s="7"/>
      <c r="E42" s="11"/>
      <c r="F42" s="7"/>
      <c r="G42" s="7"/>
      <c r="H42" s="8"/>
      <c r="I42" s="14"/>
      <c r="J42" s="8" t="str">
        <f t="shared" si="0"/>
        <v>借</v>
      </c>
      <c r="K42" s="41">
        <f t="shared" si="2"/>
        <v>137276.51</v>
      </c>
      <c r="L42" s="9"/>
    </row>
    <row r="43" spans="1:13" ht="20.100000000000001" customHeight="1" x14ac:dyDescent="0.15">
      <c r="A43" s="5"/>
      <c r="B43" s="5"/>
      <c r="C43" s="5"/>
      <c r="D43" s="7"/>
      <c r="E43" s="11"/>
      <c r="F43" s="7"/>
      <c r="G43" s="7"/>
      <c r="H43" s="8"/>
      <c r="I43" s="14"/>
      <c r="J43" s="8" t="str">
        <f t="shared" si="0"/>
        <v>借</v>
      </c>
      <c r="K43" s="41">
        <f t="shared" ref="K43:K74" si="3">K42+H43-I43</f>
        <v>137276.51</v>
      </c>
      <c r="L43" s="9"/>
    </row>
    <row r="44" spans="1:13" ht="20.100000000000001" customHeight="1" x14ac:dyDescent="0.15">
      <c r="A44" s="5"/>
      <c r="B44" s="5"/>
      <c r="C44" s="5"/>
      <c r="D44" s="7"/>
      <c r="E44" s="7"/>
      <c r="F44" s="7"/>
      <c r="G44" s="7"/>
      <c r="H44" s="8"/>
      <c r="I44" s="14"/>
      <c r="J44" s="8" t="str">
        <f t="shared" si="0"/>
        <v>借</v>
      </c>
      <c r="K44" s="41">
        <f t="shared" si="3"/>
        <v>137276.51</v>
      </c>
      <c r="L44" s="9"/>
    </row>
    <row r="45" spans="1:13" ht="20.100000000000001" customHeight="1" x14ac:dyDescent="0.15">
      <c r="A45" s="5"/>
      <c r="B45" s="5"/>
      <c r="C45" s="5"/>
      <c r="D45" s="7"/>
      <c r="E45" s="7"/>
      <c r="F45" s="7"/>
      <c r="G45" s="7"/>
      <c r="H45" s="8"/>
      <c r="I45" s="14"/>
      <c r="J45" s="8" t="str">
        <f t="shared" si="0"/>
        <v>借</v>
      </c>
      <c r="K45" s="41">
        <f t="shared" si="3"/>
        <v>137276.51</v>
      </c>
      <c r="L45" s="9"/>
    </row>
    <row r="46" spans="1:13" ht="20.100000000000001" customHeight="1" x14ac:dyDescent="0.15">
      <c r="A46" s="5"/>
      <c r="B46" s="5"/>
      <c r="C46" s="5"/>
      <c r="D46" s="7"/>
      <c r="E46" s="7"/>
      <c r="F46" s="7"/>
      <c r="G46" s="7"/>
      <c r="H46" s="8"/>
      <c r="I46" s="14"/>
      <c r="J46" s="8" t="str">
        <f t="shared" si="0"/>
        <v>借</v>
      </c>
      <c r="K46" s="41">
        <f t="shared" si="3"/>
        <v>137276.51</v>
      </c>
      <c r="L46" s="9"/>
    </row>
    <row r="47" spans="1:13" ht="20.100000000000001" customHeight="1" x14ac:dyDescent="0.15">
      <c r="A47" s="5"/>
      <c r="B47" s="5"/>
      <c r="C47" s="5"/>
      <c r="D47" s="10"/>
      <c r="E47" s="7"/>
      <c r="F47" s="10"/>
      <c r="G47" s="7"/>
      <c r="H47" s="15"/>
      <c r="I47" s="15"/>
      <c r="J47" s="8" t="str">
        <f t="shared" si="0"/>
        <v>借</v>
      </c>
      <c r="K47" s="41">
        <f t="shared" si="3"/>
        <v>137276.51</v>
      </c>
      <c r="L47" s="9"/>
    </row>
    <row r="48" spans="1:13" ht="20.100000000000001" customHeight="1" x14ac:dyDescent="0.15">
      <c r="A48" s="5"/>
      <c r="B48" s="5"/>
      <c r="C48" s="5"/>
      <c r="D48" s="10"/>
      <c r="E48" s="10"/>
      <c r="F48" s="10"/>
      <c r="G48" s="10"/>
      <c r="H48" s="8"/>
      <c r="I48" s="14"/>
      <c r="J48" s="8" t="str">
        <f t="shared" si="0"/>
        <v>借</v>
      </c>
      <c r="K48" s="41">
        <f t="shared" si="3"/>
        <v>137276.51</v>
      </c>
      <c r="L48" s="9"/>
    </row>
    <row r="49" spans="1:12" ht="20.100000000000001" customHeight="1" x14ac:dyDescent="0.15">
      <c r="A49" s="5"/>
      <c r="B49" s="5"/>
      <c r="C49" s="5"/>
      <c r="D49" s="10"/>
      <c r="E49" s="7"/>
      <c r="F49" s="7"/>
      <c r="G49" s="7"/>
      <c r="H49" s="8"/>
      <c r="I49" s="14"/>
      <c r="J49" s="8" t="str">
        <f t="shared" si="0"/>
        <v>借</v>
      </c>
      <c r="K49" s="41">
        <f t="shared" si="3"/>
        <v>137276.51</v>
      </c>
      <c r="L49" s="9"/>
    </row>
    <row r="50" spans="1:12" ht="20.100000000000001" customHeight="1" x14ac:dyDescent="0.15">
      <c r="A50" s="5"/>
      <c r="B50" s="5"/>
      <c r="C50" s="5"/>
      <c r="D50" s="7"/>
      <c r="E50" s="7"/>
      <c r="F50" s="7"/>
      <c r="G50" s="7"/>
      <c r="H50" s="8"/>
      <c r="I50" s="14"/>
      <c r="J50" s="8" t="str">
        <f t="shared" si="0"/>
        <v>借</v>
      </c>
      <c r="K50" s="41">
        <f t="shared" si="3"/>
        <v>137276.51</v>
      </c>
      <c r="L50" s="9"/>
    </row>
    <row r="51" spans="1:12" ht="20.100000000000001" customHeight="1" x14ac:dyDescent="0.15">
      <c r="A51" s="5"/>
      <c r="B51" s="5"/>
      <c r="C51" s="5"/>
      <c r="D51" s="7"/>
      <c r="E51" s="7"/>
      <c r="F51" s="7"/>
      <c r="G51" s="7"/>
      <c r="H51" s="8"/>
      <c r="I51" s="14"/>
      <c r="J51" s="8" t="str">
        <f t="shared" si="0"/>
        <v>借</v>
      </c>
      <c r="K51" s="41">
        <f t="shared" si="3"/>
        <v>137276.51</v>
      </c>
      <c r="L51" s="9"/>
    </row>
    <row r="52" spans="1:12" ht="20.100000000000001" customHeight="1" x14ac:dyDescent="0.15">
      <c r="A52" s="5"/>
      <c r="B52" s="5"/>
      <c r="C52" s="5"/>
      <c r="D52" s="7"/>
      <c r="E52" s="7"/>
      <c r="F52" s="7"/>
      <c r="G52" s="7"/>
      <c r="H52" s="8"/>
      <c r="I52" s="14"/>
      <c r="J52" s="8" t="str">
        <f t="shared" si="0"/>
        <v>借</v>
      </c>
      <c r="K52" s="41">
        <f t="shared" si="3"/>
        <v>137276.51</v>
      </c>
      <c r="L52" s="9"/>
    </row>
    <row r="53" spans="1:12" ht="20.100000000000001" customHeight="1" x14ac:dyDescent="0.15">
      <c r="A53" s="10"/>
      <c r="B53" s="5"/>
      <c r="C53" s="5"/>
      <c r="D53" s="7"/>
      <c r="E53" s="7"/>
      <c r="F53" s="7"/>
      <c r="G53" s="7"/>
      <c r="H53" s="8"/>
      <c r="I53" s="14"/>
      <c r="J53" s="8" t="str">
        <f t="shared" si="0"/>
        <v>借</v>
      </c>
      <c r="K53" s="41">
        <f t="shared" si="3"/>
        <v>137276.51</v>
      </c>
      <c r="L53" s="9"/>
    </row>
    <row r="54" spans="1:12" ht="20.100000000000001" customHeight="1" x14ac:dyDescent="0.15">
      <c r="A54" s="10"/>
      <c r="B54" s="5"/>
      <c r="C54" s="5"/>
      <c r="D54" s="7"/>
      <c r="E54" s="7"/>
      <c r="F54" s="10"/>
      <c r="G54" s="7"/>
      <c r="H54" s="8"/>
      <c r="I54" s="14"/>
      <c r="J54" s="8" t="str">
        <f t="shared" si="0"/>
        <v>借</v>
      </c>
      <c r="K54" s="41">
        <f t="shared" si="3"/>
        <v>137276.51</v>
      </c>
      <c r="L54" s="9"/>
    </row>
    <row r="55" spans="1:12" ht="20.100000000000001" customHeight="1" x14ac:dyDescent="0.15">
      <c r="A55" s="10"/>
      <c r="B55" s="5"/>
      <c r="C55" s="5"/>
      <c r="D55" s="7"/>
      <c r="E55" s="7"/>
      <c r="F55" s="7"/>
      <c r="G55" s="7"/>
      <c r="H55" s="8"/>
      <c r="I55" s="14"/>
      <c r="J55" s="8" t="str">
        <f t="shared" si="0"/>
        <v>借</v>
      </c>
      <c r="K55" s="41">
        <f t="shared" si="3"/>
        <v>137276.51</v>
      </c>
      <c r="L55" s="9"/>
    </row>
    <row r="56" spans="1:12" ht="20.100000000000001" customHeight="1" x14ac:dyDescent="0.15">
      <c r="A56" s="10"/>
      <c r="B56" s="5"/>
      <c r="C56" s="5"/>
      <c r="D56" s="10"/>
      <c r="E56" s="7"/>
      <c r="F56" s="7"/>
      <c r="G56" s="7"/>
      <c r="H56" s="8"/>
      <c r="I56" s="14"/>
      <c r="J56" s="8" t="str">
        <f t="shared" si="0"/>
        <v>借</v>
      </c>
      <c r="K56" s="41">
        <f t="shared" si="3"/>
        <v>137276.51</v>
      </c>
      <c r="L56" s="9"/>
    </row>
    <row r="57" spans="1:12" ht="20.100000000000001" customHeight="1" x14ac:dyDescent="0.15">
      <c r="A57" s="10"/>
      <c r="B57" s="5"/>
      <c r="C57" s="5"/>
      <c r="D57" s="10"/>
      <c r="E57" s="7"/>
      <c r="F57" s="10"/>
      <c r="G57" s="7"/>
      <c r="H57" s="8"/>
      <c r="I57" s="14"/>
      <c r="J57" s="8" t="str">
        <f t="shared" si="0"/>
        <v>借</v>
      </c>
      <c r="K57" s="41">
        <f t="shared" si="3"/>
        <v>137276.51</v>
      </c>
      <c r="L57" s="9"/>
    </row>
    <row r="58" spans="1:12" ht="20.100000000000001" customHeight="1" x14ac:dyDescent="0.15">
      <c r="A58" s="10"/>
      <c r="B58" s="5"/>
      <c r="C58" s="5"/>
      <c r="D58" s="10"/>
      <c r="E58" s="11"/>
      <c r="F58" s="10"/>
      <c r="G58" s="7"/>
      <c r="H58" s="8"/>
      <c r="I58" s="14"/>
      <c r="J58" s="8" t="str">
        <f t="shared" si="0"/>
        <v>借</v>
      </c>
      <c r="K58" s="41">
        <f t="shared" si="3"/>
        <v>137276.51</v>
      </c>
      <c r="L58" s="9"/>
    </row>
    <row r="59" spans="1:12" ht="20.100000000000001" customHeight="1" x14ac:dyDescent="0.15">
      <c r="A59" s="5"/>
      <c r="B59" s="5"/>
      <c r="C59" s="5"/>
      <c r="D59" s="10"/>
      <c r="E59" s="7"/>
      <c r="F59" s="10"/>
      <c r="G59" s="7"/>
      <c r="H59" s="8"/>
      <c r="I59" s="15"/>
      <c r="J59" s="8" t="str">
        <f t="shared" si="0"/>
        <v>借</v>
      </c>
      <c r="K59" s="41">
        <f t="shared" si="3"/>
        <v>137276.51</v>
      </c>
      <c r="L59" s="9"/>
    </row>
    <row r="60" spans="1:12" ht="20.100000000000001" customHeight="1" x14ac:dyDescent="0.15">
      <c r="A60" s="5"/>
      <c r="B60" s="5"/>
      <c r="C60" s="5"/>
      <c r="D60" s="10"/>
      <c r="E60" s="11"/>
      <c r="F60" s="10"/>
      <c r="G60" s="7"/>
      <c r="H60" s="8"/>
      <c r="I60" s="15"/>
      <c r="J60" s="8" t="str">
        <f t="shared" si="0"/>
        <v>借</v>
      </c>
      <c r="K60" s="41">
        <f t="shared" si="3"/>
        <v>137276.51</v>
      </c>
      <c r="L60" s="9"/>
    </row>
    <row r="61" spans="1:12" ht="20.100000000000001" customHeight="1" x14ac:dyDescent="0.15">
      <c r="A61" s="5"/>
      <c r="B61" s="5"/>
      <c r="C61" s="5"/>
      <c r="D61" s="7"/>
      <c r="E61" s="7"/>
      <c r="F61" s="7"/>
      <c r="G61" s="7"/>
      <c r="H61" s="8"/>
      <c r="I61" s="15"/>
      <c r="J61" s="8" t="str">
        <f t="shared" si="0"/>
        <v>借</v>
      </c>
      <c r="K61" s="41">
        <f t="shared" si="3"/>
        <v>137276.51</v>
      </c>
      <c r="L61" s="9"/>
    </row>
    <row r="62" spans="1:12" ht="20.100000000000001" customHeight="1" x14ac:dyDescent="0.15">
      <c r="A62" s="5"/>
      <c r="B62" s="5"/>
      <c r="C62" s="5"/>
      <c r="D62" s="7"/>
      <c r="E62" s="7"/>
      <c r="F62" s="7"/>
      <c r="G62" s="7"/>
      <c r="H62" s="8"/>
      <c r="I62" s="15"/>
      <c r="J62" s="8" t="str">
        <f t="shared" si="0"/>
        <v>借</v>
      </c>
      <c r="K62" s="41">
        <f t="shared" si="3"/>
        <v>137276.51</v>
      </c>
      <c r="L62" s="9"/>
    </row>
    <row r="63" spans="1:12" ht="20.100000000000001" customHeight="1" x14ac:dyDescent="0.15">
      <c r="A63" s="5"/>
      <c r="B63" s="5"/>
      <c r="C63" s="5"/>
      <c r="D63" s="7"/>
      <c r="E63" s="7"/>
      <c r="F63" s="7"/>
      <c r="G63" s="7"/>
      <c r="H63" s="8"/>
      <c r="I63" s="15"/>
      <c r="J63" s="8" t="str">
        <f t="shared" si="0"/>
        <v>借</v>
      </c>
      <c r="K63" s="41">
        <f t="shared" si="3"/>
        <v>137276.51</v>
      </c>
      <c r="L63" s="9"/>
    </row>
    <row r="64" spans="1:12" ht="20.100000000000001" customHeight="1" x14ac:dyDescent="0.15">
      <c r="A64" s="5"/>
      <c r="B64" s="5"/>
      <c r="C64" s="5"/>
      <c r="D64" s="11"/>
      <c r="E64" s="11"/>
      <c r="F64" s="7"/>
      <c r="G64" s="7"/>
      <c r="H64" s="8"/>
      <c r="I64" s="14"/>
      <c r="J64" s="8" t="str">
        <f t="shared" si="0"/>
        <v>借</v>
      </c>
      <c r="K64" s="41">
        <f t="shared" si="3"/>
        <v>137276.51</v>
      </c>
      <c r="L64" s="9"/>
    </row>
    <row r="65" spans="1:12" ht="20.100000000000001" customHeight="1" x14ac:dyDescent="0.15">
      <c r="A65" s="10"/>
      <c r="B65" s="5"/>
      <c r="C65" s="5"/>
      <c r="D65" s="7"/>
      <c r="E65" s="7"/>
      <c r="F65" s="7"/>
      <c r="G65" s="7"/>
      <c r="H65" s="8"/>
      <c r="I65" s="14"/>
      <c r="J65" s="8" t="str">
        <f t="shared" si="0"/>
        <v>借</v>
      </c>
      <c r="K65" s="41">
        <f t="shared" si="3"/>
        <v>137276.51</v>
      </c>
      <c r="L65" s="9"/>
    </row>
    <row r="66" spans="1:12" ht="20.100000000000001" customHeight="1" x14ac:dyDescent="0.15">
      <c r="A66" s="10"/>
      <c r="B66" s="5"/>
      <c r="C66" s="5"/>
      <c r="D66" s="10"/>
      <c r="F66" s="10"/>
      <c r="G66" s="7"/>
      <c r="H66" s="8"/>
      <c r="I66" s="14"/>
      <c r="J66" s="8" t="str">
        <f t="shared" si="0"/>
        <v>借</v>
      </c>
      <c r="K66" s="41">
        <f t="shared" si="3"/>
        <v>137276.51</v>
      </c>
      <c r="L66" s="9"/>
    </row>
    <row r="67" spans="1:12" ht="20.100000000000001" customHeight="1" x14ac:dyDescent="0.15">
      <c r="A67" s="5"/>
      <c r="B67" s="5"/>
      <c r="C67" s="5"/>
      <c r="D67" s="10"/>
      <c r="E67" s="7"/>
      <c r="F67" s="7"/>
      <c r="G67" s="7"/>
      <c r="H67" s="8"/>
      <c r="I67" s="15"/>
      <c r="J67" s="8" t="str">
        <f t="shared" si="0"/>
        <v>借</v>
      </c>
      <c r="K67" s="41">
        <f t="shared" si="3"/>
        <v>137276.51</v>
      </c>
      <c r="L67" s="9"/>
    </row>
    <row r="68" spans="1:12" ht="20.100000000000001" customHeight="1" x14ac:dyDescent="0.15">
      <c r="A68" s="5"/>
      <c r="B68" s="5"/>
      <c r="C68" s="5"/>
      <c r="D68" s="10"/>
      <c r="E68" s="10"/>
      <c r="F68" s="10"/>
      <c r="G68" s="7"/>
      <c r="H68" s="8"/>
      <c r="I68" s="15"/>
      <c r="J68" s="8" t="str">
        <f t="shared" si="0"/>
        <v>借</v>
      </c>
      <c r="K68" s="41">
        <f t="shared" si="3"/>
        <v>137276.51</v>
      </c>
      <c r="L68" s="9"/>
    </row>
    <row r="69" spans="1:12" ht="20.100000000000001" customHeight="1" x14ac:dyDescent="0.15">
      <c r="A69" s="5"/>
      <c r="B69" s="5"/>
      <c r="C69" s="5"/>
      <c r="D69" s="10"/>
      <c r="E69" s="11"/>
      <c r="F69" s="10"/>
      <c r="G69" s="7"/>
      <c r="H69" s="8"/>
      <c r="I69" s="15"/>
      <c r="J69" s="8" t="str">
        <f t="shared" ref="J69:J132" si="4">IF((K68+H69-I69)&gt;0,"借","贷")</f>
        <v>借</v>
      </c>
      <c r="K69" s="41">
        <f t="shared" si="3"/>
        <v>137276.51</v>
      </c>
      <c r="L69" s="9"/>
    </row>
    <row r="70" spans="1:12" ht="20.100000000000001" customHeight="1" x14ac:dyDescent="0.15">
      <c r="A70" s="5"/>
      <c r="B70" s="5"/>
      <c r="C70" s="5"/>
      <c r="D70" s="10"/>
      <c r="E70" s="11"/>
      <c r="F70" s="10"/>
      <c r="G70" s="7"/>
      <c r="H70" s="8"/>
      <c r="I70" s="14"/>
      <c r="J70" s="8" t="str">
        <f t="shared" si="4"/>
        <v>借</v>
      </c>
      <c r="K70" s="41">
        <f t="shared" si="3"/>
        <v>137276.51</v>
      </c>
      <c r="L70" s="9"/>
    </row>
    <row r="71" spans="1:12" ht="20.100000000000001" customHeight="1" x14ac:dyDescent="0.15">
      <c r="A71" s="5"/>
      <c r="B71" s="5"/>
      <c r="C71" s="5"/>
      <c r="D71" s="10"/>
      <c r="E71" s="7"/>
      <c r="F71" s="10"/>
      <c r="G71" s="7"/>
      <c r="H71" s="8"/>
      <c r="I71" s="14"/>
      <c r="J71" s="8" t="str">
        <f t="shared" si="4"/>
        <v>借</v>
      </c>
      <c r="K71" s="41">
        <f t="shared" si="3"/>
        <v>137276.51</v>
      </c>
      <c r="L71" s="9"/>
    </row>
    <row r="72" spans="1:12" ht="20.100000000000001" customHeight="1" x14ac:dyDescent="0.15">
      <c r="A72" s="5"/>
      <c r="B72" s="5"/>
      <c r="C72" s="5"/>
      <c r="D72" s="10"/>
      <c r="E72" s="7"/>
      <c r="F72" s="7"/>
      <c r="G72" s="7"/>
      <c r="H72" s="8"/>
      <c r="I72" s="14"/>
      <c r="J72" s="8" t="str">
        <f t="shared" si="4"/>
        <v>借</v>
      </c>
      <c r="K72" s="41">
        <f t="shared" si="3"/>
        <v>137276.51</v>
      </c>
      <c r="L72" s="9"/>
    </row>
    <row r="73" spans="1:12" ht="20.100000000000001" customHeight="1" x14ac:dyDescent="0.15">
      <c r="A73" s="10"/>
      <c r="B73" s="5"/>
      <c r="C73" s="10"/>
      <c r="D73" s="10"/>
      <c r="E73" s="7"/>
      <c r="F73" s="10"/>
      <c r="G73" s="7"/>
      <c r="H73" s="8"/>
      <c r="I73" s="14"/>
      <c r="J73" s="8" t="str">
        <f t="shared" si="4"/>
        <v>借</v>
      </c>
      <c r="K73" s="41">
        <f t="shared" si="3"/>
        <v>137276.51</v>
      </c>
      <c r="L73" s="9"/>
    </row>
    <row r="74" spans="1:12" ht="20.100000000000001" customHeight="1" x14ac:dyDescent="0.15">
      <c r="A74" s="10"/>
      <c r="B74" s="5"/>
      <c r="C74" s="10"/>
      <c r="D74" s="7"/>
      <c r="E74" s="7"/>
      <c r="F74" s="7"/>
      <c r="G74" s="7"/>
      <c r="H74" s="8"/>
      <c r="I74" s="14"/>
      <c r="J74" s="8" t="str">
        <f t="shared" si="4"/>
        <v>借</v>
      </c>
      <c r="K74" s="41">
        <f t="shared" si="3"/>
        <v>137276.51</v>
      </c>
      <c r="L74" s="9"/>
    </row>
    <row r="75" spans="1:12" ht="20.100000000000001" customHeight="1" x14ac:dyDescent="0.15">
      <c r="A75" s="5"/>
      <c r="B75" s="5"/>
      <c r="C75" s="10"/>
      <c r="D75" s="7"/>
      <c r="E75" s="7"/>
      <c r="F75" s="7"/>
      <c r="G75" s="7"/>
      <c r="H75" s="8"/>
      <c r="I75" s="15"/>
      <c r="J75" s="8" t="str">
        <f t="shared" si="4"/>
        <v>借</v>
      </c>
      <c r="K75" s="41">
        <f t="shared" ref="K75:K106" si="5">K74+H75-I75</f>
        <v>137276.51</v>
      </c>
      <c r="L75" s="9"/>
    </row>
    <row r="76" spans="1:12" ht="20.100000000000001" customHeight="1" x14ac:dyDescent="0.15">
      <c r="A76" s="5"/>
      <c r="B76" s="5"/>
      <c r="C76" s="10"/>
      <c r="D76" s="11"/>
      <c r="E76" s="11"/>
      <c r="F76" s="7"/>
      <c r="G76" s="7"/>
      <c r="H76" s="8"/>
      <c r="I76" s="15"/>
      <c r="J76" s="8" t="str">
        <f t="shared" si="4"/>
        <v>借</v>
      </c>
      <c r="K76" s="41">
        <f t="shared" si="5"/>
        <v>137276.51</v>
      </c>
      <c r="L76" s="9"/>
    </row>
    <row r="77" spans="1:12" ht="20.100000000000001" customHeight="1" x14ac:dyDescent="0.15">
      <c r="A77" s="5"/>
      <c r="B77" s="5"/>
      <c r="C77" s="10"/>
      <c r="D77" s="7"/>
      <c r="E77" s="7"/>
      <c r="F77" s="7"/>
      <c r="G77" s="7"/>
      <c r="H77" s="8"/>
      <c r="I77" s="15"/>
      <c r="J77" s="8" t="str">
        <f t="shared" si="4"/>
        <v>借</v>
      </c>
      <c r="K77" s="41">
        <f t="shared" si="5"/>
        <v>137276.51</v>
      </c>
      <c r="L77" s="9"/>
    </row>
    <row r="78" spans="1:12" ht="20.100000000000001" customHeight="1" x14ac:dyDescent="0.15">
      <c r="A78" s="5"/>
      <c r="B78" s="5"/>
      <c r="C78" s="10"/>
      <c r="D78" s="10"/>
      <c r="F78" s="10"/>
      <c r="G78" s="7"/>
      <c r="H78" s="8"/>
      <c r="I78" s="15"/>
      <c r="J78" s="8" t="str">
        <f t="shared" si="4"/>
        <v>借</v>
      </c>
      <c r="K78" s="41">
        <f t="shared" si="5"/>
        <v>137276.51</v>
      </c>
      <c r="L78" s="9"/>
    </row>
    <row r="79" spans="1:12" ht="20.100000000000001" customHeight="1" x14ac:dyDescent="0.15">
      <c r="A79" s="5"/>
      <c r="B79" s="5"/>
      <c r="C79" s="10"/>
      <c r="D79" s="10"/>
      <c r="E79" s="7"/>
      <c r="F79" s="7"/>
      <c r="G79" s="7"/>
      <c r="H79" s="8"/>
      <c r="I79" s="14"/>
      <c r="J79" s="8" t="str">
        <f t="shared" si="4"/>
        <v>借</v>
      </c>
      <c r="K79" s="41">
        <f t="shared" si="5"/>
        <v>137276.51</v>
      </c>
      <c r="L79" s="9"/>
    </row>
    <row r="80" spans="1:12" ht="20.100000000000001" customHeight="1" x14ac:dyDescent="0.15">
      <c r="A80" s="5"/>
      <c r="B80" s="5"/>
      <c r="C80" s="10"/>
      <c r="D80" s="10"/>
      <c r="E80" s="11"/>
      <c r="F80" s="10"/>
      <c r="G80" s="7"/>
      <c r="H80" s="8"/>
      <c r="I80" s="14"/>
      <c r="J80" s="8" t="str">
        <f t="shared" si="4"/>
        <v>借</v>
      </c>
      <c r="K80" s="41">
        <f t="shared" si="5"/>
        <v>137276.51</v>
      </c>
      <c r="L80" s="9"/>
    </row>
    <row r="81" spans="1:12" ht="20.100000000000001" customHeight="1" x14ac:dyDescent="0.15">
      <c r="A81" s="5"/>
      <c r="B81" s="5"/>
      <c r="C81" s="10"/>
      <c r="D81" s="10"/>
      <c r="E81" s="11"/>
      <c r="F81" s="7"/>
      <c r="G81" s="7"/>
      <c r="H81" s="8"/>
      <c r="I81" s="14"/>
      <c r="J81" s="8" t="str">
        <f t="shared" si="4"/>
        <v>借</v>
      </c>
      <c r="K81" s="41">
        <f t="shared" si="5"/>
        <v>137276.51</v>
      </c>
      <c r="L81" s="9"/>
    </row>
    <row r="82" spans="1:12" ht="20.100000000000001" customHeight="1" x14ac:dyDescent="0.15">
      <c r="A82" s="10"/>
      <c r="B82" s="5"/>
      <c r="C82" s="10"/>
      <c r="D82" s="10"/>
      <c r="E82" s="11"/>
      <c r="F82" s="7"/>
      <c r="G82" s="7"/>
      <c r="H82" s="8"/>
      <c r="I82" s="14"/>
      <c r="J82" s="8" t="str">
        <f t="shared" si="4"/>
        <v>借</v>
      </c>
      <c r="K82" s="41">
        <f t="shared" si="5"/>
        <v>137276.51</v>
      </c>
      <c r="L82" s="9"/>
    </row>
    <row r="83" spans="1:12" ht="20.100000000000001" customHeight="1" x14ac:dyDescent="0.15">
      <c r="A83" s="10"/>
      <c r="B83" s="5"/>
      <c r="C83" s="10"/>
      <c r="D83" s="10"/>
      <c r="E83" s="11"/>
      <c r="F83" s="7"/>
      <c r="G83" s="7"/>
      <c r="H83" s="8"/>
      <c r="I83" s="14"/>
      <c r="J83" s="8" t="str">
        <f t="shared" si="4"/>
        <v>借</v>
      </c>
      <c r="K83" s="41">
        <f t="shared" si="5"/>
        <v>137276.51</v>
      </c>
      <c r="L83" s="9"/>
    </row>
    <row r="84" spans="1:12" ht="20.100000000000001" customHeight="1" x14ac:dyDescent="0.15">
      <c r="A84" s="5"/>
      <c r="B84" s="5"/>
      <c r="C84" s="10"/>
      <c r="D84" s="10"/>
      <c r="E84" s="11"/>
      <c r="F84" s="10"/>
      <c r="G84" s="7"/>
      <c r="H84" s="8"/>
      <c r="I84" s="14"/>
      <c r="J84" s="8" t="str">
        <f t="shared" si="4"/>
        <v>借</v>
      </c>
      <c r="K84" s="41">
        <f t="shared" si="5"/>
        <v>137276.51</v>
      </c>
      <c r="L84" s="9"/>
    </row>
    <row r="85" spans="1:12" ht="20.100000000000001" customHeight="1" x14ac:dyDescent="0.15">
      <c r="A85" s="5"/>
      <c r="B85" s="5"/>
      <c r="C85" s="5"/>
      <c r="D85" s="7"/>
      <c r="E85" s="10"/>
      <c r="F85" s="7"/>
      <c r="G85" s="7"/>
      <c r="H85" s="8"/>
      <c r="I85" s="14"/>
      <c r="J85" s="8" t="str">
        <f t="shared" si="4"/>
        <v>借</v>
      </c>
      <c r="K85" s="41">
        <f t="shared" si="5"/>
        <v>137276.51</v>
      </c>
      <c r="L85" s="9"/>
    </row>
    <row r="86" spans="1:12" ht="20.100000000000001" customHeight="1" x14ac:dyDescent="0.15">
      <c r="A86" s="5"/>
      <c r="B86" s="5"/>
      <c r="C86" s="5"/>
      <c r="D86" s="10"/>
      <c r="E86" s="11"/>
      <c r="F86" s="7"/>
      <c r="G86" s="7"/>
      <c r="H86" s="8"/>
      <c r="I86" s="14"/>
      <c r="J86" s="8" t="str">
        <f t="shared" si="4"/>
        <v>借</v>
      </c>
      <c r="K86" s="41">
        <f t="shared" si="5"/>
        <v>137276.51</v>
      </c>
      <c r="L86" s="9"/>
    </row>
    <row r="87" spans="1:12" ht="20.100000000000001" customHeight="1" x14ac:dyDescent="0.15">
      <c r="A87" s="5"/>
      <c r="B87" s="5"/>
      <c r="C87" s="5"/>
      <c r="D87" s="10"/>
      <c r="E87" s="11"/>
      <c r="F87" s="7"/>
      <c r="G87" s="7"/>
      <c r="H87" s="8"/>
      <c r="I87" s="14"/>
      <c r="J87" s="8" t="str">
        <f t="shared" si="4"/>
        <v>借</v>
      </c>
      <c r="K87" s="41">
        <f t="shared" si="5"/>
        <v>137276.51</v>
      </c>
      <c r="L87" s="9"/>
    </row>
    <row r="88" spans="1:12" ht="20.100000000000001" customHeight="1" x14ac:dyDescent="0.15">
      <c r="A88" s="5"/>
      <c r="B88" s="5"/>
      <c r="C88" s="5"/>
      <c r="D88" s="10"/>
      <c r="E88" s="11"/>
      <c r="F88" s="7"/>
      <c r="G88" s="7"/>
      <c r="H88" s="8"/>
      <c r="I88" s="14"/>
      <c r="J88" s="8" t="str">
        <f t="shared" si="4"/>
        <v>借</v>
      </c>
      <c r="K88" s="41">
        <f t="shared" si="5"/>
        <v>137276.51</v>
      </c>
      <c r="L88" s="9"/>
    </row>
    <row r="89" spans="1:12" ht="20.100000000000001" customHeight="1" x14ac:dyDescent="0.15">
      <c r="A89" s="5"/>
      <c r="B89" s="5"/>
      <c r="C89" s="5"/>
      <c r="D89" s="10"/>
      <c r="E89" s="7"/>
      <c r="F89" s="10"/>
      <c r="G89" s="7"/>
      <c r="H89" s="8"/>
      <c r="I89" s="14"/>
      <c r="J89" s="8" t="str">
        <f t="shared" si="4"/>
        <v>借</v>
      </c>
      <c r="K89" s="41">
        <f t="shared" si="5"/>
        <v>137276.51</v>
      </c>
      <c r="L89" s="9"/>
    </row>
    <row r="90" spans="1:12" ht="20.100000000000001" customHeight="1" x14ac:dyDescent="0.15">
      <c r="A90" s="10"/>
      <c r="B90" s="5"/>
      <c r="C90" s="5"/>
      <c r="D90" s="10"/>
      <c r="E90" s="8"/>
      <c r="F90" s="10"/>
      <c r="G90" s="7"/>
      <c r="H90" s="8"/>
      <c r="I90" s="39"/>
      <c r="J90" s="8" t="str">
        <f t="shared" si="4"/>
        <v>借</v>
      </c>
      <c r="K90" s="41">
        <f t="shared" si="5"/>
        <v>137276.51</v>
      </c>
      <c r="L90" s="9"/>
    </row>
    <row r="91" spans="1:12" ht="20.100000000000001" customHeight="1" x14ac:dyDescent="0.15">
      <c r="A91" s="10"/>
      <c r="B91" s="5"/>
      <c r="C91" s="5"/>
      <c r="D91" s="10"/>
      <c r="E91" s="7"/>
      <c r="F91" s="10"/>
      <c r="G91" s="7"/>
      <c r="H91" s="8"/>
      <c r="I91" s="39"/>
      <c r="J91" s="8" t="str">
        <f t="shared" si="4"/>
        <v>借</v>
      </c>
      <c r="K91" s="41">
        <f t="shared" si="5"/>
        <v>137276.51</v>
      </c>
      <c r="L91" s="9"/>
    </row>
    <row r="92" spans="1:12" ht="20.100000000000001" customHeight="1" x14ac:dyDescent="0.15">
      <c r="A92" s="10"/>
      <c r="B92" s="5"/>
      <c r="C92" s="5"/>
      <c r="D92" s="7"/>
      <c r="E92" s="7"/>
      <c r="F92" s="7"/>
      <c r="G92" s="7"/>
      <c r="H92" s="8"/>
      <c r="I92" s="39"/>
      <c r="J92" s="8" t="str">
        <f t="shared" si="4"/>
        <v>借</v>
      </c>
      <c r="K92" s="41">
        <f t="shared" si="5"/>
        <v>137276.51</v>
      </c>
      <c r="L92" s="9"/>
    </row>
    <row r="93" spans="1:12" ht="20.100000000000001" customHeight="1" x14ac:dyDescent="0.15">
      <c r="A93" s="10"/>
      <c r="B93" s="5"/>
      <c r="C93" s="5"/>
      <c r="D93" s="7"/>
      <c r="E93" s="7"/>
      <c r="F93" s="7"/>
      <c r="G93" s="7"/>
      <c r="H93" s="8"/>
      <c r="I93" s="39"/>
      <c r="J93" s="8" t="str">
        <f t="shared" si="4"/>
        <v>借</v>
      </c>
      <c r="K93" s="41">
        <f t="shared" si="5"/>
        <v>137276.51</v>
      </c>
      <c r="L93" s="9"/>
    </row>
    <row r="94" spans="1:12" ht="20.100000000000001" customHeight="1" x14ac:dyDescent="0.15">
      <c r="A94" s="5"/>
      <c r="B94" s="5"/>
      <c r="C94" s="5"/>
      <c r="D94" s="10"/>
      <c r="E94" s="7"/>
      <c r="F94" s="7"/>
      <c r="G94" s="7"/>
      <c r="H94" s="8"/>
      <c r="I94" s="39"/>
      <c r="J94" s="8" t="str">
        <f t="shared" si="4"/>
        <v>借</v>
      </c>
      <c r="K94" s="41">
        <f t="shared" si="5"/>
        <v>137276.51</v>
      </c>
      <c r="L94" s="9"/>
    </row>
    <row r="95" spans="1:12" ht="20.100000000000001" customHeight="1" x14ac:dyDescent="0.15">
      <c r="A95" s="5"/>
      <c r="B95" s="5"/>
      <c r="C95" s="5"/>
      <c r="D95" s="7"/>
      <c r="E95" s="7"/>
      <c r="F95" s="7"/>
      <c r="G95" s="7"/>
      <c r="H95" s="8"/>
      <c r="I95" s="15"/>
      <c r="J95" s="8" t="str">
        <f t="shared" si="4"/>
        <v>借</v>
      </c>
      <c r="K95" s="41">
        <f t="shared" si="5"/>
        <v>137276.51</v>
      </c>
      <c r="L95" s="9"/>
    </row>
    <row r="96" spans="1:12" ht="20.100000000000001" customHeight="1" x14ac:dyDescent="0.15">
      <c r="A96" s="5"/>
      <c r="B96" s="5"/>
      <c r="C96" s="5"/>
      <c r="D96" s="10"/>
      <c r="E96" s="7"/>
      <c r="F96" s="10"/>
      <c r="G96" s="7"/>
      <c r="H96" s="8"/>
      <c r="I96" s="39"/>
      <c r="J96" s="8" t="str">
        <f t="shared" si="4"/>
        <v>借</v>
      </c>
      <c r="K96" s="41">
        <f t="shared" si="5"/>
        <v>137276.51</v>
      </c>
      <c r="L96" s="9"/>
    </row>
    <row r="97" spans="1:13" ht="20.100000000000001" customHeight="1" x14ac:dyDescent="0.15">
      <c r="A97" s="5"/>
      <c r="B97" s="5"/>
      <c r="C97" s="5"/>
      <c r="D97" s="10"/>
      <c r="E97" s="11"/>
      <c r="F97" s="7"/>
      <c r="G97" s="7"/>
      <c r="H97" s="8"/>
      <c r="I97" s="14"/>
      <c r="J97" s="8" t="str">
        <f t="shared" si="4"/>
        <v>借</v>
      </c>
      <c r="K97" s="41">
        <f t="shared" si="5"/>
        <v>137276.51</v>
      </c>
      <c r="L97" s="9"/>
    </row>
    <row r="98" spans="1:13" ht="20.100000000000001" customHeight="1" x14ac:dyDescent="0.15">
      <c r="A98" s="5"/>
      <c r="B98" s="5"/>
      <c r="C98" s="5"/>
      <c r="D98" s="10"/>
      <c r="E98" s="11"/>
      <c r="F98" s="7"/>
      <c r="G98" s="7"/>
      <c r="H98" s="8"/>
      <c r="I98" s="14"/>
      <c r="J98" s="8" t="str">
        <f t="shared" si="4"/>
        <v>借</v>
      </c>
      <c r="K98" s="41">
        <f t="shared" si="5"/>
        <v>137276.51</v>
      </c>
      <c r="L98" s="9"/>
    </row>
    <row r="99" spans="1:13" ht="20.100000000000001" customHeight="1" x14ac:dyDescent="0.15">
      <c r="A99" s="5"/>
      <c r="B99" s="5"/>
      <c r="C99" s="5"/>
      <c r="D99" s="10"/>
      <c r="E99" s="11"/>
      <c r="F99" s="7"/>
      <c r="G99" s="7"/>
      <c r="H99" s="8"/>
      <c r="I99" s="14"/>
      <c r="J99" s="8" t="str">
        <f t="shared" si="4"/>
        <v>借</v>
      </c>
      <c r="K99" s="41">
        <f t="shared" si="5"/>
        <v>137276.51</v>
      </c>
      <c r="L99" s="9"/>
    </row>
    <row r="100" spans="1:13" ht="20.100000000000001" customHeight="1" x14ac:dyDescent="0.15">
      <c r="A100" s="5"/>
      <c r="B100" s="5"/>
      <c r="C100" s="5"/>
      <c r="D100" s="10"/>
      <c r="E100" s="11"/>
      <c r="F100" s="7"/>
      <c r="G100" s="7"/>
      <c r="H100" s="8"/>
      <c r="I100" s="14"/>
      <c r="J100" s="8" t="str">
        <f t="shared" si="4"/>
        <v>借</v>
      </c>
      <c r="K100" s="41">
        <f t="shared" si="5"/>
        <v>137276.51</v>
      </c>
      <c r="L100" s="9"/>
    </row>
    <row r="101" spans="1:13" ht="20.100000000000001" customHeight="1" x14ac:dyDescent="0.15">
      <c r="A101" s="5"/>
      <c r="B101" s="5"/>
      <c r="C101" s="5"/>
      <c r="D101" s="10"/>
      <c r="E101" s="11"/>
      <c r="F101" s="7"/>
      <c r="G101" s="7"/>
      <c r="H101" s="8"/>
      <c r="I101" s="14"/>
      <c r="J101" s="8" t="str">
        <f t="shared" si="4"/>
        <v>借</v>
      </c>
      <c r="K101" s="41">
        <f t="shared" si="5"/>
        <v>137276.51</v>
      </c>
      <c r="L101" s="9"/>
    </row>
    <row r="102" spans="1:13" ht="20.100000000000001" customHeight="1" x14ac:dyDescent="0.15">
      <c r="A102" s="5"/>
      <c r="B102" s="5"/>
      <c r="C102" s="5"/>
      <c r="D102" s="10"/>
      <c r="E102" s="11"/>
      <c r="F102" s="10"/>
      <c r="G102" s="7"/>
      <c r="H102" s="8"/>
      <c r="I102" s="14"/>
      <c r="J102" s="8" t="str">
        <f t="shared" si="4"/>
        <v>借</v>
      </c>
      <c r="K102" s="41">
        <f t="shared" si="5"/>
        <v>137276.51</v>
      </c>
      <c r="L102" s="9"/>
    </row>
    <row r="103" spans="1:13" ht="20.100000000000001" customHeight="1" x14ac:dyDescent="0.15">
      <c r="A103" s="10"/>
      <c r="B103" s="5"/>
      <c r="C103" s="10"/>
      <c r="D103" s="7"/>
      <c r="E103" s="7"/>
      <c r="F103" s="10"/>
      <c r="G103" s="7"/>
      <c r="H103" s="8"/>
      <c r="I103" s="14"/>
      <c r="J103" s="8" t="str">
        <f t="shared" si="4"/>
        <v>借</v>
      </c>
      <c r="K103" s="41">
        <f t="shared" si="5"/>
        <v>137276.51</v>
      </c>
      <c r="L103" s="9"/>
      <c r="M103" s="99"/>
    </row>
    <row r="104" spans="1:13" ht="20.100000000000001" customHeight="1" x14ac:dyDescent="0.15">
      <c r="A104" s="10"/>
      <c r="B104" s="5"/>
      <c r="C104" s="10"/>
      <c r="D104" s="7"/>
      <c r="E104" s="10"/>
      <c r="F104" s="7"/>
      <c r="G104" s="7"/>
      <c r="H104" s="8"/>
      <c r="I104" s="14"/>
      <c r="J104" s="8" t="str">
        <f t="shared" si="4"/>
        <v>借</v>
      </c>
      <c r="K104" s="41">
        <f t="shared" si="5"/>
        <v>137276.51</v>
      </c>
      <c r="L104" s="9"/>
      <c r="M104" s="99"/>
    </row>
    <row r="105" spans="1:13" ht="20.100000000000001" customHeight="1" x14ac:dyDescent="0.15">
      <c r="A105" s="5"/>
      <c r="B105" s="5"/>
      <c r="C105" s="10"/>
      <c r="D105" s="10"/>
      <c r="E105" s="11"/>
      <c r="F105" s="10"/>
      <c r="G105" s="7"/>
      <c r="H105" s="8"/>
      <c r="I105" s="14"/>
      <c r="J105" s="8" t="str">
        <f t="shared" si="4"/>
        <v>借</v>
      </c>
      <c r="K105" s="41">
        <f t="shared" si="5"/>
        <v>137276.51</v>
      </c>
      <c r="L105" s="9"/>
      <c r="M105" s="99"/>
    </row>
    <row r="106" spans="1:13" ht="20.100000000000001" customHeight="1" x14ac:dyDescent="0.15">
      <c r="A106" s="5"/>
      <c r="B106" s="5"/>
      <c r="C106" s="5"/>
      <c r="D106" s="10"/>
      <c r="E106" s="11"/>
      <c r="F106" s="7"/>
      <c r="G106" s="7"/>
      <c r="H106" s="8"/>
      <c r="I106" s="14"/>
      <c r="J106" s="8" t="str">
        <f t="shared" si="4"/>
        <v>借</v>
      </c>
      <c r="K106" s="41">
        <f t="shared" si="5"/>
        <v>137276.51</v>
      </c>
      <c r="L106" s="9"/>
    </row>
    <row r="107" spans="1:13" ht="20.100000000000001" customHeight="1" x14ac:dyDescent="0.15">
      <c r="A107" s="5"/>
      <c r="B107" s="5"/>
      <c r="C107" s="5"/>
      <c r="D107" s="10"/>
      <c r="E107" s="7"/>
      <c r="F107" s="10"/>
      <c r="G107" s="7"/>
      <c r="H107" s="8"/>
      <c r="I107" s="14"/>
      <c r="J107" s="8" t="str">
        <f t="shared" si="4"/>
        <v>借</v>
      </c>
      <c r="K107" s="41">
        <f t="shared" ref="K107:K148" si="6">K106+H107-I107</f>
        <v>137276.51</v>
      </c>
      <c r="L107" s="9"/>
    </row>
    <row r="108" spans="1:13" ht="20.100000000000001" customHeight="1" x14ac:dyDescent="0.15">
      <c r="A108" s="5"/>
      <c r="B108" s="5"/>
      <c r="C108" s="5"/>
      <c r="D108" s="10"/>
      <c r="E108" s="7"/>
      <c r="F108" s="10"/>
      <c r="G108" s="7"/>
      <c r="H108" s="8"/>
      <c r="I108" s="14"/>
      <c r="J108" s="8" t="str">
        <f t="shared" si="4"/>
        <v>借</v>
      </c>
      <c r="K108" s="41">
        <f t="shared" si="6"/>
        <v>137276.51</v>
      </c>
      <c r="L108" s="9"/>
    </row>
    <row r="109" spans="1:13" ht="20.100000000000001" customHeight="1" x14ac:dyDescent="0.15">
      <c r="A109" s="5"/>
      <c r="B109" s="5"/>
      <c r="C109" s="5"/>
      <c r="D109" s="10"/>
      <c r="E109" s="11"/>
      <c r="F109" s="10"/>
      <c r="G109" s="7"/>
      <c r="H109" s="8"/>
      <c r="I109" s="14"/>
      <c r="J109" s="8" t="str">
        <f t="shared" si="4"/>
        <v>借</v>
      </c>
      <c r="K109" s="41">
        <f t="shared" si="6"/>
        <v>137276.51</v>
      </c>
      <c r="L109" s="9"/>
    </row>
    <row r="110" spans="1:13" ht="20.100000000000001" customHeight="1" x14ac:dyDescent="0.15">
      <c r="A110" s="5"/>
      <c r="B110" s="5"/>
      <c r="C110" s="5"/>
      <c r="D110" s="10"/>
      <c r="E110" s="11"/>
      <c r="F110" s="10"/>
      <c r="G110" s="7"/>
      <c r="H110" s="8"/>
      <c r="I110" s="14"/>
      <c r="J110" s="8" t="str">
        <f t="shared" si="4"/>
        <v>借</v>
      </c>
      <c r="K110" s="41">
        <f t="shared" si="6"/>
        <v>137276.51</v>
      </c>
      <c r="L110" s="9"/>
    </row>
    <row r="111" spans="1:13" ht="20.100000000000001" customHeight="1" x14ac:dyDescent="0.15">
      <c r="A111" s="10"/>
      <c r="B111" s="5"/>
      <c r="C111" s="5"/>
      <c r="D111" s="10"/>
      <c r="E111" s="11"/>
      <c r="F111" s="7"/>
      <c r="G111" s="7"/>
      <c r="H111" s="8"/>
      <c r="I111" s="14"/>
      <c r="J111" s="8" t="str">
        <f t="shared" si="4"/>
        <v>借</v>
      </c>
      <c r="K111" s="41">
        <f t="shared" si="6"/>
        <v>137276.51</v>
      </c>
      <c r="L111" s="9"/>
    </row>
    <row r="112" spans="1:13" ht="20.100000000000001" customHeight="1" x14ac:dyDescent="0.15">
      <c r="A112" s="10"/>
      <c r="B112" s="5"/>
      <c r="C112" s="5"/>
      <c r="D112" s="10"/>
      <c r="E112" s="11"/>
      <c r="F112" s="7"/>
      <c r="G112" s="7"/>
      <c r="H112" s="8"/>
      <c r="I112" s="14"/>
      <c r="J112" s="8" t="str">
        <f t="shared" si="4"/>
        <v>借</v>
      </c>
      <c r="K112" s="41">
        <f t="shared" si="6"/>
        <v>137276.51</v>
      </c>
      <c r="L112" s="9"/>
    </row>
    <row r="113" spans="1:13" ht="20.100000000000001" customHeight="1" x14ac:dyDescent="0.15">
      <c r="A113" s="5"/>
      <c r="B113" s="5"/>
      <c r="C113" s="5"/>
      <c r="D113" s="10"/>
      <c r="E113" s="11"/>
      <c r="F113" s="7"/>
      <c r="G113" s="7"/>
      <c r="H113" s="8"/>
      <c r="I113" s="14"/>
      <c r="J113" s="8" t="str">
        <f t="shared" si="4"/>
        <v>借</v>
      </c>
      <c r="K113" s="41">
        <f t="shared" si="6"/>
        <v>137276.51</v>
      </c>
      <c r="L113" s="9"/>
    </row>
    <row r="114" spans="1:13" ht="20.100000000000001" customHeight="1" x14ac:dyDescent="0.15">
      <c r="A114" s="5"/>
      <c r="B114" s="5"/>
      <c r="C114" s="5"/>
      <c r="D114" s="10"/>
      <c r="E114" s="11"/>
      <c r="F114" s="7"/>
      <c r="G114" s="7"/>
      <c r="H114" s="8"/>
      <c r="I114" s="14"/>
      <c r="J114" s="8" t="str">
        <f t="shared" si="4"/>
        <v>借</v>
      </c>
      <c r="K114" s="41">
        <f t="shared" si="6"/>
        <v>137276.51</v>
      </c>
      <c r="L114" s="9"/>
    </row>
    <row r="115" spans="1:13" ht="20.100000000000001" customHeight="1" x14ac:dyDescent="0.15">
      <c r="A115" s="5"/>
      <c r="B115" s="5"/>
      <c r="C115" s="5"/>
      <c r="D115" s="10"/>
      <c r="E115" s="11"/>
      <c r="F115" s="10"/>
      <c r="G115" s="7"/>
      <c r="H115" s="8"/>
      <c r="I115" s="14"/>
      <c r="J115" s="8" t="str">
        <f t="shared" si="4"/>
        <v>借</v>
      </c>
      <c r="K115" s="41">
        <f t="shared" si="6"/>
        <v>137276.51</v>
      </c>
      <c r="L115" s="9"/>
    </row>
    <row r="116" spans="1:13" ht="20.100000000000001" customHeight="1" x14ac:dyDescent="0.15">
      <c r="A116" s="5"/>
      <c r="B116" s="5"/>
      <c r="C116" s="10"/>
      <c r="D116" s="7"/>
      <c r="E116" s="7"/>
      <c r="F116" s="10"/>
      <c r="G116" s="7"/>
      <c r="H116" s="8"/>
      <c r="I116" s="14"/>
      <c r="J116" s="8" t="str">
        <f t="shared" si="4"/>
        <v>借</v>
      </c>
      <c r="K116" s="41">
        <f t="shared" si="6"/>
        <v>137276.51</v>
      </c>
      <c r="L116" s="9"/>
    </row>
    <row r="117" spans="1:13" ht="20.100000000000001" customHeight="1" x14ac:dyDescent="0.15">
      <c r="A117" s="5"/>
      <c r="B117" s="5"/>
      <c r="C117" s="10"/>
      <c r="D117" s="7"/>
      <c r="E117" s="10"/>
      <c r="F117" s="7"/>
      <c r="G117" s="7"/>
      <c r="H117" s="8"/>
      <c r="I117" s="14"/>
      <c r="J117" s="8" t="str">
        <f t="shared" si="4"/>
        <v>借</v>
      </c>
      <c r="K117" s="41">
        <f t="shared" si="6"/>
        <v>137276.51</v>
      </c>
      <c r="L117" s="9"/>
    </row>
    <row r="118" spans="1:13" ht="20.100000000000001" customHeight="1" x14ac:dyDescent="0.15">
      <c r="A118" s="5"/>
      <c r="B118" s="5"/>
      <c r="C118" s="10"/>
      <c r="D118" s="10"/>
      <c r="E118" s="11"/>
      <c r="F118" s="10"/>
      <c r="G118" s="7"/>
      <c r="H118" s="8"/>
      <c r="I118" s="14"/>
      <c r="J118" s="8" t="str">
        <f t="shared" si="4"/>
        <v>借</v>
      </c>
      <c r="K118" s="41">
        <f t="shared" si="6"/>
        <v>137276.51</v>
      </c>
      <c r="L118" s="9"/>
    </row>
    <row r="119" spans="1:13" ht="20.100000000000001" customHeight="1" x14ac:dyDescent="0.15">
      <c r="A119" s="10"/>
      <c r="B119" s="5"/>
      <c r="C119" s="5"/>
      <c r="D119" s="10"/>
      <c r="E119" s="11"/>
      <c r="F119" s="7"/>
      <c r="G119" s="7"/>
      <c r="H119" s="8"/>
      <c r="I119" s="14"/>
      <c r="J119" s="8" t="str">
        <f t="shared" si="4"/>
        <v>借</v>
      </c>
      <c r="K119" s="41">
        <f t="shared" si="6"/>
        <v>137276.51</v>
      </c>
      <c r="L119" s="9"/>
    </row>
    <row r="120" spans="1:13" ht="20.100000000000001" customHeight="1" x14ac:dyDescent="0.15">
      <c r="A120" s="10"/>
      <c r="B120" s="5"/>
      <c r="C120" s="5"/>
      <c r="D120" s="10"/>
      <c r="E120" s="11"/>
      <c r="F120" s="7"/>
      <c r="G120" s="7"/>
      <c r="H120" s="8"/>
      <c r="I120" s="14"/>
      <c r="J120" s="8" t="str">
        <f t="shared" si="4"/>
        <v>借</v>
      </c>
      <c r="K120" s="41">
        <f t="shared" si="6"/>
        <v>137276.51</v>
      </c>
      <c r="L120" s="9"/>
    </row>
    <row r="121" spans="1:13" ht="20.100000000000001" customHeight="1" x14ac:dyDescent="0.15">
      <c r="A121" s="10"/>
      <c r="B121" s="5"/>
      <c r="C121" s="5"/>
      <c r="D121" s="10"/>
      <c r="E121" s="7"/>
      <c r="F121" s="10"/>
      <c r="G121" s="7"/>
      <c r="H121" s="8"/>
      <c r="I121" s="14"/>
      <c r="J121" s="8" t="str">
        <f t="shared" si="4"/>
        <v>借</v>
      </c>
      <c r="K121" s="41">
        <f t="shared" si="6"/>
        <v>137276.51</v>
      </c>
      <c r="L121" s="9"/>
      <c r="M121" s="99"/>
    </row>
    <row r="122" spans="1:13" ht="20.100000000000001" customHeight="1" x14ac:dyDescent="0.15">
      <c r="A122" s="10"/>
      <c r="B122" s="5"/>
      <c r="C122" s="5"/>
      <c r="D122" s="10"/>
      <c r="E122" s="11"/>
      <c r="F122" s="10"/>
      <c r="G122" s="7"/>
      <c r="H122" s="8"/>
      <c r="I122" s="14"/>
      <c r="J122" s="8" t="str">
        <f t="shared" si="4"/>
        <v>借</v>
      </c>
      <c r="K122" s="41">
        <f t="shared" si="6"/>
        <v>137276.51</v>
      </c>
      <c r="L122" s="9"/>
      <c r="M122" s="99"/>
    </row>
    <row r="123" spans="1:13" ht="20.100000000000001" customHeight="1" x14ac:dyDescent="0.15">
      <c r="A123" s="5"/>
      <c r="B123" s="5"/>
      <c r="C123" s="5"/>
      <c r="D123" s="10"/>
      <c r="E123" s="11"/>
      <c r="F123" s="10"/>
      <c r="G123" s="10"/>
      <c r="H123" s="8"/>
      <c r="I123" s="14"/>
      <c r="J123" s="8" t="str">
        <f t="shared" si="4"/>
        <v>借</v>
      </c>
      <c r="K123" s="41">
        <f t="shared" si="6"/>
        <v>137276.51</v>
      </c>
      <c r="L123" s="9"/>
    </row>
    <row r="124" spans="1:13" ht="20.100000000000001" customHeight="1" x14ac:dyDescent="0.15">
      <c r="A124" s="5"/>
      <c r="B124" s="5"/>
      <c r="C124" s="5"/>
      <c r="D124" s="10"/>
      <c r="E124" s="11"/>
      <c r="F124" s="10"/>
      <c r="G124" s="10"/>
      <c r="H124" s="8"/>
      <c r="I124" s="14"/>
      <c r="J124" s="8" t="str">
        <f t="shared" si="4"/>
        <v>借</v>
      </c>
      <c r="K124" s="41">
        <f t="shared" si="6"/>
        <v>137276.51</v>
      </c>
      <c r="L124" s="9"/>
    </row>
    <row r="125" spans="1:13" ht="20.100000000000001" customHeight="1" x14ac:dyDescent="0.15">
      <c r="A125" s="5"/>
      <c r="B125" s="5"/>
      <c r="C125" s="5"/>
      <c r="D125" s="10"/>
      <c r="E125" s="7"/>
      <c r="F125" s="10"/>
      <c r="G125" s="10"/>
      <c r="H125" s="8"/>
      <c r="I125" s="14"/>
      <c r="J125" s="8" t="str">
        <f t="shared" si="4"/>
        <v>借</v>
      </c>
      <c r="K125" s="41">
        <f t="shared" si="6"/>
        <v>137276.51</v>
      </c>
      <c r="L125" s="9"/>
    </row>
    <row r="126" spans="1:13" ht="20.100000000000001" customHeight="1" x14ac:dyDescent="0.15">
      <c r="A126" s="5"/>
      <c r="B126" s="5"/>
      <c r="C126" s="5"/>
      <c r="D126" s="10"/>
      <c r="E126" s="7"/>
      <c r="F126" s="10"/>
      <c r="G126" s="10"/>
      <c r="H126" s="8"/>
      <c r="I126" s="14"/>
      <c r="J126" s="8" t="str">
        <f t="shared" si="4"/>
        <v>借</v>
      </c>
      <c r="K126" s="41">
        <f t="shared" si="6"/>
        <v>137276.51</v>
      </c>
      <c r="L126" s="9"/>
    </row>
    <row r="127" spans="1:13" ht="20.100000000000001" customHeight="1" x14ac:dyDescent="0.15">
      <c r="A127" s="5"/>
      <c r="B127" s="5"/>
      <c r="C127" s="5"/>
      <c r="D127" s="10"/>
      <c r="E127" s="7"/>
      <c r="F127" s="10"/>
      <c r="G127" s="10"/>
      <c r="H127" s="8"/>
      <c r="I127" s="14"/>
      <c r="J127" s="8" t="str">
        <f t="shared" si="4"/>
        <v>借</v>
      </c>
      <c r="K127" s="41">
        <f t="shared" si="6"/>
        <v>137276.51</v>
      </c>
      <c r="L127" s="9"/>
    </row>
    <row r="128" spans="1:13" ht="20.100000000000001" customHeight="1" x14ac:dyDescent="0.15">
      <c r="A128" s="5"/>
      <c r="B128" s="5"/>
      <c r="C128" s="5"/>
      <c r="D128" s="10"/>
      <c r="E128" s="7"/>
      <c r="F128" s="10"/>
      <c r="G128" s="10"/>
      <c r="H128" s="8"/>
      <c r="I128" s="14"/>
      <c r="J128" s="8" t="str">
        <f t="shared" si="4"/>
        <v>借</v>
      </c>
      <c r="K128" s="41">
        <f t="shared" si="6"/>
        <v>137276.51</v>
      </c>
      <c r="L128" s="9"/>
    </row>
    <row r="129" spans="1:12" ht="20.100000000000001" customHeight="1" x14ac:dyDescent="0.15">
      <c r="A129" s="10"/>
      <c r="B129" s="5"/>
      <c r="C129" s="5"/>
      <c r="D129" s="10"/>
      <c r="E129" s="7"/>
      <c r="F129" s="10"/>
      <c r="G129" s="10"/>
      <c r="H129" s="8"/>
      <c r="I129" s="14"/>
      <c r="J129" s="8" t="str">
        <f t="shared" si="4"/>
        <v>借</v>
      </c>
      <c r="K129" s="41">
        <f t="shared" si="6"/>
        <v>137276.51</v>
      </c>
      <c r="L129" s="9"/>
    </row>
    <row r="130" spans="1:12" ht="20.100000000000001" customHeight="1" x14ac:dyDescent="0.15">
      <c r="A130" s="10"/>
      <c r="B130" s="5"/>
      <c r="C130" s="5"/>
      <c r="D130" s="10"/>
      <c r="E130" s="7"/>
      <c r="F130" s="10"/>
      <c r="G130" s="10"/>
      <c r="H130" s="8"/>
      <c r="I130" s="14"/>
      <c r="J130" s="8" t="str">
        <f t="shared" si="4"/>
        <v>借</v>
      </c>
      <c r="K130" s="41">
        <f t="shared" si="6"/>
        <v>137276.51</v>
      </c>
      <c r="L130" s="9"/>
    </row>
    <row r="131" spans="1:12" ht="20.100000000000001" customHeight="1" x14ac:dyDescent="0.15">
      <c r="A131" s="5"/>
      <c r="B131" s="5"/>
      <c r="C131" s="5"/>
      <c r="D131" s="10"/>
      <c r="E131" s="7"/>
      <c r="F131" s="10"/>
      <c r="G131" s="10"/>
      <c r="H131" s="8"/>
      <c r="I131" s="14"/>
      <c r="J131" s="8" t="str">
        <f t="shared" si="4"/>
        <v>借</v>
      </c>
      <c r="K131" s="41">
        <f t="shared" si="6"/>
        <v>137276.51</v>
      </c>
      <c r="L131" s="9"/>
    </row>
    <row r="132" spans="1:12" ht="20.100000000000001" customHeight="1" x14ac:dyDescent="0.15">
      <c r="A132" s="5"/>
      <c r="B132" s="5"/>
      <c r="C132" s="5"/>
      <c r="D132" s="10"/>
      <c r="E132" s="7"/>
      <c r="F132" s="10"/>
      <c r="G132" s="10"/>
      <c r="H132" s="8"/>
      <c r="I132" s="14"/>
      <c r="J132" s="8" t="str">
        <f t="shared" si="4"/>
        <v>借</v>
      </c>
      <c r="K132" s="41">
        <f t="shared" si="6"/>
        <v>137276.51</v>
      </c>
      <c r="L132" s="9"/>
    </row>
    <row r="133" spans="1:12" ht="20.100000000000001" customHeight="1" x14ac:dyDescent="0.15">
      <c r="A133" s="5"/>
      <c r="B133" s="5"/>
      <c r="C133" s="5"/>
      <c r="D133" s="10"/>
      <c r="E133" s="7"/>
      <c r="F133" s="10"/>
      <c r="G133" s="10"/>
      <c r="H133" s="8"/>
      <c r="I133" s="14"/>
      <c r="J133" s="8" t="str">
        <f t="shared" ref="J133:J149" si="7">IF((K132+H133-I133)&gt;0,"借","贷")</f>
        <v>借</v>
      </c>
      <c r="K133" s="41">
        <f t="shared" si="6"/>
        <v>137276.51</v>
      </c>
      <c r="L133" s="9"/>
    </row>
    <row r="134" spans="1:12" ht="20.100000000000001" customHeight="1" x14ac:dyDescent="0.15">
      <c r="A134" s="5"/>
      <c r="B134" s="5"/>
      <c r="C134" s="5"/>
      <c r="D134" s="10"/>
      <c r="E134" s="11"/>
      <c r="F134" s="10"/>
      <c r="G134" s="10"/>
      <c r="H134" s="8"/>
      <c r="I134" s="14"/>
      <c r="J134" s="8" t="str">
        <f t="shared" si="7"/>
        <v>借</v>
      </c>
      <c r="K134" s="41">
        <f t="shared" si="6"/>
        <v>137276.51</v>
      </c>
      <c r="L134" s="9"/>
    </row>
    <row r="135" spans="1:12" ht="20.100000000000001" customHeight="1" x14ac:dyDescent="0.15">
      <c r="A135" s="5"/>
      <c r="B135" s="5"/>
      <c r="C135" s="5"/>
      <c r="D135" s="10"/>
      <c r="E135" s="11"/>
      <c r="F135" s="10"/>
      <c r="G135" s="10"/>
      <c r="H135" s="8"/>
      <c r="I135" s="14"/>
      <c r="J135" s="8" t="str">
        <f t="shared" si="7"/>
        <v>借</v>
      </c>
      <c r="K135" s="41">
        <f t="shared" si="6"/>
        <v>137276.51</v>
      </c>
      <c r="L135" s="9"/>
    </row>
    <row r="136" spans="1:12" ht="20.100000000000001" customHeight="1" x14ac:dyDescent="0.15">
      <c r="A136" s="5"/>
      <c r="B136" s="5"/>
      <c r="C136" s="5"/>
      <c r="D136" s="10"/>
      <c r="E136" s="11"/>
      <c r="F136" s="10"/>
      <c r="G136" s="10"/>
      <c r="H136" s="8"/>
      <c r="I136" s="14"/>
      <c r="J136" s="8" t="str">
        <f t="shared" si="7"/>
        <v>借</v>
      </c>
      <c r="K136" s="41">
        <f t="shared" si="6"/>
        <v>137276.51</v>
      </c>
      <c r="L136" s="9"/>
    </row>
    <row r="137" spans="1:12" ht="20.100000000000001" customHeight="1" x14ac:dyDescent="0.15">
      <c r="A137" s="10"/>
      <c r="B137" s="5"/>
      <c r="C137" s="5"/>
      <c r="D137" s="10"/>
      <c r="E137" s="7"/>
      <c r="F137" s="10"/>
      <c r="G137" s="10"/>
      <c r="H137" s="8"/>
      <c r="I137" s="14"/>
      <c r="J137" s="8" t="str">
        <f t="shared" si="7"/>
        <v>借</v>
      </c>
      <c r="K137" s="41">
        <f t="shared" si="6"/>
        <v>137276.51</v>
      </c>
      <c r="L137" s="9"/>
    </row>
    <row r="138" spans="1:12" ht="20.100000000000001" customHeight="1" x14ac:dyDescent="0.15">
      <c r="A138" s="10"/>
      <c r="B138" s="5"/>
      <c r="C138" s="5"/>
      <c r="D138" s="10"/>
      <c r="E138" s="7"/>
      <c r="F138" s="10"/>
      <c r="G138" s="10"/>
      <c r="H138" s="8"/>
      <c r="I138" s="14"/>
      <c r="J138" s="8" t="str">
        <f t="shared" si="7"/>
        <v>借</v>
      </c>
      <c r="K138" s="41">
        <f t="shared" si="6"/>
        <v>137276.51</v>
      </c>
      <c r="L138" s="9"/>
    </row>
    <row r="139" spans="1:12" ht="20.100000000000001" customHeight="1" x14ac:dyDescent="0.15">
      <c r="A139" s="5"/>
      <c r="B139" s="5"/>
      <c r="C139" s="5"/>
      <c r="D139" s="10"/>
      <c r="E139" s="7"/>
      <c r="F139" s="10"/>
      <c r="G139" s="10"/>
      <c r="H139" s="8"/>
      <c r="I139" s="14"/>
      <c r="J139" s="8" t="str">
        <f t="shared" si="7"/>
        <v>借</v>
      </c>
      <c r="K139" s="41">
        <f t="shared" si="6"/>
        <v>137276.51</v>
      </c>
      <c r="L139" s="9"/>
    </row>
    <row r="140" spans="1:12" ht="20.100000000000001" customHeight="1" x14ac:dyDescent="0.15">
      <c r="A140" s="5"/>
      <c r="B140" s="5"/>
      <c r="C140" s="5"/>
      <c r="D140" s="7"/>
      <c r="E140" s="7"/>
      <c r="F140" s="7"/>
      <c r="G140" s="7"/>
      <c r="H140" s="8"/>
      <c r="I140" s="14"/>
      <c r="J140" s="8" t="str">
        <f t="shared" si="7"/>
        <v>借</v>
      </c>
      <c r="K140" s="41">
        <f t="shared" si="6"/>
        <v>137276.51</v>
      </c>
      <c r="L140" s="9"/>
    </row>
    <row r="141" spans="1:12" ht="20.100000000000001" customHeight="1" x14ac:dyDescent="0.15">
      <c r="A141" s="5"/>
      <c r="B141" s="5"/>
      <c r="C141" s="5"/>
      <c r="D141" s="10"/>
      <c r="E141" s="7"/>
      <c r="F141" s="10"/>
      <c r="G141" s="10"/>
      <c r="H141" s="8"/>
      <c r="I141" s="14"/>
      <c r="J141" s="8" t="str">
        <f t="shared" si="7"/>
        <v>借</v>
      </c>
      <c r="K141" s="41">
        <f t="shared" si="6"/>
        <v>137276.51</v>
      </c>
      <c r="L141" s="9"/>
    </row>
    <row r="142" spans="1:12" ht="20.100000000000001" customHeight="1" x14ac:dyDescent="0.15">
      <c r="A142" s="5"/>
      <c r="B142" s="5"/>
      <c r="C142" s="5"/>
      <c r="D142" s="10"/>
      <c r="E142" s="7"/>
      <c r="F142" s="10"/>
      <c r="G142" s="10"/>
      <c r="H142" s="8"/>
      <c r="I142" s="14"/>
      <c r="J142" s="8" t="str">
        <f t="shared" si="7"/>
        <v>借</v>
      </c>
      <c r="K142" s="41">
        <f t="shared" si="6"/>
        <v>137276.51</v>
      </c>
      <c r="L142" s="9"/>
    </row>
    <row r="143" spans="1:12" ht="20.100000000000001" customHeight="1" x14ac:dyDescent="0.15">
      <c r="A143" s="5"/>
      <c r="B143" s="5"/>
      <c r="C143" s="5"/>
      <c r="D143" s="10"/>
      <c r="E143" s="7"/>
      <c r="F143" s="10"/>
      <c r="G143" s="10"/>
      <c r="H143" s="8"/>
      <c r="I143" s="14"/>
      <c r="J143" s="8" t="str">
        <f t="shared" si="7"/>
        <v>借</v>
      </c>
      <c r="K143" s="41">
        <f t="shared" si="6"/>
        <v>137276.51</v>
      </c>
      <c r="L143" s="9"/>
    </row>
    <row r="144" spans="1:12" ht="20.100000000000001" customHeight="1" x14ac:dyDescent="0.15">
      <c r="A144" s="5"/>
      <c r="B144" s="5"/>
      <c r="C144" s="5"/>
      <c r="D144" s="10"/>
      <c r="E144" s="7"/>
      <c r="F144" s="10"/>
      <c r="G144" s="10"/>
      <c r="H144" s="8"/>
      <c r="I144" s="14"/>
      <c r="J144" s="8" t="str">
        <f t="shared" si="7"/>
        <v>借</v>
      </c>
      <c r="K144" s="41">
        <f t="shared" si="6"/>
        <v>137276.51</v>
      </c>
      <c r="L144" s="9"/>
    </row>
    <row r="145" spans="1:13" ht="20.100000000000001" customHeight="1" x14ac:dyDescent="0.15">
      <c r="A145" s="5"/>
      <c r="B145" s="5"/>
      <c r="C145" s="5"/>
      <c r="D145" s="10"/>
      <c r="E145" s="7"/>
      <c r="F145" s="10"/>
      <c r="G145" s="7"/>
      <c r="H145" s="8"/>
      <c r="I145" s="14"/>
      <c r="J145" s="8" t="str">
        <f t="shared" si="7"/>
        <v>借</v>
      </c>
      <c r="K145" s="41">
        <f t="shared" si="6"/>
        <v>137276.51</v>
      </c>
      <c r="L145" s="9"/>
    </row>
    <row r="146" spans="1:13" ht="20.100000000000001" customHeight="1" x14ac:dyDescent="0.15">
      <c r="A146" s="5"/>
      <c r="B146" s="5"/>
      <c r="C146" s="5"/>
      <c r="D146" s="10"/>
      <c r="E146" s="7"/>
      <c r="F146" s="10"/>
      <c r="G146" s="10"/>
      <c r="H146" s="8"/>
      <c r="I146" s="14"/>
      <c r="J146" s="8" t="str">
        <f t="shared" si="7"/>
        <v>借</v>
      </c>
      <c r="K146" s="41">
        <f t="shared" si="6"/>
        <v>137276.51</v>
      </c>
      <c r="L146" s="9"/>
    </row>
    <row r="147" spans="1:13" ht="20.100000000000001" customHeight="1" x14ac:dyDescent="0.15">
      <c r="A147" s="10"/>
      <c r="B147" s="5"/>
      <c r="C147" s="5"/>
      <c r="D147" s="10"/>
      <c r="E147" s="7"/>
      <c r="F147" s="10"/>
      <c r="G147" s="10"/>
      <c r="H147" s="8"/>
      <c r="I147" s="14"/>
      <c r="J147" s="8" t="str">
        <f t="shared" si="7"/>
        <v>借</v>
      </c>
      <c r="K147" s="41">
        <f t="shared" si="6"/>
        <v>137276.51</v>
      </c>
      <c r="L147" s="9"/>
    </row>
    <row r="148" spans="1:13" ht="20.100000000000001" customHeight="1" x14ac:dyDescent="0.15">
      <c r="A148" s="10"/>
      <c r="B148" s="5"/>
      <c r="C148" s="5"/>
      <c r="D148" s="10"/>
      <c r="E148" s="11"/>
      <c r="F148" s="10"/>
      <c r="G148" s="10"/>
      <c r="H148" s="8"/>
      <c r="I148" s="14"/>
      <c r="J148" s="8" t="str">
        <f t="shared" si="7"/>
        <v>借</v>
      </c>
      <c r="K148" s="41">
        <f t="shared" si="6"/>
        <v>137276.51</v>
      </c>
      <c r="L148" s="9"/>
      <c r="M148" s="99"/>
    </row>
    <row r="149" spans="1:13" ht="20.100000000000001" customHeight="1" x14ac:dyDescent="0.15">
      <c r="A149" s="5"/>
      <c r="B149" s="5"/>
      <c r="C149" s="5"/>
      <c r="D149" s="10"/>
      <c r="E149" s="7"/>
      <c r="F149" s="10"/>
      <c r="G149" s="10"/>
      <c r="H149" s="8"/>
      <c r="I149" s="14"/>
      <c r="J149" s="8" t="str">
        <f t="shared" si="7"/>
        <v>借</v>
      </c>
      <c r="K149" s="41"/>
      <c r="L149" s="9"/>
      <c r="M149" s="99"/>
    </row>
    <row r="150" spans="1:13" ht="20.100000000000001" customHeight="1" x14ac:dyDescent="0.15">
      <c r="A150" s="5"/>
      <c r="B150" s="5"/>
      <c r="C150" s="5"/>
      <c r="D150" s="10"/>
      <c r="E150" s="7"/>
      <c r="F150" s="10"/>
      <c r="G150" s="10"/>
      <c r="H150" s="8"/>
      <c r="I150" s="14"/>
      <c r="J150" s="8" t="str">
        <f t="shared" ref="J150:J159" si="8">IF((K149+H150-I150)&gt;0,"借","贷")</f>
        <v>贷</v>
      </c>
      <c r="K150" s="41"/>
      <c r="L150" s="9"/>
      <c r="M150" s="99"/>
    </row>
    <row r="151" spans="1:13" ht="20.100000000000001" customHeight="1" x14ac:dyDescent="0.15">
      <c r="A151" s="5"/>
      <c r="B151" s="5"/>
      <c r="C151" s="5"/>
      <c r="D151" s="10"/>
      <c r="E151" s="11"/>
      <c r="F151" s="10"/>
      <c r="G151" s="10"/>
      <c r="H151" s="8"/>
      <c r="I151" s="14"/>
      <c r="J151" s="8" t="str">
        <f t="shared" si="8"/>
        <v>贷</v>
      </c>
      <c r="K151" s="41"/>
      <c r="L151" s="9"/>
    </row>
    <row r="152" spans="1:13" ht="20.100000000000001" customHeight="1" x14ac:dyDescent="0.15">
      <c r="A152" s="5"/>
      <c r="B152" s="5"/>
      <c r="C152" s="5"/>
      <c r="D152" s="10"/>
      <c r="E152" s="7"/>
      <c r="F152" s="10"/>
      <c r="G152" s="10"/>
      <c r="H152" s="8"/>
      <c r="I152" s="14"/>
      <c r="J152" s="8" t="str">
        <f t="shared" si="8"/>
        <v>贷</v>
      </c>
      <c r="K152" s="41"/>
      <c r="L152" s="9"/>
    </row>
    <row r="153" spans="1:13" ht="20.100000000000001" customHeight="1" x14ac:dyDescent="0.15">
      <c r="A153" s="5"/>
      <c r="B153" s="5"/>
      <c r="C153" s="5"/>
      <c r="D153" s="10"/>
      <c r="E153" s="11"/>
      <c r="F153" s="10"/>
      <c r="G153" s="10"/>
      <c r="H153" s="8"/>
      <c r="I153" s="14"/>
      <c r="J153" s="8" t="str">
        <f t="shared" si="8"/>
        <v>贷</v>
      </c>
      <c r="K153" s="41"/>
      <c r="L153" s="9"/>
    </row>
    <row r="154" spans="1:13" ht="20.100000000000001" customHeight="1" x14ac:dyDescent="0.15">
      <c r="A154" s="5"/>
      <c r="B154" s="5"/>
      <c r="C154" s="5"/>
      <c r="D154" s="10"/>
      <c r="E154" s="7"/>
      <c r="F154" s="10"/>
      <c r="G154" s="10"/>
      <c r="H154" s="8"/>
      <c r="I154" s="14"/>
      <c r="J154" s="8" t="str">
        <f t="shared" si="8"/>
        <v>贷</v>
      </c>
      <c r="K154" s="41"/>
      <c r="L154" s="9"/>
    </row>
    <row r="155" spans="1:13" ht="20.100000000000001" customHeight="1" x14ac:dyDescent="0.15">
      <c r="A155" s="5"/>
      <c r="B155" s="5"/>
      <c r="C155" s="5"/>
      <c r="D155" s="10"/>
      <c r="E155" s="7"/>
      <c r="F155" s="10"/>
      <c r="G155" s="10"/>
      <c r="H155" s="8"/>
      <c r="I155" s="14"/>
      <c r="J155" s="8" t="str">
        <f t="shared" si="8"/>
        <v>贷</v>
      </c>
      <c r="K155" s="41"/>
      <c r="L155" s="9"/>
    </row>
    <row r="156" spans="1:13" ht="20.100000000000001" customHeight="1" x14ac:dyDescent="0.15">
      <c r="A156" s="5"/>
      <c r="B156" s="5"/>
      <c r="C156" s="5"/>
      <c r="D156" s="10"/>
      <c r="E156" s="7"/>
      <c r="F156" s="10"/>
      <c r="G156" s="10"/>
      <c r="H156" s="8"/>
      <c r="I156" s="14"/>
      <c r="J156" s="8" t="str">
        <f t="shared" si="8"/>
        <v>贷</v>
      </c>
      <c r="K156" s="41"/>
      <c r="L156" s="9"/>
    </row>
    <row r="157" spans="1:13" ht="20.100000000000001" customHeight="1" x14ac:dyDescent="0.15">
      <c r="A157" s="5"/>
      <c r="B157" s="5"/>
      <c r="C157" s="5"/>
      <c r="D157" s="10"/>
      <c r="E157" s="7"/>
      <c r="F157" s="10"/>
      <c r="G157" s="10"/>
      <c r="H157" s="8"/>
      <c r="I157" s="14"/>
      <c r="J157" s="8" t="str">
        <f t="shared" si="8"/>
        <v>贷</v>
      </c>
      <c r="K157" s="41"/>
      <c r="L157" s="9"/>
    </row>
    <row r="158" spans="1:13" ht="20.100000000000001" customHeight="1" x14ac:dyDescent="0.15">
      <c r="A158" s="5"/>
      <c r="B158" s="5"/>
      <c r="C158" s="5"/>
      <c r="D158" s="10"/>
      <c r="E158" s="7"/>
      <c r="F158" s="10"/>
      <c r="G158" s="10"/>
      <c r="H158" s="8"/>
      <c r="I158" s="14"/>
      <c r="J158" s="8" t="str">
        <f t="shared" si="8"/>
        <v>贷</v>
      </c>
      <c r="K158" s="41"/>
      <c r="L158" s="9"/>
    </row>
    <row r="159" spans="1:13" ht="20.100000000000001" customHeight="1" x14ac:dyDescent="0.15">
      <c r="A159" s="5"/>
      <c r="B159" s="5"/>
      <c r="C159" s="5"/>
      <c r="D159" s="10"/>
      <c r="E159" s="7"/>
      <c r="F159" s="10"/>
      <c r="G159" s="10"/>
      <c r="H159" s="8"/>
      <c r="I159" s="14"/>
      <c r="J159" s="8" t="str">
        <f t="shared" si="8"/>
        <v>贷</v>
      </c>
      <c r="K159" s="41"/>
      <c r="L159" s="9"/>
      <c r="M159" s="99"/>
    </row>
    <row r="160" spans="1:13" ht="20.100000000000001" customHeight="1" x14ac:dyDescent="0.15">
      <c r="A160" s="5"/>
      <c r="B160" s="5"/>
      <c r="C160" s="5"/>
      <c r="D160" s="10"/>
      <c r="E160" s="11"/>
      <c r="F160" s="10"/>
      <c r="G160" s="10"/>
      <c r="H160" s="8"/>
      <c r="I160" s="14"/>
      <c r="J160" s="8" t="str">
        <f t="shared" ref="J160:J205" si="9">IF((K159+H160-I160)&gt;0,"借","贷")</f>
        <v>贷</v>
      </c>
      <c r="K160" s="41"/>
      <c r="L160" s="9"/>
      <c r="M160" s="99"/>
    </row>
    <row r="161" spans="1:13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14"/>
      <c r="J161" s="8" t="str">
        <f t="shared" si="9"/>
        <v>贷</v>
      </c>
      <c r="K161" s="41"/>
      <c r="L161" s="9"/>
    </row>
    <row r="162" spans="1:13" ht="20.100000000000001" customHeight="1" x14ac:dyDescent="0.15">
      <c r="A162" s="5"/>
      <c r="B162" s="5"/>
      <c r="C162" s="5"/>
      <c r="D162" s="10"/>
      <c r="E162" s="11"/>
      <c r="F162" s="10"/>
      <c r="G162" s="10"/>
      <c r="H162" s="8"/>
      <c r="I162" s="14"/>
      <c r="J162" s="8" t="str">
        <f t="shared" si="9"/>
        <v>贷</v>
      </c>
      <c r="K162" s="41"/>
      <c r="L162" s="9"/>
    </row>
    <row r="163" spans="1:13" ht="20.100000000000001" customHeight="1" x14ac:dyDescent="0.15">
      <c r="A163" s="5"/>
      <c r="B163" s="5"/>
      <c r="C163" s="5"/>
      <c r="D163" s="7"/>
      <c r="E163" s="7"/>
      <c r="F163" s="7"/>
      <c r="G163" s="7"/>
      <c r="H163" s="8"/>
      <c r="I163" s="14"/>
      <c r="J163" s="8" t="str">
        <f t="shared" si="9"/>
        <v>贷</v>
      </c>
      <c r="K163" s="41"/>
      <c r="L163" s="9"/>
    </row>
    <row r="164" spans="1:13" ht="20.100000000000001" customHeight="1" x14ac:dyDescent="0.15">
      <c r="A164" s="5"/>
      <c r="B164" s="5"/>
      <c r="C164" s="5"/>
      <c r="D164" s="10"/>
      <c r="E164" s="11"/>
      <c r="F164" s="10"/>
      <c r="G164" s="10"/>
      <c r="H164" s="8"/>
      <c r="I164" s="14"/>
      <c r="J164" s="8" t="str">
        <f t="shared" si="9"/>
        <v>贷</v>
      </c>
      <c r="K164" s="41"/>
      <c r="L164" s="9"/>
      <c r="M164" s="99"/>
    </row>
    <row r="165" spans="1:13" ht="20.100000000000001" customHeight="1" x14ac:dyDescent="0.15">
      <c r="A165" s="5"/>
      <c r="B165" s="5"/>
      <c r="C165" s="5"/>
      <c r="D165" s="10"/>
      <c r="E165" s="7"/>
      <c r="F165" s="10"/>
      <c r="G165" s="10"/>
      <c r="H165" s="8"/>
      <c r="I165" s="14"/>
      <c r="J165" s="8" t="str">
        <f t="shared" si="9"/>
        <v>贷</v>
      </c>
      <c r="K165" s="41"/>
      <c r="L165" s="9"/>
      <c r="M165" s="99"/>
    </row>
    <row r="166" spans="1:13" ht="20.100000000000001" customHeight="1" x14ac:dyDescent="0.15">
      <c r="A166" s="10"/>
      <c r="B166" s="5"/>
      <c r="C166" s="5"/>
      <c r="D166" s="10"/>
      <c r="E166" s="7"/>
      <c r="F166" s="10"/>
      <c r="G166" s="10"/>
      <c r="H166" s="8"/>
      <c r="I166" s="14"/>
      <c r="J166" s="8" t="str">
        <f t="shared" si="9"/>
        <v>贷</v>
      </c>
      <c r="K166" s="41"/>
      <c r="L166" s="9"/>
      <c r="M166" s="99"/>
    </row>
    <row r="167" spans="1:13" ht="20.100000000000001" customHeight="1" x14ac:dyDescent="0.15">
      <c r="A167" s="10"/>
      <c r="B167" s="5"/>
      <c r="C167" s="5"/>
      <c r="D167" s="10"/>
      <c r="E167" s="10"/>
      <c r="F167" s="10"/>
      <c r="G167" s="10"/>
      <c r="H167" s="8"/>
      <c r="I167" s="14"/>
      <c r="J167" s="8" t="str">
        <f t="shared" si="9"/>
        <v>贷</v>
      </c>
      <c r="K167" s="41"/>
      <c r="L167" s="9"/>
    </row>
    <row r="168" spans="1:13" ht="20.100000000000001" customHeight="1" x14ac:dyDescent="0.15">
      <c r="A168" s="10"/>
      <c r="B168" s="5"/>
      <c r="C168" s="5"/>
      <c r="D168" s="10"/>
      <c r="E168" s="10"/>
      <c r="F168" s="10"/>
      <c r="G168" s="10"/>
      <c r="H168" s="8"/>
      <c r="I168" s="14"/>
      <c r="J168" s="8" t="str">
        <f t="shared" si="9"/>
        <v>贷</v>
      </c>
      <c r="K168" s="41"/>
      <c r="L168" s="9"/>
    </row>
    <row r="169" spans="1:13" ht="20.100000000000001" customHeight="1" x14ac:dyDescent="0.15">
      <c r="A169" s="10"/>
      <c r="B169" s="5"/>
      <c r="C169" s="5"/>
      <c r="D169" s="10"/>
      <c r="E169" s="10"/>
      <c r="F169" s="10"/>
      <c r="G169" s="10"/>
      <c r="H169" s="8"/>
      <c r="I169" s="14"/>
      <c r="J169" s="8" t="str">
        <f t="shared" si="9"/>
        <v>贷</v>
      </c>
      <c r="K169" s="41"/>
      <c r="L169" s="9"/>
    </row>
    <row r="170" spans="1:13" ht="20.100000000000001" customHeight="1" x14ac:dyDescent="0.15">
      <c r="A170" s="10"/>
      <c r="B170" s="5"/>
      <c r="C170" s="5"/>
      <c r="D170" s="10"/>
      <c r="E170" s="7"/>
      <c r="F170" s="10"/>
      <c r="G170" s="7"/>
      <c r="H170" s="8"/>
      <c r="I170" s="14"/>
      <c r="J170" s="8" t="str">
        <f t="shared" si="9"/>
        <v>贷</v>
      </c>
      <c r="K170" s="41"/>
      <c r="L170" s="9"/>
    </row>
    <row r="171" spans="1:13" ht="20.100000000000001" customHeight="1" x14ac:dyDescent="0.15">
      <c r="A171" s="10"/>
      <c r="B171" s="5"/>
      <c r="C171" s="5"/>
      <c r="D171" s="10"/>
      <c r="E171" s="10"/>
      <c r="F171" s="10"/>
      <c r="G171" s="10"/>
      <c r="H171" s="8"/>
      <c r="I171" s="14"/>
      <c r="J171" s="8" t="str">
        <f t="shared" si="9"/>
        <v>贷</v>
      </c>
      <c r="K171" s="41"/>
      <c r="L171" s="9"/>
    </row>
    <row r="172" spans="1:13" ht="20.100000000000001" customHeight="1" x14ac:dyDescent="0.15">
      <c r="A172" s="10"/>
      <c r="B172" s="10"/>
      <c r="C172" s="10"/>
      <c r="D172" s="10"/>
      <c r="E172" s="10"/>
      <c r="F172" s="10"/>
      <c r="G172" s="10"/>
      <c r="H172" s="8"/>
      <c r="I172" s="42"/>
      <c r="J172" s="8" t="str">
        <f t="shared" si="9"/>
        <v>贷</v>
      </c>
      <c r="K172" s="41"/>
      <c r="L172" s="9"/>
    </row>
    <row r="173" spans="1:13" ht="20.100000000000001" customHeight="1" x14ac:dyDescent="0.15">
      <c r="A173" s="10"/>
      <c r="B173" s="10"/>
      <c r="C173" s="10"/>
      <c r="D173" s="10"/>
      <c r="E173" s="10"/>
      <c r="F173" s="10"/>
      <c r="G173" s="10"/>
      <c r="H173" s="8"/>
      <c r="I173" s="14"/>
      <c r="J173" s="8" t="str">
        <f t="shared" si="9"/>
        <v>贷</v>
      </c>
      <c r="K173" s="41"/>
      <c r="L173" s="9"/>
    </row>
    <row r="174" spans="1:13" ht="20.100000000000001" customHeight="1" x14ac:dyDescent="0.15">
      <c r="A174" s="10"/>
      <c r="B174" s="10"/>
      <c r="C174" s="10"/>
      <c r="D174" s="10"/>
      <c r="E174" s="10"/>
      <c r="F174" s="10"/>
      <c r="G174" s="10"/>
      <c r="H174" s="8"/>
      <c r="I174" s="14"/>
      <c r="J174" s="8" t="str">
        <f t="shared" si="9"/>
        <v>贷</v>
      </c>
      <c r="K174" s="41"/>
      <c r="L174" s="9"/>
    </row>
    <row r="175" spans="1:13" ht="20.100000000000001" customHeight="1" x14ac:dyDescent="0.15">
      <c r="A175" s="10"/>
      <c r="B175" s="10"/>
      <c r="C175" s="10"/>
      <c r="D175" s="10"/>
      <c r="E175" s="10"/>
      <c r="F175" s="10"/>
      <c r="G175" s="10"/>
      <c r="H175" s="8"/>
      <c r="I175" s="14"/>
      <c r="J175" s="8" t="str">
        <f t="shared" si="9"/>
        <v>贷</v>
      </c>
      <c r="K175" s="41"/>
      <c r="L175" s="9"/>
    </row>
    <row r="176" spans="1:13" ht="20.100000000000001" customHeight="1" x14ac:dyDescent="0.15">
      <c r="A176" s="10"/>
      <c r="B176" s="10"/>
      <c r="C176" s="10"/>
      <c r="D176" s="10"/>
      <c r="E176" s="10"/>
      <c r="F176" s="10"/>
      <c r="G176" s="10"/>
      <c r="H176" s="8"/>
      <c r="I176" s="14"/>
      <c r="J176" s="8" t="str">
        <f t="shared" si="9"/>
        <v>贷</v>
      </c>
      <c r="K176" s="41"/>
      <c r="L176" s="9"/>
    </row>
    <row r="177" spans="1:13" ht="20.100000000000001" customHeight="1" x14ac:dyDescent="0.15">
      <c r="A177" s="10"/>
      <c r="B177" s="10"/>
      <c r="C177" s="10"/>
      <c r="D177" s="10"/>
      <c r="E177" s="10"/>
      <c r="F177" s="10"/>
      <c r="G177" s="10"/>
      <c r="H177" s="8"/>
      <c r="I177" s="14"/>
      <c r="J177" s="8" t="str">
        <f t="shared" si="9"/>
        <v>贷</v>
      </c>
      <c r="K177" s="41"/>
      <c r="L177" s="9"/>
    </row>
    <row r="178" spans="1:13" ht="20.100000000000001" customHeight="1" x14ac:dyDescent="0.15">
      <c r="A178" s="10"/>
      <c r="B178" s="10"/>
      <c r="C178" s="10"/>
      <c r="D178" s="10"/>
      <c r="E178" s="10"/>
      <c r="F178" s="10"/>
      <c r="G178" s="10"/>
      <c r="H178" s="8"/>
      <c r="I178" s="14"/>
      <c r="J178" s="8" t="str">
        <f t="shared" si="9"/>
        <v>贷</v>
      </c>
      <c r="K178" s="41"/>
      <c r="L178" s="9"/>
    </row>
    <row r="179" spans="1:13" ht="20.100000000000001" customHeight="1" x14ac:dyDescent="0.15">
      <c r="A179" s="10"/>
      <c r="B179" s="10"/>
      <c r="C179" s="10"/>
      <c r="D179" s="10"/>
      <c r="E179" s="10"/>
      <c r="F179" s="10"/>
      <c r="G179" s="10"/>
      <c r="H179" s="8"/>
      <c r="I179" s="14"/>
      <c r="J179" s="8" t="str">
        <f t="shared" si="9"/>
        <v>贷</v>
      </c>
      <c r="K179" s="41"/>
      <c r="L179" s="9"/>
    </row>
    <row r="180" spans="1:13" ht="20.100000000000001" customHeight="1" x14ac:dyDescent="0.15">
      <c r="A180" s="10"/>
      <c r="B180" s="10"/>
      <c r="C180" s="10"/>
      <c r="D180" s="10"/>
      <c r="E180" s="10"/>
      <c r="F180" s="10"/>
      <c r="G180" s="10"/>
      <c r="H180" s="8"/>
      <c r="I180" s="14"/>
      <c r="J180" s="8" t="str">
        <f t="shared" si="9"/>
        <v>贷</v>
      </c>
      <c r="K180" s="41"/>
      <c r="L180" s="9"/>
    </row>
    <row r="181" spans="1:13" ht="20.100000000000001" customHeight="1" x14ac:dyDescent="0.15">
      <c r="A181" s="10"/>
      <c r="B181" s="10"/>
      <c r="C181" s="10"/>
      <c r="D181" s="10"/>
      <c r="E181" s="11"/>
      <c r="F181" s="10"/>
      <c r="G181" s="10"/>
      <c r="H181" s="8"/>
      <c r="I181" s="14"/>
      <c r="J181" s="8" t="str">
        <f t="shared" si="9"/>
        <v>贷</v>
      </c>
      <c r="K181" s="41"/>
      <c r="L181" s="9"/>
    </row>
    <row r="182" spans="1:13" ht="20.100000000000001" customHeight="1" x14ac:dyDescent="0.15">
      <c r="A182" s="10"/>
      <c r="B182" s="10"/>
      <c r="C182" s="10"/>
      <c r="D182" s="10"/>
      <c r="E182" s="10"/>
      <c r="F182" s="10"/>
      <c r="G182" s="10"/>
      <c r="H182" s="8"/>
      <c r="I182" s="14"/>
      <c r="J182" s="8" t="str">
        <f t="shared" si="9"/>
        <v>贷</v>
      </c>
      <c r="K182" s="41"/>
      <c r="L182" s="9"/>
    </row>
    <row r="183" spans="1:13" ht="20.100000000000001" customHeight="1" x14ac:dyDescent="0.15">
      <c r="A183" s="10"/>
      <c r="B183" s="10"/>
      <c r="C183" s="10"/>
      <c r="D183" s="10"/>
      <c r="E183" s="7"/>
      <c r="F183" s="10"/>
      <c r="G183" s="10"/>
      <c r="H183" s="8"/>
      <c r="I183" s="14"/>
      <c r="J183" s="8" t="str">
        <f t="shared" si="9"/>
        <v>贷</v>
      </c>
      <c r="K183" s="41"/>
      <c r="L183" s="9"/>
      <c r="M183" s="99"/>
    </row>
    <row r="184" spans="1:13" ht="20.100000000000001" customHeight="1" x14ac:dyDescent="0.15">
      <c r="A184" s="10"/>
      <c r="B184" s="10"/>
      <c r="C184" s="10"/>
      <c r="D184" s="10"/>
      <c r="E184" s="7"/>
      <c r="F184" s="10"/>
      <c r="G184" s="10"/>
      <c r="H184" s="8"/>
      <c r="I184" s="14"/>
      <c r="J184" s="8" t="str">
        <f t="shared" si="9"/>
        <v>贷</v>
      </c>
      <c r="K184" s="41"/>
      <c r="L184" s="9"/>
      <c r="M184" s="99"/>
    </row>
    <row r="185" spans="1:13" ht="20.100000000000001" customHeight="1" x14ac:dyDescent="0.15">
      <c r="A185" s="10"/>
      <c r="B185" s="10"/>
      <c r="C185" s="10"/>
      <c r="D185" s="10"/>
      <c r="E185" s="7"/>
      <c r="F185" s="10"/>
      <c r="G185" s="10"/>
      <c r="H185" s="8"/>
      <c r="I185" s="14"/>
      <c r="J185" s="8" t="str">
        <f t="shared" si="9"/>
        <v>贷</v>
      </c>
      <c r="K185" s="41"/>
      <c r="L185" s="9"/>
    </row>
    <row r="186" spans="1:13" ht="20.100000000000001" customHeight="1" x14ac:dyDescent="0.15">
      <c r="A186" s="10"/>
      <c r="B186" s="10"/>
      <c r="C186" s="10"/>
      <c r="D186" s="10"/>
      <c r="E186" s="10"/>
      <c r="F186" s="10"/>
      <c r="G186" s="10"/>
      <c r="H186" s="8"/>
      <c r="I186" s="14"/>
      <c r="J186" s="8" t="str">
        <f t="shared" si="9"/>
        <v>贷</v>
      </c>
      <c r="K186" s="41"/>
      <c r="L186" s="9"/>
    </row>
    <row r="187" spans="1:13" ht="20.100000000000001" customHeight="1" x14ac:dyDescent="0.15">
      <c r="A187" s="10"/>
      <c r="B187" s="10"/>
      <c r="C187" s="10"/>
      <c r="D187" s="10"/>
      <c r="E187" s="10"/>
      <c r="F187" s="10"/>
      <c r="G187" s="10"/>
      <c r="H187" s="8"/>
      <c r="I187" s="14"/>
      <c r="J187" s="8" t="str">
        <f t="shared" si="9"/>
        <v>贷</v>
      </c>
      <c r="K187" s="41"/>
      <c r="L187" s="9"/>
    </row>
    <row r="188" spans="1:13" ht="20.100000000000001" customHeight="1" x14ac:dyDescent="0.15">
      <c r="A188" s="10"/>
      <c r="B188" s="10"/>
      <c r="C188" s="10"/>
      <c r="D188" s="10"/>
      <c r="E188" s="10"/>
      <c r="F188" s="10"/>
      <c r="G188" s="10"/>
      <c r="H188" s="8"/>
      <c r="I188" s="8"/>
      <c r="J188" s="8" t="str">
        <f t="shared" si="9"/>
        <v>贷</v>
      </c>
      <c r="K188" s="41"/>
      <c r="L188" s="9"/>
    </row>
    <row r="189" spans="1:13" ht="20.100000000000001" customHeight="1" x14ac:dyDescent="0.15">
      <c r="A189" s="10"/>
      <c r="B189" s="10"/>
      <c r="C189" s="10"/>
      <c r="D189" s="10"/>
      <c r="E189" s="10"/>
      <c r="F189" s="10"/>
      <c r="G189" s="10"/>
      <c r="H189" s="8"/>
      <c r="I189" s="14"/>
      <c r="J189" s="8" t="str">
        <f t="shared" si="9"/>
        <v>贷</v>
      </c>
      <c r="K189" s="41"/>
      <c r="L189" s="9"/>
    </row>
    <row r="190" spans="1:13" ht="20.100000000000001" customHeight="1" x14ac:dyDescent="0.15">
      <c r="A190" s="10"/>
      <c r="B190" s="10"/>
      <c r="C190" s="10"/>
      <c r="D190" s="10"/>
      <c r="E190" s="10"/>
      <c r="F190" s="10"/>
      <c r="G190" s="10"/>
      <c r="H190" s="8"/>
      <c r="I190" s="14"/>
      <c r="J190" s="8" t="str">
        <f t="shared" si="9"/>
        <v>贷</v>
      </c>
      <c r="K190" s="41"/>
      <c r="L190" s="9"/>
    </row>
    <row r="191" spans="1:13" ht="20.100000000000001" customHeight="1" x14ac:dyDescent="0.15">
      <c r="A191" s="10"/>
      <c r="B191" s="10"/>
      <c r="C191" s="10"/>
      <c r="D191" s="10"/>
      <c r="E191" s="10"/>
      <c r="F191" s="10"/>
      <c r="G191" s="10"/>
      <c r="H191" s="8"/>
      <c r="I191" s="14"/>
      <c r="J191" s="8" t="str">
        <f t="shared" si="9"/>
        <v>贷</v>
      </c>
      <c r="K191" s="41"/>
      <c r="L191" s="9"/>
    </row>
    <row r="192" spans="1:13" ht="20.100000000000001" customHeight="1" x14ac:dyDescent="0.15">
      <c r="A192" s="10"/>
      <c r="B192" s="10"/>
      <c r="C192" s="10"/>
      <c r="D192" s="10"/>
      <c r="E192" s="11"/>
      <c r="F192" s="10"/>
      <c r="G192" s="10"/>
      <c r="H192" s="8"/>
      <c r="I192" s="14"/>
      <c r="J192" s="8" t="str">
        <f t="shared" si="9"/>
        <v>贷</v>
      </c>
      <c r="K192" s="41"/>
      <c r="L192" s="9"/>
    </row>
    <row r="193" spans="1:12" ht="20.100000000000001" customHeight="1" x14ac:dyDescent="0.15">
      <c r="A193" s="10"/>
      <c r="B193" s="10"/>
      <c r="C193" s="10"/>
      <c r="D193" s="10"/>
      <c r="E193" s="7"/>
      <c r="F193" s="10"/>
      <c r="G193" s="10"/>
      <c r="H193" s="8"/>
      <c r="I193" s="14"/>
      <c r="J193" s="8" t="str">
        <f t="shared" si="9"/>
        <v>贷</v>
      </c>
      <c r="K193" s="41"/>
      <c r="L193" s="9"/>
    </row>
    <row r="194" spans="1:12" ht="20.100000000000001" customHeight="1" x14ac:dyDescent="0.15">
      <c r="A194" s="10"/>
      <c r="B194" s="10"/>
      <c r="C194" s="10"/>
      <c r="D194" s="10"/>
      <c r="E194" s="7"/>
      <c r="F194" s="10"/>
      <c r="G194" s="10"/>
      <c r="H194" s="8"/>
      <c r="I194" s="14"/>
      <c r="J194" s="8" t="str">
        <f t="shared" si="9"/>
        <v>贷</v>
      </c>
      <c r="K194" s="41"/>
      <c r="L194" s="9"/>
    </row>
    <row r="195" spans="1:12" ht="20.100000000000001" customHeight="1" x14ac:dyDescent="0.15">
      <c r="A195" s="10"/>
      <c r="B195" s="10"/>
      <c r="C195" s="10"/>
      <c r="D195" s="10"/>
      <c r="E195" s="7"/>
      <c r="F195" s="10"/>
      <c r="G195" s="10"/>
      <c r="H195" s="8"/>
      <c r="I195" s="14"/>
      <c r="J195" s="8" t="str">
        <f t="shared" si="9"/>
        <v>贷</v>
      </c>
      <c r="K195" s="41"/>
      <c r="L195" s="9"/>
    </row>
    <row r="196" spans="1:12" ht="20.100000000000001" customHeight="1" x14ac:dyDescent="0.15">
      <c r="A196" s="10"/>
      <c r="B196" s="10"/>
      <c r="C196" s="10"/>
      <c r="D196" s="10"/>
      <c r="E196" s="10"/>
      <c r="F196" s="10"/>
      <c r="G196" s="10"/>
      <c r="H196" s="8"/>
      <c r="I196" s="14"/>
      <c r="J196" s="8" t="str">
        <f t="shared" si="9"/>
        <v>贷</v>
      </c>
      <c r="K196" s="41"/>
      <c r="L196" s="9"/>
    </row>
    <row r="197" spans="1:12" ht="20.100000000000001" customHeight="1" x14ac:dyDescent="0.15">
      <c r="A197" s="10"/>
      <c r="B197" s="10"/>
      <c r="C197" s="10"/>
      <c r="D197" s="10"/>
      <c r="E197" s="10"/>
      <c r="F197" s="10"/>
      <c r="G197" s="10"/>
      <c r="H197" s="8"/>
      <c r="I197" s="14"/>
      <c r="J197" s="8" t="str">
        <f t="shared" si="9"/>
        <v>贷</v>
      </c>
      <c r="K197" s="41"/>
      <c r="L197" s="9"/>
    </row>
    <row r="198" spans="1:12" ht="20.100000000000001" customHeight="1" x14ac:dyDescent="0.15">
      <c r="A198" s="10"/>
      <c r="B198" s="10"/>
      <c r="C198" s="10"/>
      <c r="D198" s="10"/>
      <c r="E198" s="7"/>
      <c r="F198" s="10"/>
      <c r="G198" s="10"/>
      <c r="H198" s="8"/>
      <c r="I198" s="14"/>
      <c r="J198" s="8" t="str">
        <f t="shared" si="9"/>
        <v>贷</v>
      </c>
      <c r="K198" s="41"/>
      <c r="L198" s="9"/>
    </row>
    <row r="199" spans="1:12" ht="20.100000000000001" customHeight="1" x14ac:dyDescent="0.15">
      <c r="A199" s="10"/>
      <c r="B199" s="10"/>
      <c r="C199" s="10"/>
      <c r="D199" s="10"/>
      <c r="E199" s="10"/>
      <c r="F199" s="10"/>
      <c r="G199" s="10"/>
      <c r="H199" s="8"/>
      <c r="I199" s="14"/>
      <c r="J199" s="8" t="str">
        <f t="shared" si="9"/>
        <v>贷</v>
      </c>
      <c r="K199" s="41"/>
      <c r="L199" s="9"/>
    </row>
    <row r="200" spans="1:12" ht="20.100000000000001" customHeight="1" x14ac:dyDescent="0.15">
      <c r="A200" s="10"/>
      <c r="B200" s="10"/>
      <c r="C200" s="10"/>
      <c r="D200" s="10"/>
      <c r="E200" s="7"/>
      <c r="F200" s="10"/>
      <c r="G200" s="10"/>
      <c r="H200" s="8"/>
      <c r="I200" s="14"/>
      <c r="J200" s="8" t="str">
        <f t="shared" si="9"/>
        <v>贷</v>
      </c>
      <c r="K200" s="41"/>
      <c r="L200" s="9"/>
    </row>
    <row r="201" spans="1:12" ht="20.100000000000001" customHeight="1" x14ac:dyDescent="0.15">
      <c r="A201" s="10"/>
      <c r="B201" s="10"/>
      <c r="C201" s="10"/>
      <c r="D201" s="10"/>
      <c r="E201" s="7"/>
      <c r="F201" s="10"/>
      <c r="G201" s="10"/>
      <c r="H201" s="8"/>
      <c r="I201" s="14"/>
      <c r="J201" s="8" t="str">
        <f t="shared" si="9"/>
        <v>贷</v>
      </c>
      <c r="K201" s="41"/>
      <c r="L201" s="9"/>
    </row>
    <row r="202" spans="1:12" ht="20.100000000000001" customHeight="1" x14ac:dyDescent="0.15">
      <c r="A202" s="10"/>
      <c r="B202" s="10"/>
      <c r="C202" s="10"/>
      <c r="D202" s="10"/>
      <c r="E202" s="7"/>
      <c r="F202" s="10"/>
      <c r="G202" s="10"/>
      <c r="H202" s="8"/>
      <c r="I202" s="14"/>
      <c r="J202" s="8" t="str">
        <f t="shared" si="9"/>
        <v>贷</v>
      </c>
      <c r="K202" s="41"/>
      <c r="L202" s="9"/>
    </row>
    <row r="203" spans="1:12" ht="20.100000000000001" customHeight="1" x14ac:dyDescent="0.15">
      <c r="A203" s="10"/>
      <c r="B203" s="10"/>
      <c r="C203" s="10"/>
      <c r="D203" s="10"/>
      <c r="E203" s="10"/>
      <c r="F203" s="10"/>
      <c r="G203" s="10"/>
      <c r="H203" s="8"/>
      <c r="I203" s="14"/>
      <c r="J203" s="8" t="str">
        <f t="shared" si="9"/>
        <v>贷</v>
      </c>
      <c r="K203" s="41"/>
      <c r="L203" s="9"/>
    </row>
    <row r="204" spans="1:12" ht="20.100000000000001" customHeight="1" x14ac:dyDescent="0.15">
      <c r="A204" s="10"/>
      <c r="B204" s="10"/>
      <c r="C204" s="10"/>
      <c r="D204" s="10"/>
      <c r="E204" s="11"/>
      <c r="F204" s="10"/>
      <c r="G204" s="10"/>
      <c r="H204" s="8"/>
      <c r="I204" s="14"/>
      <c r="J204" s="8" t="str">
        <f t="shared" si="9"/>
        <v>贷</v>
      </c>
      <c r="K204" s="41"/>
      <c r="L204" s="9"/>
    </row>
    <row r="205" spans="1:12" ht="20.100000000000001" customHeight="1" x14ac:dyDescent="0.15">
      <c r="A205" s="10"/>
      <c r="B205" s="10"/>
      <c r="C205" s="10"/>
      <c r="D205" s="10"/>
      <c r="E205" s="7"/>
      <c r="F205" s="10"/>
      <c r="G205" s="10"/>
      <c r="H205" s="8"/>
      <c r="I205" s="14"/>
      <c r="J205" s="8" t="str">
        <f t="shared" si="9"/>
        <v>贷</v>
      </c>
      <c r="K205" s="41"/>
      <c r="L205" s="9"/>
    </row>
    <row r="206" spans="1:12" ht="20.100000000000001" customHeight="1" x14ac:dyDescent="0.15">
      <c r="A206" s="10"/>
      <c r="B206" s="10"/>
      <c r="C206" s="10"/>
      <c r="D206" s="10"/>
      <c r="E206" s="7"/>
      <c r="F206" s="10"/>
      <c r="G206" s="10"/>
      <c r="H206" s="8"/>
      <c r="I206" s="14"/>
      <c r="J206" s="8" t="str">
        <f t="shared" ref="J206:J269" si="10">IF((K205+H206-I206)&gt;0,"借","贷")</f>
        <v>贷</v>
      </c>
      <c r="K206" s="41"/>
      <c r="L206" s="9"/>
    </row>
    <row r="207" spans="1:12" ht="20.100000000000001" customHeight="1" x14ac:dyDescent="0.15">
      <c r="A207" s="10"/>
      <c r="B207" s="10"/>
      <c r="C207" s="10"/>
      <c r="D207" s="10"/>
      <c r="E207" s="7"/>
      <c r="F207" s="10"/>
      <c r="G207" s="10"/>
      <c r="H207" s="8"/>
      <c r="I207" s="14"/>
      <c r="J207" s="8" t="str">
        <f t="shared" si="10"/>
        <v>贷</v>
      </c>
      <c r="K207" s="41"/>
      <c r="L207" s="9"/>
    </row>
    <row r="208" spans="1:12" ht="20.100000000000001" customHeight="1" x14ac:dyDescent="0.15">
      <c r="A208" s="10"/>
      <c r="B208" s="10"/>
      <c r="C208" s="10"/>
      <c r="D208" s="10"/>
      <c r="E208" s="10"/>
      <c r="F208" s="10"/>
      <c r="G208" s="10"/>
      <c r="H208" s="8"/>
      <c r="I208" s="14"/>
      <c r="J208" s="8" t="str">
        <f t="shared" si="10"/>
        <v>贷</v>
      </c>
      <c r="K208" s="41"/>
      <c r="L208" s="9"/>
    </row>
    <row r="209" spans="1:13" ht="20.100000000000001" customHeight="1" x14ac:dyDescent="0.15">
      <c r="A209" s="10"/>
      <c r="B209" s="10"/>
      <c r="C209" s="10"/>
      <c r="D209" s="10"/>
      <c r="E209" s="7"/>
      <c r="F209" s="10"/>
      <c r="G209" s="10"/>
      <c r="H209" s="8"/>
      <c r="I209" s="14"/>
      <c r="J209" s="8" t="str">
        <f t="shared" si="10"/>
        <v>贷</v>
      </c>
      <c r="K209" s="41"/>
      <c r="L209" s="9"/>
    </row>
    <row r="210" spans="1:13" ht="20.100000000000001" customHeight="1" x14ac:dyDescent="0.15">
      <c r="A210" s="10"/>
      <c r="B210" s="10"/>
      <c r="C210" s="10"/>
      <c r="D210" s="10"/>
      <c r="E210" s="10"/>
      <c r="F210" s="10"/>
      <c r="G210" s="10"/>
      <c r="H210" s="8"/>
      <c r="I210" s="14"/>
      <c r="J210" s="8" t="str">
        <f t="shared" si="10"/>
        <v>贷</v>
      </c>
      <c r="K210" s="41"/>
      <c r="L210" s="9"/>
    </row>
    <row r="211" spans="1:13" ht="20.100000000000001" customHeight="1" x14ac:dyDescent="0.15">
      <c r="A211" s="10"/>
      <c r="B211" s="10"/>
      <c r="C211" s="10"/>
      <c r="D211" s="10"/>
      <c r="E211" s="7"/>
      <c r="F211" s="10"/>
      <c r="G211" s="10"/>
      <c r="H211" s="8"/>
      <c r="I211" s="14"/>
      <c r="J211" s="8" t="str">
        <f t="shared" si="10"/>
        <v>贷</v>
      </c>
      <c r="K211" s="41"/>
      <c r="L211" s="9"/>
    </row>
    <row r="212" spans="1:13" ht="20.100000000000001" customHeight="1" x14ac:dyDescent="0.15">
      <c r="A212" s="10"/>
      <c r="B212" s="10"/>
      <c r="C212" s="10"/>
      <c r="D212" s="10"/>
      <c r="E212" s="10"/>
      <c r="F212" s="10"/>
      <c r="G212" s="10"/>
      <c r="H212" s="8"/>
      <c r="I212" s="14"/>
      <c r="J212" s="8" t="str">
        <f t="shared" si="10"/>
        <v>贷</v>
      </c>
      <c r="K212" s="41"/>
      <c r="L212" s="9"/>
    </row>
    <row r="213" spans="1:13" ht="20.100000000000001" customHeight="1" x14ac:dyDescent="0.15">
      <c r="A213" s="10"/>
      <c r="B213" s="10"/>
      <c r="C213" s="10"/>
      <c r="D213" s="10"/>
      <c r="E213" s="7"/>
      <c r="F213" s="10"/>
      <c r="G213" s="10"/>
      <c r="H213" s="8"/>
      <c r="I213" s="14"/>
      <c r="J213" s="8" t="str">
        <f t="shared" si="10"/>
        <v>贷</v>
      </c>
      <c r="K213" s="41"/>
      <c r="L213" s="9"/>
    </row>
    <row r="214" spans="1:13" ht="20.100000000000001" customHeight="1" x14ac:dyDescent="0.15">
      <c r="A214" s="10"/>
      <c r="B214" s="10"/>
      <c r="C214" s="10"/>
      <c r="D214" s="10"/>
      <c r="E214" s="10"/>
      <c r="F214" s="10"/>
      <c r="G214" s="10"/>
      <c r="H214" s="8"/>
      <c r="I214" s="14"/>
      <c r="J214" s="8" t="str">
        <f t="shared" si="10"/>
        <v>贷</v>
      </c>
      <c r="K214" s="41"/>
      <c r="L214" s="9"/>
    </row>
    <row r="215" spans="1:13" ht="20.100000000000001" customHeight="1" x14ac:dyDescent="0.15">
      <c r="A215" s="10"/>
      <c r="B215" s="10"/>
      <c r="C215" s="10"/>
      <c r="D215" s="10"/>
      <c r="E215" s="7"/>
      <c r="F215" s="10"/>
      <c r="G215" s="10"/>
      <c r="H215" s="8"/>
      <c r="I215" s="14"/>
      <c r="J215" s="8" t="str">
        <f t="shared" si="10"/>
        <v>贷</v>
      </c>
      <c r="K215" s="41"/>
      <c r="L215" s="9"/>
    </row>
    <row r="216" spans="1:13" ht="20.100000000000001" customHeight="1" x14ac:dyDescent="0.15">
      <c r="A216" s="10"/>
      <c r="B216" s="10"/>
      <c r="C216" s="10"/>
      <c r="D216" s="10"/>
      <c r="E216" s="10"/>
      <c r="F216" s="10"/>
      <c r="G216" s="10"/>
      <c r="H216" s="8"/>
      <c r="I216" s="14"/>
      <c r="J216" s="8" t="str">
        <f t="shared" si="10"/>
        <v>贷</v>
      </c>
      <c r="K216" s="41"/>
      <c r="L216" s="9"/>
    </row>
    <row r="217" spans="1:13" ht="20.100000000000001" customHeight="1" x14ac:dyDescent="0.15">
      <c r="A217" s="10"/>
      <c r="B217" s="10"/>
      <c r="C217" s="10"/>
      <c r="D217" s="10"/>
      <c r="E217" s="7"/>
      <c r="F217" s="10"/>
      <c r="G217" s="10"/>
      <c r="H217" s="8"/>
      <c r="I217" s="14"/>
      <c r="J217" s="8" t="str">
        <f t="shared" si="10"/>
        <v>贷</v>
      </c>
      <c r="K217" s="41"/>
      <c r="L217" s="9"/>
    </row>
    <row r="218" spans="1:13" ht="20.100000000000001" customHeight="1" x14ac:dyDescent="0.15">
      <c r="A218" s="10"/>
      <c r="B218" s="5"/>
      <c r="C218" s="5"/>
      <c r="D218" s="10"/>
      <c r="E218" s="7"/>
      <c r="F218" s="10"/>
      <c r="G218" s="10"/>
      <c r="H218" s="8"/>
      <c r="I218" s="14"/>
      <c r="J218" s="8" t="str">
        <f t="shared" si="10"/>
        <v>贷</v>
      </c>
      <c r="K218" s="41"/>
      <c r="L218" s="9"/>
    </row>
    <row r="219" spans="1:13" ht="20.100000000000001" customHeight="1" x14ac:dyDescent="0.15">
      <c r="A219" s="10"/>
      <c r="B219" s="10"/>
      <c r="C219" s="10"/>
      <c r="D219" s="10"/>
      <c r="E219" s="7"/>
      <c r="F219" s="10"/>
      <c r="G219" s="10"/>
      <c r="H219" s="8"/>
      <c r="I219" s="14"/>
      <c r="J219" s="8" t="str">
        <f t="shared" si="10"/>
        <v>贷</v>
      </c>
      <c r="K219" s="41"/>
      <c r="L219" s="9"/>
    </row>
    <row r="220" spans="1:13" ht="20.100000000000001" customHeight="1" x14ac:dyDescent="0.15">
      <c r="A220" s="10"/>
      <c r="B220" s="10"/>
      <c r="C220" s="10"/>
      <c r="D220" s="10"/>
      <c r="E220" s="10"/>
      <c r="F220" s="10"/>
      <c r="G220" s="10"/>
      <c r="H220" s="8"/>
      <c r="I220" s="14"/>
      <c r="J220" s="8" t="str">
        <f t="shared" si="10"/>
        <v>贷</v>
      </c>
      <c r="K220" s="41"/>
      <c r="L220" s="9"/>
    </row>
    <row r="221" spans="1:13" ht="20.100000000000001" customHeight="1" x14ac:dyDescent="0.15">
      <c r="A221" s="10"/>
      <c r="B221" s="10"/>
      <c r="C221" s="10"/>
      <c r="D221" s="10"/>
      <c r="E221" s="10"/>
      <c r="F221" s="10"/>
      <c r="G221" s="10"/>
      <c r="H221" s="8"/>
      <c r="I221" s="14"/>
      <c r="J221" s="8" t="str">
        <f t="shared" si="10"/>
        <v>贷</v>
      </c>
      <c r="K221" s="41"/>
      <c r="L221" s="9"/>
      <c r="M221" s="99"/>
    </row>
    <row r="222" spans="1:13" ht="20.100000000000001" customHeight="1" x14ac:dyDescent="0.15">
      <c r="A222" s="10"/>
      <c r="B222" s="10"/>
      <c r="C222" s="10"/>
      <c r="D222" s="10"/>
      <c r="E222" s="10"/>
      <c r="F222" s="10"/>
      <c r="G222" s="10"/>
      <c r="H222" s="8"/>
      <c r="I222" s="14"/>
      <c r="J222" s="8" t="str">
        <f t="shared" si="10"/>
        <v>贷</v>
      </c>
      <c r="K222" s="41"/>
      <c r="L222" s="9"/>
      <c r="M222" s="99"/>
    </row>
    <row r="223" spans="1:13" ht="20.100000000000001" customHeight="1" x14ac:dyDescent="0.15">
      <c r="A223" s="10"/>
      <c r="B223" s="10"/>
      <c r="C223" s="10"/>
      <c r="D223" s="10"/>
      <c r="E223" s="10"/>
      <c r="F223" s="10"/>
      <c r="G223" s="10"/>
      <c r="H223" s="8"/>
      <c r="I223" s="14"/>
      <c r="J223" s="8" t="str">
        <f t="shared" si="10"/>
        <v>贷</v>
      </c>
      <c r="K223" s="41"/>
      <c r="L223" s="9"/>
    </row>
    <row r="224" spans="1:13" ht="20.100000000000001" customHeight="1" x14ac:dyDescent="0.15">
      <c r="A224" s="10"/>
      <c r="B224" s="10"/>
      <c r="C224" s="10"/>
      <c r="D224" s="10"/>
      <c r="E224" s="10"/>
      <c r="F224" s="10"/>
      <c r="G224" s="10"/>
      <c r="H224" s="8"/>
      <c r="I224" s="14"/>
      <c r="J224" s="8" t="str">
        <f t="shared" si="10"/>
        <v>贷</v>
      </c>
      <c r="K224" s="41"/>
      <c r="L224" s="9"/>
    </row>
    <row r="225" spans="1:14" ht="20.100000000000001" customHeight="1" x14ac:dyDescent="0.15">
      <c r="A225" s="10"/>
      <c r="B225" s="10"/>
      <c r="C225" s="10"/>
      <c r="D225" s="10"/>
      <c r="E225" s="10"/>
      <c r="F225" s="10"/>
      <c r="G225" s="10"/>
      <c r="H225" s="8"/>
      <c r="I225" s="14"/>
      <c r="J225" s="8" t="str">
        <f t="shared" si="10"/>
        <v>贷</v>
      </c>
      <c r="K225" s="41"/>
      <c r="L225" s="9"/>
    </row>
    <row r="226" spans="1:14" ht="20.100000000000001" customHeight="1" x14ac:dyDescent="0.15">
      <c r="A226" s="10"/>
      <c r="B226" s="10"/>
      <c r="C226" s="10"/>
      <c r="D226" s="10"/>
      <c r="E226" s="10"/>
      <c r="F226" s="10"/>
      <c r="G226" s="10"/>
      <c r="H226" s="8"/>
      <c r="I226" s="14"/>
      <c r="J226" s="8" t="str">
        <f t="shared" si="10"/>
        <v>贷</v>
      </c>
      <c r="K226" s="41"/>
      <c r="L226" s="9"/>
    </row>
    <row r="227" spans="1:14" ht="20.100000000000001" customHeight="1" x14ac:dyDescent="0.15">
      <c r="A227" s="10"/>
      <c r="B227" s="10"/>
      <c r="C227" s="10"/>
      <c r="D227" s="10"/>
      <c r="E227" s="10"/>
      <c r="F227" s="10"/>
      <c r="G227" s="10"/>
      <c r="H227" s="14"/>
      <c r="I227" s="14"/>
      <c r="J227" s="8" t="str">
        <f t="shared" si="10"/>
        <v>贷</v>
      </c>
      <c r="K227" s="41"/>
      <c r="L227" s="9"/>
    </row>
    <row r="228" spans="1:14" ht="20.100000000000001" customHeight="1" x14ac:dyDescent="0.15">
      <c r="A228" s="10"/>
      <c r="B228" s="10"/>
      <c r="C228" s="10"/>
      <c r="D228" s="10"/>
      <c r="E228" s="10"/>
      <c r="F228" s="10"/>
      <c r="G228" s="10"/>
      <c r="H228" s="8"/>
      <c r="I228" s="14"/>
      <c r="J228" s="8" t="str">
        <f t="shared" si="10"/>
        <v>贷</v>
      </c>
      <c r="K228" s="41"/>
      <c r="L228" s="9"/>
    </row>
    <row r="229" spans="1:14" ht="20.100000000000001" customHeight="1" x14ac:dyDescent="0.15">
      <c r="A229" s="10"/>
      <c r="B229" s="10"/>
      <c r="C229" s="10"/>
      <c r="D229" s="10"/>
      <c r="E229" s="10"/>
      <c r="F229" s="10"/>
      <c r="G229" s="10"/>
      <c r="H229" s="8"/>
      <c r="I229" s="14"/>
      <c r="J229" s="8" t="str">
        <f t="shared" si="10"/>
        <v>贷</v>
      </c>
      <c r="K229" s="41"/>
      <c r="L229" s="9"/>
      <c r="N229" s="99"/>
    </row>
    <row r="230" spans="1:14" ht="20.100000000000001" customHeight="1" x14ac:dyDescent="0.15">
      <c r="A230" s="10"/>
      <c r="B230" s="10"/>
      <c r="C230" s="10"/>
      <c r="D230" s="10"/>
      <c r="E230" s="10"/>
      <c r="F230" s="10"/>
      <c r="G230" s="10"/>
      <c r="H230" s="8"/>
      <c r="I230" s="14"/>
      <c r="J230" s="8" t="str">
        <f t="shared" si="10"/>
        <v>贷</v>
      </c>
      <c r="K230" s="41"/>
      <c r="L230" s="9"/>
      <c r="N230" s="99"/>
    </row>
    <row r="231" spans="1:14" ht="20.100000000000001" customHeight="1" x14ac:dyDescent="0.15">
      <c r="A231" s="10"/>
      <c r="B231" s="10"/>
      <c r="C231" s="10"/>
      <c r="D231" s="10"/>
      <c r="E231" s="10"/>
      <c r="F231" s="10"/>
      <c r="G231" s="10"/>
      <c r="H231" s="8"/>
      <c r="I231" s="14"/>
      <c r="J231" s="8" t="str">
        <f t="shared" si="10"/>
        <v>贷</v>
      </c>
      <c r="K231" s="41"/>
      <c r="L231" s="9"/>
    </row>
    <row r="232" spans="1:14" ht="20.100000000000001" customHeight="1" x14ac:dyDescent="0.15">
      <c r="A232" s="10"/>
      <c r="B232" s="10"/>
      <c r="C232" s="10"/>
      <c r="D232" s="10"/>
      <c r="E232" s="10"/>
      <c r="F232" s="10"/>
      <c r="G232" s="10"/>
      <c r="H232" s="8"/>
      <c r="I232" s="14"/>
      <c r="J232" s="8" t="str">
        <f t="shared" si="10"/>
        <v>贷</v>
      </c>
      <c r="K232" s="41"/>
      <c r="L232" s="9"/>
    </row>
    <row r="233" spans="1:14" ht="20.100000000000001" customHeight="1" x14ac:dyDescent="0.15">
      <c r="A233" s="10"/>
      <c r="B233" s="10"/>
      <c r="C233" s="10"/>
      <c r="D233" s="10"/>
      <c r="E233" s="10"/>
      <c r="F233" s="10"/>
      <c r="G233" s="10"/>
      <c r="H233" s="8"/>
      <c r="I233" s="14"/>
      <c r="J233" s="8" t="str">
        <f t="shared" si="10"/>
        <v>贷</v>
      </c>
      <c r="K233" s="41"/>
      <c r="L233" s="9"/>
    </row>
    <row r="234" spans="1:14" ht="20.100000000000001" customHeight="1" x14ac:dyDescent="0.15">
      <c r="A234" s="10"/>
      <c r="B234" s="10"/>
      <c r="C234" s="10"/>
      <c r="D234" s="10"/>
      <c r="E234" s="10"/>
      <c r="F234" s="10"/>
      <c r="G234" s="10"/>
      <c r="H234" s="8"/>
      <c r="I234" s="14"/>
      <c r="J234" s="8" t="str">
        <f t="shared" si="10"/>
        <v>贷</v>
      </c>
      <c r="K234" s="41"/>
      <c r="L234" s="9"/>
    </row>
    <row r="235" spans="1:14" ht="20.100000000000001" customHeight="1" x14ac:dyDescent="0.15">
      <c r="A235" s="10"/>
      <c r="B235" s="10"/>
      <c r="C235" s="10"/>
      <c r="D235" s="10"/>
      <c r="E235" s="7"/>
      <c r="F235" s="10"/>
      <c r="G235" s="10"/>
      <c r="H235" s="8"/>
      <c r="I235" s="14"/>
      <c r="J235" s="23" t="str">
        <f t="shared" si="10"/>
        <v>贷</v>
      </c>
      <c r="K235" s="43"/>
      <c r="L235" s="9"/>
    </row>
    <row r="236" spans="1:14" ht="20.100000000000001" customHeight="1" x14ac:dyDescent="0.15">
      <c r="A236" s="10"/>
      <c r="B236" s="10"/>
      <c r="C236" s="10"/>
      <c r="D236" s="10"/>
      <c r="E236" s="7"/>
      <c r="F236" s="10"/>
      <c r="G236" s="10"/>
      <c r="H236" s="8"/>
      <c r="I236" s="14"/>
      <c r="J236" s="8" t="str">
        <f t="shared" si="10"/>
        <v>贷</v>
      </c>
      <c r="K236" s="41"/>
      <c r="L236" s="9"/>
    </row>
    <row r="237" spans="1:14" ht="20.100000000000001" customHeight="1" x14ac:dyDescent="0.15">
      <c r="A237" s="10"/>
      <c r="B237" s="10"/>
      <c r="C237" s="10"/>
      <c r="D237" s="10"/>
      <c r="E237" s="10"/>
      <c r="F237" s="10"/>
      <c r="G237" s="10"/>
      <c r="H237" s="8"/>
      <c r="I237" s="14"/>
      <c r="J237" s="8" t="str">
        <f t="shared" si="10"/>
        <v>贷</v>
      </c>
      <c r="K237" s="41"/>
      <c r="L237" s="9"/>
    </row>
    <row r="238" spans="1:14" ht="20.100000000000001" customHeight="1" x14ac:dyDescent="0.15">
      <c r="A238" s="10"/>
      <c r="B238" s="10"/>
      <c r="C238" s="10"/>
      <c r="D238" s="10"/>
      <c r="E238" s="10"/>
      <c r="F238" s="10"/>
      <c r="G238" s="10"/>
      <c r="H238" s="8"/>
      <c r="I238" s="14"/>
      <c r="J238" s="23" t="str">
        <f t="shared" si="10"/>
        <v>贷</v>
      </c>
      <c r="K238" s="41"/>
      <c r="L238" s="9"/>
    </row>
    <row r="239" spans="1:14" ht="20.100000000000001" customHeight="1" x14ac:dyDescent="0.15">
      <c r="A239" s="10"/>
      <c r="B239" s="10"/>
      <c r="C239" s="10"/>
      <c r="D239" s="10"/>
      <c r="E239" s="10"/>
      <c r="F239" s="10"/>
      <c r="G239" s="10"/>
      <c r="H239" s="8"/>
      <c r="I239" s="14"/>
      <c r="J239" s="8" t="str">
        <f t="shared" si="10"/>
        <v>贷</v>
      </c>
      <c r="K239" s="43"/>
      <c r="L239" s="9"/>
    </row>
    <row r="240" spans="1:14" ht="20.100000000000001" customHeight="1" x14ac:dyDescent="0.15">
      <c r="A240" s="10"/>
      <c r="B240" s="10"/>
      <c r="C240" s="10"/>
      <c r="D240" s="10"/>
      <c r="E240" s="10"/>
      <c r="F240" s="10"/>
      <c r="G240" s="10"/>
      <c r="H240" s="8"/>
      <c r="I240" s="14"/>
      <c r="J240" s="8" t="str">
        <f t="shared" si="10"/>
        <v>贷</v>
      </c>
      <c r="K240" s="41"/>
      <c r="L240" s="9"/>
    </row>
    <row r="241" spans="1:12" ht="20.100000000000001" customHeight="1" x14ac:dyDescent="0.15">
      <c r="A241" s="10"/>
      <c r="B241" s="10"/>
      <c r="C241" s="10"/>
      <c r="D241" s="10"/>
      <c r="E241" s="10"/>
      <c r="F241" s="10"/>
      <c r="G241" s="10"/>
      <c r="H241" s="8"/>
      <c r="I241" s="14"/>
      <c r="J241" s="23" t="str">
        <f t="shared" si="10"/>
        <v>贷</v>
      </c>
      <c r="K241" s="41"/>
      <c r="L241" s="9"/>
    </row>
    <row r="242" spans="1:12" ht="20.100000000000001" customHeight="1" x14ac:dyDescent="0.15">
      <c r="A242" s="10"/>
      <c r="B242" s="10"/>
      <c r="C242" s="10"/>
      <c r="D242" s="10"/>
      <c r="E242" s="10"/>
      <c r="F242" s="10"/>
      <c r="G242" s="10"/>
      <c r="H242" s="8"/>
      <c r="I242" s="14"/>
      <c r="J242" s="23" t="str">
        <f t="shared" si="10"/>
        <v>贷</v>
      </c>
      <c r="K242" s="41"/>
      <c r="L242" s="9"/>
    </row>
    <row r="243" spans="1:12" ht="20.100000000000001" customHeight="1" x14ac:dyDescent="0.15">
      <c r="A243" s="10"/>
      <c r="B243" s="10"/>
      <c r="C243" s="10"/>
      <c r="D243" s="10"/>
      <c r="E243" s="10"/>
      <c r="F243" s="10"/>
      <c r="G243" s="10"/>
      <c r="H243" s="8"/>
      <c r="I243" s="14"/>
      <c r="J243" s="23" t="str">
        <f t="shared" si="10"/>
        <v>贷</v>
      </c>
      <c r="K243" s="41"/>
      <c r="L243" s="9"/>
    </row>
    <row r="244" spans="1:12" ht="20.100000000000001" customHeight="1" x14ac:dyDescent="0.15">
      <c r="A244" s="10"/>
      <c r="B244" s="10"/>
      <c r="C244" s="10"/>
      <c r="D244" s="10"/>
      <c r="E244" s="10"/>
      <c r="F244" s="10"/>
      <c r="G244" s="10"/>
      <c r="H244" s="8"/>
      <c r="I244" s="14"/>
      <c r="J244" s="23" t="str">
        <f t="shared" si="10"/>
        <v>贷</v>
      </c>
      <c r="K244" s="41"/>
      <c r="L244" s="9"/>
    </row>
    <row r="245" spans="1:12" ht="20.100000000000001" customHeight="1" x14ac:dyDescent="0.15">
      <c r="A245" s="10"/>
      <c r="B245" s="10"/>
      <c r="C245" s="10"/>
      <c r="D245" s="10"/>
      <c r="E245" s="10"/>
      <c r="F245" s="10"/>
      <c r="G245" s="10"/>
      <c r="H245" s="8"/>
      <c r="I245" s="14"/>
      <c r="J245" s="23" t="str">
        <f t="shared" si="10"/>
        <v>贷</v>
      </c>
      <c r="K245" s="41"/>
      <c r="L245" s="9"/>
    </row>
    <row r="246" spans="1:12" ht="20.100000000000001" customHeight="1" x14ac:dyDescent="0.15">
      <c r="A246" s="10"/>
      <c r="B246" s="10"/>
      <c r="C246" s="10"/>
      <c r="D246" s="10"/>
      <c r="E246" s="10"/>
      <c r="F246" s="10"/>
      <c r="G246" s="10"/>
      <c r="H246" s="8"/>
      <c r="I246" s="14"/>
      <c r="J246" s="23" t="str">
        <f t="shared" si="10"/>
        <v>贷</v>
      </c>
      <c r="K246" s="41"/>
      <c r="L246" s="9"/>
    </row>
    <row r="247" spans="1:12" ht="20.100000000000001" customHeight="1" x14ac:dyDescent="0.15">
      <c r="A247" s="10"/>
      <c r="B247" s="10"/>
      <c r="C247" s="10"/>
      <c r="D247" s="10"/>
      <c r="E247" s="10"/>
      <c r="F247" s="10"/>
      <c r="G247" s="10"/>
      <c r="H247" s="8"/>
      <c r="I247" s="14"/>
      <c r="J247" s="23" t="str">
        <f t="shared" si="10"/>
        <v>贷</v>
      </c>
      <c r="K247" s="41"/>
      <c r="L247" s="9"/>
    </row>
    <row r="248" spans="1:12" ht="20.100000000000001" customHeight="1" x14ac:dyDescent="0.15">
      <c r="A248" s="10"/>
      <c r="B248" s="10"/>
      <c r="C248" s="10"/>
      <c r="D248" s="10"/>
      <c r="E248" s="10"/>
      <c r="F248" s="10"/>
      <c r="G248" s="10"/>
      <c r="H248" s="8"/>
      <c r="I248" s="44"/>
      <c r="J248" s="23" t="str">
        <f t="shared" si="10"/>
        <v>贷</v>
      </c>
      <c r="K248" s="41"/>
      <c r="L248" s="9"/>
    </row>
    <row r="249" spans="1:12" ht="20.100000000000001" customHeight="1" x14ac:dyDescent="0.15">
      <c r="A249" s="10"/>
      <c r="B249" s="10"/>
      <c r="C249" s="10"/>
      <c r="D249" s="10"/>
      <c r="E249" s="10"/>
      <c r="F249" s="10"/>
      <c r="G249" s="10"/>
      <c r="H249" s="8"/>
      <c r="I249" s="14"/>
      <c r="J249" s="23" t="str">
        <f t="shared" si="10"/>
        <v>贷</v>
      </c>
      <c r="K249" s="41"/>
      <c r="L249" s="9"/>
    </row>
    <row r="250" spans="1:12" ht="20.100000000000001" customHeight="1" x14ac:dyDescent="0.15">
      <c r="A250" s="10"/>
      <c r="B250" s="10"/>
      <c r="C250" s="10"/>
      <c r="D250" s="10"/>
      <c r="E250" s="10"/>
      <c r="F250" s="10"/>
      <c r="G250" s="10"/>
      <c r="H250" s="8"/>
      <c r="I250" s="14"/>
      <c r="J250" s="23" t="str">
        <f t="shared" si="10"/>
        <v>贷</v>
      </c>
      <c r="K250" s="41"/>
      <c r="L250" s="9"/>
    </row>
    <row r="251" spans="1:12" ht="20.100000000000001" customHeight="1" x14ac:dyDescent="0.15">
      <c r="A251" s="10"/>
      <c r="B251" s="10"/>
      <c r="C251" s="10"/>
      <c r="D251" s="10"/>
      <c r="E251" s="10"/>
      <c r="F251" s="10"/>
      <c r="G251" s="10"/>
      <c r="H251" s="8"/>
      <c r="I251" s="14"/>
      <c r="J251" s="23" t="str">
        <f t="shared" si="10"/>
        <v>贷</v>
      </c>
      <c r="K251" s="41"/>
      <c r="L251" s="9"/>
    </row>
    <row r="252" spans="1:12" ht="20.100000000000001" customHeight="1" x14ac:dyDescent="0.15">
      <c r="A252" s="10"/>
      <c r="B252" s="10"/>
      <c r="C252" s="10"/>
      <c r="D252" s="10"/>
      <c r="E252" s="10"/>
      <c r="F252" s="10"/>
      <c r="G252" s="10"/>
      <c r="H252" s="8"/>
      <c r="I252" s="14"/>
      <c r="J252" s="23" t="str">
        <f t="shared" si="10"/>
        <v>贷</v>
      </c>
      <c r="K252" s="41"/>
      <c r="L252" s="9"/>
    </row>
    <row r="253" spans="1:12" ht="20.100000000000001" customHeight="1" x14ac:dyDescent="0.15">
      <c r="A253" s="10"/>
      <c r="B253" s="10"/>
      <c r="C253" s="10"/>
      <c r="D253" s="10"/>
      <c r="E253" s="10"/>
      <c r="F253" s="10"/>
      <c r="G253" s="10"/>
      <c r="H253" s="8"/>
      <c r="I253" s="14"/>
      <c r="J253" s="23" t="str">
        <f t="shared" si="10"/>
        <v>贷</v>
      </c>
      <c r="K253" s="41"/>
      <c r="L253" s="9"/>
    </row>
    <row r="254" spans="1:12" ht="20.100000000000001" customHeight="1" x14ac:dyDescent="0.15">
      <c r="A254" s="10"/>
      <c r="B254" s="10"/>
      <c r="C254" s="10"/>
      <c r="D254" s="10"/>
      <c r="E254" s="10"/>
      <c r="F254" s="10"/>
      <c r="G254" s="10"/>
      <c r="H254" s="8"/>
      <c r="I254" s="14"/>
      <c r="J254" s="23" t="str">
        <f t="shared" si="10"/>
        <v>贷</v>
      </c>
      <c r="K254" s="41"/>
      <c r="L254" s="9"/>
    </row>
    <row r="255" spans="1:12" ht="20.100000000000001" customHeight="1" x14ac:dyDescent="0.15">
      <c r="A255" s="10"/>
      <c r="B255" s="10"/>
      <c r="C255" s="10"/>
      <c r="D255" s="10"/>
      <c r="E255" s="10"/>
      <c r="F255" s="10"/>
      <c r="G255" s="10"/>
      <c r="H255" s="8"/>
      <c r="I255" s="14"/>
      <c r="J255" s="8" t="str">
        <f t="shared" si="10"/>
        <v>贷</v>
      </c>
      <c r="K255" s="41"/>
      <c r="L255" s="9"/>
    </row>
    <row r="256" spans="1:12" ht="20.100000000000001" customHeight="1" x14ac:dyDescent="0.15">
      <c r="A256" s="10"/>
      <c r="B256" s="10"/>
      <c r="C256" s="10"/>
      <c r="D256" s="10"/>
      <c r="E256" s="10"/>
      <c r="F256" s="10"/>
      <c r="G256" s="10"/>
      <c r="H256" s="8"/>
      <c r="I256" s="14"/>
      <c r="J256" s="8" t="str">
        <f t="shared" si="10"/>
        <v>贷</v>
      </c>
      <c r="K256" s="41"/>
      <c r="L256" s="9"/>
    </row>
    <row r="257" spans="1:13" ht="20.100000000000001" customHeight="1" x14ac:dyDescent="0.15">
      <c r="A257" s="10"/>
      <c r="B257" s="10"/>
      <c r="C257" s="10"/>
      <c r="D257" s="10"/>
      <c r="E257" s="10"/>
      <c r="F257" s="10"/>
      <c r="G257" s="10"/>
      <c r="H257" s="8"/>
      <c r="I257" s="14"/>
      <c r="J257" s="8" t="str">
        <f t="shared" si="10"/>
        <v>贷</v>
      </c>
      <c r="K257" s="41"/>
      <c r="L257" s="9"/>
    </row>
    <row r="258" spans="1:13" ht="20.100000000000001" customHeight="1" x14ac:dyDescent="0.15">
      <c r="A258" s="10"/>
      <c r="B258" s="10"/>
      <c r="C258" s="10"/>
      <c r="D258" s="10"/>
      <c r="E258" s="10"/>
      <c r="F258" s="10"/>
      <c r="G258" s="10"/>
      <c r="H258" s="8"/>
      <c r="I258" s="14"/>
      <c r="J258" s="8" t="str">
        <f t="shared" si="10"/>
        <v>贷</v>
      </c>
      <c r="K258" s="41"/>
      <c r="L258" s="9"/>
    </row>
    <row r="259" spans="1:13" ht="20.100000000000001" customHeight="1" x14ac:dyDescent="0.15">
      <c r="A259" s="10"/>
      <c r="B259" s="10"/>
      <c r="C259" s="10"/>
      <c r="D259" s="10"/>
      <c r="E259" s="10"/>
      <c r="F259" s="10"/>
      <c r="G259" s="10"/>
      <c r="H259" s="8"/>
      <c r="I259" s="14"/>
      <c r="J259" s="8" t="str">
        <f t="shared" si="10"/>
        <v>贷</v>
      </c>
      <c r="K259" s="41"/>
      <c r="L259" s="9"/>
    </row>
    <row r="260" spans="1:13" ht="20.100000000000001" customHeight="1" x14ac:dyDescent="0.15">
      <c r="A260" s="10"/>
      <c r="B260" s="10"/>
      <c r="C260" s="10"/>
      <c r="D260" s="10"/>
      <c r="E260" s="10"/>
      <c r="F260" s="10"/>
      <c r="G260" s="10"/>
      <c r="H260" s="8"/>
      <c r="I260" s="14"/>
      <c r="J260" s="8" t="str">
        <f t="shared" si="10"/>
        <v>贷</v>
      </c>
      <c r="K260" s="41"/>
      <c r="L260" s="9"/>
    </row>
    <row r="261" spans="1:13" ht="20.100000000000001" customHeight="1" x14ac:dyDescent="0.15">
      <c r="A261" s="10"/>
      <c r="B261" s="10"/>
      <c r="C261" s="10"/>
      <c r="D261" s="10"/>
      <c r="E261" s="10"/>
      <c r="F261" s="10"/>
      <c r="G261" s="10"/>
      <c r="H261" s="8"/>
      <c r="I261" s="8"/>
      <c r="J261" s="8" t="str">
        <f t="shared" si="10"/>
        <v>贷</v>
      </c>
      <c r="K261" s="41"/>
      <c r="L261" s="9"/>
      <c r="M261" s="99"/>
    </row>
    <row r="262" spans="1:13" ht="20.100000000000001" customHeight="1" x14ac:dyDescent="0.15">
      <c r="A262" s="10"/>
      <c r="B262" s="10"/>
      <c r="C262" s="10"/>
      <c r="D262" s="10"/>
      <c r="E262" s="10"/>
      <c r="F262" s="10"/>
      <c r="G262" s="10"/>
      <c r="H262" s="8"/>
      <c r="I262" s="14"/>
      <c r="J262" s="8" t="str">
        <f t="shared" si="10"/>
        <v>贷</v>
      </c>
      <c r="K262" s="41"/>
      <c r="L262" s="9"/>
      <c r="M262" s="99"/>
    </row>
    <row r="263" spans="1:13" ht="20.100000000000001" customHeight="1" x14ac:dyDescent="0.15">
      <c r="A263" s="10"/>
      <c r="B263" s="10"/>
      <c r="C263" s="10"/>
      <c r="D263" s="10"/>
      <c r="E263" s="10"/>
      <c r="F263" s="10"/>
      <c r="G263" s="10"/>
      <c r="H263" s="8"/>
      <c r="I263" s="14"/>
      <c r="J263" s="8" t="str">
        <f t="shared" si="10"/>
        <v>贷</v>
      </c>
      <c r="K263" s="41"/>
      <c r="L263" s="9"/>
    </row>
    <row r="264" spans="1:13" ht="20.100000000000001" customHeight="1" x14ac:dyDescent="0.15">
      <c r="A264" s="10"/>
      <c r="B264" s="10"/>
      <c r="C264" s="10"/>
      <c r="D264" s="10"/>
      <c r="E264" s="10"/>
      <c r="F264" s="10"/>
      <c r="G264" s="10"/>
      <c r="H264" s="8"/>
      <c r="I264" s="14"/>
      <c r="J264" s="8" t="str">
        <f t="shared" si="10"/>
        <v>贷</v>
      </c>
      <c r="K264" s="41"/>
      <c r="L264" s="9"/>
    </row>
    <row r="265" spans="1:13" ht="20.100000000000001" customHeight="1" x14ac:dyDescent="0.15">
      <c r="A265" s="10"/>
      <c r="B265" s="10"/>
      <c r="C265" s="10"/>
      <c r="D265" s="10"/>
      <c r="E265" s="10"/>
      <c r="F265" s="10"/>
      <c r="G265" s="10"/>
      <c r="H265" s="8"/>
      <c r="I265" s="14"/>
      <c r="J265" s="8" t="str">
        <f t="shared" si="10"/>
        <v>贷</v>
      </c>
      <c r="K265" s="41"/>
      <c r="L265" s="9"/>
    </row>
    <row r="266" spans="1:13" ht="20.100000000000001" customHeight="1" x14ac:dyDescent="0.15">
      <c r="A266" s="10"/>
      <c r="B266" s="10"/>
      <c r="C266" s="10"/>
      <c r="D266" s="10"/>
      <c r="E266" s="10"/>
      <c r="F266" s="10"/>
      <c r="G266" s="10"/>
      <c r="H266" s="8"/>
      <c r="I266" s="14"/>
      <c r="J266" s="8" t="str">
        <f t="shared" si="10"/>
        <v>贷</v>
      </c>
      <c r="K266" s="41"/>
      <c r="L266" s="9"/>
    </row>
    <row r="267" spans="1:13" ht="20.100000000000001" customHeight="1" x14ac:dyDescent="0.15">
      <c r="A267" s="10"/>
      <c r="B267" s="10"/>
      <c r="C267" s="10"/>
      <c r="D267" s="10"/>
      <c r="E267" s="10"/>
      <c r="F267" s="10"/>
      <c r="G267" s="10"/>
      <c r="H267" s="8"/>
      <c r="I267" s="14"/>
      <c r="J267" s="8" t="str">
        <f t="shared" si="10"/>
        <v>贷</v>
      </c>
      <c r="K267" s="41"/>
      <c r="L267" s="9"/>
    </row>
    <row r="268" spans="1:13" ht="20.100000000000001" customHeight="1" x14ac:dyDescent="0.15">
      <c r="A268" s="10"/>
      <c r="B268" s="10"/>
      <c r="C268" s="10"/>
      <c r="D268" s="10"/>
      <c r="E268" s="10"/>
      <c r="F268" s="10"/>
      <c r="G268" s="10"/>
      <c r="H268" s="8"/>
      <c r="I268" s="14"/>
      <c r="J268" s="8" t="str">
        <f t="shared" si="10"/>
        <v>贷</v>
      </c>
      <c r="K268" s="41"/>
      <c r="L268" s="9"/>
    </row>
    <row r="269" spans="1:13" ht="20.100000000000001" customHeight="1" x14ac:dyDescent="0.15">
      <c r="A269" s="10"/>
      <c r="B269" s="10"/>
      <c r="C269" s="10"/>
      <c r="D269" s="10"/>
      <c r="E269" s="10"/>
      <c r="F269" s="10"/>
      <c r="G269" s="10"/>
      <c r="H269" s="8"/>
      <c r="I269" s="14"/>
      <c r="J269" s="8" t="str">
        <f t="shared" si="10"/>
        <v>贷</v>
      </c>
      <c r="K269" s="41"/>
      <c r="L269" s="9"/>
    </row>
    <row r="270" spans="1:13" ht="20.100000000000001" customHeight="1" x14ac:dyDescent="0.15">
      <c r="A270" s="10"/>
      <c r="B270" s="10"/>
      <c r="C270" s="10"/>
      <c r="D270" s="10"/>
      <c r="E270" s="10"/>
      <c r="F270" s="10"/>
      <c r="G270" s="10"/>
      <c r="H270" s="8"/>
      <c r="I270" s="14"/>
      <c r="J270" s="8" t="str">
        <f t="shared" ref="J270:J333" si="11">IF((K269+H270-I270)&gt;0,"借","贷")</f>
        <v>贷</v>
      </c>
      <c r="K270" s="41"/>
      <c r="L270" s="9"/>
    </row>
    <row r="271" spans="1:13" ht="20.100000000000001" customHeight="1" x14ac:dyDescent="0.15">
      <c r="A271" s="10"/>
      <c r="B271" s="10"/>
      <c r="C271" s="10"/>
      <c r="D271" s="10"/>
      <c r="E271" s="10"/>
      <c r="F271" s="10"/>
      <c r="G271" s="10"/>
      <c r="H271" s="8"/>
      <c r="I271" s="14"/>
      <c r="J271" s="8" t="str">
        <f t="shared" si="11"/>
        <v>贷</v>
      </c>
      <c r="K271" s="41"/>
      <c r="L271" s="9"/>
    </row>
    <row r="272" spans="1:13" ht="20.100000000000001" customHeight="1" x14ac:dyDescent="0.15">
      <c r="A272" s="10"/>
      <c r="B272" s="10"/>
      <c r="C272" s="10"/>
      <c r="D272" s="10"/>
      <c r="E272" s="10"/>
      <c r="F272" s="10"/>
      <c r="G272" s="10"/>
      <c r="H272" s="8"/>
      <c r="I272" s="14"/>
      <c r="J272" s="8" t="str">
        <f t="shared" si="11"/>
        <v>贷</v>
      </c>
      <c r="K272" s="41"/>
      <c r="L272" s="9"/>
    </row>
    <row r="273" spans="1:13" ht="20.100000000000001" customHeight="1" x14ac:dyDescent="0.15">
      <c r="A273" s="10"/>
      <c r="B273" s="10"/>
      <c r="C273" s="10"/>
      <c r="D273" s="10"/>
      <c r="E273" s="10"/>
      <c r="F273" s="10"/>
      <c r="G273" s="10"/>
      <c r="H273" s="8"/>
      <c r="I273" s="14"/>
      <c r="J273" s="8" t="str">
        <f t="shared" si="11"/>
        <v>贷</v>
      </c>
      <c r="K273" s="41"/>
      <c r="L273" s="9"/>
    </row>
    <row r="274" spans="1:13" ht="20.100000000000001" customHeight="1" x14ac:dyDescent="0.15">
      <c r="A274" s="10"/>
      <c r="B274" s="10"/>
      <c r="C274" s="10"/>
      <c r="D274" s="10"/>
      <c r="E274" s="10"/>
      <c r="F274" s="10"/>
      <c r="G274" s="10"/>
      <c r="H274" s="8"/>
      <c r="I274" s="14"/>
      <c r="J274" s="8" t="str">
        <f t="shared" si="11"/>
        <v>贷</v>
      </c>
      <c r="K274" s="41"/>
      <c r="L274" s="9"/>
    </row>
    <row r="275" spans="1:13" ht="20.100000000000001" customHeight="1" x14ac:dyDescent="0.15">
      <c r="A275" s="10"/>
      <c r="B275" s="10"/>
      <c r="C275" s="10"/>
      <c r="D275" s="10"/>
      <c r="E275" s="10"/>
      <c r="F275" s="10"/>
      <c r="G275" s="10"/>
      <c r="H275" s="8"/>
      <c r="I275" s="14"/>
      <c r="J275" s="8" t="str">
        <f t="shared" si="11"/>
        <v>贷</v>
      </c>
      <c r="K275" s="41"/>
      <c r="L275" s="9"/>
      <c r="M275" s="99"/>
    </row>
    <row r="276" spans="1:13" ht="20.100000000000001" customHeight="1" x14ac:dyDescent="0.15">
      <c r="A276" s="10"/>
      <c r="B276" s="10"/>
      <c r="C276" s="10"/>
      <c r="D276" s="10"/>
      <c r="E276" s="10"/>
      <c r="F276" s="10"/>
      <c r="G276" s="10"/>
      <c r="H276" s="8"/>
      <c r="I276" s="14"/>
      <c r="J276" s="8" t="str">
        <f t="shared" si="11"/>
        <v>贷</v>
      </c>
      <c r="K276" s="41"/>
      <c r="L276" s="9"/>
      <c r="M276" s="99"/>
    </row>
    <row r="277" spans="1:13" ht="20.100000000000001" customHeight="1" x14ac:dyDescent="0.15">
      <c r="A277" s="10"/>
      <c r="B277" s="10"/>
      <c r="C277" s="10"/>
      <c r="D277" s="10"/>
      <c r="E277" s="10"/>
      <c r="F277" s="10"/>
      <c r="G277" s="10"/>
      <c r="H277" s="8"/>
      <c r="I277" s="14"/>
      <c r="J277" s="8" t="str">
        <f t="shared" si="11"/>
        <v>贷</v>
      </c>
      <c r="K277" s="41"/>
      <c r="L277" s="9"/>
    </row>
    <row r="278" spans="1:13" ht="20.100000000000001" customHeight="1" x14ac:dyDescent="0.15">
      <c r="A278" s="10"/>
      <c r="B278" s="10"/>
      <c r="C278" s="10"/>
      <c r="D278" s="10"/>
      <c r="E278" s="10"/>
      <c r="F278" s="10"/>
      <c r="G278" s="10"/>
      <c r="H278" s="8"/>
      <c r="I278" s="14"/>
      <c r="J278" s="8" t="str">
        <f t="shared" si="11"/>
        <v>贷</v>
      </c>
      <c r="K278" s="41"/>
      <c r="L278" s="9"/>
    </row>
    <row r="279" spans="1:13" ht="20.100000000000001" customHeight="1" x14ac:dyDescent="0.15">
      <c r="A279" s="10"/>
      <c r="B279" s="10"/>
      <c r="C279" s="10"/>
      <c r="D279" s="10"/>
      <c r="E279" s="10"/>
      <c r="F279" s="10"/>
      <c r="G279" s="10"/>
      <c r="H279" s="8"/>
      <c r="I279" s="14"/>
      <c r="J279" s="8" t="str">
        <f t="shared" si="11"/>
        <v>贷</v>
      </c>
      <c r="K279" s="41"/>
      <c r="L279" s="9"/>
    </row>
    <row r="280" spans="1:13" ht="20.100000000000001" customHeight="1" x14ac:dyDescent="0.15">
      <c r="A280" s="10"/>
      <c r="B280" s="10"/>
      <c r="C280" s="10"/>
      <c r="D280" s="10"/>
      <c r="E280" s="10"/>
      <c r="F280" s="10"/>
      <c r="G280" s="10"/>
      <c r="H280" s="8"/>
      <c r="I280" s="14"/>
      <c r="J280" s="8" t="str">
        <f t="shared" si="11"/>
        <v>贷</v>
      </c>
      <c r="K280" s="41"/>
      <c r="L280" s="9"/>
    </row>
    <row r="281" spans="1:13" ht="20.100000000000001" customHeight="1" x14ac:dyDescent="0.15">
      <c r="A281" s="10"/>
      <c r="B281" s="10"/>
      <c r="C281" s="10"/>
      <c r="D281" s="10"/>
      <c r="E281" s="10"/>
      <c r="F281" s="10"/>
      <c r="G281" s="10"/>
      <c r="H281" s="8"/>
      <c r="I281" s="14"/>
      <c r="J281" s="8" t="str">
        <f t="shared" si="11"/>
        <v>贷</v>
      </c>
      <c r="K281" s="41"/>
      <c r="L281" s="9"/>
    </row>
    <row r="282" spans="1:13" ht="20.100000000000001" customHeight="1" x14ac:dyDescent="0.15">
      <c r="A282" s="10"/>
      <c r="B282" s="10"/>
      <c r="C282" s="10"/>
      <c r="D282" s="10"/>
      <c r="E282" s="10"/>
      <c r="F282" s="10"/>
      <c r="G282" s="10"/>
      <c r="H282" s="8"/>
      <c r="I282" s="14"/>
      <c r="J282" s="8" t="str">
        <f t="shared" si="11"/>
        <v>贷</v>
      </c>
      <c r="K282" s="41"/>
      <c r="L282" s="9"/>
    </row>
    <row r="283" spans="1:13" ht="20.100000000000001" customHeight="1" x14ac:dyDescent="0.15">
      <c r="A283" s="10"/>
      <c r="B283" s="10"/>
      <c r="C283" s="10"/>
      <c r="D283" s="10"/>
      <c r="E283" s="10"/>
      <c r="F283" s="10"/>
      <c r="G283" s="10"/>
      <c r="H283" s="8"/>
      <c r="I283" s="14"/>
      <c r="J283" s="8" t="str">
        <f t="shared" si="11"/>
        <v>贷</v>
      </c>
      <c r="K283" s="41"/>
      <c r="L283" s="9"/>
    </row>
    <row r="284" spans="1:13" ht="20.100000000000001" customHeight="1" x14ac:dyDescent="0.15">
      <c r="A284" s="10"/>
      <c r="B284" s="10"/>
      <c r="C284" s="10"/>
      <c r="D284" s="10"/>
      <c r="E284" s="10"/>
      <c r="F284" s="10"/>
      <c r="G284" s="10"/>
      <c r="H284" s="8"/>
      <c r="I284" s="14"/>
      <c r="J284" s="8" t="str">
        <f t="shared" si="11"/>
        <v>贷</v>
      </c>
      <c r="K284" s="41"/>
      <c r="L284" s="9"/>
    </row>
    <row r="285" spans="1:13" ht="20.100000000000001" customHeight="1" x14ac:dyDescent="0.15">
      <c r="A285" s="10"/>
      <c r="B285" s="10"/>
      <c r="C285" s="10"/>
      <c r="D285" s="10"/>
      <c r="E285" s="10"/>
      <c r="F285" s="10"/>
      <c r="G285" s="10"/>
      <c r="H285" s="8"/>
      <c r="I285" s="14"/>
      <c r="J285" s="8" t="str">
        <f t="shared" si="11"/>
        <v>贷</v>
      </c>
      <c r="K285" s="41"/>
      <c r="L285" s="9"/>
    </row>
    <row r="286" spans="1:13" ht="20.100000000000001" customHeight="1" x14ac:dyDescent="0.15">
      <c r="A286" s="10"/>
      <c r="B286" s="10"/>
      <c r="C286" s="10"/>
      <c r="D286" s="10"/>
      <c r="E286" s="10"/>
      <c r="F286" s="10"/>
      <c r="G286" s="10"/>
      <c r="H286" s="8"/>
      <c r="I286" s="14"/>
      <c r="J286" s="8" t="str">
        <f t="shared" si="11"/>
        <v>贷</v>
      </c>
      <c r="K286" s="41"/>
      <c r="L286" s="9"/>
    </row>
    <row r="287" spans="1:13" ht="20.100000000000001" customHeight="1" x14ac:dyDescent="0.15">
      <c r="A287" s="10"/>
      <c r="B287" s="10"/>
      <c r="C287" s="10"/>
      <c r="D287" s="10"/>
      <c r="E287" s="10"/>
      <c r="F287" s="10"/>
      <c r="G287" s="10"/>
      <c r="H287" s="8"/>
      <c r="I287" s="14"/>
      <c r="J287" s="8" t="str">
        <f t="shared" si="11"/>
        <v>贷</v>
      </c>
      <c r="K287" s="41"/>
      <c r="L287" s="9"/>
    </row>
    <row r="288" spans="1:13" ht="20.100000000000001" customHeight="1" x14ac:dyDescent="0.15">
      <c r="A288" s="10"/>
      <c r="B288" s="10"/>
      <c r="C288" s="10"/>
      <c r="D288" s="10"/>
      <c r="E288" s="10"/>
      <c r="F288" s="10"/>
      <c r="G288" s="10"/>
      <c r="H288" s="8"/>
      <c r="I288" s="14"/>
      <c r="J288" s="8" t="str">
        <f t="shared" si="11"/>
        <v>贷</v>
      </c>
      <c r="K288" s="41"/>
      <c r="L288" s="9"/>
    </row>
    <row r="289" spans="1:12" ht="20.100000000000001" customHeight="1" x14ac:dyDescent="0.15">
      <c r="A289" s="10"/>
      <c r="B289" s="10"/>
      <c r="C289" s="10"/>
      <c r="D289" s="10"/>
      <c r="E289" s="10"/>
      <c r="F289" s="10"/>
      <c r="G289" s="10"/>
      <c r="H289" s="8"/>
      <c r="I289" s="14"/>
      <c r="J289" s="8" t="str">
        <f t="shared" si="11"/>
        <v>贷</v>
      </c>
      <c r="K289" s="41"/>
      <c r="L289" s="9"/>
    </row>
    <row r="290" spans="1:12" ht="20.100000000000001" customHeight="1" x14ac:dyDescent="0.15">
      <c r="A290" s="10"/>
      <c r="B290" s="10"/>
      <c r="C290" s="10"/>
      <c r="D290" s="10"/>
      <c r="E290" s="10"/>
      <c r="F290" s="10"/>
      <c r="G290" s="10"/>
      <c r="H290" s="8"/>
      <c r="I290" s="14"/>
      <c r="J290" s="8" t="str">
        <f t="shared" si="11"/>
        <v>贷</v>
      </c>
      <c r="K290" s="41"/>
      <c r="L290" s="9"/>
    </row>
    <row r="291" spans="1:12" ht="20.100000000000001" customHeight="1" x14ac:dyDescent="0.15">
      <c r="A291" s="10"/>
      <c r="B291" s="10"/>
      <c r="C291" s="10"/>
      <c r="D291" s="10"/>
      <c r="E291" s="10"/>
      <c r="F291" s="10"/>
      <c r="G291" s="10"/>
      <c r="H291" s="8"/>
      <c r="I291" s="14"/>
      <c r="J291" s="8" t="str">
        <f t="shared" si="11"/>
        <v>贷</v>
      </c>
      <c r="K291" s="41"/>
      <c r="L291" s="9"/>
    </row>
    <row r="292" spans="1:12" ht="20.100000000000001" customHeight="1" x14ac:dyDescent="0.15">
      <c r="A292" s="10"/>
      <c r="B292" s="10"/>
      <c r="C292" s="10"/>
      <c r="D292" s="10"/>
      <c r="E292" s="10"/>
      <c r="F292" s="10"/>
      <c r="G292" s="10"/>
      <c r="H292" s="8"/>
      <c r="I292" s="14"/>
      <c r="J292" s="8" t="str">
        <f t="shared" si="11"/>
        <v>贷</v>
      </c>
      <c r="K292" s="41"/>
      <c r="L292" s="9"/>
    </row>
    <row r="293" spans="1:12" ht="20.100000000000001" customHeight="1" x14ac:dyDescent="0.15">
      <c r="A293" s="10"/>
      <c r="B293" s="10"/>
      <c r="C293" s="10"/>
      <c r="D293" s="10"/>
      <c r="E293" s="10"/>
      <c r="F293" s="10"/>
      <c r="G293" s="10"/>
      <c r="H293" s="8"/>
      <c r="I293" s="14"/>
      <c r="J293" s="8" t="str">
        <f t="shared" si="11"/>
        <v>贷</v>
      </c>
      <c r="K293" s="41"/>
      <c r="L293" s="9"/>
    </row>
    <row r="294" spans="1:12" ht="20.100000000000001" customHeight="1" x14ac:dyDescent="0.15">
      <c r="A294" s="10"/>
      <c r="B294" s="10"/>
      <c r="C294" s="10"/>
      <c r="D294" s="10"/>
      <c r="E294" s="10"/>
      <c r="F294" s="10"/>
      <c r="G294" s="10"/>
      <c r="H294" s="8"/>
      <c r="I294" s="14"/>
      <c r="J294" s="8" t="str">
        <f t="shared" si="11"/>
        <v>贷</v>
      </c>
      <c r="K294" s="41"/>
      <c r="L294" s="9"/>
    </row>
    <row r="295" spans="1:12" ht="20.100000000000001" customHeight="1" x14ac:dyDescent="0.15">
      <c r="A295" s="10"/>
      <c r="B295" s="10"/>
      <c r="C295" s="10"/>
      <c r="D295" s="10"/>
      <c r="E295" s="10"/>
      <c r="F295" s="10"/>
      <c r="G295" s="10"/>
      <c r="H295" s="8"/>
      <c r="I295" s="14"/>
      <c r="J295" s="8" t="str">
        <f t="shared" si="11"/>
        <v>贷</v>
      </c>
      <c r="K295" s="41"/>
      <c r="L295" s="9"/>
    </row>
    <row r="296" spans="1:12" ht="20.100000000000001" customHeight="1" x14ac:dyDescent="0.15">
      <c r="A296" s="10"/>
      <c r="B296" s="10"/>
      <c r="C296" s="10"/>
      <c r="D296" s="10"/>
      <c r="E296" s="10"/>
      <c r="F296" s="10"/>
      <c r="G296" s="10"/>
      <c r="H296" s="8"/>
      <c r="I296" s="14"/>
      <c r="J296" s="8" t="str">
        <f t="shared" si="11"/>
        <v>贷</v>
      </c>
      <c r="K296" s="41"/>
      <c r="L296" s="9"/>
    </row>
    <row r="297" spans="1:12" ht="20.100000000000001" customHeight="1" x14ac:dyDescent="0.15">
      <c r="A297" s="10"/>
      <c r="B297" s="10"/>
      <c r="C297" s="10"/>
      <c r="D297" s="10"/>
      <c r="E297" s="10"/>
      <c r="F297" s="10"/>
      <c r="G297" s="10"/>
      <c r="H297" s="8"/>
      <c r="I297" s="14"/>
      <c r="J297" s="8" t="str">
        <f t="shared" si="11"/>
        <v>贷</v>
      </c>
      <c r="K297" s="41"/>
      <c r="L297" s="9"/>
    </row>
    <row r="298" spans="1:12" ht="20.100000000000001" customHeight="1" x14ac:dyDescent="0.15">
      <c r="A298" s="10"/>
      <c r="B298" s="10"/>
      <c r="C298" s="10"/>
      <c r="D298" s="10"/>
      <c r="E298" s="10"/>
      <c r="F298" s="10"/>
      <c r="G298" s="10"/>
      <c r="H298" s="8"/>
      <c r="I298" s="14"/>
      <c r="J298" s="8" t="str">
        <f t="shared" si="11"/>
        <v>贷</v>
      </c>
      <c r="K298" s="41"/>
      <c r="L298" s="9"/>
    </row>
    <row r="299" spans="1:12" ht="20.100000000000001" customHeight="1" x14ac:dyDescent="0.15">
      <c r="A299" s="10"/>
      <c r="B299" s="10"/>
      <c r="C299" s="10"/>
      <c r="D299" s="10"/>
      <c r="E299" s="10"/>
      <c r="F299" s="10"/>
      <c r="G299" s="10"/>
      <c r="H299" s="8"/>
      <c r="I299" s="14"/>
      <c r="J299" s="8" t="str">
        <f t="shared" si="11"/>
        <v>贷</v>
      </c>
      <c r="K299" s="41"/>
      <c r="L299" s="9"/>
    </row>
    <row r="300" spans="1:12" ht="20.100000000000001" customHeight="1" x14ac:dyDescent="0.15">
      <c r="A300" s="10"/>
      <c r="B300" s="10"/>
      <c r="C300" s="10"/>
      <c r="D300" s="10"/>
      <c r="E300" s="10"/>
      <c r="F300" s="10"/>
      <c r="G300" s="10"/>
      <c r="H300" s="8"/>
      <c r="I300" s="14"/>
      <c r="J300" s="8" t="str">
        <f t="shared" si="11"/>
        <v>贷</v>
      </c>
      <c r="K300" s="41"/>
      <c r="L300" s="9"/>
    </row>
    <row r="301" spans="1:12" ht="20.100000000000001" customHeight="1" x14ac:dyDescent="0.15">
      <c r="A301" s="10"/>
      <c r="B301" s="10"/>
      <c r="C301" s="10"/>
      <c r="D301" s="10"/>
      <c r="E301" s="10"/>
      <c r="F301" s="10"/>
      <c r="G301" s="10"/>
      <c r="H301" s="8"/>
      <c r="I301" s="14"/>
      <c r="J301" s="8" t="str">
        <f t="shared" si="11"/>
        <v>贷</v>
      </c>
      <c r="K301" s="41"/>
      <c r="L301" s="9"/>
    </row>
    <row r="302" spans="1:12" ht="20.100000000000001" customHeight="1" x14ac:dyDescent="0.15">
      <c r="A302" s="10"/>
      <c r="B302" s="10"/>
      <c r="C302" s="10"/>
      <c r="D302" s="10"/>
      <c r="E302" s="10"/>
      <c r="F302" s="10"/>
      <c r="G302" s="10"/>
      <c r="H302" s="8"/>
      <c r="I302" s="14"/>
      <c r="J302" s="8" t="str">
        <f t="shared" si="11"/>
        <v>贷</v>
      </c>
      <c r="K302" s="41"/>
      <c r="L302" s="9"/>
    </row>
    <row r="303" spans="1:12" ht="20.100000000000001" customHeight="1" x14ac:dyDescent="0.15">
      <c r="A303" s="10"/>
      <c r="B303" s="10"/>
      <c r="C303" s="10"/>
      <c r="D303" s="10"/>
      <c r="E303" s="10"/>
      <c r="F303" s="10"/>
      <c r="G303" s="10"/>
      <c r="H303" s="8"/>
      <c r="I303" s="14"/>
      <c r="J303" s="8" t="str">
        <f t="shared" si="11"/>
        <v>贷</v>
      </c>
      <c r="K303" s="41"/>
      <c r="L303" s="9"/>
    </row>
    <row r="304" spans="1:12" ht="20.100000000000001" customHeight="1" x14ac:dyDescent="0.15">
      <c r="A304" s="10"/>
      <c r="B304" s="10"/>
      <c r="C304" s="10"/>
      <c r="D304" s="10"/>
      <c r="E304" s="10"/>
      <c r="F304" s="10"/>
      <c r="G304" s="10"/>
      <c r="H304" s="8"/>
      <c r="I304" s="14"/>
      <c r="J304" s="8" t="str">
        <f t="shared" si="11"/>
        <v>贷</v>
      </c>
      <c r="K304" s="41"/>
      <c r="L304" s="9"/>
    </row>
    <row r="305" spans="1:12" ht="20.100000000000001" customHeight="1" x14ac:dyDescent="0.15">
      <c r="A305" s="10"/>
      <c r="B305" s="10"/>
      <c r="C305" s="10"/>
      <c r="D305" s="10"/>
      <c r="E305" s="10"/>
      <c r="F305" s="10"/>
      <c r="G305" s="10"/>
      <c r="H305" s="8"/>
      <c r="I305" s="14"/>
      <c r="J305" s="8" t="str">
        <f t="shared" si="11"/>
        <v>贷</v>
      </c>
      <c r="K305" s="41"/>
      <c r="L305" s="9"/>
    </row>
    <row r="306" spans="1:12" ht="20.100000000000001" customHeight="1" x14ac:dyDescent="0.15">
      <c r="A306" s="10"/>
      <c r="B306" s="10"/>
      <c r="C306" s="10"/>
      <c r="D306" s="10"/>
      <c r="E306" s="10"/>
      <c r="F306" s="10"/>
      <c r="G306" s="10"/>
      <c r="H306" s="8"/>
      <c r="I306" s="14"/>
      <c r="J306" s="8" t="str">
        <f t="shared" si="11"/>
        <v>贷</v>
      </c>
      <c r="K306" s="41"/>
      <c r="L306" s="9"/>
    </row>
    <row r="307" spans="1:12" ht="20.100000000000001" customHeight="1" x14ac:dyDescent="0.15">
      <c r="A307" s="10"/>
      <c r="B307" s="10"/>
      <c r="C307" s="10"/>
      <c r="D307" s="10"/>
      <c r="E307" s="10"/>
      <c r="F307" s="10"/>
      <c r="G307" s="10"/>
      <c r="H307" s="8"/>
      <c r="I307" s="14"/>
      <c r="J307" s="8" t="str">
        <f t="shared" si="11"/>
        <v>贷</v>
      </c>
      <c r="K307" s="41"/>
      <c r="L307" s="9"/>
    </row>
    <row r="308" spans="1:12" ht="20.100000000000001" customHeight="1" x14ac:dyDescent="0.15">
      <c r="A308" s="10"/>
      <c r="B308" s="10"/>
      <c r="C308" s="10"/>
      <c r="D308" s="10"/>
      <c r="E308" s="10"/>
      <c r="F308" s="10"/>
      <c r="G308" s="10"/>
      <c r="H308" s="8"/>
      <c r="I308" s="14"/>
      <c r="J308" s="8" t="str">
        <f t="shared" si="11"/>
        <v>贷</v>
      </c>
      <c r="K308" s="41"/>
      <c r="L308" s="9"/>
    </row>
    <row r="309" spans="1:12" ht="20.100000000000001" customHeight="1" x14ac:dyDescent="0.15">
      <c r="A309" s="10"/>
      <c r="B309" s="10"/>
      <c r="C309" s="10"/>
      <c r="D309" s="10"/>
      <c r="E309" s="10"/>
      <c r="F309" s="10"/>
      <c r="G309" s="10"/>
      <c r="H309" s="8"/>
      <c r="I309" s="14"/>
      <c r="J309" s="8" t="str">
        <f t="shared" si="11"/>
        <v>贷</v>
      </c>
      <c r="K309" s="41"/>
      <c r="L309" s="9"/>
    </row>
    <row r="310" spans="1:12" ht="20.100000000000001" customHeight="1" x14ac:dyDescent="0.15">
      <c r="A310" s="10"/>
      <c r="B310" s="10"/>
      <c r="C310" s="10"/>
      <c r="D310" s="10"/>
      <c r="E310" s="10"/>
      <c r="F310" s="10"/>
      <c r="G310" s="10"/>
      <c r="H310" s="8"/>
      <c r="I310" s="14"/>
      <c r="J310" s="8" t="str">
        <f t="shared" si="11"/>
        <v>贷</v>
      </c>
      <c r="K310" s="41"/>
      <c r="L310" s="9"/>
    </row>
    <row r="311" spans="1:12" ht="20.100000000000001" customHeight="1" x14ac:dyDescent="0.15">
      <c r="A311" s="10"/>
      <c r="B311" s="10"/>
      <c r="C311" s="10"/>
      <c r="D311" s="10"/>
      <c r="E311" s="10"/>
      <c r="F311" s="10"/>
      <c r="G311" s="10"/>
      <c r="H311" s="8"/>
      <c r="I311" s="14"/>
      <c r="J311" s="8" t="str">
        <f t="shared" si="11"/>
        <v>贷</v>
      </c>
      <c r="K311" s="41"/>
      <c r="L311" s="9"/>
    </row>
    <row r="312" spans="1:12" ht="20.100000000000001" customHeight="1" x14ac:dyDescent="0.15">
      <c r="A312" s="10"/>
      <c r="B312" s="10"/>
      <c r="C312" s="10"/>
      <c r="D312" s="10"/>
      <c r="E312" s="10"/>
      <c r="F312" s="10"/>
      <c r="G312" s="10"/>
      <c r="H312" s="8"/>
      <c r="I312" s="14"/>
      <c r="J312" s="8" t="str">
        <f t="shared" si="11"/>
        <v>贷</v>
      </c>
      <c r="K312" s="41"/>
      <c r="L312" s="9"/>
    </row>
    <row r="313" spans="1:12" ht="20.100000000000001" customHeight="1" x14ac:dyDescent="0.15">
      <c r="A313" s="10"/>
      <c r="B313" s="10"/>
      <c r="C313" s="10"/>
      <c r="D313" s="10"/>
      <c r="E313" s="10"/>
      <c r="F313" s="10"/>
      <c r="G313" s="10"/>
      <c r="H313" s="8"/>
      <c r="I313" s="14"/>
      <c r="J313" s="8" t="str">
        <f t="shared" si="11"/>
        <v>贷</v>
      </c>
      <c r="K313" s="41"/>
      <c r="L313" s="9"/>
    </row>
    <row r="314" spans="1:12" ht="20.100000000000001" customHeight="1" x14ac:dyDescent="0.15">
      <c r="A314" s="10"/>
      <c r="B314" s="10"/>
      <c r="C314" s="10"/>
      <c r="D314" s="10"/>
      <c r="E314" s="10"/>
      <c r="F314" s="10"/>
      <c r="G314" s="10"/>
      <c r="H314" s="8"/>
      <c r="I314" s="14"/>
      <c r="J314" s="8" t="str">
        <f t="shared" si="11"/>
        <v>贷</v>
      </c>
      <c r="K314" s="41"/>
      <c r="L314" s="9"/>
    </row>
    <row r="315" spans="1:12" ht="20.100000000000001" customHeight="1" x14ac:dyDescent="0.15">
      <c r="A315" s="10"/>
      <c r="B315" s="10"/>
      <c r="C315" s="10"/>
      <c r="D315" s="10"/>
      <c r="E315" s="10"/>
      <c r="F315" s="10"/>
      <c r="G315" s="10"/>
      <c r="H315" s="8"/>
      <c r="I315" s="14"/>
      <c r="J315" s="8" t="str">
        <f t="shared" si="11"/>
        <v>贷</v>
      </c>
      <c r="K315" s="41"/>
      <c r="L315" s="9"/>
    </row>
    <row r="316" spans="1:12" ht="20.100000000000001" customHeight="1" x14ac:dyDescent="0.15">
      <c r="A316" s="10"/>
      <c r="B316" s="10"/>
      <c r="C316" s="10"/>
      <c r="D316" s="10"/>
      <c r="E316" s="10"/>
      <c r="F316" s="10"/>
      <c r="G316" s="10"/>
      <c r="H316" s="8"/>
      <c r="I316" s="14"/>
      <c r="J316" s="8" t="str">
        <f t="shared" si="11"/>
        <v>贷</v>
      </c>
      <c r="K316" s="41"/>
      <c r="L316" s="9"/>
    </row>
    <row r="317" spans="1:12" ht="20.100000000000001" customHeight="1" x14ac:dyDescent="0.15">
      <c r="A317" s="10"/>
      <c r="B317" s="10"/>
      <c r="C317" s="10"/>
      <c r="D317" s="10"/>
      <c r="E317" s="10"/>
      <c r="F317" s="10"/>
      <c r="G317" s="10"/>
      <c r="H317" s="8"/>
      <c r="I317" s="14"/>
      <c r="J317" s="8" t="str">
        <f t="shared" si="11"/>
        <v>贷</v>
      </c>
      <c r="K317" s="41"/>
      <c r="L317" s="9"/>
    </row>
    <row r="318" spans="1:12" ht="20.100000000000001" customHeight="1" x14ac:dyDescent="0.15">
      <c r="A318" s="10"/>
      <c r="B318" s="10"/>
      <c r="C318" s="10"/>
      <c r="D318" s="10"/>
      <c r="E318" s="10"/>
      <c r="F318" s="10"/>
      <c r="G318" s="10"/>
      <c r="H318" s="8"/>
      <c r="I318" s="14"/>
      <c r="J318" s="8" t="str">
        <f t="shared" si="11"/>
        <v>贷</v>
      </c>
      <c r="K318" s="41"/>
      <c r="L318" s="9"/>
    </row>
    <row r="319" spans="1:12" ht="20.100000000000001" customHeight="1" x14ac:dyDescent="0.15">
      <c r="A319" s="10"/>
      <c r="B319" s="10"/>
      <c r="C319" s="10"/>
      <c r="D319" s="10"/>
      <c r="E319" s="10"/>
      <c r="F319" s="10"/>
      <c r="G319" s="10"/>
      <c r="H319" s="8"/>
      <c r="I319" s="14"/>
      <c r="J319" s="8" t="str">
        <f t="shared" si="11"/>
        <v>贷</v>
      </c>
      <c r="K319" s="41"/>
      <c r="L319" s="9"/>
    </row>
    <row r="320" spans="1:12" ht="20.100000000000001" customHeight="1" x14ac:dyDescent="0.15">
      <c r="A320" s="10"/>
      <c r="B320" s="10"/>
      <c r="C320" s="10"/>
      <c r="D320" s="45"/>
      <c r="E320" s="10"/>
      <c r="F320" s="10"/>
      <c r="G320" s="10"/>
      <c r="H320" s="8"/>
      <c r="I320" s="14"/>
      <c r="J320" s="8" t="str">
        <f t="shared" si="11"/>
        <v>贷</v>
      </c>
      <c r="K320" s="41"/>
      <c r="L320" s="9"/>
    </row>
    <row r="321" spans="1:12" ht="20.100000000000001" customHeight="1" x14ac:dyDescent="0.15">
      <c r="A321" s="10"/>
      <c r="B321" s="10"/>
      <c r="C321" s="10"/>
      <c r="D321" s="10"/>
      <c r="E321" s="10"/>
      <c r="F321" s="10"/>
      <c r="G321" s="10"/>
      <c r="H321" s="8"/>
      <c r="I321" s="14"/>
      <c r="J321" s="8" t="str">
        <f t="shared" si="11"/>
        <v>贷</v>
      </c>
      <c r="K321" s="41"/>
      <c r="L321" s="9"/>
    </row>
    <row r="322" spans="1:12" ht="20.100000000000001" customHeight="1" x14ac:dyDescent="0.15">
      <c r="A322" s="10"/>
      <c r="B322" s="10"/>
      <c r="C322" s="10"/>
      <c r="D322" s="10"/>
      <c r="E322" s="10"/>
      <c r="F322" s="10"/>
      <c r="G322" s="10"/>
      <c r="H322" s="8"/>
      <c r="I322" s="14"/>
      <c r="J322" s="8" t="str">
        <f t="shared" si="11"/>
        <v>贷</v>
      </c>
      <c r="K322" s="41"/>
      <c r="L322" s="9"/>
    </row>
    <row r="323" spans="1:12" ht="20.100000000000001" customHeight="1" x14ac:dyDescent="0.15">
      <c r="A323" s="10"/>
      <c r="B323" s="10"/>
      <c r="C323" s="10"/>
      <c r="D323" s="10"/>
      <c r="E323" s="10"/>
      <c r="F323" s="10"/>
      <c r="G323" s="10"/>
      <c r="H323" s="8"/>
      <c r="I323" s="14"/>
      <c r="J323" s="8" t="str">
        <f t="shared" si="11"/>
        <v>贷</v>
      </c>
      <c r="K323" s="41"/>
      <c r="L323" s="9"/>
    </row>
    <row r="324" spans="1:12" ht="20.100000000000001" customHeight="1" x14ac:dyDescent="0.15">
      <c r="A324" s="10"/>
      <c r="B324" s="10"/>
      <c r="C324" s="10"/>
      <c r="D324" s="10"/>
      <c r="E324" s="10"/>
      <c r="F324" s="10"/>
      <c r="G324" s="10"/>
      <c r="H324" s="8"/>
      <c r="I324" s="14"/>
      <c r="J324" s="8" t="str">
        <f t="shared" si="11"/>
        <v>贷</v>
      </c>
      <c r="K324" s="41"/>
      <c r="L324" s="9"/>
    </row>
    <row r="325" spans="1:12" ht="20.100000000000001" customHeight="1" x14ac:dyDescent="0.15">
      <c r="A325" s="10"/>
      <c r="B325" s="10"/>
      <c r="C325" s="10"/>
      <c r="D325" s="10"/>
      <c r="E325" s="10"/>
      <c r="F325" s="10"/>
      <c r="G325" s="10"/>
      <c r="H325" s="8"/>
      <c r="I325" s="14"/>
      <c r="J325" s="8" t="str">
        <f t="shared" si="11"/>
        <v>贷</v>
      </c>
      <c r="K325" s="41"/>
      <c r="L325" s="9"/>
    </row>
    <row r="326" spans="1:12" ht="20.100000000000001" customHeight="1" x14ac:dyDescent="0.15">
      <c r="A326" s="10"/>
      <c r="B326" s="10"/>
      <c r="C326" s="10"/>
      <c r="D326" s="10"/>
      <c r="E326" s="10"/>
      <c r="F326" s="10"/>
      <c r="G326" s="10"/>
      <c r="H326" s="8"/>
      <c r="I326" s="14"/>
      <c r="J326" s="8" t="str">
        <f t="shared" si="11"/>
        <v>贷</v>
      </c>
      <c r="K326" s="41"/>
      <c r="L326" s="9"/>
    </row>
    <row r="327" spans="1:12" ht="20.100000000000001" customHeight="1" x14ac:dyDescent="0.15">
      <c r="A327" s="10"/>
      <c r="B327" s="10"/>
      <c r="C327" s="10"/>
      <c r="D327" s="10"/>
      <c r="E327" s="10"/>
      <c r="F327" s="10"/>
      <c r="G327" s="10"/>
      <c r="H327" s="8"/>
      <c r="I327" s="14"/>
      <c r="J327" s="8" t="str">
        <f t="shared" si="11"/>
        <v>贷</v>
      </c>
      <c r="K327" s="41"/>
      <c r="L327" s="9"/>
    </row>
    <row r="328" spans="1:12" ht="20.100000000000001" customHeight="1" x14ac:dyDescent="0.15">
      <c r="A328" s="10"/>
      <c r="B328" s="10"/>
      <c r="C328" s="10"/>
      <c r="D328" s="10"/>
      <c r="E328" s="10"/>
      <c r="F328" s="10"/>
      <c r="G328" s="10"/>
      <c r="H328" s="8"/>
      <c r="I328" s="14"/>
      <c r="J328" s="8" t="str">
        <f t="shared" si="11"/>
        <v>贷</v>
      </c>
      <c r="K328" s="41"/>
      <c r="L328" s="9"/>
    </row>
    <row r="329" spans="1:12" ht="20.100000000000001" customHeight="1" x14ac:dyDescent="0.15">
      <c r="A329" s="10"/>
      <c r="B329" s="10"/>
      <c r="C329" s="10"/>
      <c r="D329" s="10"/>
      <c r="E329" s="10"/>
      <c r="F329" s="10"/>
      <c r="G329" s="10"/>
      <c r="H329" s="8"/>
      <c r="I329" s="14"/>
      <c r="J329" s="8" t="str">
        <f t="shared" si="11"/>
        <v>贷</v>
      </c>
      <c r="K329" s="41"/>
      <c r="L329" s="9"/>
    </row>
    <row r="330" spans="1:12" ht="20.100000000000001" customHeight="1" x14ac:dyDescent="0.15">
      <c r="A330" s="10"/>
      <c r="B330" s="10"/>
      <c r="C330" s="10"/>
      <c r="D330" s="10"/>
      <c r="E330" s="10"/>
      <c r="F330" s="10"/>
      <c r="G330" s="10"/>
      <c r="H330" s="8"/>
      <c r="I330" s="14"/>
      <c r="J330" s="8" t="str">
        <f t="shared" si="11"/>
        <v>贷</v>
      </c>
      <c r="K330" s="41"/>
      <c r="L330" s="9"/>
    </row>
    <row r="331" spans="1:12" ht="20.100000000000001" customHeight="1" x14ac:dyDescent="0.15">
      <c r="A331" s="10"/>
      <c r="B331" s="10"/>
      <c r="C331" s="10"/>
      <c r="D331" s="10"/>
      <c r="E331" s="10"/>
      <c r="F331" s="10"/>
      <c r="G331" s="10"/>
      <c r="H331" s="8"/>
      <c r="I331" s="14"/>
      <c r="J331" s="8" t="str">
        <f t="shared" si="11"/>
        <v>贷</v>
      </c>
      <c r="K331" s="41"/>
      <c r="L331" s="9"/>
    </row>
    <row r="332" spans="1:12" ht="20.100000000000001" customHeight="1" x14ac:dyDescent="0.15">
      <c r="A332" s="10"/>
      <c r="B332" s="10"/>
      <c r="C332" s="10"/>
      <c r="D332" s="10"/>
      <c r="E332" s="10"/>
      <c r="F332" s="10"/>
      <c r="G332" s="10"/>
      <c r="H332" s="8"/>
      <c r="I332" s="14"/>
      <c r="J332" s="8" t="str">
        <f t="shared" si="11"/>
        <v>贷</v>
      </c>
      <c r="K332" s="41"/>
      <c r="L332" s="9"/>
    </row>
    <row r="333" spans="1:12" ht="20.100000000000001" customHeight="1" x14ac:dyDescent="0.15">
      <c r="A333" s="10"/>
      <c r="B333" s="10"/>
      <c r="C333" s="10"/>
      <c r="D333" s="10"/>
      <c r="E333" s="46"/>
      <c r="F333" s="10"/>
      <c r="G333" s="10"/>
      <c r="H333" s="8"/>
      <c r="I333" s="14"/>
      <c r="J333" s="8" t="str">
        <f t="shared" si="11"/>
        <v>贷</v>
      </c>
      <c r="K333" s="41"/>
      <c r="L333" s="9"/>
    </row>
    <row r="334" spans="1:12" ht="20.100000000000001" customHeight="1" x14ac:dyDescent="0.15">
      <c r="A334" s="10"/>
      <c r="B334" s="10"/>
      <c r="C334" s="10"/>
      <c r="D334" s="10"/>
      <c r="E334" s="10"/>
      <c r="F334" s="10"/>
      <c r="G334" s="10"/>
      <c r="H334" s="8"/>
      <c r="I334" s="14"/>
      <c r="J334" s="8" t="str">
        <f t="shared" ref="J334:J397" si="12">IF((K333+H334-I334)&gt;0,"借","贷")</f>
        <v>贷</v>
      </c>
      <c r="K334" s="41"/>
      <c r="L334" s="9"/>
    </row>
    <row r="335" spans="1:12" ht="20.100000000000001" customHeight="1" x14ac:dyDescent="0.15">
      <c r="A335" s="10"/>
      <c r="B335" s="10"/>
      <c r="C335" s="10"/>
      <c r="D335" s="10"/>
      <c r="E335" s="10"/>
      <c r="F335" s="10"/>
      <c r="G335" s="10"/>
      <c r="H335" s="8"/>
      <c r="I335" s="14"/>
      <c r="J335" s="8" t="str">
        <f t="shared" si="12"/>
        <v>贷</v>
      </c>
      <c r="K335" s="41"/>
      <c r="L335" s="9"/>
    </row>
    <row r="336" spans="1:12" ht="20.100000000000001" customHeight="1" x14ac:dyDescent="0.15">
      <c r="A336" s="10"/>
      <c r="B336" s="10"/>
      <c r="C336" s="10"/>
      <c r="D336" s="10"/>
      <c r="E336" s="10"/>
      <c r="F336" s="10"/>
      <c r="G336" s="10"/>
      <c r="H336" s="8"/>
      <c r="I336" s="14"/>
      <c r="J336" s="8" t="str">
        <f t="shared" si="12"/>
        <v>贷</v>
      </c>
      <c r="K336" s="41"/>
      <c r="L336" s="9"/>
    </row>
    <row r="337" spans="1:12" ht="20.100000000000001" customHeight="1" x14ac:dyDescent="0.15">
      <c r="A337" s="10"/>
      <c r="B337" s="10"/>
      <c r="C337" s="10"/>
      <c r="D337" s="10"/>
      <c r="E337" s="10"/>
      <c r="F337" s="10"/>
      <c r="G337" s="10"/>
      <c r="H337" s="8"/>
      <c r="I337" s="14"/>
      <c r="J337" s="8" t="str">
        <f t="shared" si="12"/>
        <v>贷</v>
      </c>
      <c r="K337" s="41"/>
      <c r="L337" s="9"/>
    </row>
    <row r="338" spans="1:12" ht="20.100000000000001" customHeight="1" x14ac:dyDescent="0.15">
      <c r="A338" s="10"/>
      <c r="B338" s="10"/>
      <c r="C338" s="10"/>
      <c r="D338" s="10"/>
      <c r="E338" s="10"/>
      <c r="F338" s="10"/>
      <c r="G338" s="10"/>
      <c r="H338" s="8"/>
      <c r="I338" s="14"/>
      <c r="J338" s="8" t="str">
        <f t="shared" si="12"/>
        <v>贷</v>
      </c>
      <c r="K338" s="41"/>
      <c r="L338" s="9"/>
    </row>
    <row r="339" spans="1:12" ht="20.100000000000001" customHeight="1" x14ac:dyDescent="0.15">
      <c r="A339" s="10"/>
      <c r="B339" s="10"/>
      <c r="C339" s="10"/>
      <c r="D339" s="10"/>
      <c r="E339" s="10"/>
      <c r="F339" s="10"/>
      <c r="G339" s="10"/>
      <c r="H339" s="8"/>
      <c r="I339" s="14"/>
      <c r="J339" s="8" t="str">
        <f t="shared" si="12"/>
        <v>贷</v>
      </c>
      <c r="K339" s="41"/>
      <c r="L339" s="9"/>
    </row>
    <row r="340" spans="1:12" ht="20.100000000000001" customHeight="1" x14ac:dyDescent="0.15">
      <c r="A340" s="10"/>
      <c r="B340" s="10"/>
      <c r="C340" s="10"/>
      <c r="D340" s="10"/>
      <c r="E340" s="10"/>
      <c r="F340" s="10"/>
      <c r="G340" s="10"/>
      <c r="H340" s="8"/>
      <c r="I340" s="14"/>
      <c r="J340" s="8" t="str">
        <f t="shared" si="12"/>
        <v>贷</v>
      </c>
      <c r="K340" s="41"/>
      <c r="L340" s="9"/>
    </row>
    <row r="341" spans="1:12" ht="20.100000000000001" customHeight="1" x14ac:dyDescent="0.15">
      <c r="A341" s="10"/>
      <c r="B341" s="10"/>
      <c r="C341" s="10"/>
      <c r="D341" s="10"/>
      <c r="E341" s="10"/>
      <c r="F341" s="10"/>
      <c r="G341" s="10"/>
      <c r="H341" s="8"/>
      <c r="I341" s="14"/>
      <c r="J341" s="8" t="str">
        <f t="shared" si="12"/>
        <v>贷</v>
      </c>
      <c r="K341" s="41"/>
      <c r="L341" s="9"/>
    </row>
    <row r="342" spans="1:12" ht="20.100000000000001" customHeight="1" x14ac:dyDescent="0.15">
      <c r="A342" s="10"/>
      <c r="B342" s="10"/>
      <c r="C342" s="10"/>
      <c r="D342" s="10"/>
      <c r="E342" s="10"/>
      <c r="F342" s="10"/>
      <c r="G342" s="10"/>
      <c r="H342" s="8"/>
      <c r="I342" s="14"/>
      <c r="J342" s="8" t="str">
        <f t="shared" si="12"/>
        <v>贷</v>
      </c>
      <c r="K342" s="41"/>
      <c r="L342" s="9"/>
    </row>
    <row r="343" spans="1:12" ht="20.100000000000001" customHeight="1" x14ac:dyDescent="0.15">
      <c r="A343" s="10"/>
      <c r="B343" s="10"/>
      <c r="C343" s="10"/>
      <c r="D343" s="10"/>
      <c r="E343" s="10"/>
      <c r="F343" s="10"/>
      <c r="G343" s="10"/>
      <c r="H343" s="8"/>
      <c r="I343" s="14"/>
      <c r="J343" s="8" t="str">
        <f t="shared" si="12"/>
        <v>贷</v>
      </c>
      <c r="K343" s="41"/>
      <c r="L343" s="9"/>
    </row>
    <row r="344" spans="1:12" ht="20.100000000000001" customHeight="1" x14ac:dyDescent="0.15">
      <c r="A344" s="10"/>
      <c r="B344" s="10"/>
      <c r="C344" s="10"/>
      <c r="D344" s="10"/>
      <c r="E344" s="10"/>
      <c r="F344" s="10"/>
      <c r="G344" s="10"/>
      <c r="H344" s="8"/>
      <c r="I344" s="14"/>
      <c r="J344" s="8" t="str">
        <f t="shared" si="12"/>
        <v>贷</v>
      </c>
      <c r="K344" s="41"/>
      <c r="L344" s="9"/>
    </row>
    <row r="345" spans="1:12" ht="20.100000000000001" customHeight="1" x14ac:dyDescent="0.15">
      <c r="A345" s="10"/>
      <c r="B345" s="10"/>
      <c r="C345" s="10"/>
      <c r="D345" s="10"/>
      <c r="E345" s="10"/>
      <c r="F345" s="10"/>
      <c r="G345" s="10"/>
      <c r="H345" s="8"/>
      <c r="I345" s="14"/>
      <c r="J345" s="8" t="str">
        <f t="shared" si="12"/>
        <v>贷</v>
      </c>
      <c r="K345" s="41"/>
      <c r="L345" s="9"/>
    </row>
    <row r="346" spans="1:12" ht="20.100000000000001" customHeight="1" x14ac:dyDescent="0.15">
      <c r="A346" s="10"/>
      <c r="B346" s="10"/>
      <c r="C346" s="10"/>
      <c r="D346" s="10"/>
      <c r="E346" s="10"/>
      <c r="F346" s="10"/>
      <c r="G346" s="10"/>
      <c r="H346" s="8"/>
      <c r="I346" s="14"/>
      <c r="J346" s="8" t="str">
        <f t="shared" si="12"/>
        <v>贷</v>
      </c>
      <c r="K346" s="41"/>
      <c r="L346" s="9"/>
    </row>
    <row r="347" spans="1:12" ht="20.100000000000001" customHeight="1" x14ac:dyDescent="0.15">
      <c r="A347" s="10"/>
      <c r="B347" s="10"/>
      <c r="C347" s="10"/>
      <c r="D347" s="10"/>
      <c r="E347" s="10"/>
      <c r="F347" s="10"/>
      <c r="G347" s="10"/>
      <c r="H347" s="8"/>
      <c r="I347" s="14"/>
      <c r="J347" s="8" t="str">
        <f t="shared" si="12"/>
        <v>贷</v>
      </c>
      <c r="K347" s="41"/>
      <c r="L347" s="9"/>
    </row>
    <row r="348" spans="1:12" ht="20.100000000000001" customHeight="1" x14ac:dyDescent="0.15">
      <c r="A348" s="10"/>
      <c r="B348" s="10"/>
      <c r="C348" s="10"/>
      <c r="D348" s="10"/>
      <c r="E348" s="10"/>
      <c r="F348" s="10"/>
      <c r="G348" s="10"/>
      <c r="H348" s="8"/>
      <c r="I348" s="14"/>
      <c r="J348" s="8" t="str">
        <f t="shared" si="12"/>
        <v>贷</v>
      </c>
      <c r="K348" s="41"/>
      <c r="L348" s="9"/>
    </row>
    <row r="349" spans="1:12" ht="20.100000000000001" customHeight="1" x14ac:dyDescent="0.15">
      <c r="A349" s="10"/>
      <c r="B349" s="10"/>
      <c r="C349" s="10"/>
      <c r="D349" s="10"/>
      <c r="E349" s="10"/>
      <c r="F349" s="10"/>
      <c r="G349" s="10"/>
      <c r="H349" s="8"/>
      <c r="I349" s="14"/>
      <c r="J349" s="8" t="str">
        <f t="shared" si="12"/>
        <v>贷</v>
      </c>
      <c r="K349" s="41"/>
      <c r="L349" s="9"/>
    </row>
    <row r="350" spans="1:12" ht="20.100000000000001" customHeight="1" x14ac:dyDescent="0.15">
      <c r="B350" s="10"/>
      <c r="C350" s="10"/>
      <c r="D350" s="10"/>
      <c r="E350" s="10"/>
      <c r="F350" s="10"/>
      <c r="G350" s="10"/>
      <c r="H350" s="8"/>
      <c r="I350" s="14"/>
      <c r="J350" s="8" t="str">
        <f t="shared" si="12"/>
        <v>贷</v>
      </c>
      <c r="K350" s="41"/>
      <c r="L350" s="9"/>
    </row>
    <row r="351" spans="1:12" ht="20.100000000000001" customHeight="1" x14ac:dyDescent="0.15">
      <c r="A351" s="10"/>
      <c r="B351" s="10"/>
      <c r="C351" s="10"/>
      <c r="D351" s="10"/>
      <c r="E351" s="37"/>
      <c r="F351" s="10"/>
      <c r="G351" s="10"/>
      <c r="H351" s="8"/>
      <c r="I351" s="14"/>
      <c r="J351" s="8" t="str">
        <f t="shared" si="12"/>
        <v>贷</v>
      </c>
      <c r="K351" s="41"/>
      <c r="L351" s="9"/>
    </row>
    <row r="352" spans="1:12" ht="20.100000000000001" customHeight="1" x14ac:dyDescent="0.15">
      <c r="A352" s="10"/>
      <c r="B352" s="10"/>
      <c r="C352" s="10"/>
      <c r="D352" s="10"/>
      <c r="E352" s="37"/>
      <c r="F352" s="10"/>
      <c r="G352" s="10"/>
      <c r="H352" s="8"/>
      <c r="I352" s="14"/>
      <c r="J352" s="8" t="str">
        <f t="shared" si="12"/>
        <v>贷</v>
      </c>
      <c r="K352" s="41"/>
      <c r="L352" s="9"/>
    </row>
    <row r="353" spans="1:12" ht="20.100000000000001" customHeight="1" x14ac:dyDescent="0.15">
      <c r="A353" s="10"/>
      <c r="B353" s="10"/>
      <c r="C353" s="10"/>
      <c r="D353" s="10"/>
      <c r="E353" s="10"/>
      <c r="F353" s="10"/>
      <c r="G353" s="10"/>
      <c r="H353" s="8"/>
      <c r="I353" s="14"/>
      <c r="J353" s="8" t="str">
        <f t="shared" si="12"/>
        <v>贷</v>
      </c>
      <c r="K353" s="41"/>
      <c r="L353" s="9"/>
    </row>
    <row r="354" spans="1:12" ht="20.100000000000001" customHeight="1" x14ac:dyDescent="0.15">
      <c r="A354" s="10"/>
      <c r="B354" s="10"/>
      <c r="C354" s="10"/>
      <c r="D354" s="10"/>
      <c r="E354" s="10"/>
      <c r="F354" s="10"/>
      <c r="G354" s="10"/>
      <c r="H354" s="8"/>
      <c r="I354" s="14"/>
      <c r="J354" s="8" t="str">
        <f t="shared" si="12"/>
        <v>贷</v>
      </c>
      <c r="K354" s="41"/>
      <c r="L354" s="9"/>
    </row>
    <row r="355" spans="1:12" ht="20.100000000000001" customHeight="1" x14ac:dyDescent="0.15">
      <c r="A355" s="10"/>
      <c r="B355" s="10"/>
      <c r="C355" s="10"/>
      <c r="D355" s="10"/>
      <c r="E355" s="10"/>
      <c r="F355" s="10"/>
      <c r="G355" s="10"/>
      <c r="H355" s="8"/>
      <c r="I355" s="14"/>
      <c r="J355" s="8" t="str">
        <f t="shared" si="12"/>
        <v>贷</v>
      </c>
      <c r="K355" s="41"/>
      <c r="L355" s="9"/>
    </row>
    <row r="356" spans="1:12" ht="20.100000000000001" customHeight="1" x14ac:dyDescent="0.15">
      <c r="A356" s="10"/>
      <c r="B356" s="10"/>
      <c r="C356" s="10"/>
      <c r="D356" s="10"/>
      <c r="E356" s="10"/>
      <c r="F356" s="10"/>
      <c r="G356" s="10"/>
      <c r="H356" s="8"/>
      <c r="I356" s="14"/>
      <c r="J356" s="8" t="str">
        <f t="shared" si="12"/>
        <v>贷</v>
      </c>
      <c r="K356" s="41"/>
      <c r="L356" s="9"/>
    </row>
    <row r="357" spans="1:12" ht="20.100000000000001" customHeight="1" x14ac:dyDescent="0.15">
      <c r="A357" s="10"/>
      <c r="B357" s="10"/>
      <c r="C357" s="10"/>
      <c r="D357" s="10"/>
      <c r="E357" s="10"/>
      <c r="F357" s="10"/>
      <c r="G357" s="10"/>
      <c r="H357" s="8"/>
      <c r="I357" s="14"/>
      <c r="J357" s="8" t="str">
        <f t="shared" si="12"/>
        <v>贷</v>
      </c>
      <c r="K357" s="41"/>
      <c r="L357" s="9"/>
    </row>
    <row r="358" spans="1:12" ht="20.100000000000001" customHeight="1" x14ac:dyDescent="0.15">
      <c r="A358" s="10"/>
      <c r="B358" s="10"/>
      <c r="C358" s="10"/>
      <c r="D358" s="10"/>
      <c r="E358" s="10"/>
      <c r="F358" s="10"/>
      <c r="G358" s="10"/>
      <c r="H358" s="8"/>
      <c r="I358" s="14"/>
      <c r="J358" s="8" t="str">
        <f t="shared" si="12"/>
        <v>贷</v>
      </c>
      <c r="K358" s="41"/>
      <c r="L358" s="9"/>
    </row>
    <row r="359" spans="1:12" ht="20.100000000000001" customHeight="1" x14ac:dyDescent="0.15">
      <c r="A359" s="10"/>
      <c r="B359" s="10"/>
      <c r="C359" s="10"/>
      <c r="D359" s="10"/>
      <c r="E359" s="10"/>
      <c r="F359" s="10"/>
      <c r="G359" s="10"/>
      <c r="H359" s="8"/>
      <c r="I359" s="14"/>
      <c r="J359" s="8" t="str">
        <f t="shared" si="12"/>
        <v>贷</v>
      </c>
      <c r="K359" s="41"/>
      <c r="L359" s="9"/>
    </row>
    <row r="360" spans="1:12" ht="20.100000000000001" customHeight="1" x14ac:dyDescent="0.15">
      <c r="A360" s="10"/>
      <c r="B360" s="10"/>
      <c r="C360" s="10"/>
      <c r="D360" s="10"/>
      <c r="E360" s="10"/>
      <c r="F360" s="10"/>
      <c r="G360" s="10"/>
      <c r="H360" s="8"/>
      <c r="I360" s="14"/>
      <c r="J360" s="8" t="str">
        <f t="shared" si="12"/>
        <v>贷</v>
      </c>
      <c r="K360" s="41"/>
      <c r="L360" s="9"/>
    </row>
    <row r="361" spans="1:12" ht="20.100000000000001" customHeight="1" x14ac:dyDescent="0.15">
      <c r="A361" s="10"/>
      <c r="B361" s="10"/>
      <c r="C361" s="10"/>
      <c r="D361" s="10"/>
      <c r="E361" s="10"/>
      <c r="F361" s="10"/>
      <c r="G361" s="10"/>
      <c r="H361" s="8"/>
      <c r="I361" s="14"/>
      <c r="J361" s="8" t="str">
        <f t="shared" si="12"/>
        <v>贷</v>
      </c>
      <c r="K361" s="41"/>
      <c r="L361" s="9"/>
    </row>
    <row r="362" spans="1:12" ht="20.100000000000001" customHeight="1" x14ac:dyDescent="0.15">
      <c r="A362" s="10"/>
      <c r="B362" s="10"/>
      <c r="C362" s="10"/>
      <c r="D362" s="10"/>
      <c r="E362" s="10"/>
      <c r="F362" s="10"/>
      <c r="G362" s="10"/>
      <c r="H362" s="8"/>
      <c r="I362" s="14"/>
      <c r="J362" s="8" t="str">
        <f t="shared" si="12"/>
        <v>贷</v>
      </c>
      <c r="K362" s="41"/>
      <c r="L362" s="9"/>
    </row>
    <row r="363" spans="1:12" ht="20.100000000000001" customHeight="1" x14ac:dyDescent="0.15">
      <c r="A363" s="10"/>
      <c r="B363" s="10"/>
      <c r="C363" s="10"/>
      <c r="D363" s="10"/>
      <c r="E363" s="10"/>
      <c r="F363" s="10"/>
      <c r="G363" s="10"/>
      <c r="H363" s="8"/>
      <c r="I363" s="14"/>
      <c r="J363" s="8" t="str">
        <f t="shared" si="12"/>
        <v>贷</v>
      </c>
      <c r="K363" s="41"/>
      <c r="L363" s="9"/>
    </row>
    <row r="364" spans="1:12" ht="20.100000000000001" customHeight="1" x14ac:dyDescent="0.15">
      <c r="A364" s="10"/>
      <c r="B364" s="10"/>
      <c r="C364" s="10"/>
      <c r="D364" s="10"/>
      <c r="E364" s="10"/>
      <c r="F364" s="10"/>
      <c r="G364" s="10"/>
      <c r="H364" s="8"/>
      <c r="I364" s="14"/>
      <c r="J364" s="8" t="str">
        <f t="shared" si="12"/>
        <v>贷</v>
      </c>
      <c r="K364" s="41"/>
      <c r="L364" s="9"/>
    </row>
    <row r="365" spans="1:12" ht="20.100000000000001" customHeight="1" x14ac:dyDescent="0.15">
      <c r="A365" s="10"/>
      <c r="B365" s="10"/>
      <c r="C365" s="10"/>
      <c r="D365" s="10"/>
      <c r="E365" s="10"/>
      <c r="F365" s="10"/>
      <c r="G365" s="10"/>
      <c r="H365" s="8"/>
      <c r="I365" s="14"/>
      <c r="J365" s="8" t="str">
        <f t="shared" si="12"/>
        <v>贷</v>
      </c>
      <c r="K365" s="41"/>
      <c r="L365" s="9"/>
    </row>
    <row r="366" spans="1:12" ht="20.100000000000001" customHeight="1" x14ac:dyDescent="0.15">
      <c r="A366" s="10"/>
      <c r="B366" s="10"/>
      <c r="C366" s="10"/>
      <c r="D366" s="10"/>
      <c r="E366" s="10"/>
      <c r="F366" s="10"/>
      <c r="G366" s="10"/>
      <c r="H366" s="8"/>
      <c r="I366" s="14"/>
      <c r="J366" s="8" t="str">
        <f t="shared" si="12"/>
        <v>贷</v>
      </c>
      <c r="K366" s="41"/>
      <c r="L366" s="9"/>
    </row>
    <row r="367" spans="1:12" ht="20.100000000000001" customHeight="1" x14ac:dyDescent="0.15">
      <c r="A367" s="10"/>
      <c r="B367" s="10"/>
      <c r="C367" s="10"/>
      <c r="D367" s="10"/>
      <c r="E367" s="10"/>
      <c r="F367" s="10"/>
      <c r="G367" s="10"/>
      <c r="H367" s="8"/>
      <c r="I367" s="14"/>
      <c r="J367" s="8" t="str">
        <f t="shared" si="12"/>
        <v>贷</v>
      </c>
      <c r="K367" s="41"/>
      <c r="L367" s="9"/>
    </row>
    <row r="368" spans="1:12" ht="20.100000000000001" customHeight="1" x14ac:dyDescent="0.15">
      <c r="A368" s="10"/>
      <c r="B368" s="10"/>
      <c r="C368" s="10"/>
      <c r="D368" s="10"/>
      <c r="E368" s="10"/>
      <c r="F368" s="10"/>
      <c r="G368" s="10"/>
      <c r="H368" s="8"/>
      <c r="I368" s="14"/>
      <c r="J368" s="8" t="str">
        <f t="shared" si="12"/>
        <v>贷</v>
      </c>
      <c r="K368" s="41"/>
      <c r="L368" s="9"/>
    </row>
    <row r="369" spans="1:12" ht="20.100000000000001" customHeight="1" x14ac:dyDescent="0.15">
      <c r="A369" s="10"/>
      <c r="B369" s="10"/>
      <c r="C369" s="10"/>
      <c r="D369" s="10"/>
      <c r="E369" s="10"/>
      <c r="F369" s="10"/>
      <c r="G369" s="10"/>
      <c r="H369" s="8"/>
      <c r="I369" s="14"/>
      <c r="J369" s="8" t="str">
        <f t="shared" si="12"/>
        <v>贷</v>
      </c>
      <c r="K369" s="41"/>
      <c r="L369" s="9"/>
    </row>
    <row r="370" spans="1:12" ht="20.100000000000001" customHeight="1" x14ac:dyDescent="0.15">
      <c r="A370" s="10"/>
      <c r="B370" s="10"/>
      <c r="C370" s="10"/>
      <c r="D370" s="10"/>
      <c r="E370" s="10"/>
      <c r="F370" s="10"/>
      <c r="G370" s="10"/>
      <c r="H370" s="8"/>
      <c r="I370" s="14"/>
      <c r="J370" s="8" t="str">
        <f t="shared" si="12"/>
        <v>贷</v>
      </c>
      <c r="K370" s="41"/>
      <c r="L370" s="9"/>
    </row>
    <row r="371" spans="1:12" ht="20.100000000000001" customHeight="1" x14ac:dyDescent="0.15">
      <c r="A371" s="10"/>
      <c r="B371" s="10"/>
      <c r="C371" s="10"/>
      <c r="D371" s="10"/>
      <c r="E371" s="10"/>
      <c r="F371" s="10"/>
      <c r="G371" s="10"/>
      <c r="H371" s="8"/>
      <c r="I371" s="14"/>
      <c r="J371" s="8" t="str">
        <f t="shared" si="12"/>
        <v>贷</v>
      </c>
      <c r="K371" s="41"/>
      <c r="L371" s="9"/>
    </row>
    <row r="372" spans="1:12" ht="20.100000000000001" customHeight="1" x14ac:dyDescent="0.15">
      <c r="B372" s="10"/>
      <c r="C372" s="10"/>
      <c r="D372" s="10"/>
      <c r="E372" s="10"/>
      <c r="F372" s="10"/>
      <c r="G372" s="10"/>
      <c r="H372" s="8"/>
      <c r="I372" s="14"/>
      <c r="J372" s="8" t="str">
        <f t="shared" si="12"/>
        <v>贷</v>
      </c>
      <c r="K372" s="41"/>
      <c r="L372" s="9"/>
    </row>
    <row r="373" spans="1:12" ht="20.100000000000001" customHeight="1" x14ac:dyDescent="0.15">
      <c r="B373" s="10"/>
      <c r="C373" s="10"/>
      <c r="D373" s="10"/>
      <c r="E373" s="10"/>
      <c r="F373" s="10"/>
      <c r="G373" s="10"/>
      <c r="H373" s="8"/>
      <c r="I373" s="14"/>
      <c r="J373" s="8" t="str">
        <f t="shared" si="12"/>
        <v>贷</v>
      </c>
      <c r="K373" s="41"/>
      <c r="L373" s="9"/>
    </row>
    <row r="374" spans="1:12" ht="20.100000000000001" customHeight="1" x14ac:dyDescent="0.15">
      <c r="B374" s="10"/>
      <c r="C374" s="10"/>
      <c r="D374" s="10"/>
      <c r="E374" s="10"/>
      <c r="F374" s="10"/>
      <c r="G374" s="10"/>
      <c r="H374" s="8"/>
      <c r="I374" s="14"/>
      <c r="J374" s="8" t="str">
        <f t="shared" si="12"/>
        <v>贷</v>
      </c>
      <c r="K374" s="41"/>
      <c r="L374" s="9"/>
    </row>
    <row r="375" spans="1:12" ht="20.100000000000001" customHeight="1" x14ac:dyDescent="0.15">
      <c r="B375" s="10"/>
      <c r="C375" s="10"/>
      <c r="D375" s="10"/>
      <c r="E375" s="10"/>
      <c r="F375" s="10"/>
      <c r="G375" s="10"/>
      <c r="H375" s="8"/>
      <c r="I375" s="14"/>
      <c r="J375" s="8" t="str">
        <f t="shared" si="12"/>
        <v>贷</v>
      </c>
      <c r="K375" s="41"/>
      <c r="L375" s="9"/>
    </row>
    <row r="376" spans="1:12" ht="20.100000000000001" customHeight="1" x14ac:dyDescent="0.15">
      <c r="B376" s="10"/>
      <c r="C376" s="10"/>
      <c r="D376" s="10"/>
      <c r="E376" s="10"/>
      <c r="F376" s="10"/>
      <c r="G376" s="10"/>
      <c r="H376" s="8"/>
      <c r="I376" s="14"/>
      <c r="J376" s="8" t="str">
        <f t="shared" si="12"/>
        <v>贷</v>
      </c>
      <c r="K376" s="41"/>
      <c r="L376" s="9"/>
    </row>
    <row r="377" spans="1:12" ht="20.100000000000001" customHeight="1" x14ac:dyDescent="0.15">
      <c r="B377" s="10"/>
      <c r="C377" s="10"/>
      <c r="D377" s="10"/>
      <c r="E377" s="10"/>
      <c r="F377" s="10"/>
      <c r="G377" s="10"/>
      <c r="H377" s="8"/>
      <c r="I377" s="14"/>
      <c r="J377" s="8" t="str">
        <f t="shared" si="12"/>
        <v>贷</v>
      </c>
      <c r="K377" s="41"/>
      <c r="L377" s="9"/>
    </row>
    <row r="378" spans="1:12" ht="20.100000000000001" customHeight="1" x14ac:dyDescent="0.15">
      <c r="B378" s="10"/>
      <c r="C378" s="7"/>
      <c r="D378" s="10"/>
      <c r="E378" s="10"/>
      <c r="F378" s="10"/>
      <c r="G378" s="10"/>
      <c r="H378" s="8"/>
      <c r="I378" s="14"/>
      <c r="J378" s="8" t="str">
        <f t="shared" si="12"/>
        <v>贷</v>
      </c>
      <c r="K378" s="41"/>
      <c r="L378" s="9"/>
    </row>
    <row r="379" spans="1:12" ht="20.100000000000001" customHeight="1" x14ac:dyDescent="0.15">
      <c r="B379" s="10"/>
      <c r="C379" s="7"/>
      <c r="D379" s="10"/>
      <c r="E379" s="10"/>
      <c r="F379" s="10"/>
      <c r="G379" s="10"/>
      <c r="H379" s="8"/>
      <c r="I379" s="14"/>
      <c r="J379" s="8" t="str">
        <f t="shared" si="12"/>
        <v>贷</v>
      </c>
      <c r="K379" s="41"/>
      <c r="L379" s="9"/>
    </row>
    <row r="380" spans="1:12" ht="20.100000000000001" customHeight="1" x14ac:dyDescent="0.15">
      <c r="B380" s="10"/>
      <c r="C380" s="7"/>
      <c r="D380" s="10"/>
      <c r="E380" s="10"/>
      <c r="F380" s="10"/>
      <c r="G380" s="10"/>
      <c r="H380" s="8"/>
      <c r="I380" s="14"/>
      <c r="J380" s="8" t="str">
        <f t="shared" si="12"/>
        <v>贷</v>
      </c>
      <c r="K380" s="41"/>
      <c r="L380" s="9"/>
    </row>
    <row r="381" spans="1:12" ht="20.100000000000001" customHeight="1" x14ac:dyDescent="0.15">
      <c r="B381" s="10"/>
      <c r="C381" s="7"/>
      <c r="D381" s="10"/>
      <c r="E381" s="10"/>
      <c r="F381" s="10"/>
      <c r="G381" s="10"/>
      <c r="H381" s="8"/>
      <c r="I381" s="14"/>
      <c r="J381" s="8" t="str">
        <f t="shared" si="12"/>
        <v>贷</v>
      </c>
      <c r="K381" s="41"/>
      <c r="L381" s="9"/>
    </row>
    <row r="382" spans="1:12" ht="20.100000000000001" customHeight="1" x14ac:dyDescent="0.15">
      <c r="B382" s="10"/>
      <c r="C382" s="7"/>
      <c r="D382" s="10"/>
      <c r="E382" s="10"/>
      <c r="F382" s="10"/>
      <c r="G382" s="10"/>
      <c r="H382" s="8"/>
      <c r="I382" s="14"/>
      <c r="J382" s="8" t="str">
        <f t="shared" si="12"/>
        <v>贷</v>
      </c>
      <c r="K382" s="41"/>
      <c r="L382" s="9"/>
    </row>
    <row r="383" spans="1:12" ht="20.100000000000001" customHeight="1" x14ac:dyDescent="0.15">
      <c r="B383" s="10"/>
      <c r="C383" s="7"/>
      <c r="D383" s="10"/>
      <c r="E383" s="10"/>
      <c r="F383" s="10"/>
      <c r="G383" s="10"/>
      <c r="H383" s="8"/>
      <c r="I383" s="14"/>
      <c r="J383" s="8" t="str">
        <f t="shared" si="12"/>
        <v>贷</v>
      </c>
      <c r="K383" s="41"/>
      <c r="L383" s="9"/>
    </row>
    <row r="384" spans="1:12" ht="20.100000000000001" customHeight="1" x14ac:dyDescent="0.15">
      <c r="B384" s="10"/>
      <c r="C384" s="7"/>
      <c r="D384" s="10"/>
      <c r="E384" s="10"/>
      <c r="F384" s="10"/>
      <c r="G384" s="10"/>
      <c r="H384" s="8"/>
      <c r="I384" s="14"/>
      <c r="J384" s="8" t="str">
        <f t="shared" si="12"/>
        <v>贷</v>
      </c>
      <c r="K384" s="41"/>
      <c r="L384" s="9"/>
    </row>
    <row r="385" spans="2:12" ht="20.100000000000001" customHeight="1" x14ac:dyDescent="0.15">
      <c r="B385" s="10"/>
      <c r="C385" s="7"/>
      <c r="D385" s="10"/>
      <c r="E385" s="10"/>
      <c r="F385" s="10"/>
      <c r="G385" s="10"/>
      <c r="H385" s="8"/>
      <c r="I385" s="14"/>
      <c r="J385" s="8" t="str">
        <f t="shared" si="12"/>
        <v>贷</v>
      </c>
      <c r="K385" s="41"/>
      <c r="L385" s="9"/>
    </row>
    <row r="386" spans="2:12" ht="20.100000000000001" customHeight="1" x14ac:dyDescent="0.15">
      <c r="B386" s="10"/>
      <c r="C386" s="7"/>
      <c r="D386" s="10"/>
      <c r="E386" s="10"/>
      <c r="F386" s="10"/>
      <c r="G386" s="10"/>
      <c r="H386" s="8"/>
      <c r="I386" s="14"/>
      <c r="J386" s="8" t="str">
        <f t="shared" si="12"/>
        <v>贷</v>
      </c>
      <c r="K386" s="41"/>
      <c r="L386" s="9"/>
    </row>
    <row r="387" spans="2:12" ht="20.100000000000001" customHeight="1" x14ac:dyDescent="0.15">
      <c r="B387" s="10"/>
      <c r="C387" s="7"/>
      <c r="D387" s="10"/>
      <c r="E387" s="47"/>
      <c r="F387" s="10"/>
      <c r="G387" s="10"/>
      <c r="H387" s="8"/>
      <c r="I387" s="14"/>
      <c r="J387" s="8" t="str">
        <f t="shared" si="12"/>
        <v>贷</v>
      </c>
      <c r="K387" s="41"/>
      <c r="L387" s="9"/>
    </row>
    <row r="388" spans="2:12" ht="20.100000000000001" customHeight="1" x14ac:dyDescent="0.15">
      <c r="B388" s="10"/>
      <c r="C388" s="7"/>
      <c r="D388" s="10"/>
      <c r="E388" s="10"/>
      <c r="F388" s="10"/>
      <c r="G388" s="10"/>
      <c r="H388" s="8"/>
      <c r="I388" s="14"/>
      <c r="J388" s="8" t="str">
        <f t="shared" si="12"/>
        <v>贷</v>
      </c>
      <c r="K388" s="41"/>
      <c r="L388" s="9"/>
    </row>
    <row r="389" spans="2:12" ht="20.100000000000001" customHeight="1" x14ac:dyDescent="0.15">
      <c r="B389" s="10"/>
      <c r="C389" s="7"/>
      <c r="D389" s="10"/>
      <c r="E389" s="10"/>
      <c r="F389" s="10"/>
      <c r="G389" s="10"/>
      <c r="H389" s="8"/>
      <c r="I389" s="14"/>
      <c r="J389" s="8" t="str">
        <f t="shared" si="12"/>
        <v>贷</v>
      </c>
      <c r="K389" s="41"/>
      <c r="L389" s="9"/>
    </row>
    <row r="390" spans="2:12" ht="20.100000000000001" customHeight="1" x14ac:dyDescent="0.15">
      <c r="B390" s="10"/>
      <c r="C390" s="7"/>
      <c r="D390" s="10"/>
      <c r="E390" s="10"/>
      <c r="F390" s="10"/>
      <c r="G390" s="10"/>
      <c r="H390" s="8"/>
      <c r="I390" s="14"/>
      <c r="J390" s="8" t="str">
        <f t="shared" si="12"/>
        <v>贷</v>
      </c>
      <c r="K390" s="41"/>
      <c r="L390" s="9"/>
    </row>
    <row r="391" spans="2:12" ht="20.100000000000001" customHeight="1" x14ac:dyDescent="0.15">
      <c r="B391" s="10"/>
      <c r="C391" s="10"/>
      <c r="D391" s="10"/>
      <c r="E391" s="10"/>
      <c r="F391" s="10"/>
      <c r="G391" s="10"/>
      <c r="H391" s="8"/>
      <c r="I391" s="14"/>
      <c r="J391" s="8" t="str">
        <f t="shared" si="12"/>
        <v>贷</v>
      </c>
      <c r="K391" s="41"/>
      <c r="L391" s="9"/>
    </row>
    <row r="392" spans="2:12" ht="20.100000000000001" customHeight="1" x14ac:dyDescent="0.15">
      <c r="B392" s="10"/>
      <c r="C392" s="10"/>
      <c r="D392" s="10"/>
      <c r="E392" s="10"/>
      <c r="F392" s="10"/>
      <c r="G392" s="10"/>
      <c r="H392" s="8"/>
      <c r="I392" s="14"/>
      <c r="J392" s="8" t="str">
        <f t="shared" si="12"/>
        <v>贷</v>
      </c>
      <c r="K392" s="41"/>
      <c r="L392" s="9"/>
    </row>
    <row r="393" spans="2:12" ht="20.100000000000001" customHeight="1" x14ac:dyDescent="0.15">
      <c r="B393" s="10"/>
      <c r="C393" s="10"/>
      <c r="D393" s="10"/>
      <c r="E393" s="10"/>
      <c r="F393" s="10"/>
      <c r="G393" s="10"/>
      <c r="H393" s="8"/>
      <c r="I393" s="14"/>
      <c r="J393" s="8" t="str">
        <f t="shared" si="12"/>
        <v>贷</v>
      </c>
      <c r="K393" s="41"/>
      <c r="L393" s="9"/>
    </row>
    <row r="394" spans="2:12" ht="20.100000000000001" customHeight="1" x14ac:dyDescent="0.15">
      <c r="B394" s="10"/>
      <c r="C394" s="10"/>
      <c r="D394" s="10"/>
      <c r="E394" s="10"/>
      <c r="F394" s="10"/>
      <c r="G394" s="10"/>
      <c r="H394" s="8"/>
      <c r="I394" s="14"/>
      <c r="J394" s="8" t="str">
        <f t="shared" si="12"/>
        <v>贷</v>
      </c>
      <c r="K394" s="41"/>
      <c r="L394" s="9"/>
    </row>
    <row r="395" spans="2:12" ht="20.100000000000001" customHeight="1" x14ac:dyDescent="0.15">
      <c r="B395" s="10"/>
      <c r="C395" s="10"/>
      <c r="D395" s="10"/>
      <c r="E395" s="10"/>
      <c r="F395" s="10"/>
      <c r="G395" s="10"/>
      <c r="H395" s="8"/>
      <c r="I395" s="14"/>
      <c r="J395" s="8" t="str">
        <f t="shared" si="12"/>
        <v>贷</v>
      </c>
      <c r="K395" s="41"/>
      <c r="L395" s="9"/>
    </row>
    <row r="396" spans="2:12" ht="20.100000000000001" customHeight="1" x14ac:dyDescent="0.15">
      <c r="B396" s="10"/>
      <c r="C396" s="10"/>
      <c r="D396" s="10"/>
      <c r="E396" s="10"/>
      <c r="F396" s="10"/>
      <c r="G396" s="10"/>
      <c r="H396" s="8"/>
      <c r="I396" s="14"/>
      <c r="J396" s="8" t="str">
        <f t="shared" si="12"/>
        <v>贷</v>
      </c>
      <c r="K396" s="41"/>
      <c r="L396" s="9"/>
    </row>
    <row r="397" spans="2:12" ht="20.100000000000001" customHeight="1" x14ac:dyDescent="0.15">
      <c r="B397" s="10"/>
      <c r="C397" s="10"/>
      <c r="D397" s="10"/>
      <c r="E397" s="10"/>
      <c r="F397" s="10"/>
      <c r="G397" s="10"/>
      <c r="H397" s="8"/>
      <c r="I397" s="14"/>
      <c r="J397" s="8" t="str">
        <f t="shared" si="12"/>
        <v>贷</v>
      </c>
      <c r="K397" s="41"/>
      <c r="L397" s="9"/>
    </row>
    <row r="398" spans="2:12" ht="20.100000000000001" customHeight="1" x14ac:dyDescent="0.15">
      <c r="B398" s="10"/>
      <c r="C398" s="10"/>
      <c r="D398" s="10"/>
      <c r="E398" s="10"/>
      <c r="F398" s="10"/>
      <c r="G398" s="10"/>
      <c r="H398" s="8"/>
      <c r="I398" s="14"/>
      <c r="J398" s="8" t="str">
        <f t="shared" ref="J398:J461" si="13">IF((K397+H398-I398)&gt;0,"借","贷")</f>
        <v>贷</v>
      </c>
      <c r="K398" s="41"/>
      <c r="L398" s="9"/>
    </row>
    <row r="399" spans="2:12" ht="20.100000000000001" customHeight="1" x14ac:dyDescent="0.15">
      <c r="B399" s="10"/>
      <c r="C399" s="10"/>
      <c r="D399" s="10"/>
      <c r="E399" s="10"/>
      <c r="F399" s="10"/>
      <c r="G399" s="10"/>
      <c r="H399" s="8"/>
      <c r="I399" s="14"/>
      <c r="J399" s="8" t="str">
        <f t="shared" si="13"/>
        <v>贷</v>
      </c>
      <c r="K399" s="41"/>
      <c r="L399" s="9"/>
    </row>
    <row r="400" spans="2:12" ht="20.100000000000001" customHeight="1" x14ac:dyDescent="0.15">
      <c r="B400" s="10"/>
      <c r="C400" s="10"/>
      <c r="D400" s="10"/>
      <c r="E400" s="10"/>
      <c r="F400" s="10"/>
      <c r="G400" s="10"/>
      <c r="H400" s="8"/>
      <c r="I400" s="14"/>
      <c r="J400" s="8" t="str">
        <f t="shared" si="13"/>
        <v>贷</v>
      </c>
      <c r="K400" s="41"/>
      <c r="L400" s="9"/>
    </row>
    <row r="401" spans="2:12" ht="20.100000000000001" customHeight="1" x14ac:dyDescent="0.15">
      <c r="B401" s="10"/>
      <c r="C401" s="10"/>
      <c r="D401" s="10"/>
      <c r="E401" s="10"/>
      <c r="F401" s="10"/>
      <c r="G401" s="10"/>
      <c r="H401" s="8"/>
      <c r="I401" s="14"/>
      <c r="J401" s="8" t="str">
        <f t="shared" si="13"/>
        <v>贷</v>
      </c>
      <c r="K401" s="41"/>
      <c r="L401" s="9"/>
    </row>
    <row r="402" spans="2:12" ht="20.100000000000001" customHeight="1" x14ac:dyDescent="0.15">
      <c r="B402" s="10"/>
      <c r="C402" s="10"/>
      <c r="D402" s="10"/>
      <c r="E402" s="10"/>
      <c r="F402" s="10"/>
      <c r="G402" s="10"/>
      <c r="H402" s="8"/>
      <c r="I402" s="14"/>
      <c r="J402" s="8" t="str">
        <f t="shared" si="13"/>
        <v>贷</v>
      </c>
      <c r="K402" s="41"/>
      <c r="L402" s="9"/>
    </row>
    <row r="403" spans="2:12" ht="20.100000000000001" customHeight="1" x14ac:dyDescent="0.15">
      <c r="B403" s="10"/>
      <c r="C403" s="10"/>
      <c r="D403" s="10"/>
      <c r="E403" s="10"/>
      <c r="F403" s="10"/>
      <c r="G403" s="10"/>
      <c r="H403" s="8"/>
      <c r="I403" s="14"/>
      <c r="J403" s="8" t="str">
        <f t="shared" si="13"/>
        <v>贷</v>
      </c>
      <c r="K403" s="41"/>
      <c r="L403" s="9"/>
    </row>
    <row r="404" spans="2:12" ht="20.100000000000001" customHeight="1" x14ac:dyDescent="0.15">
      <c r="B404" s="10"/>
      <c r="C404" s="10"/>
      <c r="D404" s="10"/>
      <c r="E404" s="10"/>
      <c r="F404" s="10"/>
      <c r="G404" s="10"/>
      <c r="H404" s="8"/>
      <c r="I404" s="14"/>
      <c r="J404" s="8" t="str">
        <f t="shared" si="13"/>
        <v>贷</v>
      </c>
      <c r="K404" s="41"/>
      <c r="L404" s="9"/>
    </row>
    <row r="405" spans="2:12" ht="20.100000000000001" customHeight="1" x14ac:dyDescent="0.15">
      <c r="B405" s="10"/>
      <c r="C405" s="10"/>
      <c r="D405" s="10"/>
      <c r="E405" s="10"/>
      <c r="F405" s="10"/>
      <c r="G405" s="10"/>
      <c r="H405" s="8"/>
      <c r="I405" s="14"/>
      <c r="J405" s="8" t="str">
        <f t="shared" si="13"/>
        <v>贷</v>
      </c>
      <c r="K405" s="41"/>
      <c r="L405" s="9"/>
    </row>
    <row r="406" spans="2:12" ht="20.100000000000001" customHeight="1" x14ac:dyDescent="0.15">
      <c r="B406" s="10"/>
      <c r="C406" s="10"/>
      <c r="D406" s="10"/>
      <c r="E406" s="10"/>
      <c r="F406" s="10"/>
      <c r="G406" s="10"/>
      <c r="H406" s="8"/>
      <c r="I406" s="14"/>
      <c r="J406" s="8" t="str">
        <f t="shared" si="13"/>
        <v>贷</v>
      </c>
      <c r="K406" s="41"/>
      <c r="L406" s="9"/>
    </row>
    <row r="407" spans="2:12" ht="20.100000000000001" customHeight="1" x14ac:dyDescent="0.15">
      <c r="B407" s="10"/>
      <c r="C407" s="10"/>
      <c r="D407" s="10"/>
      <c r="E407" s="10"/>
      <c r="F407" s="10"/>
      <c r="G407" s="10"/>
      <c r="H407" s="8"/>
      <c r="I407" s="14"/>
      <c r="J407" s="8" t="str">
        <f t="shared" si="13"/>
        <v>贷</v>
      </c>
      <c r="K407" s="41"/>
      <c r="L407" s="9"/>
    </row>
    <row r="408" spans="2:12" ht="20.100000000000001" customHeight="1" x14ac:dyDescent="0.15">
      <c r="B408" s="10"/>
      <c r="C408" s="10"/>
      <c r="D408" s="10"/>
      <c r="E408" s="10"/>
      <c r="F408" s="10"/>
      <c r="G408" s="10"/>
      <c r="H408" s="8"/>
      <c r="I408" s="14"/>
      <c r="J408" s="8" t="str">
        <f t="shared" si="13"/>
        <v>贷</v>
      </c>
      <c r="K408" s="41"/>
      <c r="L408" s="9"/>
    </row>
    <row r="409" spans="2:12" ht="20.100000000000001" customHeight="1" x14ac:dyDescent="0.15">
      <c r="B409" s="10"/>
      <c r="C409" s="10"/>
      <c r="D409" s="10"/>
      <c r="E409" s="10"/>
      <c r="F409" s="10"/>
      <c r="G409" s="10"/>
      <c r="H409" s="8"/>
      <c r="I409" s="14"/>
      <c r="J409" s="8" t="str">
        <f t="shared" si="13"/>
        <v>贷</v>
      </c>
      <c r="K409" s="41"/>
      <c r="L409" s="9"/>
    </row>
    <row r="410" spans="2:12" ht="20.100000000000001" customHeight="1" x14ac:dyDescent="0.15">
      <c r="B410" s="10"/>
      <c r="C410" s="10"/>
      <c r="D410" s="10"/>
      <c r="E410" s="10"/>
      <c r="F410" s="10"/>
      <c r="G410" s="10"/>
      <c r="H410" s="8"/>
      <c r="I410" s="14"/>
      <c r="J410" s="8" t="str">
        <f t="shared" si="13"/>
        <v>贷</v>
      </c>
      <c r="K410" s="41"/>
      <c r="L410" s="9"/>
    </row>
    <row r="411" spans="2:12" ht="20.100000000000001" customHeight="1" x14ac:dyDescent="0.15">
      <c r="B411" s="10"/>
      <c r="C411" s="10"/>
      <c r="D411" s="10"/>
      <c r="E411" s="10"/>
      <c r="F411" s="10"/>
      <c r="G411" s="10"/>
      <c r="H411" s="8"/>
      <c r="I411" s="14"/>
      <c r="J411" s="8" t="str">
        <f t="shared" si="13"/>
        <v>贷</v>
      </c>
      <c r="K411" s="41"/>
      <c r="L411" s="9"/>
    </row>
    <row r="412" spans="2:12" ht="20.100000000000001" customHeight="1" x14ac:dyDescent="0.15">
      <c r="B412" s="10"/>
      <c r="C412" s="10"/>
      <c r="D412" s="10"/>
      <c r="E412" s="10"/>
      <c r="F412" s="10"/>
      <c r="G412" s="10"/>
      <c r="H412" s="8"/>
      <c r="I412" s="14"/>
      <c r="J412" s="8" t="str">
        <f t="shared" si="13"/>
        <v>贷</v>
      </c>
      <c r="K412" s="41"/>
      <c r="L412" s="9"/>
    </row>
    <row r="413" spans="2:12" ht="20.100000000000001" customHeight="1" x14ac:dyDescent="0.15">
      <c r="B413" s="10"/>
      <c r="C413" s="10"/>
      <c r="D413" s="10"/>
      <c r="E413" s="10"/>
      <c r="F413" s="10"/>
      <c r="G413" s="10"/>
      <c r="H413" s="8"/>
      <c r="I413" s="14"/>
      <c r="J413" s="8" t="str">
        <f t="shared" si="13"/>
        <v>贷</v>
      </c>
      <c r="K413" s="41"/>
      <c r="L413" s="9"/>
    </row>
    <row r="414" spans="2:12" ht="20.100000000000001" customHeight="1" x14ac:dyDescent="0.15">
      <c r="B414" s="10"/>
      <c r="C414" s="10"/>
      <c r="D414" s="10"/>
      <c r="E414" s="10"/>
      <c r="F414" s="10"/>
      <c r="G414" s="10"/>
      <c r="H414" s="8"/>
      <c r="I414" s="14"/>
      <c r="J414" s="8" t="str">
        <f t="shared" si="13"/>
        <v>贷</v>
      </c>
      <c r="K414" s="41"/>
      <c r="L414" s="9"/>
    </row>
    <row r="415" spans="2:12" ht="20.100000000000001" customHeight="1" x14ac:dyDescent="0.15">
      <c r="B415" s="10"/>
      <c r="C415" s="10"/>
      <c r="D415" s="10"/>
      <c r="E415" s="10"/>
      <c r="F415" s="10"/>
      <c r="G415" s="10"/>
      <c r="H415" s="8"/>
      <c r="I415" s="14"/>
      <c r="J415" s="8" t="str">
        <f t="shared" si="13"/>
        <v>贷</v>
      </c>
      <c r="K415" s="41"/>
      <c r="L415" s="9"/>
    </row>
    <row r="416" spans="2:12" ht="20.100000000000001" customHeight="1" x14ac:dyDescent="0.15">
      <c r="B416" s="10"/>
      <c r="C416" s="10"/>
      <c r="D416" s="10"/>
      <c r="E416" s="10"/>
      <c r="F416" s="10"/>
      <c r="G416" s="10"/>
      <c r="H416" s="8"/>
      <c r="I416" s="14"/>
      <c r="J416" s="8" t="str">
        <f t="shared" si="13"/>
        <v>贷</v>
      </c>
      <c r="K416" s="41"/>
      <c r="L416" s="9"/>
    </row>
    <row r="417" spans="2:12" ht="20.100000000000001" customHeight="1" x14ac:dyDescent="0.15">
      <c r="B417" s="10"/>
      <c r="C417" s="10"/>
      <c r="D417" s="10"/>
      <c r="E417" s="10"/>
      <c r="F417" s="10"/>
      <c r="G417" s="10"/>
      <c r="H417" s="8"/>
      <c r="I417" s="14"/>
      <c r="J417" s="8" t="str">
        <f t="shared" si="13"/>
        <v>贷</v>
      </c>
      <c r="K417" s="41"/>
      <c r="L417" s="9"/>
    </row>
    <row r="418" spans="2:12" ht="20.100000000000001" customHeight="1" x14ac:dyDescent="0.15">
      <c r="B418" s="10"/>
      <c r="C418" s="10"/>
      <c r="D418" s="10"/>
      <c r="E418" s="10"/>
      <c r="F418" s="10"/>
      <c r="G418" s="10"/>
      <c r="H418" s="8"/>
      <c r="I418" s="14"/>
      <c r="J418" s="8" t="str">
        <f t="shared" si="13"/>
        <v>贷</v>
      </c>
      <c r="K418" s="41"/>
      <c r="L418" s="9"/>
    </row>
    <row r="419" spans="2:12" ht="20.100000000000001" customHeight="1" x14ac:dyDescent="0.15">
      <c r="B419" s="10"/>
      <c r="C419" s="10"/>
      <c r="D419" s="10"/>
      <c r="E419" s="10"/>
      <c r="F419" s="10"/>
      <c r="G419" s="10"/>
      <c r="H419" s="8"/>
      <c r="I419" s="14"/>
      <c r="J419" s="8" t="str">
        <f t="shared" si="13"/>
        <v>贷</v>
      </c>
      <c r="K419" s="41"/>
      <c r="L419" s="9"/>
    </row>
    <row r="420" spans="2:12" ht="20.100000000000001" customHeight="1" x14ac:dyDescent="0.15">
      <c r="B420" s="10"/>
      <c r="C420" s="10"/>
      <c r="D420" s="10"/>
      <c r="E420" s="10"/>
      <c r="F420" s="10"/>
      <c r="G420" s="10"/>
      <c r="H420" s="8"/>
      <c r="I420" s="14"/>
      <c r="J420" s="8" t="str">
        <f t="shared" si="13"/>
        <v>贷</v>
      </c>
      <c r="K420" s="41"/>
      <c r="L420" s="9"/>
    </row>
    <row r="421" spans="2:12" ht="20.100000000000001" customHeight="1" x14ac:dyDescent="0.15">
      <c r="B421" s="10"/>
      <c r="C421" s="10"/>
      <c r="D421" s="10"/>
      <c r="E421" s="10"/>
      <c r="F421" s="10"/>
      <c r="G421" s="10"/>
      <c r="H421" s="8"/>
      <c r="I421" s="14"/>
      <c r="J421" s="8" t="str">
        <f t="shared" si="13"/>
        <v>贷</v>
      </c>
      <c r="K421" s="41"/>
      <c r="L421" s="9"/>
    </row>
    <row r="422" spans="2:12" ht="20.100000000000001" customHeight="1" x14ac:dyDescent="0.15">
      <c r="B422" s="10"/>
      <c r="C422" s="10"/>
      <c r="D422" s="10"/>
      <c r="E422" s="10"/>
      <c r="F422" s="10"/>
      <c r="G422" s="10"/>
      <c r="H422" s="8"/>
      <c r="I422" s="14"/>
      <c r="J422" s="8" t="str">
        <f t="shared" si="13"/>
        <v>贷</v>
      </c>
      <c r="K422" s="41"/>
      <c r="L422" s="9"/>
    </row>
    <row r="423" spans="2:12" ht="20.100000000000001" customHeight="1" x14ac:dyDescent="0.15">
      <c r="B423" s="10"/>
      <c r="C423" s="10"/>
      <c r="D423" s="10"/>
      <c r="E423" s="10"/>
      <c r="F423" s="10"/>
      <c r="G423" s="10"/>
      <c r="H423" s="8"/>
      <c r="I423" s="14"/>
      <c r="J423" s="8" t="str">
        <f t="shared" si="13"/>
        <v>贷</v>
      </c>
      <c r="K423" s="41"/>
      <c r="L423" s="9"/>
    </row>
    <row r="424" spans="2:12" ht="20.100000000000001" customHeight="1" x14ac:dyDescent="0.15">
      <c r="B424" s="10"/>
      <c r="C424" s="10"/>
      <c r="D424" s="10"/>
      <c r="E424" s="10"/>
      <c r="F424" s="10"/>
      <c r="G424" s="10"/>
      <c r="H424" s="8"/>
      <c r="I424" s="14"/>
      <c r="J424" s="8" t="str">
        <f t="shared" si="13"/>
        <v>贷</v>
      </c>
      <c r="K424" s="41"/>
      <c r="L424" s="9"/>
    </row>
    <row r="425" spans="2:12" ht="20.100000000000001" customHeight="1" x14ac:dyDescent="0.15">
      <c r="B425" s="10"/>
      <c r="C425" s="10"/>
      <c r="D425" s="10"/>
      <c r="E425" s="10"/>
      <c r="F425" s="10"/>
      <c r="G425" s="10"/>
      <c r="H425" s="8"/>
      <c r="I425" s="14"/>
      <c r="J425" s="8" t="str">
        <f t="shared" si="13"/>
        <v>贷</v>
      </c>
      <c r="K425" s="41"/>
      <c r="L425" s="9"/>
    </row>
    <row r="426" spans="2:12" ht="20.100000000000001" customHeight="1" x14ac:dyDescent="0.15">
      <c r="B426" s="10"/>
      <c r="C426" s="10"/>
      <c r="D426" s="10"/>
      <c r="E426" s="10"/>
      <c r="F426" s="10"/>
      <c r="G426" s="10"/>
      <c r="H426" s="8"/>
      <c r="I426" s="14"/>
      <c r="J426" s="8" t="str">
        <f t="shared" si="13"/>
        <v>贷</v>
      </c>
      <c r="K426" s="41"/>
      <c r="L426" s="9"/>
    </row>
    <row r="427" spans="2:12" ht="20.100000000000001" customHeight="1" x14ac:dyDescent="0.15">
      <c r="B427" s="10"/>
      <c r="C427" s="10"/>
      <c r="D427" s="10"/>
      <c r="E427" s="10"/>
      <c r="F427" s="10"/>
      <c r="G427" s="10"/>
      <c r="H427" s="8"/>
      <c r="I427" s="14"/>
      <c r="J427" s="8" t="str">
        <f t="shared" si="13"/>
        <v>贷</v>
      </c>
      <c r="K427" s="41"/>
      <c r="L427" s="9"/>
    </row>
    <row r="428" spans="2:12" ht="20.100000000000001" customHeight="1" x14ac:dyDescent="0.15">
      <c r="B428" s="10"/>
      <c r="C428" s="10"/>
      <c r="D428" s="10"/>
      <c r="E428" s="10"/>
      <c r="F428" s="10"/>
      <c r="G428" s="10"/>
      <c r="H428" s="8"/>
      <c r="I428" s="14"/>
      <c r="J428" s="8" t="str">
        <f t="shared" si="13"/>
        <v>贷</v>
      </c>
      <c r="K428" s="41"/>
      <c r="L428" s="9"/>
    </row>
    <row r="429" spans="2:12" ht="20.100000000000001" customHeight="1" x14ac:dyDescent="0.15">
      <c r="B429" s="10"/>
      <c r="C429" s="10"/>
      <c r="D429" s="10"/>
      <c r="E429" s="10"/>
      <c r="F429" s="10"/>
      <c r="G429" s="10"/>
      <c r="H429" s="8"/>
      <c r="I429" s="14"/>
      <c r="J429" s="8" t="str">
        <f t="shared" si="13"/>
        <v>贷</v>
      </c>
      <c r="K429" s="41"/>
      <c r="L429" s="9"/>
    </row>
    <row r="430" spans="2:12" ht="20.100000000000001" customHeight="1" x14ac:dyDescent="0.15">
      <c r="B430" s="10"/>
      <c r="C430" s="10"/>
      <c r="D430" s="10"/>
      <c r="E430" s="10"/>
      <c r="F430" s="10"/>
      <c r="G430" s="10"/>
      <c r="H430" s="8"/>
      <c r="I430" s="14"/>
      <c r="J430" s="8" t="str">
        <f t="shared" si="13"/>
        <v>贷</v>
      </c>
      <c r="K430" s="41"/>
      <c r="L430" s="9"/>
    </row>
    <row r="431" spans="2:12" ht="20.100000000000001" customHeight="1" x14ac:dyDescent="0.15">
      <c r="B431" s="10"/>
      <c r="C431" s="10"/>
      <c r="D431" s="10"/>
      <c r="E431" s="10"/>
      <c r="F431" s="10"/>
      <c r="G431" s="10"/>
      <c r="H431" s="8"/>
      <c r="I431" s="14"/>
      <c r="J431" s="8" t="str">
        <f t="shared" si="13"/>
        <v>贷</v>
      </c>
      <c r="K431" s="41"/>
      <c r="L431" s="9"/>
    </row>
    <row r="432" spans="2:12" ht="20.100000000000001" customHeight="1" x14ac:dyDescent="0.15">
      <c r="B432" s="10"/>
      <c r="C432" s="10"/>
      <c r="D432" s="10"/>
      <c r="E432" s="10"/>
      <c r="F432" s="10"/>
      <c r="G432" s="10"/>
      <c r="H432" s="8"/>
      <c r="I432" s="14"/>
      <c r="J432" s="8" t="str">
        <f t="shared" si="13"/>
        <v>贷</v>
      </c>
      <c r="K432" s="41"/>
      <c r="L432" s="9"/>
    </row>
    <row r="433" spans="2:12" ht="20.100000000000001" customHeight="1" x14ac:dyDescent="0.15">
      <c r="B433" s="10"/>
      <c r="C433" s="10"/>
      <c r="D433" s="10"/>
      <c r="E433" s="10"/>
      <c r="F433" s="10"/>
      <c r="G433" s="10"/>
      <c r="H433" s="8"/>
      <c r="I433" s="14"/>
      <c r="J433" s="8" t="str">
        <f t="shared" si="13"/>
        <v>贷</v>
      </c>
      <c r="K433" s="41"/>
      <c r="L433" s="9"/>
    </row>
    <row r="434" spans="2:12" ht="20.100000000000001" customHeight="1" x14ac:dyDescent="0.15">
      <c r="B434" s="10"/>
      <c r="C434" s="10"/>
      <c r="D434" s="10"/>
      <c r="E434" s="10"/>
      <c r="F434" s="10"/>
      <c r="G434" s="10"/>
      <c r="H434" s="8"/>
      <c r="I434" s="14"/>
      <c r="J434" s="8" t="str">
        <f t="shared" si="13"/>
        <v>贷</v>
      </c>
      <c r="K434" s="41"/>
      <c r="L434" s="9"/>
    </row>
    <row r="435" spans="2:12" ht="20.100000000000001" customHeight="1" x14ac:dyDescent="0.15">
      <c r="B435" s="10"/>
      <c r="C435" s="10"/>
      <c r="D435" s="10"/>
      <c r="E435" s="10"/>
      <c r="F435" s="10"/>
      <c r="G435" s="10"/>
      <c r="H435" s="8"/>
      <c r="I435" s="14"/>
      <c r="J435" s="8" t="str">
        <f t="shared" si="13"/>
        <v>贷</v>
      </c>
      <c r="K435" s="41"/>
      <c r="L435" s="9"/>
    </row>
    <row r="436" spans="2:12" ht="20.100000000000001" customHeight="1" x14ac:dyDescent="0.15">
      <c r="B436" s="10"/>
      <c r="C436" s="10"/>
      <c r="D436" s="10"/>
      <c r="E436" s="10"/>
      <c r="F436" s="10"/>
      <c r="G436" s="10"/>
      <c r="H436" s="8"/>
      <c r="I436" s="14"/>
      <c r="J436" s="8" t="str">
        <f t="shared" si="13"/>
        <v>贷</v>
      </c>
      <c r="K436" s="41"/>
      <c r="L436" s="9"/>
    </row>
    <row r="437" spans="2:12" ht="20.100000000000001" customHeight="1" x14ac:dyDescent="0.15">
      <c r="B437" s="10"/>
      <c r="C437" s="10"/>
      <c r="D437" s="10"/>
      <c r="E437" s="10"/>
      <c r="F437" s="10"/>
      <c r="G437" s="10"/>
      <c r="H437" s="8"/>
      <c r="I437" s="14"/>
      <c r="J437" s="8" t="str">
        <f t="shared" si="13"/>
        <v>贷</v>
      </c>
      <c r="K437" s="41"/>
      <c r="L437" s="9"/>
    </row>
    <row r="438" spans="2:12" ht="20.100000000000001" customHeight="1" x14ac:dyDescent="0.15">
      <c r="B438" s="10"/>
      <c r="C438" s="10"/>
      <c r="D438" s="10"/>
      <c r="E438" s="10"/>
      <c r="F438" s="10"/>
      <c r="G438" s="10"/>
      <c r="H438" s="8"/>
      <c r="I438" s="14"/>
      <c r="J438" s="8" t="str">
        <f t="shared" si="13"/>
        <v>贷</v>
      </c>
      <c r="K438" s="41"/>
      <c r="L438" s="9"/>
    </row>
    <row r="439" spans="2:12" ht="20.100000000000001" customHeight="1" x14ac:dyDescent="0.15">
      <c r="B439" s="10"/>
      <c r="C439" s="10"/>
      <c r="D439" s="10"/>
      <c r="E439" s="10"/>
      <c r="F439" s="10"/>
      <c r="G439" s="10"/>
      <c r="H439" s="8"/>
      <c r="I439" s="14"/>
      <c r="J439" s="8" t="str">
        <f t="shared" si="13"/>
        <v>贷</v>
      </c>
      <c r="K439" s="41"/>
      <c r="L439" s="9"/>
    </row>
    <row r="440" spans="2:12" ht="20.100000000000001" customHeight="1" x14ac:dyDescent="0.15">
      <c r="B440" s="10"/>
      <c r="C440" s="10"/>
      <c r="D440" s="10"/>
      <c r="E440" s="10"/>
      <c r="F440" s="10"/>
      <c r="G440" s="10"/>
      <c r="H440" s="8"/>
      <c r="I440" s="14"/>
      <c r="J440" s="8" t="str">
        <f t="shared" si="13"/>
        <v>贷</v>
      </c>
      <c r="K440" s="41"/>
      <c r="L440" s="9"/>
    </row>
    <row r="441" spans="2:12" ht="20.100000000000001" customHeight="1" x14ac:dyDescent="0.15">
      <c r="B441" s="10"/>
      <c r="C441" s="10"/>
      <c r="D441" s="10"/>
      <c r="E441" s="10"/>
      <c r="F441" s="10"/>
      <c r="G441" s="10"/>
      <c r="H441" s="8"/>
      <c r="I441" s="14"/>
      <c r="J441" s="8" t="str">
        <f t="shared" si="13"/>
        <v>贷</v>
      </c>
      <c r="K441" s="41"/>
      <c r="L441" s="9"/>
    </row>
    <row r="442" spans="2:12" ht="20.100000000000001" customHeight="1" x14ac:dyDescent="0.15">
      <c r="B442" s="10"/>
      <c r="C442" s="10"/>
      <c r="D442" s="10"/>
      <c r="E442" s="10"/>
      <c r="F442" s="10"/>
      <c r="G442" s="10"/>
      <c r="H442" s="8"/>
      <c r="I442" s="14"/>
      <c r="J442" s="8" t="str">
        <f t="shared" si="13"/>
        <v>贷</v>
      </c>
      <c r="K442" s="41"/>
      <c r="L442" s="9"/>
    </row>
    <row r="443" spans="2:12" ht="20.100000000000001" customHeight="1" x14ac:dyDescent="0.15">
      <c r="B443" s="10"/>
      <c r="C443" s="10"/>
      <c r="D443" s="10"/>
      <c r="E443" s="10"/>
      <c r="F443" s="10"/>
      <c r="G443" s="10"/>
      <c r="H443" s="8"/>
      <c r="I443" s="14"/>
      <c r="J443" s="8" t="str">
        <f t="shared" si="13"/>
        <v>贷</v>
      </c>
      <c r="K443" s="41"/>
      <c r="L443" s="9"/>
    </row>
    <row r="444" spans="2:12" ht="20.100000000000001" customHeight="1" x14ac:dyDescent="0.15">
      <c r="B444" s="10"/>
      <c r="C444" s="10"/>
      <c r="D444" s="10"/>
      <c r="E444" s="10"/>
      <c r="F444" s="10"/>
      <c r="G444" s="10"/>
      <c r="H444" s="8"/>
      <c r="I444" s="14"/>
      <c r="J444" s="8" t="str">
        <f t="shared" si="13"/>
        <v>贷</v>
      </c>
      <c r="K444" s="41"/>
      <c r="L444" s="9"/>
    </row>
    <row r="445" spans="2:12" ht="20.100000000000001" customHeight="1" x14ac:dyDescent="0.15">
      <c r="B445" s="10"/>
      <c r="C445" s="10"/>
      <c r="D445" s="10"/>
      <c r="E445" s="10"/>
      <c r="F445" s="10"/>
      <c r="G445" s="10"/>
      <c r="H445" s="8"/>
      <c r="I445" s="14"/>
      <c r="J445" s="8" t="str">
        <f t="shared" si="13"/>
        <v>贷</v>
      </c>
      <c r="K445" s="41"/>
      <c r="L445" s="9"/>
    </row>
    <row r="446" spans="2:12" ht="20.100000000000001" customHeight="1" x14ac:dyDescent="0.15">
      <c r="B446" s="10"/>
      <c r="C446" s="10"/>
      <c r="D446" s="10"/>
      <c r="E446" s="10"/>
      <c r="F446" s="10"/>
      <c r="G446" s="10"/>
      <c r="H446" s="8"/>
      <c r="I446" s="14"/>
      <c r="J446" s="8" t="str">
        <f t="shared" si="13"/>
        <v>贷</v>
      </c>
      <c r="K446" s="41"/>
      <c r="L446" s="9"/>
    </row>
    <row r="447" spans="2:12" ht="20.100000000000001" customHeight="1" x14ac:dyDescent="0.15">
      <c r="B447" s="10"/>
      <c r="C447" s="10"/>
      <c r="D447" s="10"/>
      <c r="E447" s="10"/>
      <c r="F447" s="10"/>
      <c r="G447" s="10"/>
      <c r="H447" s="8"/>
      <c r="I447" s="14"/>
      <c r="J447" s="8" t="str">
        <f t="shared" si="13"/>
        <v>贷</v>
      </c>
      <c r="K447" s="41"/>
      <c r="L447" s="9"/>
    </row>
    <row r="448" spans="2:12" ht="20.100000000000001" customHeight="1" x14ac:dyDescent="0.15">
      <c r="B448" s="10"/>
      <c r="C448" s="10"/>
      <c r="D448" s="10"/>
      <c r="E448" s="10"/>
      <c r="F448" s="10"/>
      <c r="G448" s="10"/>
      <c r="H448" s="8"/>
      <c r="I448" s="14"/>
      <c r="J448" s="8" t="str">
        <f t="shared" si="13"/>
        <v>贷</v>
      </c>
      <c r="K448" s="41"/>
      <c r="L448" s="9"/>
    </row>
    <row r="449" spans="2:12" ht="20.100000000000001" customHeight="1" x14ac:dyDescent="0.15">
      <c r="B449" s="10"/>
      <c r="C449" s="10"/>
      <c r="D449" s="10"/>
      <c r="E449" s="10"/>
      <c r="F449" s="10"/>
      <c r="G449" s="10"/>
      <c r="H449" s="8"/>
      <c r="I449" s="14"/>
      <c r="J449" s="8" t="str">
        <f t="shared" si="13"/>
        <v>贷</v>
      </c>
      <c r="K449" s="41"/>
      <c r="L449" s="9"/>
    </row>
    <row r="450" spans="2:12" ht="20.100000000000001" customHeight="1" x14ac:dyDescent="0.15">
      <c r="B450" s="10"/>
      <c r="C450" s="10"/>
      <c r="D450" s="10"/>
      <c r="E450" s="10"/>
      <c r="F450" s="10"/>
      <c r="G450" s="10"/>
      <c r="H450" s="8"/>
      <c r="I450" s="14"/>
      <c r="J450" s="8" t="str">
        <f t="shared" si="13"/>
        <v>贷</v>
      </c>
      <c r="K450" s="41"/>
      <c r="L450" s="9"/>
    </row>
    <row r="451" spans="2:12" ht="20.100000000000001" customHeight="1" x14ac:dyDescent="0.15">
      <c r="B451" s="10"/>
      <c r="C451" s="10"/>
      <c r="D451" s="10"/>
      <c r="E451" s="10"/>
      <c r="F451" s="10"/>
      <c r="G451" s="10"/>
      <c r="H451" s="8"/>
      <c r="I451" s="14"/>
      <c r="J451" s="8" t="str">
        <f t="shared" si="13"/>
        <v>贷</v>
      </c>
      <c r="K451" s="41"/>
      <c r="L451" s="9"/>
    </row>
    <row r="452" spans="2:12" ht="20.100000000000001" customHeight="1" x14ac:dyDescent="0.15">
      <c r="B452" s="10"/>
      <c r="C452" s="10"/>
      <c r="D452" s="10"/>
      <c r="E452" s="10"/>
      <c r="F452" s="10"/>
      <c r="G452" s="10"/>
      <c r="H452" s="8"/>
      <c r="I452" s="14"/>
      <c r="J452" s="8" t="str">
        <f t="shared" si="13"/>
        <v>贷</v>
      </c>
      <c r="K452" s="41"/>
      <c r="L452" s="9"/>
    </row>
    <row r="453" spans="2:12" ht="20.100000000000001" customHeight="1" x14ac:dyDescent="0.15">
      <c r="B453" s="10"/>
      <c r="C453" s="10"/>
      <c r="D453" s="10"/>
      <c r="E453" s="10"/>
      <c r="F453" s="10"/>
      <c r="G453" s="10"/>
      <c r="H453" s="8"/>
      <c r="I453" s="14"/>
      <c r="J453" s="8" t="str">
        <f t="shared" si="13"/>
        <v>贷</v>
      </c>
      <c r="K453" s="41"/>
      <c r="L453" s="9"/>
    </row>
    <row r="454" spans="2:12" ht="20.100000000000001" customHeight="1" x14ac:dyDescent="0.15">
      <c r="B454" s="10"/>
      <c r="C454" s="10"/>
      <c r="D454" s="10"/>
      <c r="E454" s="10"/>
      <c r="F454" s="10"/>
      <c r="G454" s="10"/>
      <c r="H454" s="8"/>
      <c r="I454" s="14"/>
      <c r="J454" s="8" t="str">
        <f t="shared" si="13"/>
        <v>贷</v>
      </c>
      <c r="K454" s="41"/>
      <c r="L454" s="9"/>
    </row>
    <row r="455" spans="2:12" ht="20.100000000000001" customHeight="1" x14ac:dyDescent="0.15">
      <c r="B455" s="10"/>
      <c r="C455" s="10"/>
      <c r="D455" s="10"/>
      <c r="E455" s="10"/>
      <c r="F455" s="10"/>
      <c r="G455" s="10"/>
      <c r="H455" s="8"/>
      <c r="I455" s="14"/>
      <c r="J455" s="8" t="str">
        <f t="shared" si="13"/>
        <v>贷</v>
      </c>
      <c r="K455" s="41"/>
      <c r="L455" s="9"/>
    </row>
    <row r="456" spans="2:12" ht="20.100000000000001" customHeight="1" x14ac:dyDescent="0.15">
      <c r="B456" s="10"/>
      <c r="C456" s="10"/>
      <c r="D456" s="10"/>
      <c r="E456" s="10"/>
      <c r="F456" s="10"/>
      <c r="G456" s="10"/>
      <c r="H456" s="8"/>
      <c r="I456" s="14"/>
      <c r="J456" s="8" t="str">
        <f t="shared" si="13"/>
        <v>贷</v>
      </c>
      <c r="K456" s="41"/>
      <c r="L456" s="9"/>
    </row>
    <row r="457" spans="2:12" ht="20.100000000000001" customHeight="1" x14ac:dyDescent="0.15">
      <c r="B457" s="10"/>
      <c r="C457" s="10"/>
      <c r="D457" s="10"/>
      <c r="E457" s="10"/>
      <c r="F457" s="10"/>
      <c r="G457" s="10"/>
      <c r="H457" s="8"/>
      <c r="I457" s="14"/>
      <c r="J457" s="8" t="str">
        <f t="shared" si="13"/>
        <v>贷</v>
      </c>
      <c r="K457" s="41"/>
      <c r="L457" s="9"/>
    </row>
    <row r="458" spans="2:12" ht="20.100000000000001" customHeight="1" x14ac:dyDescent="0.15">
      <c r="B458" s="10"/>
      <c r="C458" s="10"/>
      <c r="D458" s="10"/>
      <c r="E458" s="10"/>
      <c r="F458" s="10"/>
      <c r="G458" s="10"/>
      <c r="H458" s="8"/>
      <c r="I458" s="14"/>
      <c r="J458" s="8" t="str">
        <f t="shared" si="13"/>
        <v>贷</v>
      </c>
      <c r="K458" s="41"/>
      <c r="L458" s="9"/>
    </row>
    <row r="459" spans="2:12" ht="20.100000000000001" customHeight="1" x14ac:dyDescent="0.15">
      <c r="B459" s="10"/>
      <c r="C459" s="10"/>
      <c r="D459" s="10"/>
      <c r="E459" s="10"/>
      <c r="F459" s="10"/>
      <c r="G459" s="10"/>
      <c r="H459" s="8"/>
      <c r="I459" s="14"/>
      <c r="J459" s="8" t="str">
        <f t="shared" si="13"/>
        <v>贷</v>
      </c>
      <c r="K459" s="41"/>
      <c r="L459" s="9"/>
    </row>
    <row r="460" spans="2:12" ht="20.100000000000001" customHeight="1" x14ac:dyDescent="0.15">
      <c r="B460" s="10"/>
      <c r="C460" s="10"/>
      <c r="D460" s="10"/>
      <c r="E460" s="10"/>
      <c r="F460" s="10"/>
      <c r="G460" s="10"/>
      <c r="H460" s="8"/>
      <c r="I460" s="14"/>
      <c r="J460" s="8" t="str">
        <f t="shared" si="13"/>
        <v>贷</v>
      </c>
      <c r="K460" s="41"/>
      <c r="L460" s="9"/>
    </row>
    <row r="461" spans="2:12" ht="20.100000000000001" customHeight="1" x14ac:dyDescent="0.15">
      <c r="B461" s="10"/>
      <c r="C461" s="10"/>
      <c r="D461" s="10"/>
      <c r="E461" s="10"/>
      <c r="F461" s="10"/>
      <c r="G461" s="10"/>
      <c r="H461" s="8"/>
      <c r="I461" s="14"/>
      <c r="J461" s="8" t="str">
        <f t="shared" si="13"/>
        <v>贷</v>
      </c>
      <c r="K461" s="41"/>
      <c r="L461" s="9"/>
    </row>
    <row r="462" spans="2:12" ht="20.100000000000001" customHeight="1" x14ac:dyDescent="0.15">
      <c r="B462" s="10"/>
      <c r="C462" s="10"/>
      <c r="D462" s="10"/>
      <c r="E462" s="10"/>
      <c r="F462" s="10"/>
      <c r="G462" s="10"/>
      <c r="H462" s="8"/>
      <c r="I462" s="14"/>
      <c r="J462" s="8" t="str">
        <f t="shared" ref="J462:J504" si="14">IF((K461+H462-I462)&gt;0,"借","贷")</f>
        <v>贷</v>
      </c>
      <c r="K462" s="41"/>
      <c r="L462" s="9"/>
    </row>
    <row r="463" spans="2:12" ht="20.100000000000001" customHeight="1" x14ac:dyDescent="0.15">
      <c r="B463" s="10"/>
      <c r="C463" s="10"/>
      <c r="D463" s="10"/>
      <c r="E463" s="10"/>
      <c r="F463" s="10"/>
      <c r="G463" s="10"/>
      <c r="H463" s="8"/>
      <c r="I463" s="14"/>
      <c r="J463" s="8" t="str">
        <f t="shared" si="14"/>
        <v>贷</v>
      </c>
      <c r="K463" s="41"/>
      <c r="L463" s="9"/>
    </row>
    <row r="464" spans="2:12" ht="20.100000000000001" customHeight="1" x14ac:dyDescent="0.15">
      <c r="B464" s="10"/>
      <c r="C464" s="10"/>
      <c r="D464" s="10"/>
      <c r="E464" s="10"/>
      <c r="F464" s="10"/>
      <c r="G464" s="10"/>
      <c r="H464" s="8"/>
      <c r="I464" s="14"/>
      <c r="J464" s="8" t="str">
        <f t="shared" si="14"/>
        <v>贷</v>
      </c>
      <c r="K464" s="41"/>
      <c r="L464" s="9"/>
    </row>
    <row r="465" spans="2:12" ht="20.100000000000001" customHeight="1" x14ac:dyDescent="0.15">
      <c r="B465" s="10"/>
      <c r="C465" s="10"/>
      <c r="D465" s="10"/>
      <c r="E465" s="10"/>
      <c r="F465" s="10"/>
      <c r="G465" s="10"/>
      <c r="H465" s="8"/>
      <c r="I465" s="14"/>
      <c r="J465" s="8" t="str">
        <f t="shared" si="14"/>
        <v>贷</v>
      </c>
      <c r="K465" s="41"/>
      <c r="L465" s="9"/>
    </row>
    <row r="466" spans="2:12" ht="20.100000000000001" customHeight="1" x14ac:dyDescent="0.15">
      <c r="B466" s="10"/>
      <c r="C466" s="10"/>
      <c r="D466" s="10"/>
      <c r="E466" s="10"/>
      <c r="F466" s="10"/>
      <c r="G466" s="10"/>
      <c r="H466" s="8"/>
      <c r="I466" s="14"/>
      <c r="J466" s="8" t="str">
        <f t="shared" si="14"/>
        <v>贷</v>
      </c>
      <c r="K466" s="41"/>
      <c r="L466" s="9"/>
    </row>
    <row r="467" spans="2:12" ht="20.100000000000001" customHeight="1" x14ac:dyDescent="0.15">
      <c r="B467" s="10"/>
      <c r="C467" s="10"/>
      <c r="D467" s="10"/>
      <c r="E467" s="10"/>
      <c r="F467" s="10"/>
      <c r="G467" s="10"/>
      <c r="H467" s="8"/>
      <c r="I467" s="14"/>
      <c r="J467" s="8" t="str">
        <f t="shared" si="14"/>
        <v>贷</v>
      </c>
      <c r="K467" s="41"/>
      <c r="L467" s="9"/>
    </row>
    <row r="468" spans="2:12" ht="20.100000000000001" customHeight="1" x14ac:dyDescent="0.15">
      <c r="B468" s="10"/>
      <c r="C468" s="10"/>
      <c r="D468" s="10"/>
      <c r="E468" s="10"/>
      <c r="F468" s="10"/>
      <c r="G468" s="10"/>
      <c r="H468" s="8"/>
      <c r="I468" s="14"/>
      <c r="J468" s="8" t="str">
        <f t="shared" si="14"/>
        <v>贷</v>
      </c>
      <c r="K468" s="41"/>
      <c r="L468" s="9"/>
    </row>
    <row r="469" spans="2:12" ht="20.100000000000001" customHeight="1" x14ac:dyDescent="0.15">
      <c r="B469" s="10"/>
      <c r="C469" s="10"/>
      <c r="D469" s="10"/>
      <c r="E469" s="10"/>
      <c r="F469" s="10"/>
      <c r="G469" s="10"/>
      <c r="H469" s="8"/>
      <c r="I469" s="14"/>
      <c r="J469" s="8" t="str">
        <f t="shared" si="14"/>
        <v>贷</v>
      </c>
      <c r="K469" s="41"/>
      <c r="L469" s="9"/>
    </row>
    <row r="470" spans="2:12" ht="20.100000000000001" customHeight="1" x14ac:dyDescent="0.15">
      <c r="B470" s="10"/>
      <c r="C470" s="10"/>
      <c r="D470" s="10"/>
      <c r="E470" s="10"/>
      <c r="F470" s="10"/>
      <c r="G470" s="10"/>
      <c r="H470" s="8"/>
      <c r="I470" s="14"/>
      <c r="J470" s="8" t="str">
        <f t="shared" si="14"/>
        <v>贷</v>
      </c>
      <c r="K470" s="41"/>
      <c r="L470" s="9"/>
    </row>
    <row r="471" spans="2:12" ht="20.100000000000001" customHeight="1" x14ac:dyDescent="0.15">
      <c r="B471" s="10"/>
      <c r="C471" s="10"/>
      <c r="D471" s="10"/>
      <c r="E471" s="10"/>
      <c r="F471" s="10"/>
      <c r="G471" s="10"/>
      <c r="H471" s="8"/>
      <c r="I471" s="14"/>
      <c r="J471" s="8" t="str">
        <f t="shared" si="14"/>
        <v>贷</v>
      </c>
      <c r="K471" s="41"/>
      <c r="L471" s="9"/>
    </row>
    <row r="472" spans="2:12" ht="20.100000000000001" customHeight="1" x14ac:dyDescent="0.15">
      <c r="B472" s="10"/>
      <c r="C472" s="10"/>
      <c r="D472" s="10"/>
      <c r="E472" s="10"/>
      <c r="F472" s="10"/>
      <c r="G472" s="10"/>
      <c r="H472" s="8"/>
      <c r="I472" s="14"/>
      <c r="J472" s="8" t="str">
        <f t="shared" si="14"/>
        <v>贷</v>
      </c>
      <c r="K472" s="41"/>
      <c r="L472" s="9"/>
    </row>
    <row r="473" spans="2:12" ht="20.100000000000001" customHeight="1" x14ac:dyDescent="0.15">
      <c r="B473" s="10"/>
      <c r="C473" s="10"/>
      <c r="D473" s="10"/>
      <c r="E473" s="10"/>
      <c r="F473" s="10"/>
      <c r="G473" s="10"/>
      <c r="H473" s="8"/>
      <c r="I473" s="14"/>
      <c r="J473" s="8" t="str">
        <f t="shared" si="14"/>
        <v>贷</v>
      </c>
      <c r="K473" s="41"/>
      <c r="L473" s="9"/>
    </row>
    <row r="474" spans="2:12" ht="20.100000000000001" customHeight="1" x14ac:dyDescent="0.15">
      <c r="B474" s="10"/>
      <c r="C474" s="10"/>
      <c r="D474" s="10"/>
      <c r="E474" s="10"/>
      <c r="F474" s="10"/>
      <c r="G474" s="10"/>
      <c r="H474" s="8"/>
      <c r="I474" s="14"/>
      <c r="J474" s="8" t="str">
        <f t="shared" si="14"/>
        <v>贷</v>
      </c>
      <c r="K474" s="41"/>
      <c r="L474" s="9"/>
    </row>
    <row r="475" spans="2:12" ht="20.100000000000001" customHeight="1" x14ac:dyDescent="0.15">
      <c r="B475" s="10"/>
      <c r="C475" s="10"/>
      <c r="D475" s="10"/>
      <c r="E475" s="10"/>
      <c r="F475" s="10"/>
      <c r="G475" s="10"/>
      <c r="H475" s="8"/>
      <c r="I475" s="14"/>
      <c r="J475" s="8" t="str">
        <f t="shared" si="14"/>
        <v>贷</v>
      </c>
      <c r="K475" s="41"/>
      <c r="L475" s="9"/>
    </row>
    <row r="476" spans="2:12" ht="20.100000000000001" customHeight="1" x14ac:dyDescent="0.15">
      <c r="B476" s="10"/>
      <c r="C476" s="10"/>
      <c r="D476" s="10"/>
      <c r="E476" s="10"/>
      <c r="F476" s="10"/>
      <c r="G476" s="10"/>
      <c r="H476" s="8"/>
      <c r="I476" s="14"/>
      <c r="J476" s="8" t="str">
        <f t="shared" si="14"/>
        <v>贷</v>
      </c>
      <c r="K476" s="41"/>
      <c r="L476" s="9"/>
    </row>
    <row r="477" spans="2:12" ht="20.100000000000001" customHeight="1" x14ac:dyDescent="0.15">
      <c r="B477" s="10"/>
      <c r="C477" s="10"/>
      <c r="D477" s="10"/>
      <c r="E477" s="10"/>
      <c r="F477" s="10"/>
      <c r="G477" s="10"/>
      <c r="H477" s="8"/>
      <c r="I477" s="14"/>
      <c r="J477" s="8" t="str">
        <f t="shared" si="14"/>
        <v>贷</v>
      </c>
      <c r="K477" s="41"/>
      <c r="L477" s="9"/>
    </row>
    <row r="478" spans="2:12" ht="20.100000000000001" customHeight="1" x14ac:dyDescent="0.15">
      <c r="B478" s="10"/>
      <c r="C478" s="10"/>
      <c r="D478" s="10"/>
      <c r="E478" s="10"/>
      <c r="F478" s="10"/>
      <c r="G478" s="10"/>
      <c r="H478" s="8"/>
      <c r="I478" s="14"/>
      <c r="J478" s="8" t="str">
        <f t="shared" si="14"/>
        <v>贷</v>
      </c>
      <c r="K478" s="41"/>
      <c r="L478" s="9"/>
    </row>
    <row r="479" spans="2:12" ht="20.100000000000001" customHeight="1" x14ac:dyDescent="0.15">
      <c r="B479" s="10"/>
      <c r="C479" s="10"/>
      <c r="D479" s="10"/>
      <c r="E479" s="10"/>
      <c r="F479" s="10"/>
      <c r="G479" s="10"/>
      <c r="H479" s="8"/>
      <c r="I479" s="14"/>
      <c r="J479" s="8" t="str">
        <f t="shared" si="14"/>
        <v>贷</v>
      </c>
      <c r="K479" s="41"/>
      <c r="L479" s="9"/>
    </row>
    <row r="480" spans="2:12" ht="20.100000000000001" customHeight="1" x14ac:dyDescent="0.15">
      <c r="B480" s="10"/>
      <c r="C480" s="10"/>
      <c r="D480" s="10"/>
      <c r="E480" s="10"/>
      <c r="F480" s="10"/>
      <c r="G480" s="10"/>
      <c r="H480" s="8"/>
      <c r="I480" s="14"/>
      <c r="J480" s="8" t="str">
        <f t="shared" si="14"/>
        <v>贷</v>
      </c>
      <c r="K480" s="41"/>
      <c r="L480" s="9"/>
    </row>
    <row r="481" spans="2:12" ht="20.100000000000001" customHeight="1" x14ac:dyDescent="0.15">
      <c r="B481" s="10"/>
      <c r="C481" s="10"/>
      <c r="D481" s="10"/>
      <c r="E481" s="10"/>
      <c r="F481" s="10"/>
      <c r="G481" s="10"/>
      <c r="H481" s="8"/>
      <c r="I481" s="14"/>
      <c r="J481" s="8" t="str">
        <f t="shared" si="14"/>
        <v>贷</v>
      </c>
      <c r="K481" s="41"/>
      <c r="L481" s="9"/>
    </row>
    <row r="482" spans="2:12" ht="20.100000000000001" customHeight="1" x14ac:dyDescent="0.15">
      <c r="B482" s="10"/>
      <c r="C482" s="10"/>
      <c r="D482" s="10"/>
      <c r="E482" s="10"/>
      <c r="F482" s="10"/>
      <c r="G482" s="10"/>
      <c r="H482" s="8"/>
      <c r="I482" s="14"/>
      <c r="J482" s="8" t="str">
        <f t="shared" si="14"/>
        <v>贷</v>
      </c>
      <c r="K482" s="41"/>
      <c r="L482" s="9"/>
    </row>
    <row r="483" spans="2:12" ht="20.100000000000001" customHeight="1" x14ac:dyDescent="0.15">
      <c r="B483" s="10"/>
      <c r="C483" s="10"/>
      <c r="D483" s="10"/>
      <c r="E483" s="10"/>
      <c r="F483" s="10"/>
      <c r="G483" s="10"/>
      <c r="H483" s="8"/>
      <c r="I483" s="14"/>
      <c r="J483" s="8" t="str">
        <f t="shared" si="14"/>
        <v>贷</v>
      </c>
      <c r="K483" s="41"/>
      <c r="L483" s="9"/>
    </row>
    <row r="484" spans="2:12" ht="20.100000000000001" customHeight="1" x14ac:dyDescent="0.15">
      <c r="B484" s="10"/>
      <c r="C484" s="10"/>
      <c r="D484" s="10"/>
      <c r="E484" s="10"/>
      <c r="F484" s="10"/>
      <c r="G484" s="10"/>
      <c r="H484" s="8"/>
      <c r="I484" s="14"/>
      <c r="J484" s="8" t="str">
        <f t="shared" si="14"/>
        <v>贷</v>
      </c>
      <c r="K484" s="41"/>
      <c r="L484" s="9"/>
    </row>
    <row r="485" spans="2:12" ht="20.100000000000001" customHeight="1" x14ac:dyDescent="0.15">
      <c r="B485" s="10"/>
      <c r="C485" s="10"/>
      <c r="D485" s="10"/>
      <c r="E485" s="10"/>
      <c r="F485" s="10"/>
      <c r="G485" s="10"/>
      <c r="H485" s="8"/>
      <c r="I485" s="14"/>
      <c r="J485" s="8" t="str">
        <f t="shared" si="14"/>
        <v>贷</v>
      </c>
      <c r="K485" s="41"/>
      <c r="L485" s="9"/>
    </row>
    <row r="486" spans="2:12" ht="20.100000000000001" customHeight="1" x14ac:dyDescent="0.15">
      <c r="B486" s="10"/>
      <c r="C486" s="10"/>
      <c r="D486" s="10"/>
      <c r="E486" s="10"/>
      <c r="F486" s="10"/>
      <c r="G486" s="10"/>
      <c r="H486" s="8"/>
      <c r="I486" s="14"/>
      <c r="J486" s="8" t="str">
        <f t="shared" si="14"/>
        <v>贷</v>
      </c>
      <c r="K486" s="41"/>
      <c r="L486" s="9"/>
    </row>
    <row r="487" spans="2:12" ht="20.100000000000001" customHeight="1" x14ac:dyDescent="0.15">
      <c r="B487" s="10"/>
      <c r="C487" s="10"/>
      <c r="D487" s="10"/>
      <c r="E487" s="10"/>
      <c r="F487" s="10"/>
      <c r="G487" s="10"/>
      <c r="H487" s="8"/>
      <c r="I487" s="14"/>
      <c r="J487" s="8" t="str">
        <f t="shared" si="14"/>
        <v>贷</v>
      </c>
      <c r="K487" s="41"/>
      <c r="L487" s="9"/>
    </row>
    <row r="488" spans="2:12" ht="20.100000000000001" customHeight="1" x14ac:dyDescent="0.15">
      <c r="B488" s="10"/>
      <c r="C488" s="10"/>
      <c r="D488" s="10"/>
      <c r="E488" s="10"/>
      <c r="F488" s="10"/>
      <c r="G488" s="10"/>
      <c r="H488" s="8"/>
      <c r="I488" s="14"/>
      <c r="J488" s="8" t="str">
        <f t="shared" si="14"/>
        <v>贷</v>
      </c>
      <c r="K488" s="41"/>
      <c r="L488" s="9"/>
    </row>
    <row r="489" spans="2:12" ht="20.100000000000001" customHeight="1" x14ac:dyDescent="0.15">
      <c r="B489" s="10"/>
      <c r="C489" s="10"/>
      <c r="D489" s="10"/>
      <c r="E489" s="10"/>
      <c r="F489" s="10"/>
      <c r="G489" s="10"/>
      <c r="H489" s="8"/>
      <c r="I489" s="14"/>
      <c r="J489" s="8" t="str">
        <f t="shared" si="14"/>
        <v>贷</v>
      </c>
      <c r="K489" s="41"/>
      <c r="L489" s="9"/>
    </row>
    <row r="490" spans="2:12" ht="20.100000000000001" customHeight="1" x14ac:dyDescent="0.15">
      <c r="B490" s="10"/>
      <c r="C490" s="10"/>
      <c r="D490" s="10"/>
      <c r="E490" s="10"/>
      <c r="F490" s="10"/>
      <c r="G490" s="10"/>
      <c r="H490" s="8"/>
      <c r="I490" s="14"/>
      <c r="J490" s="8" t="str">
        <f t="shared" si="14"/>
        <v>贷</v>
      </c>
      <c r="K490" s="41"/>
      <c r="L490" s="9"/>
    </row>
    <row r="491" spans="2:12" ht="20.100000000000001" customHeight="1" x14ac:dyDescent="0.15">
      <c r="B491" s="10"/>
      <c r="C491" s="10"/>
      <c r="D491" s="10"/>
      <c r="E491" s="10"/>
      <c r="F491" s="10"/>
      <c r="G491" s="10"/>
      <c r="H491" s="8"/>
      <c r="I491" s="14"/>
      <c r="J491" s="8" t="str">
        <f t="shared" si="14"/>
        <v>贷</v>
      </c>
      <c r="K491" s="41"/>
      <c r="L491" s="9"/>
    </row>
    <row r="492" spans="2:12" ht="20.100000000000001" customHeight="1" x14ac:dyDescent="0.15">
      <c r="B492" s="10"/>
      <c r="C492" s="10"/>
      <c r="D492" s="10"/>
      <c r="E492" s="10"/>
      <c r="F492" s="10"/>
      <c r="G492" s="10"/>
      <c r="H492" s="8"/>
      <c r="I492" s="14"/>
      <c r="J492" s="8" t="str">
        <f t="shared" si="14"/>
        <v>贷</v>
      </c>
      <c r="K492" s="41"/>
      <c r="L492" s="9"/>
    </row>
    <row r="493" spans="2:12" ht="20.100000000000001" customHeight="1" x14ac:dyDescent="0.15">
      <c r="B493" s="10"/>
      <c r="C493" s="10"/>
      <c r="D493" s="10"/>
      <c r="E493" s="10"/>
      <c r="F493" s="10"/>
      <c r="G493" s="10"/>
      <c r="H493" s="8"/>
      <c r="I493" s="14"/>
      <c r="J493" s="8" t="str">
        <f t="shared" si="14"/>
        <v>贷</v>
      </c>
      <c r="K493" s="41"/>
      <c r="L493" s="9"/>
    </row>
    <row r="494" spans="2:12" ht="20.100000000000001" customHeight="1" x14ac:dyDescent="0.15">
      <c r="B494" s="10"/>
      <c r="C494" s="10"/>
      <c r="D494" s="10"/>
      <c r="E494" s="10"/>
      <c r="F494" s="10"/>
      <c r="G494" s="10"/>
      <c r="H494" s="8"/>
      <c r="I494" s="14"/>
      <c r="J494" s="8" t="str">
        <f t="shared" si="14"/>
        <v>贷</v>
      </c>
      <c r="K494" s="41"/>
      <c r="L494" s="9"/>
    </row>
    <row r="495" spans="2:12" ht="20.100000000000001" customHeight="1" x14ac:dyDescent="0.15">
      <c r="B495" s="10"/>
      <c r="C495" s="10"/>
      <c r="D495" s="10"/>
      <c r="E495" s="10"/>
      <c r="F495" s="10"/>
      <c r="G495" s="10"/>
      <c r="H495" s="8"/>
      <c r="I495" s="14"/>
      <c r="J495" s="8" t="str">
        <f t="shared" si="14"/>
        <v>贷</v>
      </c>
      <c r="K495" s="41"/>
      <c r="L495" s="9"/>
    </row>
    <row r="496" spans="2:12" ht="20.100000000000001" customHeight="1" x14ac:dyDescent="0.15">
      <c r="B496" s="10"/>
      <c r="C496" s="10"/>
      <c r="D496" s="10"/>
      <c r="E496" s="10"/>
      <c r="F496" s="10"/>
      <c r="G496" s="10"/>
      <c r="H496" s="8"/>
      <c r="I496" s="14"/>
      <c r="J496" s="8" t="str">
        <f t="shared" si="14"/>
        <v>贷</v>
      </c>
      <c r="K496" s="41"/>
      <c r="L496" s="9"/>
    </row>
    <row r="497" spans="2:12" ht="20.100000000000001" customHeight="1" x14ac:dyDescent="0.15">
      <c r="B497" s="10"/>
      <c r="C497" s="10"/>
      <c r="D497" s="10"/>
      <c r="E497" s="10"/>
      <c r="F497" s="10"/>
      <c r="G497" s="10"/>
      <c r="H497" s="8"/>
      <c r="I497" s="14"/>
      <c r="J497" s="8" t="str">
        <f t="shared" si="14"/>
        <v>贷</v>
      </c>
      <c r="K497" s="41"/>
      <c r="L497" s="9"/>
    </row>
    <row r="498" spans="2:12" ht="20.100000000000001" customHeight="1" x14ac:dyDescent="0.15">
      <c r="B498" s="10"/>
      <c r="C498" s="10"/>
      <c r="D498" s="10"/>
      <c r="E498" s="10"/>
      <c r="F498" s="10"/>
      <c r="G498" s="10"/>
      <c r="H498" s="8"/>
      <c r="I498" s="14"/>
      <c r="J498" s="8" t="str">
        <f t="shared" si="14"/>
        <v>贷</v>
      </c>
      <c r="K498" s="41"/>
      <c r="L498" s="9"/>
    </row>
    <row r="499" spans="2:12" ht="20.100000000000001" customHeight="1" x14ac:dyDescent="0.15">
      <c r="B499" s="10"/>
      <c r="C499" s="10"/>
      <c r="D499" s="10"/>
      <c r="E499" s="10"/>
      <c r="F499" s="10"/>
      <c r="G499" s="10"/>
      <c r="H499" s="8"/>
      <c r="I499" s="14"/>
      <c r="J499" s="8" t="str">
        <f t="shared" si="14"/>
        <v>贷</v>
      </c>
      <c r="K499" s="41"/>
      <c r="L499" s="9"/>
    </row>
    <row r="500" spans="2:12" ht="20.100000000000001" customHeight="1" x14ac:dyDescent="0.15">
      <c r="B500" s="10"/>
      <c r="C500" s="10"/>
      <c r="D500" s="10"/>
      <c r="E500" s="10"/>
      <c r="F500" s="10"/>
      <c r="G500" s="10"/>
      <c r="H500" s="8"/>
      <c r="I500" s="14"/>
      <c r="J500" s="8" t="str">
        <f t="shared" si="14"/>
        <v>贷</v>
      </c>
      <c r="K500" s="41"/>
      <c r="L500" s="9"/>
    </row>
    <row r="501" spans="2:12" ht="20.100000000000001" customHeight="1" x14ac:dyDescent="0.15">
      <c r="B501" s="10"/>
      <c r="C501" s="10"/>
      <c r="D501" s="10"/>
      <c r="E501" s="10"/>
      <c r="F501" s="10"/>
      <c r="G501" s="10"/>
      <c r="H501" s="8"/>
      <c r="I501" s="14"/>
      <c r="J501" s="8" t="str">
        <f t="shared" si="14"/>
        <v>贷</v>
      </c>
      <c r="K501" s="41"/>
      <c r="L501" s="9"/>
    </row>
    <row r="502" spans="2:12" ht="20.100000000000001" customHeight="1" x14ac:dyDescent="0.15">
      <c r="B502" s="10"/>
      <c r="C502" s="10"/>
      <c r="D502" s="10"/>
      <c r="E502" s="10"/>
      <c r="F502" s="10"/>
      <c r="G502" s="10"/>
      <c r="H502" s="8"/>
      <c r="I502" s="14"/>
      <c r="J502" s="8" t="str">
        <f t="shared" si="14"/>
        <v>贷</v>
      </c>
      <c r="K502" s="41"/>
      <c r="L502" s="9"/>
    </row>
    <row r="503" spans="2:12" ht="20.100000000000001" customHeight="1" x14ac:dyDescent="0.15">
      <c r="B503" s="10"/>
      <c r="C503" s="10"/>
      <c r="D503" s="10"/>
      <c r="E503" s="10"/>
      <c r="F503" s="10"/>
      <c r="G503" s="10"/>
      <c r="H503" s="8"/>
      <c r="I503" s="14"/>
      <c r="J503" s="8" t="str">
        <f t="shared" si="14"/>
        <v>贷</v>
      </c>
      <c r="K503" s="41"/>
      <c r="L503" s="9"/>
    </row>
    <row r="504" spans="2:12" ht="20.100000000000001" customHeight="1" x14ac:dyDescent="0.15">
      <c r="B504" s="10"/>
      <c r="C504" s="10"/>
      <c r="D504" s="10"/>
      <c r="E504" s="10"/>
      <c r="F504" s="10"/>
      <c r="G504" s="10"/>
      <c r="H504" s="8"/>
      <c r="I504" s="14"/>
      <c r="J504" s="8" t="str">
        <f t="shared" si="14"/>
        <v>贷</v>
      </c>
      <c r="K504" s="41"/>
      <c r="L504" s="9"/>
    </row>
  </sheetData>
  <autoFilter ref="A3:O504" xr:uid="{00000000-0009-0000-0000-00000B000000}"/>
  <mergeCells count="14">
    <mergeCell ref="M221:M222"/>
    <mergeCell ref="M261:M262"/>
    <mergeCell ref="M275:M276"/>
    <mergeCell ref="N229:N230"/>
    <mergeCell ref="M121:M122"/>
    <mergeCell ref="M148:M150"/>
    <mergeCell ref="M159:M160"/>
    <mergeCell ref="M164:M166"/>
    <mergeCell ref="M183:M184"/>
    <mergeCell ref="A1:K1"/>
    <mergeCell ref="M11:M12"/>
    <mergeCell ref="M25:M27"/>
    <mergeCell ref="M33:M35"/>
    <mergeCell ref="M103:M105"/>
  </mergeCells>
  <phoneticPr fontId="22" type="noConversion"/>
  <dataValidations count="1">
    <dataValidation type="list" allowBlank="1" showInputMessage="1" showErrorMessage="1" sqref="A1:L1 G4:G1048576" xr:uid="{00000000-0002-0000-0B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98"/>
  <sheetViews>
    <sheetView workbookViewId="0">
      <selection activeCell="G18" sqref="G1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3.1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  <c r="L1" s="2"/>
    </row>
    <row r="2" spans="1:13" ht="20.100000000000001" customHeight="1" x14ac:dyDescent="0.15">
      <c r="A2" t="s">
        <v>66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SUM(H5:H180001)</f>
        <v>10000</v>
      </c>
      <c r="I3" s="4">
        <f>SUM(I5:I180001)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11" t="s">
        <v>40</v>
      </c>
      <c r="E6" s="10"/>
      <c r="F6" s="10" t="s">
        <v>41</v>
      </c>
      <c r="G6" s="7" t="s">
        <v>42</v>
      </c>
      <c r="H6" s="8">
        <v>10000</v>
      </c>
      <c r="I6" s="8"/>
      <c r="J6" s="8" t="str">
        <f t="shared" ref="J6:J67" si="0">IF((K5+H6-I6)&gt;0,"借","贷")</f>
        <v>借</v>
      </c>
      <c r="K6" s="9">
        <f t="shared" ref="K6:K67" si="1">K5+H6-I6</f>
        <v>11000</v>
      </c>
      <c r="L6" s="28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  <c r="L7" s="28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7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10">
        <v>5</v>
      </c>
      <c r="D9" s="11" t="s">
        <v>48</v>
      </c>
      <c r="E9" s="10"/>
      <c r="F9" s="8" t="s">
        <v>49</v>
      </c>
      <c r="G9" s="7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10"/>
      <c r="D10" s="10"/>
      <c r="E10" s="10"/>
      <c r="F10" s="8"/>
      <c r="G10" s="7"/>
      <c r="H10" s="8"/>
      <c r="I10" s="8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11"/>
      <c r="E11" s="10"/>
      <c r="F11" s="8"/>
      <c r="G11" s="7"/>
      <c r="H11" s="8"/>
      <c r="I11" s="8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7"/>
      <c r="H12" s="8"/>
      <c r="I12" s="8"/>
      <c r="J12" s="8" t="str">
        <f t="shared" si="0"/>
        <v>借</v>
      </c>
      <c r="K12" s="9">
        <f t="shared" si="1"/>
        <v>890</v>
      </c>
      <c r="L12" s="28"/>
    </row>
    <row r="13" spans="1:13" ht="20.100000000000001" customHeight="1" x14ac:dyDescent="0.15">
      <c r="A13" s="5"/>
      <c r="B13" s="5"/>
      <c r="C13" s="5"/>
      <c r="D13" s="7"/>
      <c r="E13" s="7"/>
      <c r="F13" s="7"/>
      <c r="G13" s="7"/>
      <c r="H13" s="8"/>
      <c r="I13" s="14"/>
      <c r="J13" s="8" t="str">
        <f t="shared" si="0"/>
        <v>借</v>
      </c>
      <c r="K13" s="9">
        <f t="shared" si="1"/>
        <v>890</v>
      </c>
      <c r="L13" s="28"/>
    </row>
    <row r="14" spans="1:13" ht="20.100000000000001" customHeight="1" x14ac:dyDescent="0.15">
      <c r="A14" s="5"/>
      <c r="B14" s="5"/>
      <c r="C14" s="5"/>
      <c r="D14" s="7"/>
      <c r="E14" s="7"/>
      <c r="F14" s="7"/>
      <c r="G14" s="7"/>
      <c r="H14" s="8"/>
      <c r="I14" s="14"/>
      <c r="J14" s="8" t="str">
        <f t="shared" si="0"/>
        <v>借</v>
      </c>
      <c r="K14" s="9">
        <f t="shared" si="1"/>
        <v>890</v>
      </c>
      <c r="L14" s="28"/>
      <c r="M14" s="99"/>
    </row>
    <row r="15" spans="1:13" ht="20.100000000000001" customHeight="1" x14ac:dyDescent="0.15">
      <c r="A15" s="5"/>
      <c r="B15" s="5"/>
      <c r="C15" s="5"/>
      <c r="D15" s="7"/>
      <c r="E15" s="7"/>
      <c r="F15" s="7"/>
      <c r="G15" s="7"/>
      <c r="H15" s="8"/>
      <c r="I15" s="14"/>
      <c r="J15" s="8" t="str">
        <f t="shared" si="0"/>
        <v>借</v>
      </c>
      <c r="K15" s="9">
        <f t="shared" si="1"/>
        <v>890</v>
      </c>
      <c r="L15" s="28"/>
      <c r="M15" s="99"/>
    </row>
    <row r="16" spans="1:13" ht="20.100000000000001" customHeight="1" x14ac:dyDescent="0.15">
      <c r="A16" s="5"/>
      <c r="B16" s="5"/>
      <c r="C16" s="5"/>
      <c r="D16" s="7"/>
      <c r="E16" s="10"/>
      <c r="F16" s="7"/>
      <c r="G16" s="7"/>
      <c r="H16" s="8"/>
      <c r="I16" s="8"/>
      <c r="J16" s="8" t="str">
        <f t="shared" si="0"/>
        <v>借</v>
      </c>
      <c r="K16" s="9">
        <f t="shared" si="1"/>
        <v>890</v>
      </c>
      <c r="L16" s="28"/>
      <c r="M16" s="99"/>
    </row>
    <row r="17" spans="1:13" ht="20.100000000000001" customHeight="1" x14ac:dyDescent="0.15">
      <c r="A17" s="5"/>
      <c r="B17" s="5"/>
      <c r="C17" s="5"/>
      <c r="D17" s="7"/>
      <c r="E17" s="10"/>
      <c r="F17" s="10"/>
      <c r="G17" s="7"/>
      <c r="H17" s="8"/>
      <c r="I17" s="8"/>
      <c r="J17" s="8" t="str">
        <f t="shared" si="0"/>
        <v>借</v>
      </c>
      <c r="K17" s="9">
        <f t="shared" si="1"/>
        <v>890</v>
      </c>
      <c r="L17" s="28"/>
      <c r="M17" s="99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7"/>
      <c r="H18" s="8"/>
      <c r="I18" s="8"/>
      <c r="J18" s="8" t="str">
        <f t="shared" si="0"/>
        <v>借</v>
      </c>
      <c r="K18" s="9">
        <f t="shared" si="1"/>
        <v>890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7"/>
      <c r="H19" s="8"/>
      <c r="I19" s="8"/>
      <c r="J19" s="8" t="str">
        <f t="shared" si="0"/>
        <v>借</v>
      </c>
      <c r="K19" s="9">
        <f t="shared" si="1"/>
        <v>890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7"/>
      <c r="G20" s="7"/>
      <c r="H20" s="8"/>
      <c r="I20" s="8"/>
      <c r="J20" s="8" t="str">
        <f t="shared" si="0"/>
        <v>借</v>
      </c>
      <c r="K20" s="9">
        <f t="shared" si="1"/>
        <v>890</v>
      </c>
      <c r="L20" s="28"/>
    </row>
    <row r="21" spans="1:13" ht="20.100000000000001" customHeight="1" x14ac:dyDescent="0.15">
      <c r="A21" s="5"/>
      <c r="B21" s="5"/>
      <c r="C21" s="5"/>
      <c r="D21" s="11"/>
      <c r="E21" s="10"/>
      <c r="F21" s="8"/>
      <c r="G21" s="7"/>
      <c r="H21" s="8"/>
      <c r="I21" s="8"/>
      <c r="J21" s="8" t="str">
        <f t="shared" si="0"/>
        <v>借</v>
      </c>
      <c r="K21" s="9">
        <f t="shared" si="1"/>
        <v>890</v>
      </c>
      <c r="L21" s="28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7"/>
      <c r="H22" s="8"/>
      <c r="I22" s="8"/>
      <c r="J22" s="8" t="str">
        <f t="shared" si="0"/>
        <v>借</v>
      </c>
      <c r="K22" s="9">
        <f t="shared" si="1"/>
        <v>890</v>
      </c>
      <c r="L22" s="28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7"/>
      <c r="H23" s="8"/>
      <c r="I23" s="8"/>
      <c r="J23" s="8" t="str">
        <f t="shared" si="0"/>
        <v>借</v>
      </c>
      <c r="K23" s="9">
        <f t="shared" si="1"/>
        <v>890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7"/>
      <c r="H24" s="8"/>
      <c r="I24" s="8"/>
      <c r="J24" s="8" t="str">
        <f t="shared" si="0"/>
        <v>借</v>
      </c>
      <c r="K24" s="9">
        <f t="shared" si="1"/>
        <v>890</v>
      </c>
      <c r="L24" s="28"/>
    </row>
    <row r="25" spans="1:13" ht="20.100000000000001" customHeight="1" x14ac:dyDescent="0.15">
      <c r="A25" s="5"/>
      <c r="B25" s="5"/>
      <c r="C25" s="10"/>
      <c r="D25" s="10"/>
      <c r="E25" s="10"/>
      <c r="F25" s="8"/>
      <c r="G25" s="7"/>
      <c r="H25" s="8"/>
      <c r="I25" s="8"/>
      <c r="J25" s="8" t="str">
        <f t="shared" si="0"/>
        <v>借</v>
      </c>
      <c r="K25" s="9">
        <f t="shared" si="1"/>
        <v>890</v>
      </c>
      <c r="L25" s="28"/>
    </row>
    <row r="26" spans="1:13" ht="20.100000000000001" customHeight="1" x14ac:dyDescent="0.15">
      <c r="A26" s="5"/>
      <c r="B26" s="5"/>
      <c r="C26" s="10"/>
      <c r="D26" s="11"/>
      <c r="E26" s="10"/>
      <c r="F26" s="8"/>
      <c r="G26" s="7"/>
      <c r="H26" s="8"/>
      <c r="I26" s="8"/>
      <c r="J26" s="8" t="str">
        <f t="shared" si="0"/>
        <v>借</v>
      </c>
      <c r="K26" s="9">
        <f t="shared" si="1"/>
        <v>890</v>
      </c>
      <c r="L26" s="28"/>
    </row>
    <row r="27" spans="1:13" ht="18" customHeight="1" x14ac:dyDescent="0.15">
      <c r="A27" s="5"/>
      <c r="B27" s="5"/>
      <c r="C27" s="10"/>
      <c r="D27" s="7"/>
      <c r="E27" s="7"/>
      <c r="F27" s="7"/>
      <c r="G27" s="7"/>
      <c r="H27" s="8"/>
      <c r="I27" s="14"/>
      <c r="J27" s="8" t="str">
        <f t="shared" si="0"/>
        <v>借</v>
      </c>
      <c r="K27" s="9">
        <f t="shared" si="1"/>
        <v>890</v>
      </c>
      <c r="L27" s="28"/>
    </row>
    <row r="28" spans="1:13" ht="20.100000000000001" customHeight="1" x14ac:dyDescent="0.15">
      <c r="A28" s="5"/>
      <c r="B28" s="5"/>
      <c r="C28" s="10"/>
      <c r="D28" s="11"/>
      <c r="E28" s="7"/>
      <c r="F28" s="8"/>
      <c r="G28" s="7"/>
      <c r="H28" s="8"/>
      <c r="I28" s="14"/>
      <c r="J28" s="8" t="str">
        <f t="shared" si="0"/>
        <v>借</v>
      </c>
      <c r="K28" s="9">
        <f t="shared" si="1"/>
        <v>890</v>
      </c>
      <c r="L28" s="28"/>
    </row>
    <row r="29" spans="1:13" ht="20.100000000000001" customHeight="1" x14ac:dyDescent="0.15">
      <c r="A29" s="5"/>
      <c r="B29" s="5"/>
      <c r="C29" s="10"/>
      <c r="D29" s="11"/>
      <c r="E29" s="7"/>
      <c r="F29" s="8"/>
      <c r="G29" s="7"/>
      <c r="H29" s="8"/>
      <c r="I29" s="14"/>
      <c r="J29" s="8" t="str">
        <f t="shared" si="0"/>
        <v>借</v>
      </c>
      <c r="K29" s="9">
        <f t="shared" si="1"/>
        <v>890</v>
      </c>
      <c r="L29" s="28"/>
    </row>
    <row r="30" spans="1:13" ht="20.100000000000001" customHeight="1" x14ac:dyDescent="0.15">
      <c r="A30" s="5"/>
      <c r="B30" s="5"/>
      <c r="C30" s="10"/>
      <c r="D30" s="11"/>
      <c r="E30" s="10"/>
      <c r="F30" s="8"/>
      <c r="G30" s="7"/>
      <c r="H30" s="8"/>
      <c r="I30" s="8"/>
      <c r="J30" s="8" t="str">
        <f t="shared" si="0"/>
        <v>借</v>
      </c>
      <c r="K30" s="9">
        <f t="shared" si="1"/>
        <v>890</v>
      </c>
      <c r="L30" s="28"/>
    </row>
    <row r="31" spans="1:13" ht="20.100000000000001" customHeight="1" x14ac:dyDescent="0.15">
      <c r="A31" s="5"/>
      <c r="B31" s="5"/>
      <c r="C31" s="10"/>
      <c r="D31" s="7"/>
      <c r="E31" s="7"/>
      <c r="F31" s="7"/>
      <c r="G31" s="7"/>
      <c r="H31" s="8"/>
      <c r="I31" s="14"/>
      <c r="J31" s="8" t="str">
        <f t="shared" si="0"/>
        <v>借</v>
      </c>
      <c r="K31" s="9">
        <f t="shared" si="1"/>
        <v>890</v>
      </c>
      <c r="L31" s="28"/>
      <c r="M31" s="99"/>
    </row>
    <row r="32" spans="1:13" ht="20.100000000000001" customHeight="1" x14ac:dyDescent="0.15">
      <c r="A32" s="5"/>
      <c r="B32" s="5"/>
      <c r="C32" s="10"/>
      <c r="D32" s="7"/>
      <c r="E32" s="7"/>
      <c r="F32" s="7"/>
      <c r="G32" s="7"/>
      <c r="H32" s="8"/>
      <c r="I32" s="14"/>
      <c r="J32" s="8" t="str">
        <f t="shared" si="0"/>
        <v>借</v>
      </c>
      <c r="K32" s="9">
        <f t="shared" si="1"/>
        <v>890</v>
      </c>
      <c r="L32" s="28"/>
      <c r="M32" s="99"/>
    </row>
    <row r="33" spans="1:13" ht="20.100000000000001" customHeight="1" x14ac:dyDescent="0.15">
      <c r="A33" s="5"/>
      <c r="B33" s="5"/>
      <c r="C33" s="10"/>
      <c r="D33" s="7"/>
      <c r="E33" s="10"/>
      <c r="F33" s="7"/>
      <c r="G33" s="7"/>
      <c r="H33" s="8"/>
      <c r="I33" s="8"/>
      <c r="J33" s="8" t="str">
        <f t="shared" si="0"/>
        <v>借</v>
      </c>
      <c r="K33" s="9">
        <f t="shared" si="1"/>
        <v>890</v>
      </c>
      <c r="L33" s="28"/>
      <c r="M33" s="99"/>
    </row>
    <row r="34" spans="1:13" ht="20.100000000000001" customHeight="1" x14ac:dyDescent="0.15">
      <c r="A34" s="5"/>
      <c r="B34" s="5"/>
      <c r="C34" s="10"/>
      <c r="D34" s="7"/>
      <c r="E34" s="10"/>
      <c r="F34" s="10"/>
      <c r="G34" s="7"/>
      <c r="H34" s="8"/>
      <c r="I34" s="8"/>
      <c r="J34" s="8" t="str">
        <f t="shared" si="0"/>
        <v>借</v>
      </c>
      <c r="K34" s="9">
        <f t="shared" si="1"/>
        <v>890</v>
      </c>
      <c r="L34" s="28"/>
      <c r="M34" s="99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7"/>
      <c r="H35" s="8"/>
      <c r="I35" s="8"/>
      <c r="J35" s="8" t="str">
        <f t="shared" si="0"/>
        <v>借</v>
      </c>
      <c r="K35" s="9">
        <f t="shared" si="1"/>
        <v>890</v>
      </c>
      <c r="L35" s="28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7"/>
      <c r="H36" s="8"/>
      <c r="I36" s="8"/>
      <c r="J36" s="8" t="str">
        <f t="shared" si="0"/>
        <v>借</v>
      </c>
      <c r="K36" s="9">
        <f t="shared" si="1"/>
        <v>890</v>
      </c>
      <c r="L36" s="28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7"/>
      <c r="H37" s="8"/>
      <c r="I37" s="8"/>
      <c r="J37" s="8" t="str">
        <f t="shared" si="0"/>
        <v>借</v>
      </c>
      <c r="K37" s="9">
        <f t="shared" si="1"/>
        <v>890</v>
      </c>
      <c r="L37" s="28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7"/>
      <c r="H38" s="8"/>
      <c r="I38" s="8"/>
      <c r="J38" s="8" t="str">
        <f t="shared" si="0"/>
        <v>借</v>
      </c>
      <c r="K38" s="9">
        <f t="shared" si="1"/>
        <v>890</v>
      </c>
      <c r="L38" s="28"/>
      <c r="M38" s="104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7"/>
      <c r="H39" s="8"/>
      <c r="I39" s="8"/>
      <c r="J39" s="8" t="str">
        <f t="shared" si="0"/>
        <v>借</v>
      </c>
      <c r="K39" s="9">
        <f t="shared" si="1"/>
        <v>890</v>
      </c>
      <c r="L39" s="28"/>
      <c r="M39" s="104"/>
    </row>
    <row r="40" spans="1:13" ht="20.100000000000001" customHeight="1" x14ac:dyDescent="0.15">
      <c r="A40" s="5"/>
      <c r="B40" s="5"/>
      <c r="C40" s="10"/>
      <c r="D40" s="10"/>
      <c r="E40" s="10"/>
      <c r="F40" s="8"/>
      <c r="G40" s="7"/>
      <c r="H40" s="8"/>
      <c r="I40" s="8"/>
      <c r="J40" s="8" t="str">
        <f t="shared" si="0"/>
        <v>借</v>
      </c>
      <c r="K40" s="9">
        <f t="shared" si="1"/>
        <v>890</v>
      </c>
      <c r="L40" s="28"/>
    </row>
    <row r="41" spans="1:13" ht="20.100000000000001" customHeight="1" x14ac:dyDescent="0.15">
      <c r="A41" s="5"/>
      <c r="B41" s="5"/>
      <c r="C41" s="10"/>
      <c r="D41" s="11"/>
      <c r="E41" s="10"/>
      <c r="F41" s="8"/>
      <c r="G41" s="7"/>
      <c r="H41" s="8"/>
      <c r="I41" s="8"/>
      <c r="J41" s="8" t="str">
        <f t="shared" si="0"/>
        <v>借</v>
      </c>
      <c r="K41" s="9">
        <f t="shared" si="1"/>
        <v>890</v>
      </c>
      <c r="L41" s="28"/>
    </row>
    <row r="42" spans="1:13" ht="20.100000000000001" customHeight="1" x14ac:dyDescent="0.15">
      <c r="A42" s="5"/>
      <c r="B42" s="5"/>
      <c r="C42" s="10"/>
      <c r="D42" s="7"/>
      <c r="E42" s="7"/>
      <c r="F42" s="7"/>
      <c r="G42" s="7"/>
      <c r="H42" s="8"/>
      <c r="I42" s="8"/>
      <c r="J42" s="8" t="str">
        <f t="shared" si="0"/>
        <v>借</v>
      </c>
      <c r="K42" s="9">
        <f t="shared" si="1"/>
        <v>890</v>
      </c>
      <c r="L42" s="28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7"/>
      <c r="H43" s="8"/>
      <c r="I43" s="8"/>
      <c r="J43" s="8" t="str">
        <f t="shared" si="0"/>
        <v>借</v>
      </c>
      <c r="K43" s="9">
        <f t="shared" si="1"/>
        <v>890</v>
      </c>
      <c r="L43" s="28"/>
    </row>
    <row r="44" spans="1:13" ht="20.100000000000001" customHeight="1" x14ac:dyDescent="0.15">
      <c r="A44" s="5"/>
      <c r="B44" s="5"/>
      <c r="C44" s="10"/>
      <c r="D44" s="7"/>
      <c r="E44" s="7"/>
      <c r="F44" s="7"/>
      <c r="G44" s="7"/>
      <c r="H44" s="8"/>
      <c r="I44" s="14"/>
      <c r="J44" s="8" t="str">
        <f t="shared" si="0"/>
        <v>借</v>
      </c>
      <c r="K44" s="9">
        <f t="shared" si="1"/>
        <v>890</v>
      </c>
      <c r="L44" s="28"/>
      <c r="M44" s="99"/>
    </row>
    <row r="45" spans="1:13" ht="20.100000000000001" customHeight="1" x14ac:dyDescent="0.15">
      <c r="A45" s="5"/>
      <c r="B45" s="5"/>
      <c r="C45" s="10"/>
      <c r="D45" s="7"/>
      <c r="E45" s="7"/>
      <c r="F45" s="7"/>
      <c r="G45" s="7"/>
      <c r="H45" s="8"/>
      <c r="I45" s="14"/>
      <c r="J45" s="8" t="str">
        <f t="shared" si="0"/>
        <v>借</v>
      </c>
      <c r="K45" s="9">
        <f t="shared" si="1"/>
        <v>890</v>
      </c>
      <c r="L45" s="28"/>
      <c r="M45" s="99"/>
    </row>
    <row r="46" spans="1:13" ht="20.100000000000001" customHeight="1" x14ac:dyDescent="0.15">
      <c r="A46" s="5"/>
      <c r="B46" s="5"/>
      <c r="C46" s="10"/>
      <c r="D46" s="7"/>
      <c r="E46" s="10"/>
      <c r="F46" s="7"/>
      <c r="G46" s="7"/>
      <c r="H46" s="8"/>
      <c r="I46" s="8"/>
      <c r="J46" s="8" t="str">
        <f t="shared" si="0"/>
        <v>借</v>
      </c>
      <c r="K46" s="9">
        <f t="shared" si="1"/>
        <v>890</v>
      </c>
      <c r="L46" s="28"/>
      <c r="M46" s="99"/>
    </row>
    <row r="47" spans="1:13" ht="20.100000000000001" customHeight="1" x14ac:dyDescent="0.15">
      <c r="A47" s="5"/>
      <c r="B47" s="5"/>
      <c r="C47" s="10"/>
      <c r="D47" s="7"/>
      <c r="E47" s="10"/>
      <c r="F47" s="10"/>
      <c r="G47" s="7"/>
      <c r="H47" s="8"/>
      <c r="I47" s="8"/>
      <c r="J47" s="8" t="str">
        <f t="shared" si="0"/>
        <v>借</v>
      </c>
      <c r="K47" s="9">
        <f t="shared" si="1"/>
        <v>890</v>
      </c>
      <c r="L47" s="28"/>
      <c r="M47" s="99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7"/>
      <c r="H49" s="8"/>
      <c r="I49" s="8"/>
      <c r="J49" s="8" t="str">
        <f t="shared" si="0"/>
        <v>借</v>
      </c>
      <c r="K49" s="9">
        <f t="shared" si="1"/>
        <v>890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7"/>
      <c r="H50" s="8"/>
      <c r="I50" s="8"/>
      <c r="J50" s="8" t="str">
        <f t="shared" si="0"/>
        <v>借</v>
      </c>
      <c r="K50" s="9">
        <f t="shared" si="1"/>
        <v>890</v>
      </c>
      <c r="L50" s="28"/>
    </row>
    <row r="51" spans="1:13" ht="20.100000000000001" customHeight="1" x14ac:dyDescent="0.15">
      <c r="A51" s="5"/>
      <c r="B51" s="5"/>
      <c r="C51" s="10"/>
      <c r="D51" s="11"/>
      <c r="E51" s="10"/>
      <c r="F51" s="10"/>
      <c r="G51" s="7"/>
      <c r="H51" s="8"/>
      <c r="I51" s="8"/>
      <c r="J51" s="8" t="str">
        <f t="shared" si="0"/>
        <v>借</v>
      </c>
      <c r="K51" s="9">
        <f t="shared" si="1"/>
        <v>890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7"/>
      <c r="H52" s="8"/>
      <c r="I52" s="8"/>
      <c r="J52" s="8" t="str">
        <f t="shared" si="0"/>
        <v>借</v>
      </c>
      <c r="K52" s="9">
        <f t="shared" si="1"/>
        <v>890</v>
      </c>
      <c r="L52" s="28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7"/>
      <c r="H53" s="8"/>
      <c r="I53" s="8"/>
      <c r="J53" s="8" t="str">
        <f t="shared" si="0"/>
        <v>借</v>
      </c>
      <c r="K53" s="9">
        <f t="shared" si="1"/>
        <v>890</v>
      </c>
      <c r="L53" s="28"/>
      <c r="M53" s="99"/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7"/>
      <c r="H54" s="8"/>
      <c r="I54" s="8"/>
      <c r="J54" s="8" t="str">
        <f t="shared" si="0"/>
        <v>借</v>
      </c>
      <c r="K54" s="9">
        <f t="shared" si="1"/>
        <v>890</v>
      </c>
      <c r="L54" s="28"/>
      <c r="M54" s="99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L55" s="28"/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7"/>
      <c r="H56" s="8"/>
      <c r="I56" s="8"/>
      <c r="J56" s="8" t="str">
        <f t="shared" si="0"/>
        <v>借</v>
      </c>
      <c r="K56" s="9">
        <f t="shared" si="1"/>
        <v>890</v>
      </c>
      <c r="L56" s="28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L57" s="28"/>
    </row>
    <row r="58" spans="1:13" ht="20.100000000000001" customHeight="1" x14ac:dyDescent="0.15">
      <c r="A58" s="10"/>
      <c r="B58" s="5"/>
      <c r="C58" s="10"/>
      <c r="D58" s="10"/>
      <c r="E58" s="10"/>
      <c r="F58" s="8"/>
      <c r="G58" s="7"/>
      <c r="H58" s="8"/>
      <c r="I58" s="8"/>
      <c r="J58" s="8" t="str">
        <f t="shared" si="0"/>
        <v>借</v>
      </c>
      <c r="K58" s="9">
        <f t="shared" si="1"/>
        <v>890</v>
      </c>
      <c r="L58" s="28"/>
    </row>
    <row r="59" spans="1:13" ht="20.100000000000001" customHeight="1" x14ac:dyDescent="0.15">
      <c r="A59" s="10"/>
      <c r="B59" s="5"/>
      <c r="C59" s="10"/>
      <c r="D59" s="11"/>
      <c r="E59" s="10"/>
      <c r="F59" s="8"/>
      <c r="G59" s="7"/>
      <c r="H59" s="8"/>
      <c r="I59" s="8"/>
      <c r="J59" s="8" t="str">
        <f t="shared" si="0"/>
        <v>借</v>
      </c>
      <c r="K59" s="9">
        <f t="shared" si="1"/>
        <v>890</v>
      </c>
      <c r="L59" s="28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7"/>
      <c r="H60" s="8"/>
      <c r="I60" s="8"/>
      <c r="J60" s="8" t="str">
        <f t="shared" si="0"/>
        <v>借</v>
      </c>
      <c r="K60" s="9">
        <f t="shared" si="1"/>
        <v>890</v>
      </c>
      <c r="L60" s="28"/>
    </row>
    <row r="61" spans="1:13" ht="20.100000000000001" customHeight="1" x14ac:dyDescent="0.15">
      <c r="A61" s="5"/>
      <c r="B61" s="5"/>
      <c r="C61" s="10"/>
      <c r="D61" s="10"/>
      <c r="E61" s="10"/>
      <c r="F61" s="10"/>
      <c r="G61" s="7"/>
      <c r="H61" s="8"/>
      <c r="I61" s="8"/>
      <c r="J61" s="8" t="str">
        <f t="shared" si="0"/>
        <v>借</v>
      </c>
      <c r="K61" s="9">
        <f t="shared" si="1"/>
        <v>890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7"/>
      <c r="H62" s="8"/>
      <c r="I62" s="8"/>
      <c r="J62" s="8" t="str">
        <f t="shared" si="0"/>
        <v>借</v>
      </c>
      <c r="K62" s="9">
        <f t="shared" si="1"/>
        <v>890</v>
      </c>
      <c r="L62" s="28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7"/>
      <c r="H63" s="8"/>
      <c r="I63" s="8"/>
      <c r="J63" s="8" t="str">
        <f t="shared" si="0"/>
        <v>借</v>
      </c>
      <c r="K63" s="9">
        <f t="shared" si="1"/>
        <v>890</v>
      </c>
      <c r="L63" s="28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7"/>
      <c r="H64" s="8"/>
      <c r="I64" s="8"/>
      <c r="J64" s="8" t="str">
        <f t="shared" si="0"/>
        <v>借</v>
      </c>
      <c r="K64" s="9">
        <f t="shared" si="1"/>
        <v>890</v>
      </c>
      <c r="L64" s="28"/>
    </row>
    <row r="65" spans="1:12" ht="20.100000000000001" customHeight="1" x14ac:dyDescent="0.15">
      <c r="A65" s="5"/>
      <c r="B65" s="5"/>
      <c r="C65" s="10"/>
      <c r="D65" s="10"/>
      <c r="E65" s="10"/>
      <c r="F65" s="10"/>
      <c r="G65" s="7"/>
      <c r="H65" s="8"/>
      <c r="I65" s="8"/>
      <c r="J65" s="8" t="str">
        <f t="shared" si="0"/>
        <v>借</v>
      </c>
      <c r="K65" s="9">
        <f t="shared" si="1"/>
        <v>890</v>
      </c>
      <c r="L65" s="28"/>
    </row>
    <row r="66" spans="1:12" ht="20.100000000000001" customHeight="1" x14ac:dyDescent="0.15">
      <c r="A66" s="5"/>
      <c r="B66" s="5"/>
      <c r="C66" s="10"/>
      <c r="D66" s="10"/>
      <c r="E66" s="10"/>
      <c r="F66" s="10"/>
      <c r="G66" s="7"/>
      <c r="H66" s="8"/>
      <c r="I66" s="8"/>
      <c r="J66" s="8" t="str">
        <f t="shared" si="0"/>
        <v>借</v>
      </c>
      <c r="K66" s="9">
        <f t="shared" si="1"/>
        <v>890</v>
      </c>
      <c r="L66" s="28"/>
    </row>
    <row r="67" spans="1:12" ht="20.100000000000001" customHeight="1" x14ac:dyDescent="0.15">
      <c r="A67" s="10"/>
      <c r="B67" s="5"/>
      <c r="C67" s="10"/>
      <c r="D67" s="11"/>
      <c r="E67" s="10"/>
      <c r="F67" s="8"/>
      <c r="G67" s="7"/>
      <c r="H67" s="8"/>
      <c r="I67" s="8"/>
      <c r="J67" s="8" t="str">
        <f t="shared" si="0"/>
        <v>借</v>
      </c>
      <c r="K67" s="9">
        <f t="shared" si="1"/>
        <v>890</v>
      </c>
      <c r="L67" s="28"/>
    </row>
    <row r="68" spans="1:12" ht="20.100000000000001" customHeight="1" x14ac:dyDescent="0.15">
      <c r="A68" s="5"/>
      <c r="B68" s="5"/>
      <c r="C68" s="10"/>
      <c r="D68" s="10"/>
      <c r="E68" s="10"/>
      <c r="F68" s="10"/>
      <c r="G68" s="7"/>
      <c r="H68" s="8"/>
      <c r="I68" s="8"/>
      <c r="J68" s="8" t="str">
        <f t="shared" ref="J68:J92" si="2">IF((K67+H68-I68)&gt;0,"借","贷")</f>
        <v>借</v>
      </c>
      <c r="K68" s="9">
        <f t="shared" ref="K68:K92" si="3">K67+H68-I68</f>
        <v>890</v>
      </c>
      <c r="L68" s="28"/>
    </row>
    <row r="69" spans="1:12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15"/>
      <c r="J69" s="8" t="str">
        <f t="shared" si="2"/>
        <v>借</v>
      </c>
      <c r="K69" s="9">
        <f t="shared" si="3"/>
        <v>890</v>
      </c>
      <c r="L69" s="28"/>
    </row>
    <row r="70" spans="1:12" ht="20.100000000000001" customHeight="1" x14ac:dyDescent="0.15">
      <c r="A70" s="5"/>
      <c r="B70" s="5"/>
      <c r="C70" s="10"/>
      <c r="D70" s="10"/>
      <c r="E70" s="10"/>
      <c r="F70" s="10"/>
      <c r="G70" s="7"/>
      <c r="H70" s="8"/>
      <c r="I70" s="15"/>
      <c r="J70" s="8" t="str">
        <f t="shared" si="2"/>
        <v>借</v>
      </c>
      <c r="K70" s="9">
        <f t="shared" si="3"/>
        <v>890</v>
      </c>
      <c r="L70" s="28"/>
    </row>
    <row r="71" spans="1:12" ht="20.100000000000001" customHeight="1" x14ac:dyDescent="0.15">
      <c r="A71" s="5"/>
      <c r="B71" s="5"/>
      <c r="C71" s="10"/>
      <c r="D71" s="10"/>
      <c r="E71" s="10"/>
      <c r="F71" s="10"/>
      <c r="G71" s="7"/>
      <c r="H71" s="8"/>
      <c r="I71" s="15"/>
      <c r="J71" s="8" t="str">
        <f t="shared" si="2"/>
        <v>借</v>
      </c>
      <c r="K71" s="9">
        <f t="shared" si="3"/>
        <v>890</v>
      </c>
      <c r="L71" s="28"/>
    </row>
    <row r="72" spans="1:12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28"/>
    </row>
    <row r="73" spans="1:12" ht="20.100000000000001" customHeight="1" x14ac:dyDescent="0.15">
      <c r="A73" s="5"/>
      <c r="B73" s="5"/>
      <c r="C73" s="10"/>
      <c r="D73" s="10"/>
      <c r="E73" s="10"/>
      <c r="F73" s="10"/>
      <c r="G73" s="7"/>
      <c r="H73" s="8"/>
      <c r="I73" s="15"/>
      <c r="J73" s="8" t="str">
        <f t="shared" si="2"/>
        <v>借</v>
      </c>
      <c r="K73" s="9">
        <f t="shared" si="3"/>
        <v>890</v>
      </c>
      <c r="L73" s="28"/>
    </row>
    <row r="74" spans="1:12" ht="20.100000000000001" customHeight="1" x14ac:dyDescent="0.15">
      <c r="A74" s="5"/>
      <c r="B74" s="5"/>
      <c r="C74" s="10"/>
      <c r="D74" s="10"/>
      <c r="E74" s="10"/>
      <c r="F74" s="10"/>
      <c r="G74" s="7"/>
      <c r="H74" s="8"/>
      <c r="I74" s="8"/>
      <c r="J74" s="8" t="str">
        <f t="shared" si="2"/>
        <v>借</v>
      </c>
      <c r="K74" s="9">
        <f t="shared" si="3"/>
        <v>890</v>
      </c>
      <c r="L74" s="28"/>
    </row>
    <row r="75" spans="1:12" ht="20.100000000000001" customHeight="1" x14ac:dyDescent="0.15">
      <c r="A75" s="5"/>
      <c r="B75" s="5"/>
      <c r="C75" s="10"/>
      <c r="D75" s="10"/>
      <c r="E75" s="10"/>
      <c r="F75" s="8"/>
      <c r="G75" s="7"/>
      <c r="H75" s="8"/>
      <c r="I75" s="8"/>
      <c r="J75" s="8" t="str">
        <f t="shared" si="2"/>
        <v>借</v>
      </c>
      <c r="K75" s="9">
        <f t="shared" si="3"/>
        <v>890</v>
      </c>
      <c r="L75" s="28"/>
    </row>
    <row r="76" spans="1:12" ht="20.100000000000001" customHeight="1" x14ac:dyDescent="0.15">
      <c r="A76" s="5"/>
      <c r="B76" s="5"/>
      <c r="C76" s="10"/>
      <c r="D76" s="11"/>
      <c r="E76" s="10"/>
      <c r="F76" s="8"/>
      <c r="G76" s="7"/>
      <c r="H76" s="8"/>
      <c r="I76" s="8"/>
      <c r="J76" s="8" t="str">
        <f t="shared" si="2"/>
        <v>借</v>
      </c>
      <c r="K76" s="9">
        <f t="shared" si="3"/>
        <v>890</v>
      </c>
      <c r="L76" s="28"/>
    </row>
    <row r="77" spans="1:12" ht="20.100000000000001" customHeight="1" x14ac:dyDescent="0.15">
      <c r="A77" s="10"/>
      <c r="B77" s="5"/>
      <c r="C77" s="10"/>
      <c r="D77" s="10"/>
      <c r="E77" s="10"/>
      <c r="F77" s="10"/>
      <c r="G77" s="7"/>
      <c r="H77" s="8"/>
      <c r="I77" s="8"/>
      <c r="J77" s="8" t="str">
        <f t="shared" si="2"/>
        <v>借</v>
      </c>
      <c r="K77" s="9">
        <f t="shared" si="3"/>
        <v>890</v>
      </c>
      <c r="L77" s="28"/>
    </row>
    <row r="78" spans="1:12" ht="20.100000000000001" customHeight="1" x14ac:dyDescent="0.15">
      <c r="A78" s="10"/>
      <c r="B78" s="5"/>
      <c r="C78" s="5"/>
      <c r="D78" s="10"/>
      <c r="E78" s="10"/>
      <c r="F78" s="14"/>
      <c r="G78" s="7"/>
      <c r="H78" s="8"/>
      <c r="I78" s="8"/>
      <c r="J78" s="8" t="str">
        <f t="shared" si="2"/>
        <v>借</v>
      </c>
      <c r="K78" s="9">
        <f t="shared" si="3"/>
        <v>890</v>
      </c>
      <c r="L78" s="28"/>
    </row>
    <row r="79" spans="1:12" ht="20.100000000000001" customHeight="1" x14ac:dyDescent="0.15">
      <c r="A79" s="5"/>
      <c r="B79" s="5"/>
      <c r="C79" s="5"/>
      <c r="D79" s="10"/>
      <c r="E79" s="10"/>
      <c r="F79" s="10"/>
      <c r="G79" s="7"/>
      <c r="H79" s="8"/>
      <c r="I79" s="8"/>
      <c r="J79" s="8" t="str">
        <f t="shared" si="2"/>
        <v>借</v>
      </c>
      <c r="K79" s="9">
        <f t="shared" si="3"/>
        <v>890</v>
      </c>
      <c r="L79" s="28"/>
    </row>
    <row r="80" spans="1:12" ht="20.100000000000001" customHeight="1" x14ac:dyDescent="0.15">
      <c r="A80" s="5"/>
      <c r="B80" s="5"/>
      <c r="C80" s="5"/>
      <c r="D80" s="11"/>
      <c r="E80" s="10"/>
      <c r="F80" s="8"/>
      <c r="G80" s="7"/>
      <c r="H80" s="8"/>
      <c r="I80" s="8"/>
      <c r="J80" s="8" t="str">
        <f t="shared" si="2"/>
        <v>借</v>
      </c>
      <c r="K80" s="9">
        <f t="shared" si="3"/>
        <v>890</v>
      </c>
      <c r="L80" s="28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7"/>
      <c r="H81" s="8"/>
      <c r="I81" s="15"/>
      <c r="J81" s="8" t="str">
        <f t="shared" si="2"/>
        <v>借</v>
      </c>
      <c r="K81" s="9">
        <f t="shared" si="3"/>
        <v>890</v>
      </c>
      <c r="L81" s="28"/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7"/>
      <c r="H82" s="8"/>
      <c r="I82" s="8"/>
      <c r="J82" s="8" t="str">
        <f t="shared" si="2"/>
        <v>借</v>
      </c>
      <c r="K82" s="9">
        <f t="shared" si="3"/>
        <v>890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7"/>
      <c r="H83" s="8"/>
      <c r="I83" s="8"/>
      <c r="J83" s="8" t="str">
        <f t="shared" si="2"/>
        <v>借</v>
      </c>
      <c r="K83" s="9">
        <f t="shared" si="3"/>
        <v>890</v>
      </c>
      <c r="L83" s="28"/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7"/>
      <c r="H84" s="8"/>
      <c r="I84" s="8"/>
      <c r="J84" s="8" t="str">
        <f t="shared" si="2"/>
        <v>借</v>
      </c>
      <c r="K84" s="9">
        <f t="shared" si="3"/>
        <v>890</v>
      </c>
      <c r="L84" s="28"/>
      <c r="M84" s="99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7"/>
      <c r="H85" s="8"/>
      <c r="I85" s="8"/>
      <c r="J85" s="8" t="str">
        <f t="shared" si="2"/>
        <v>借</v>
      </c>
      <c r="K85" s="9">
        <f t="shared" si="3"/>
        <v>890</v>
      </c>
      <c r="L85" s="28"/>
      <c r="M85" s="99"/>
    </row>
    <row r="86" spans="1:13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890</v>
      </c>
      <c r="L86" s="28"/>
      <c r="M86" s="99"/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7"/>
      <c r="H87" s="8"/>
      <c r="I87" s="8"/>
      <c r="J87" s="8" t="str">
        <f t="shared" si="2"/>
        <v>借</v>
      </c>
      <c r="K87" s="9">
        <f t="shared" si="3"/>
        <v>890</v>
      </c>
      <c r="L87" s="28"/>
    </row>
    <row r="88" spans="1:13" ht="20.100000000000001" customHeight="1" x14ac:dyDescent="0.15">
      <c r="A88" s="5"/>
      <c r="B88" s="5"/>
      <c r="C88" s="5"/>
      <c r="D88" s="10"/>
      <c r="E88" s="10"/>
      <c r="F88" s="10"/>
      <c r="G88" s="7"/>
      <c r="H88" s="8"/>
      <c r="I88" s="8"/>
      <c r="J88" s="8" t="str">
        <f t="shared" si="2"/>
        <v>借</v>
      </c>
      <c r="K88" s="9">
        <f t="shared" si="3"/>
        <v>890</v>
      </c>
      <c r="L88" s="28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7"/>
      <c r="H89" s="8"/>
      <c r="I89" s="8"/>
      <c r="J89" s="8" t="str">
        <f t="shared" si="2"/>
        <v>借</v>
      </c>
      <c r="K89" s="9">
        <f t="shared" si="3"/>
        <v>890</v>
      </c>
      <c r="L89" s="28"/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7"/>
      <c r="H90" s="8"/>
      <c r="I90" s="8"/>
      <c r="J90" s="8" t="str">
        <f t="shared" si="2"/>
        <v>借</v>
      </c>
      <c r="K90" s="9">
        <f t="shared" si="3"/>
        <v>890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7"/>
      <c r="H91" s="8"/>
      <c r="I91" s="8"/>
      <c r="J91" s="8" t="str">
        <f t="shared" si="2"/>
        <v>借</v>
      </c>
      <c r="K91" s="9">
        <f t="shared" si="3"/>
        <v>890</v>
      </c>
      <c r="L91" s="28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7"/>
      <c r="H92" s="8"/>
      <c r="I92" s="8"/>
      <c r="J92" s="8" t="str">
        <f t="shared" si="2"/>
        <v>借</v>
      </c>
      <c r="K92" s="9">
        <f t="shared" si="3"/>
        <v>890</v>
      </c>
      <c r="L92" s="28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7"/>
      <c r="H93" s="8"/>
      <c r="I93" s="8"/>
      <c r="J93" s="8" t="str">
        <f t="shared" ref="J93:J104" si="4">IF((K92+H93-I93)&gt;0,"借","贷")</f>
        <v>借</v>
      </c>
      <c r="K93" s="9">
        <f t="shared" ref="K93:K104" si="5">K92+H93-I93</f>
        <v>890</v>
      </c>
      <c r="L93" s="28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7"/>
      <c r="H94" s="8"/>
      <c r="I94" s="8"/>
      <c r="J94" s="8" t="str">
        <f t="shared" si="4"/>
        <v>借</v>
      </c>
      <c r="K94" s="9">
        <f t="shared" si="5"/>
        <v>890</v>
      </c>
      <c r="L94" s="28"/>
    </row>
    <row r="95" spans="1:13" ht="20.100000000000001" customHeight="1" x14ac:dyDescent="0.15">
      <c r="A95" s="10"/>
      <c r="B95" s="5"/>
      <c r="C95" s="5"/>
      <c r="D95" s="10"/>
      <c r="E95" s="10"/>
      <c r="F95" s="10"/>
      <c r="G95" s="7"/>
      <c r="H95" s="8"/>
      <c r="I95" s="8"/>
      <c r="J95" s="8" t="str">
        <f t="shared" si="4"/>
        <v>借</v>
      </c>
      <c r="K95" s="9">
        <f t="shared" si="5"/>
        <v>890</v>
      </c>
      <c r="L95" s="28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7"/>
      <c r="H96" s="8"/>
      <c r="I96" s="8"/>
      <c r="J96" s="8" t="str">
        <f t="shared" si="4"/>
        <v>借</v>
      </c>
      <c r="K96" s="9">
        <f t="shared" si="5"/>
        <v>890</v>
      </c>
      <c r="L96" s="28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7"/>
      <c r="H97" s="8"/>
      <c r="I97" s="8"/>
      <c r="J97" s="8" t="str">
        <f t="shared" si="4"/>
        <v>借</v>
      </c>
      <c r="K97" s="9">
        <f t="shared" si="5"/>
        <v>890</v>
      </c>
      <c r="L97" s="28"/>
      <c r="M97" s="99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890</v>
      </c>
      <c r="L98" s="28"/>
      <c r="M98" s="99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890</v>
      </c>
      <c r="L99" s="28"/>
      <c r="M99" s="99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7"/>
      <c r="H100" s="8"/>
      <c r="I100" s="8"/>
      <c r="J100" s="8" t="str">
        <f t="shared" si="4"/>
        <v>借</v>
      </c>
      <c r="K100" s="9">
        <f t="shared" si="5"/>
        <v>890</v>
      </c>
      <c r="L100" s="28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890</v>
      </c>
      <c r="L101" s="28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7"/>
      <c r="H102" s="8"/>
      <c r="I102" s="8"/>
      <c r="J102" s="8" t="str">
        <f t="shared" si="4"/>
        <v>借</v>
      </c>
      <c r="K102" s="9">
        <f t="shared" si="5"/>
        <v>890</v>
      </c>
      <c r="L102" s="28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7"/>
      <c r="H103" s="8"/>
      <c r="I103" s="8"/>
      <c r="J103" s="8" t="str">
        <f t="shared" si="4"/>
        <v>借</v>
      </c>
      <c r="K103" s="9">
        <f t="shared" si="5"/>
        <v>890</v>
      </c>
      <c r="L103" s="28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7"/>
      <c r="H104" s="8"/>
      <c r="I104" s="8"/>
      <c r="J104" s="8" t="str">
        <f t="shared" si="4"/>
        <v>借</v>
      </c>
      <c r="K104" s="9">
        <f t="shared" si="5"/>
        <v>890</v>
      </c>
      <c r="L104" s="28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ref="J105:J134" si="6">IF((K104+H105-I105)&gt;0,"借","贷")</f>
        <v>借</v>
      </c>
      <c r="K105" s="9">
        <f t="shared" ref="K105:K134" si="7">K104+H105-I105</f>
        <v>890</v>
      </c>
      <c r="L105" s="28"/>
    </row>
    <row r="106" spans="1:13" ht="20.100000000000001" customHeight="1" x14ac:dyDescent="0.15">
      <c r="A106" s="10"/>
      <c r="B106" s="5"/>
      <c r="C106" s="5"/>
      <c r="D106" s="11"/>
      <c r="E106" s="10"/>
      <c r="F106" s="8"/>
      <c r="G106" s="7"/>
      <c r="H106" s="8"/>
      <c r="I106" s="8"/>
      <c r="J106" s="8" t="str">
        <f t="shared" si="6"/>
        <v>借</v>
      </c>
      <c r="K106" s="9">
        <f t="shared" si="7"/>
        <v>890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7"/>
      <c r="H107" s="8"/>
      <c r="I107" s="8"/>
      <c r="J107" s="8" t="str">
        <f t="shared" si="6"/>
        <v>借</v>
      </c>
      <c r="K107" s="9">
        <f t="shared" si="7"/>
        <v>890</v>
      </c>
      <c r="L107" s="28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7"/>
      <c r="H108" s="8"/>
      <c r="I108" s="8"/>
      <c r="J108" s="8" t="str">
        <f t="shared" si="6"/>
        <v>借</v>
      </c>
      <c r="K108" s="9">
        <f t="shared" si="7"/>
        <v>890</v>
      </c>
      <c r="L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7"/>
      <c r="H109" s="8"/>
      <c r="I109" s="8"/>
      <c r="J109" s="8" t="str">
        <f t="shared" si="6"/>
        <v>借</v>
      </c>
      <c r="K109" s="9">
        <f t="shared" si="7"/>
        <v>890</v>
      </c>
      <c r="L109" s="28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7"/>
      <c r="H110" s="8"/>
      <c r="I110" s="8"/>
      <c r="J110" s="8" t="str">
        <f t="shared" si="6"/>
        <v>借</v>
      </c>
      <c r="K110" s="9">
        <f t="shared" si="7"/>
        <v>890</v>
      </c>
      <c r="L110" s="28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7"/>
      <c r="H111" s="8"/>
      <c r="I111" s="8"/>
      <c r="J111" s="8" t="str">
        <f t="shared" si="6"/>
        <v>借</v>
      </c>
      <c r="K111" s="9">
        <f t="shared" si="7"/>
        <v>890</v>
      </c>
      <c r="L111" s="28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7"/>
      <c r="H112" s="8"/>
      <c r="I112" s="8"/>
      <c r="J112" s="8" t="str">
        <f t="shared" si="6"/>
        <v>借</v>
      </c>
      <c r="K112" s="9">
        <f t="shared" si="7"/>
        <v>890</v>
      </c>
      <c r="L112" s="28"/>
    </row>
    <row r="113" spans="1:13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6"/>
        <v>借</v>
      </c>
      <c r="K113" s="9">
        <f t="shared" si="7"/>
        <v>890</v>
      </c>
      <c r="L113" s="28"/>
    </row>
    <row r="114" spans="1:13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6"/>
        <v>借</v>
      </c>
      <c r="K114" s="9">
        <f t="shared" si="7"/>
        <v>890</v>
      </c>
      <c r="L114" s="28"/>
    </row>
    <row r="115" spans="1:13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6"/>
        <v>借</v>
      </c>
      <c r="K115" s="9">
        <f t="shared" si="7"/>
        <v>890</v>
      </c>
      <c r="L115" s="28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7"/>
      <c r="H116" s="8"/>
      <c r="I116" s="8"/>
      <c r="J116" s="8" t="str">
        <f t="shared" si="6"/>
        <v>借</v>
      </c>
      <c r="K116" s="9">
        <f t="shared" si="7"/>
        <v>890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7"/>
      <c r="H117" s="8"/>
      <c r="I117" s="8"/>
      <c r="J117" s="8" t="str">
        <f t="shared" si="6"/>
        <v>借</v>
      </c>
      <c r="K117" s="9">
        <f t="shared" si="7"/>
        <v>890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7"/>
      <c r="H118" s="8"/>
      <c r="I118" s="8"/>
      <c r="J118" s="8" t="str">
        <f t="shared" si="6"/>
        <v>借</v>
      </c>
      <c r="K118" s="9">
        <f t="shared" si="7"/>
        <v>890</v>
      </c>
      <c r="L118" s="28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6"/>
        <v>借</v>
      </c>
      <c r="K119" s="9">
        <f t="shared" si="7"/>
        <v>890</v>
      </c>
      <c r="L119" s="28"/>
    </row>
    <row r="120" spans="1:13" ht="20.100000000000001" customHeight="1" x14ac:dyDescent="0.15">
      <c r="A120" s="5"/>
      <c r="B120" s="5"/>
      <c r="C120" s="5"/>
      <c r="D120" s="11"/>
      <c r="E120" s="10"/>
      <c r="F120" s="8"/>
      <c r="G120" s="7"/>
      <c r="H120" s="8"/>
      <c r="I120" s="8"/>
      <c r="J120" s="8" t="str">
        <f t="shared" si="6"/>
        <v>借</v>
      </c>
      <c r="K120" s="9">
        <f t="shared" si="7"/>
        <v>890</v>
      </c>
      <c r="L120" s="28"/>
    </row>
    <row r="121" spans="1:13" ht="20.100000000000001" customHeight="1" x14ac:dyDescent="0.15">
      <c r="A121" s="10"/>
      <c r="B121" s="5"/>
      <c r="C121" s="5"/>
      <c r="D121" s="10"/>
      <c r="E121" s="10"/>
      <c r="F121" s="10"/>
      <c r="G121" s="7"/>
      <c r="H121" s="8"/>
      <c r="I121" s="8"/>
      <c r="J121" s="8" t="str">
        <f t="shared" si="6"/>
        <v>借</v>
      </c>
      <c r="K121" s="9">
        <f t="shared" si="7"/>
        <v>890</v>
      </c>
      <c r="L121" s="28"/>
    </row>
    <row r="122" spans="1:13" ht="20.100000000000001" customHeight="1" x14ac:dyDescent="0.15">
      <c r="A122" s="10"/>
      <c r="B122" s="5"/>
      <c r="C122" s="5"/>
      <c r="D122" s="10"/>
      <c r="E122" s="10"/>
      <c r="F122" s="10"/>
      <c r="G122" s="7"/>
      <c r="H122" s="8"/>
      <c r="I122" s="8"/>
      <c r="J122" s="8" t="str">
        <f t="shared" si="6"/>
        <v>借</v>
      </c>
      <c r="K122" s="9">
        <f t="shared" si="7"/>
        <v>890</v>
      </c>
      <c r="L122" s="28"/>
    </row>
    <row r="123" spans="1:13" ht="20.100000000000001" customHeight="1" x14ac:dyDescent="0.15">
      <c r="A123" s="10"/>
      <c r="B123" s="5"/>
      <c r="C123" s="10"/>
      <c r="D123" s="10"/>
      <c r="E123" s="10"/>
      <c r="F123" s="10"/>
      <c r="G123" s="7"/>
      <c r="H123" s="8"/>
      <c r="I123" s="8"/>
      <c r="J123" s="8" t="str">
        <f t="shared" si="6"/>
        <v>借</v>
      </c>
      <c r="K123" s="9">
        <f t="shared" si="7"/>
        <v>890</v>
      </c>
      <c r="L123" s="28"/>
      <c r="M123" s="99"/>
    </row>
    <row r="124" spans="1:13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6"/>
        <v>借</v>
      </c>
      <c r="K124" s="9">
        <f t="shared" si="7"/>
        <v>890</v>
      </c>
      <c r="L124" s="28"/>
      <c r="M124" s="99"/>
    </row>
    <row r="125" spans="1:13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6"/>
        <v>借</v>
      </c>
      <c r="K125" s="9">
        <f t="shared" si="7"/>
        <v>890</v>
      </c>
      <c r="L125" s="28"/>
      <c r="M125" s="99"/>
    </row>
    <row r="126" spans="1:13" ht="20.100000000000001" customHeight="1" x14ac:dyDescent="0.15">
      <c r="A126" s="5"/>
      <c r="B126" s="5"/>
      <c r="C126" s="10"/>
      <c r="D126" s="10"/>
      <c r="E126" s="10"/>
      <c r="F126" s="10"/>
      <c r="G126" s="7"/>
      <c r="H126" s="8"/>
      <c r="I126" s="8"/>
      <c r="J126" s="8" t="str">
        <f t="shared" si="6"/>
        <v>借</v>
      </c>
      <c r="K126" s="9">
        <f t="shared" si="7"/>
        <v>890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7"/>
      <c r="H127" s="8"/>
      <c r="I127" s="8"/>
      <c r="J127" s="8" t="str">
        <f t="shared" si="6"/>
        <v>借</v>
      </c>
      <c r="K127" s="9">
        <f t="shared" si="7"/>
        <v>890</v>
      </c>
      <c r="L127" s="28"/>
    </row>
    <row r="128" spans="1:13" ht="20.100000000000001" customHeight="1" x14ac:dyDescent="0.15">
      <c r="A128" s="5"/>
      <c r="B128" s="5"/>
      <c r="C128" s="10"/>
      <c r="D128" s="10"/>
      <c r="E128" s="10"/>
      <c r="F128" s="10"/>
      <c r="G128" s="7"/>
      <c r="H128" s="8"/>
      <c r="I128" s="8"/>
      <c r="J128" s="8" t="str">
        <f t="shared" si="6"/>
        <v>借</v>
      </c>
      <c r="K128" s="9">
        <f t="shared" si="7"/>
        <v>890</v>
      </c>
      <c r="L128" s="28"/>
    </row>
    <row r="129" spans="1:13" ht="20.100000000000001" customHeight="1" x14ac:dyDescent="0.15">
      <c r="A129" s="5"/>
      <c r="B129" s="5"/>
      <c r="C129" s="5"/>
      <c r="D129" s="10"/>
      <c r="E129" s="10"/>
      <c r="F129" s="10"/>
      <c r="G129" s="7"/>
      <c r="H129" s="8"/>
      <c r="I129" s="8"/>
      <c r="J129" s="8" t="str">
        <f t="shared" si="6"/>
        <v>借</v>
      </c>
      <c r="K129" s="9">
        <f t="shared" si="7"/>
        <v>890</v>
      </c>
      <c r="L129" s="28"/>
    </row>
    <row r="130" spans="1:13" ht="20.100000000000001" customHeight="1" x14ac:dyDescent="0.15">
      <c r="A130" s="5"/>
      <c r="B130" s="5"/>
      <c r="C130" s="5"/>
      <c r="D130" s="10"/>
      <c r="E130" s="16"/>
      <c r="F130" s="10"/>
      <c r="G130" s="7"/>
      <c r="H130" s="8"/>
      <c r="I130" s="8"/>
      <c r="J130" s="8" t="str">
        <f t="shared" si="6"/>
        <v>借</v>
      </c>
      <c r="K130" s="9">
        <f t="shared" si="7"/>
        <v>890</v>
      </c>
      <c r="L130" s="28"/>
    </row>
    <row r="131" spans="1:13" ht="20.100000000000001" customHeight="1" x14ac:dyDescent="0.15">
      <c r="A131" s="10"/>
      <c r="B131" s="5"/>
      <c r="C131" s="5"/>
      <c r="D131" s="10"/>
      <c r="E131" s="10"/>
      <c r="F131" s="10"/>
      <c r="G131" s="7"/>
      <c r="H131" s="8"/>
      <c r="I131" s="8"/>
      <c r="J131" s="8" t="str">
        <f t="shared" si="6"/>
        <v>借</v>
      </c>
      <c r="K131" s="9">
        <f t="shared" si="7"/>
        <v>890</v>
      </c>
      <c r="L131" s="28"/>
    </row>
    <row r="132" spans="1:13" ht="20.100000000000001" customHeight="1" x14ac:dyDescent="0.15">
      <c r="A132" s="10"/>
      <c r="B132" s="5"/>
      <c r="C132" s="5"/>
      <c r="D132" s="11"/>
      <c r="E132" s="10"/>
      <c r="F132" s="8"/>
      <c r="G132" s="7"/>
      <c r="H132" s="8"/>
      <c r="I132" s="8"/>
      <c r="J132" s="8" t="str">
        <f t="shared" si="6"/>
        <v>借</v>
      </c>
      <c r="K132" s="9">
        <f t="shared" si="7"/>
        <v>890</v>
      </c>
      <c r="L132" s="28"/>
    </row>
    <row r="133" spans="1:13" ht="20.100000000000001" customHeight="1" x14ac:dyDescent="0.15">
      <c r="A133" s="5"/>
      <c r="B133" s="5"/>
      <c r="C133" s="5"/>
      <c r="D133" s="10"/>
      <c r="E133" s="10"/>
      <c r="F133" s="10"/>
      <c r="G133" s="7"/>
      <c r="H133" s="8"/>
      <c r="I133" s="8"/>
      <c r="J133" s="8" t="str">
        <f t="shared" si="6"/>
        <v>借</v>
      </c>
      <c r="K133" s="9">
        <f t="shared" si="7"/>
        <v>890</v>
      </c>
      <c r="L133" s="28"/>
    </row>
    <row r="134" spans="1:13" ht="20.100000000000001" customHeight="1" x14ac:dyDescent="0.15">
      <c r="A134" s="5"/>
      <c r="B134" s="5"/>
      <c r="C134" s="5"/>
      <c r="D134" s="10"/>
      <c r="E134" s="10"/>
      <c r="F134" s="10"/>
      <c r="G134" s="7"/>
      <c r="H134" s="8"/>
      <c r="I134" s="8"/>
      <c r="J134" s="8" t="str">
        <f t="shared" si="6"/>
        <v>借</v>
      </c>
      <c r="K134" s="9">
        <f t="shared" si="7"/>
        <v>890</v>
      </c>
      <c r="L134" s="28"/>
      <c r="M134" s="99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ref="J135:J198" si="8">IF((K134+H135-I135)&gt;0,"借","贷")</f>
        <v>借</v>
      </c>
      <c r="K135" s="9">
        <f t="shared" ref="K135:K173" si="9">K134+H135-I135</f>
        <v>890</v>
      </c>
      <c r="L135" s="28"/>
      <c r="M135" s="99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8"/>
        <v>借</v>
      </c>
      <c r="K136" s="9">
        <f t="shared" si="9"/>
        <v>890</v>
      </c>
      <c r="L136" s="28"/>
      <c r="M136" s="99"/>
    </row>
    <row r="137" spans="1:13" ht="20.100000000000001" customHeight="1" x14ac:dyDescent="0.15">
      <c r="A137" s="5"/>
      <c r="B137" s="5"/>
      <c r="C137" s="5"/>
      <c r="D137" s="11"/>
      <c r="E137" s="16"/>
      <c r="F137" s="10"/>
      <c r="G137" s="7"/>
      <c r="H137" s="8"/>
      <c r="I137" s="8"/>
      <c r="J137" s="8" t="str">
        <f t="shared" si="8"/>
        <v>借</v>
      </c>
      <c r="K137" s="9">
        <f t="shared" si="9"/>
        <v>890</v>
      </c>
      <c r="L137" s="28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7"/>
      <c r="H138" s="8"/>
      <c r="I138" s="8"/>
      <c r="J138" s="8" t="str">
        <f t="shared" si="8"/>
        <v>借</v>
      </c>
      <c r="K138" s="9">
        <f t="shared" si="9"/>
        <v>890</v>
      </c>
      <c r="L138" s="28"/>
    </row>
    <row r="139" spans="1:13" ht="20.100000000000001" customHeight="1" x14ac:dyDescent="0.15">
      <c r="A139" s="10"/>
      <c r="B139" s="5"/>
      <c r="C139" s="5"/>
      <c r="D139" s="10"/>
      <c r="E139" s="10"/>
      <c r="F139" s="10"/>
      <c r="G139" s="7"/>
      <c r="H139" s="8"/>
      <c r="I139" s="8"/>
      <c r="J139" s="8" t="str">
        <f t="shared" si="8"/>
        <v>借</v>
      </c>
      <c r="K139" s="9">
        <f t="shared" si="9"/>
        <v>890</v>
      </c>
      <c r="L139" s="28"/>
    </row>
    <row r="140" spans="1:13" ht="20.100000000000001" customHeight="1" x14ac:dyDescent="0.15">
      <c r="A140" s="10"/>
      <c r="B140" s="5"/>
      <c r="C140" s="5"/>
      <c r="D140" s="10"/>
      <c r="E140" s="10"/>
      <c r="F140" s="10"/>
      <c r="G140" s="7"/>
      <c r="H140" s="8"/>
      <c r="I140" s="8"/>
      <c r="J140" s="8" t="str">
        <f t="shared" si="8"/>
        <v>借</v>
      </c>
      <c r="K140" s="9">
        <f t="shared" si="9"/>
        <v>890</v>
      </c>
      <c r="L140" s="28"/>
    </row>
    <row r="141" spans="1:13" ht="20.100000000000001" customHeight="1" x14ac:dyDescent="0.15">
      <c r="A141" s="5"/>
      <c r="B141" s="5"/>
      <c r="C141" s="5"/>
      <c r="D141" s="10"/>
      <c r="E141" s="10"/>
      <c r="F141" s="10"/>
      <c r="G141" s="7"/>
      <c r="H141" s="8"/>
      <c r="I141" s="8"/>
      <c r="J141" s="8" t="str">
        <f t="shared" si="8"/>
        <v>借</v>
      </c>
      <c r="K141" s="9">
        <f t="shared" si="9"/>
        <v>890</v>
      </c>
      <c r="L141" s="28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7"/>
      <c r="H142" s="8"/>
      <c r="I142" s="8"/>
      <c r="J142" s="8" t="str">
        <f t="shared" si="8"/>
        <v>借</v>
      </c>
      <c r="K142" s="9">
        <f t="shared" si="9"/>
        <v>890</v>
      </c>
      <c r="L142" s="28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7"/>
      <c r="H143" s="8"/>
      <c r="I143" s="8"/>
      <c r="J143" s="8" t="str">
        <f t="shared" si="8"/>
        <v>借</v>
      </c>
      <c r="K143" s="9">
        <f t="shared" si="9"/>
        <v>890</v>
      </c>
      <c r="L143" s="28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7"/>
      <c r="H144" s="8"/>
      <c r="I144" s="8"/>
      <c r="J144" s="8" t="str">
        <f t="shared" si="8"/>
        <v>借</v>
      </c>
      <c r="K144" s="9">
        <f t="shared" si="9"/>
        <v>890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7"/>
      <c r="H145" s="8"/>
      <c r="I145" s="8"/>
      <c r="J145" s="8" t="str">
        <f t="shared" si="8"/>
        <v>借</v>
      </c>
      <c r="K145" s="9">
        <f t="shared" si="9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7"/>
      <c r="H146" s="8"/>
      <c r="I146" s="8"/>
      <c r="J146" s="8" t="str">
        <f t="shared" si="8"/>
        <v>借</v>
      </c>
      <c r="K146" s="9">
        <f t="shared" si="9"/>
        <v>890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7"/>
      <c r="H147" s="8"/>
      <c r="I147" s="8"/>
      <c r="J147" s="8" t="str">
        <f t="shared" si="8"/>
        <v>借</v>
      </c>
      <c r="K147" s="9">
        <f t="shared" si="9"/>
        <v>890</v>
      </c>
      <c r="L147" s="28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7"/>
      <c r="H148" s="8"/>
      <c r="I148" s="8"/>
      <c r="J148" s="8" t="str">
        <f t="shared" si="8"/>
        <v>借</v>
      </c>
      <c r="K148" s="9">
        <f t="shared" si="9"/>
        <v>890</v>
      </c>
      <c r="L148" s="28"/>
    </row>
    <row r="149" spans="1:13" ht="20.100000000000001" customHeight="1" x14ac:dyDescent="0.15">
      <c r="A149" s="10"/>
      <c r="B149" s="5"/>
      <c r="C149" s="5"/>
      <c r="D149" s="11"/>
      <c r="E149" s="10"/>
      <c r="F149" s="8"/>
      <c r="G149" s="7"/>
      <c r="H149" s="8"/>
      <c r="I149" s="8"/>
      <c r="J149" s="8" t="str">
        <f t="shared" si="8"/>
        <v>借</v>
      </c>
      <c r="K149" s="9">
        <f t="shared" si="9"/>
        <v>890</v>
      </c>
      <c r="L149" s="28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8"/>
        <v>借</v>
      </c>
      <c r="K150" s="9">
        <f t="shared" si="9"/>
        <v>890</v>
      </c>
      <c r="L150" s="28"/>
    </row>
    <row r="151" spans="1:13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8"/>
        <v>借</v>
      </c>
      <c r="K151" s="9">
        <f t="shared" si="9"/>
        <v>890</v>
      </c>
      <c r="L151" s="28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7"/>
      <c r="H152" s="8"/>
      <c r="I152" s="8"/>
      <c r="J152" s="8" t="str">
        <f t="shared" si="8"/>
        <v>借</v>
      </c>
      <c r="K152" s="9">
        <f t="shared" si="9"/>
        <v>890</v>
      </c>
      <c r="L152" s="28"/>
      <c r="M152" s="99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8"/>
        <v>借</v>
      </c>
      <c r="K153" s="9">
        <f t="shared" si="9"/>
        <v>890</v>
      </c>
      <c r="L153" s="28"/>
      <c r="M153" s="99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8"/>
        <v>借</v>
      </c>
      <c r="K154" s="9">
        <f t="shared" si="9"/>
        <v>890</v>
      </c>
      <c r="L154" s="28"/>
      <c r="M154" s="99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8"/>
        <v>借</v>
      </c>
      <c r="K155" s="9">
        <f t="shared" si="9"/>
        <v>890</v>
      </c>
      <c r="L155" s="28"/>
      <c r="M155" s="99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8"/>
        <v>借</v>
      </c>
      <c r="K156" s="9">
        <f t="shared" si="9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8"/>
        <v>借</v>
      </c>
      <c r="K157" s="9">
        <f t="shared" si="9"/>
        <v>890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7"/>
      <c r="H158" s="8"/>
      <c r="I158" s="8"/>
      <c r="J158" s="8" t="str">
        <f t="shared" si="8"/>
        <v>借</v>
      </c>
      <c r="K158" s="9">
        <f t="shared" si="9"/>
        <v>890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8"/>
        <v>借</v>
      </c>
      <c r="K159" s="9">
        <f t="shared" si="9"/>
        <v>890</v>
      </c>
      <c r="L159" s="28"/>
    </row>
    <row r="160" spans="1:13" ht="20.100000000000001" customHeight="1" x14ac:dyDescent="0.15">
      <c r="A160" s="10"/>
      <c r="B160" s="5"/>
      <c r="C160" s="5"/>
      <c r="D160" s="10"/>
      <c r="E160" s="10"/>
      <c r="F160" s="10"/>
      <c r="G160" s="7"/>
      <c r="H160" s="8"/>
      <c r="I160" s="8"/>
      <c r="J160" s="8" t="str">
        <f t="shared" si="8"/>
        <v>借</v>
      </c>
      <c r="K160" s="9">
        <f t="shared" si="9"/>
        <v>890</v>
      </c>
      <c r="L160" s="28"/>
    </row>
    <row r="161" spans="1:12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8"/>
        <v>借</v>
      </c>
      <c r="K161" s="9">
        <f t="shared" si="9"/>
        <v>890</v>
      </c>
      <c r="L161" s="28"/>
    </row>
    <row r="162" spans="1:12" ht="20.100000000000001" customHeight="1" x14ac:dyDescent="0.15">
      <c r="A162" s="10"/>
      <c r="B162" s="5"/>
      <c r="C162" s="5"/>
      <c r="D162" s="10"/>
      <c r="E162" s="18"/>
      <c r="F162" s="10"/>
      <c r="G162" s="10"/>
      <c r="H162" s="8"/>
      <c r="I162" s="8"/>
      <c r="J162" s="8" t="str">
        <f t="shared" si="8"/>
        <v>借</v>
      </c>
      <c r="K162" s="9">
        <f t="shared" si="9"/>
        <v>890</v>
      </c>
      <c r="L162" s="28"/>
    </row>
    <row r="163" spans="1:12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8"/>
        <v>借</v>
      </c>
      <c r="K163" s="9">
        <f t="shared" si="9"/>
        <v>890</v>
      </c>
      <c r="L163" s="28"/>
    </row>
    <row r="164" spans="1:12" ht="20.100000000000001" customHeight="1" x14ac:dyDescent="0.15">
      <c r="A164" s="10"/>
      <c r="B164" s="5"/>
      <c r="C164" s="5"/>
      <c r="D164" s="10"/>
      <c r="E164" s="10"/>
      <c r="F164" s="10"/>
      <c r="G164" s="7"/>
      <c r="H164" s="8"/>
      <c r="I164" s="8"/>
      <c r="J164" s="8" t="str">
        <f t="shared" si="8"/>
        <v>借</v>
      </c>
      <c r="K164" s="9">
        <f t="shared" si="9"/>
        <v>890</v>
      </c>
      <c r="L164" s="28"/>
    </row>
    <row r="165" spans="1:12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8"/>
        <v>借</v>
      </c>
      <c r="K165" s="9">
        <f t="shared" si="9"/>
        <v>890</v>
      </c>
      <c r="L165" s="28"/>
    </row>
    <row r="166" spans="1:12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8"/>
        <v>借</v>
      </c>
      <c r="K166" s="9">
        <f t="shared" si="9"/>
        <v>890</v>
      </c>
      <c r="L166" s="28"/>
    </row>
    <row r="167" spans="1:12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8"/>
        <v>借</v>
      </c>
      <c r="K167" s="9">
        <f t="shared" si="9"/>
        <v>890</v>
      </c>
      <c r="L167" s="28"/>
    </row>
    <row r="168" spans="1:12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8"/>
        <v>借</v>
      </c>
      <c r="K168" s="9">
        <f t="shared" si="9"/>
        <v>890</v>
      </c>
      <c r="L168" s="28"/>
    </row>
    <row r="169" spans="1:12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8"/>
        <v>借</v>
      </c>
      <c r="K169" s="9">
        <f t="shared" si="9"/>
        <v>890</v>
      </c>
      <c r="L169" s="28"/>
    </row>
    <row r="170" spans="1:12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8"/>
        <v>借</v>
      </c>
      <c r="K170" s="9">
        <f t="shared" si="9"/>
        <v>890</v>
      </c>
      <c r="L170" s="28"/>
    </row>
    <row r="171" spans="1:12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8"/>
        <v>借</v>
      </c>
      <c r="K171" s="9">
        <f t="shared" si="9"/>
        <v>890</v>
      </c>
      <c r="L171" s="28"/>
    </row>
    <row r="172" spans="1:12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8"/>
        <v>借</v>
      </c>
      <c r="K172" s="9">
        <f t="shared" si="9"/>
        <v>890</v>
      </c>
      <c r="L172" s="28"/>
    </row>
    <row r="173" spans="1:12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8"/>
        <v>借</v>
      </c>
      <c r="K173" s="9">
        <f t="shared" si="9"/>
        <v>890</v>
      </c>
      <c r="L173" s="28"/>
    </row>
    <row r="174" spans="1:12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8"/>
        <v>借</v>
      </c>
      <c r="K174" s="9">
        <f t="shared" ref="K174:K237" si="10">_xlfn.IFS(J173="借",K173+H174-I174,J173="贷",H174-I174-K173)</f>
        <v>890</v>
      </c>
      <c r="L174" s="28"/>
    </row>
    <row r="175" spans="1:12" ht="20.100000000000001" customHeight="1" x14ac:dyDescent="0.15">
      <c r="A175" s="10"/>
      <c r="B175" s="5"/>
      <c r="C175" s="10"/>
      <c r="D175" s="10"/>
      <c r="E175" s="10"/>
      <c r="F175" s="10"/>
      <c r="G175" s="7"/>
      <c r="H175" s="8"/>
      <c r="I175" s="8"/>
      <c r="J175" s="8" t="str">
        <f t="shared" si="8"/>
        <v>借</v>
      </c>
      <c r="K175" s="9">
        <f t="shared" si="10"/>
        <v>890</v>
      </c>
      <c r="L175" s="28"/>
    </row>
    <row r="176" spans="1:12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8"/>
        <v>借</v>
      </c>
      <c r="K176" s="9">
        <f t="shared" si="10"/>
        <v>890</v>
      </c>
      <c r="L176" s="28"/>
    </row>
    <row r="177" spans="1:12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8"/>
        <v>借</v>
      </c>
      <c r="K177" s="9">
        <f t="shared" si="10"/>
        <v>890</v>
      </c>
      <c r="L177" s="28"/>
    </row>
    <row r="178" spans="1:12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8"/>
        <v>借</v>
      </c>
      <c r="K178" s="9">
        <f t="shared" si="10"/>
        <v>890</v>
      </c>
      <c r="L178" s="28"/>
    </row>
    <row r="179" spans="1:12" ht="20.100000000000001" customHeight="1" x14ac:dyDescent="0.15">
      <c r="A179" s="10"/>
      <c r="B179" s="5"/>
      <c r="C179" s="10"/>
      <c r="D179" s="10"/>
      <c r="E179" s="10"/>
      <c r="F179" s="10"/>
      <c r="G179" s="7"/>
      <c r="H179" s="8"/>
      <c r="I179" s="8"/>
      <c r="J179" s="8" t="str">
        <f t="shared" si="8"/>
        <v>借</v>
      </c>
      <c r="K179" s="9">
        <f t="shared" si="10"/>
        <v>890</v>
      </c>
      <c r="L179" s="28"/>
    </row>
    <row r="180" spans="1:12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8"/>
        <v>借</v>
      </c>
      <c r="K180" s="9">
        <f t="shared" si="10"/>
        <v>890</v>
      </c>
      <c r="L180" s="28"/>
    </row>
    <row r="181" spans="1:12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8"/>
        <v>借</v>
      </c>
      <c r="K181" s="9">
        <f t="shared" si="10"/>
        <v>890</v>
      </c>
      <c r="L181" s="28"/>
    </row>
    <row r="182" spans="1:12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8"/>
        <v>借</v>
      </c>
      <c r="K182" s="9">
        <f t="shared" si="10"/>
        <v>890</v>
      </c>
      <c r="L182" s="28"/>
    </row>
    <row r="183" spans="1:12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10"/>
        <v>890</v>
      </c>
      <c r="L183" s="28"/>
    </row>
    <row r="184" spans="1:12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10"/>
        <v>890</v>
      </c>
      <c r="L184" s="28"/>
    </row>
    <row r="185" spans="1:12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10"/>
        <v>890</v>
      </c>
      <c r="L185" s="28"/>
    </row>
    <row r="186" spans="1:12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10"/>
        <v>890</v>
      </c>
      <c r="L186" s="28"/>
    </row>
    <row r="187" spans="1:12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10"/>
        <v>890</v>
      </c>
      <c r="L187" s="28"/>
    </row>
    <row r="188" spans="1:12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8"/>
        <v>借</v>
      </c>
      <c r="K188" s="9">
        <f t="shared" si="10"/>
        <v>890</v>
      </c>
      <c r="L188" s="28"/>
    </row>
    <row r="189" spans="1:12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10"/>
        <v>890</v>
      </c>
      <c r="L189" s="28"/>
    </row>
    <row r="190" spans="1:12" ht="20.100000000000001" customHeight="1" x14ac:dyDescent="0.15">
      <c r="A190" s="10"/>
      <c r="B190" s="5"/>
      <c r="C190" s="10"/>
      <c r="D190" s="10"/>
      <c r="E190" s="10"/>
      <c r="F190" s="10"/>
      <c r="G190" s="7"/>
      <c r="H190" s="8"/>
      <c r="I190" s="8"/>
      <c r="J190" s="8" t="str">
        <f t="shared" si="8"/>
        <v>借</v>
      </c>
      <c r="K190" s="9">
        <f t="shared" si="10"/>
        <v>890</v>
      </c>
      <c r="L190" s="28"/>
    </row>
    <row r="191" spans="1:12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10"/>
        <v>890</v>
      </c>
      <c r="L191" s="28"/>
    </row>
    <row r="192" spans="1:12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10"/>
        <v>890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10"/>
        <v>890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10"/>
        <v>890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10"/>
        <v>890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10"/>
        <v>890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10"/>
        <v>890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10"/>
        <v>890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62" si="11">IF((K198+H199-I199)&gt;0,"借","贷")</f>
        <v>借</v>
      </c>
      <c r="K199" s="9">
        <f t="shared" si="10"/>
        <v>890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890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890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890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890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890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1"/>
        <v>借</v>
      </c>
      <c r="K205" s="9">
        <f t="shared" si="10"/>
        <v>890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890</v>
      </c>
      <c r="L206" s="28"/>
    </row>
    <row r="207" spans="1:12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890</v>
      </c>
      <c r="L207" s="28"/>
    </row>
    <row r="208" spans="1:12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890</v>
      </c>
      <c r="L208" s="28"/>
    </row>
    <row r="209" spans="1:12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890</v>
      </c>
      <c r="L209" s="28"/>
    </row>
    <row r="210" spans="1:12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890</v>
      </c>
      <c r="L210" s="28"/>
    </row>
    <row r="211" spans="1:12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890</v>
      </c>
      <c r="L211" s="28"/>
    </row>
    <row r="212" spans="1:12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890</v>
      </c>
      <c r="L212" s="28"/>
    </row>
    <row r="213" spans="1:12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1"/>
        <v>借</v>
      </c>
      <c r="K213" s="9">
        <f t="shared" si="10"/>
        <v>890</v>
      </c>
      <c r="L213" s="28"/>
    </row>
    <row r="214" spans="1:12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890</v>
      </c>
      <c r="L214" s="28"/>
    </row>
    <row r="215" spans="1:12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si="10"/>
        <v>890</v>
      </c>
      <c r="L215" s="28"/>
    </row>
    <row r="216" spans="1:12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0"/>
        <v>890</v>
      </c>
      <c r="L216" s="28"/>
    </row>
    <row r="217" spans="1:12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0"/>
        <v>890</v>
      </c>
      <c r="L217" s="28"/>
    </row>
    <row r="218" spans="1:12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0"/>
        <v>890</v>
      </c>
      <c r="L218" s="28"/>
    </row>
    <row r="219" spans="1:12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0"/>
        <v>890</v>
      </c>
      <c r="L219" s="28"/>
    </row>
    <row r="220" spans="1:12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0"/>
        <v>890</v>
      </c>
      <c r="L220" s="28"/>
    </row>
    <row r="221" spans="1:12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0"/>
        <v>890</v>
      </c>
      <c r="L221" s="28"/>
    </row>
    <row r="222" spans="1:12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0"/>
        <v>890</v>
      </c>
      <c r="L222" s="28"/>
    </row>
    <row r="223" spans="1:12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0"/>
        <v>890</v>
      </c>
      <c r="L223" s="28"/>
    </row>
    <row r="224" spans="1:12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0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0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0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0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0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0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0"/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21">
        <f t="shared" si="10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0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0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0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1"/>
        <v>借</v>
      </c>
      <c r="K235" s="21">
        <f t="shared" si="10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1"/>
        <v>借</v>
      </c>
      <c r="K236" s="9">
        <f t="shared" si="10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1"/>
        <v>借</v>
      </c>
      <c r="K237" s="9">
        <f t="shared" si="10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1"/>
        <v>借</v>
      </c>
      <c r="K238" s="9">
        <f t="shared" ref="K238:K301" si="12">_xlfn.IFS(J237="借",K237+H238-I238,J237="贷",H238-I238-K237)</f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1"/>
        <v>借</v>
      </c>
      <c r="K239" s="9">
        <f t="shared" si="12"/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1"/>
        <v>借</v>
      </c>
      <c r="K240" s="9">
        <f t="shared" si="12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1"/>
        <v>借</v>
      </c>
      <c r="K241" s="9">
        <f t="shared" si="12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1"/>
        <v>借</v>
      </c>
      <c r="K242" s="9">
        <f t="shared" si="12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11"/>
        <v>借</v>
      </c>
      <c r="K243" s="9">
        <f t="shared" si="12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1"/>
        <v>借</v>
      </c>
      <c r="K244" s="9">
        <f t="shared" si="12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1"/>
        <v>借</v>
      </c>
      <c r="K245" s="9">
        <f t="shared" si="12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1"/>
        <v>借</v>
      </c>
      <c r="K246" s="9">
        <f t="shared" si="12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1"/>
        <v>借</v>
      </c>
      <c r="K247" s="9">
        <f t="shared" si="12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1"/>
        <v>借</v>
      </c>
      <c r="K248" s="9">
        <f t="shared" si="12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2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2"/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2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2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2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2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1"/>
        <v>借</v>
      </c>
      <c r="K255" s="9">
        <f t="shared" si="12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1"/>
        <v>借</v>
      </c>
      <c r="K256" s="9">
        <f t="shared" si="12"/>
        <v>890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1"/>
        <v>借</v>
      </c>
      <c r="K257" s="9">
        <f t="shared" si="12"/>
        <v>890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1"/>
        <v>借</v>
      </c>
      <c r="K258" s="9">
        <f t="shared" si="12"/>
        <v>890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1"/>
        <v>借</v>
      </c>
      <c r="K259" s="9">
        <f t="shared" si="12"/>
        <v>890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1"/>
        <v>借</v>
      </c>
      <c r="K260" s="9">
        <f t="shared" si="12"/>
        <v>890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1"/>
        <v>借</v>
      </c>
      <c r="K261" s="9">
        <f t="shared" si="12"/>
        <v>890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1"/>
        <v>借</v>
      </c>
      <c r="K262" s="9">
        <f t="shared" si="12"/>
        <v>890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ref="J263:J326" si="13">IF((K262+H263-I263)&gt;0,"借","贷")</f>
        <v>借</v>
      </c>
      <c r="K263" s="9">
        <f t="shared" si="12"/>
        <v>890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890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890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890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890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890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890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890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890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si="12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2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2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2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2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2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2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2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2"/>
        <v>890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2"/>
        <v>890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2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2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2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2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2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2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2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2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2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2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2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2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2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ref="K302:K365" si="14">_xlfn.IFS(J301="借",K301+H302-I302,J301="贷",H302-I302-K301)</f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4"/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4"/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4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4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4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4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4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4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4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4"/>
        <v>890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4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4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4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4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4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4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3"/>
        <v>借</v>
      </c>
      <c r="K319" s="9">
        <f t="shared" si="14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3"/>
        <v>借</v>
      </c>
      <c r="K320" s="9">
        <f t="shared" si="14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3"/>
        <v>借</v>
      </c>
      <c r="K321" s="9">
        <f t="shared" si="14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3"/>
        <v>借</v>
      </c>
      <c r="K322" s="9">
        <f t="shared" si="14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3"/>
        <v>借</v>
      </c>
      <c r="K323" s="9">
        <f t="shared" si="14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3"/>
        <v>借</v>
      </c>
      <c r="K324" s="9">
        <f t="shared" si="14"/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3"/>
        <v>借</v>
      </c>
      <c r="K325" s="9">
        <f t="shared" si="14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3"/>
        <v>借</v>
      </c>
      <c r="K326" s="9">
        <f t="shared" si="14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ref="J327:J390" si="15">IF((K326+H327-I327)&gt;0,"借","贷")</f>
        <v>借</v>
      </c>
      <c r="K327" s="9">
        <f t="shared" si="14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si="14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4"/>
        <v>890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4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4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4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4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4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4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4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4"/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4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4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4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4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4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4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4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4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4"/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4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4"/>
        <v>890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4"/>
        <v>890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4"/>
        <v>890</v>
      </c>
      <c r="L365" s="28"/>
    </row>
    <row r="366" spans="1:12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ref="K366:K429" si="16">_xlfn.IFS(J365="借",K365+H366-I366,J365="贷",H366-I366-K365)</f>
        <v>890</v>
      </c>
      <c r="L366" s="28"/>
    </row>
    <row r="367" spans="1:12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6"/>
        <v>890</v>
      </c>
      <c r="L367" s="28"/>
    </row>
    <row r="368" spans="1:12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6"/>
        <v>890</v>
      </c>
      <c r="L368" s="28"/>
    </row>
    <row r="369" spans="2:12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6"/>
        <v>890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6"/>
        <v>890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6"/>
        <v>890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6"/>
        <v>890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6"/>
        <v>890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6"/>
        <v>890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6"/>
        <v>890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6"/>
        <v>890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6"/>
        <v>890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6"/>
        <v>890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6"/>
        <v>890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6"/>
        <v>890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6"/>
        <v>890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6"/>
        <v>890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5"/>
        <v>借</v>
      </c>
      <c r="K383" s="9">
        <f t="shared" si="16"/>
        <v>890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5"/>
        <v>借</v>
      </c>
      <c r="K384" s="9">
        <f t="shared" si="16"/>
        <v>890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5"/>
        <v>借</v>
      </c>
      <c r="K385" s="9">
        <f t="shared" si="16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5"/>
        <v>借</v>
      </c>
      <c r="K386" s="9">
        <f t="shared" si="16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5"/>
        <v>借</v>
      </c>
      <c r="K387" s="9">
        <f t="shared" si="16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5"/>
        <v>借</v>
      </c>
      <c r="K388" s="9">
        <f t="shared" si="16"/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5"/>
        <v>借</v>
      </c>
      <c r="K389" s="9">
        <f t="shared" si="16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5"/>
        <v>借</v>
      </c>
      <c r="K390" s="9">
        <f t="shared" si="16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ref="J391:J454" si="17">IF((K390+H391-I391)&gt;0,"借","贷")</f>
        <v>借</v>
      </c>
      <c r="K391" s="9">
        <f t="shared" si="16"/>
        <v>890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890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890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890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890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890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890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890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890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890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890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si="16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6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6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6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6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6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6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6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6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6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6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6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6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6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6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6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6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6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6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6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6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6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6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ref="K430:K493" si="18">_xlfn.IFS(J429="借",K429+H430-I430,J429="贷",H430-I430-K429)</f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8"/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8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8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8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8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8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8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8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8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8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8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8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8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8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8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8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7"/>
        <v>借</v>
      </c>
      <c r="K447" s="9">
        <f t="shared" si="18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7"/>
        <v>借</v>
      </c>
      <c r="K448" s="9">
        <f t="shared" si="18"/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7"/>
        <v>借</v>
      </c>
      <c r="K449" s="9">
        <f t="shared" si="18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7"/>
        <v>借</v>
      </c>
      <c r="K450" s="9">
        <f t="shared" si="18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7"/>
        <v>借</v>
      </c>
      <c r="K451" s="9">
        <f t="shared" si="18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7"/>
        <v>借</v>
      </c>
      <c r="K452" s="9">
        <f t="shared" si="18"/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7"/>
        <v>借</v>
      </c>
      <c r="K453" s="9">
        <f t="shared" si="18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7"/>
        <v>借</v>
      </c>
      <c r="K454" s="9">
        <f t="shared" si="18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ref="J455:J498" si="19">IF((K454+H455-I455)&gt;0,"借","贷")</f>
        <v>借</v>
      </c>
      <c r="K455" s="9">
        <f t="shared" si="18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si="18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18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18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18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18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18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18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18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18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18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18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18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18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18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18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18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18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18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18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18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9"/>
        <v>借</v>
      </c>
      <c r="K491" s="9">
        <f t="shared" si="18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9"/>
        <v>借</v>
      </c>
      <c r="K492" s="9">
        <f t="shared" si="18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9"/>
        <v>借</v>
      </c>
      <c r="K493" s="9">
        <f t="shared" si="18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9"/>
        <v>借</v>
      </c>
      <c r="K494" s="9">
        <f t="shared" ref="K494:K498" si="20">_xlfn.IFS(J493="借",K493+H494-I494,J493="贷",H494-I494-K493)</f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9"/>
        <v>借</v>
      </c>
      <c r="K495" s="9">
        <f t="shared" si="20"/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9"/>
        <v>借</v>
      </c>
      <c r="K496" s="9">
        <f t="shared" si="20"/>
        <v>890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9"/>
        <v>借</v>
      </c>
      <c r="K497" s="9">
        <f t="shared" si="20"/>
        <v>890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9"/>
        <v>借</v>
      </c>
      <c r="K498" s="9">
        <f t="shared" si="20"/>
        <v>890</v>
      </c>
      <c r="L498" s="28"/>
    </row>
  </sheetData>
  <autoFilter ref="A4:M498" xr:uid="{00000000-0009-0000-0000-00000C000000}"/>
  <mergeCells count="11">
    <mergeCell ref="M152:M155"/>
    <mergeCell ref="M53:M55"/>
    <mergeCell ref="M84:M86"/>
    <mergeCell ref="M97:M99"/>
    <mergeCell ref="M123:M125"/>
    <mergeCell ref="M134:M136"/>
    <mergeCell ref="A1:K1"/>
    <mergeCell ref="M14:M17"/>
    <mergeCell ref="M31:M34"/>
    <mergeCell ref="M38:M39"/>
    <mergeCell ref="M44:M47"/>
  </mergeCells>
  <phoneticPr fontId="22" type="noConversion"/>
  <dataValidations count="1">
    <dataValidation type="list" allowBlank="1" showInputMessage="1" showErrorMessage="1" sqref="G5:G1048576 A1:L1" xr:uid="{00000000-0002-0000-0C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67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99"/>
      <c r="M27" s="99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99"/>
      <c r="M28" s="99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99"/>
      <c r="M29" s="99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99"/>
      <c r="M30" s="99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99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99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99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D00-000000000000}"/>
    <dataValidation type="list" allowBlank="1" showInputMessage="1" showErrorMessage="1" sqref="G5:G1048576" xr:uid="{00000000-0002-0000-0D00-000001000000}">
      <formula1>#REF!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96"/>
  <sheetViews>
    <sheetView topLeftCell="F1" workbookViewId="0">
      <selection activeCell="F4" sqref="F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  <c r="L1" s="2"/>
    </row>
    <row r="2" spans="1:13" ht="20.100000000000001" customHeight="1" x14ac:dyDescent="0.15">
      <c r="A2" t="s">
        <v>68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SUM(H5:H149999)</f>
        <v>10000</v>
      </c>
      <c r="I3" s="4">
        <f>SUM(I5:I149999)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74" si="0">IF((K5+H6-I6)&gt;0,"借","贷")</f>
        <v>借</v>
      </c>
      <c r="K6" s="9">
        <f>K5+H6-I6</f>
        <v>11000</v>
      </c>
      <c r="L6" s="28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ref="K7:K70" si="1">K6+H7-I7</f>
        <v>10900</v>
      </c>
      <c r="L7" s="28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5"/>
      <c r="D10" s="7"/>
      <c r="E10" s="7"/>
      <c r="F10" s="7"/>
      <c r="G10" s="7"/>
      <c r="H10" s="8"/>
      <c r="I10" s="14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7"/>
      <c r="E11" s="7"/>
      <c r="F11" s="7"/>
      <c r="G11" s="7"/>
      <c r="H11" s="8"/>
      <c r="I11" s="14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  <c r="L15" s="28"/>
      <c r="M15" s="99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  <c r="L16" s="28"/>
      <c r="M16" s="99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  <c r="L17" s="28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  <c r="L20" s="28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  <c r="L21" s="28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  <c r="L22" s="28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  <c r="L24" s="28"/>
      <c r="M24" s="99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  <c r="L25" s="28"/>
      <c r="M25" s="99"/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  <c r="L26" s="28"/>
      <c r="M26" s="99"/>
    </row>
    <row r="27" spans="1:13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28"/>
    </row>
    <row r="28" spans="1:13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28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28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ref="J30:J40" si="2">IF((K29+H30-I30)&gt;0,"借","贷")</f>
        <v>借</v>
      </c>
      <c r="K30" s="9">
        <f t="shared" si="1"/>
        <v>890</v>
      </c>
      <c r="L30" s="28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1"/>
        <v>890</v>
      </c>
      <c r="L31" s="28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1"/>
        <v>890</v>
      </c>
      <c r="L32" s="28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1"/>
        <v>890</v>
      </c>
      <c r="L33" s="28"/>
    </row>
    <row r="34" spans="1:13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1"/>
        <v>890</v>
      </c>
      <c r="L34" s="28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1"/>
        <v>890</v>
      </c>
      <c r="L35" s="28"/>
      <c r="M35" s="99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1"/>
        <v>890</v>
      </c>
      <c r="L36" s="28"/>
      <c r="M36" s="99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1"/>
        <v>890</v>
      </c>
      <c r="L37" s="28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1"/>
        <v>890</v>
      </c>
      <c r="L38" s="28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1"/>
        <v>890</v>
      </c>
      <c r="L39" s="28"/>
      <c r="M39" s="99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1"/>
        <v>890</v>
      </c>
      <c r="L40" s="28"/>
      <c r="M40" s="99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ref="J41:J57" si="3">IF((K40+H41-I41)&gt;0,"借","贷")</f>
        <v>借</v>
      </c>
      <c r="K41" s="9">
        <f t="shared" si="1"/>
        <v>890</v>
      </c>
      <c r="L41" s="28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3"/>
        <v>借</v>
      </c>
      <c r="K42" s="9">
        <f t="shared" si="1"/>
        <v>890</v>
      </c>
      <c r="L42" s="28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3"/>
        <v>借</v>
      </c>
      <c r="K43" s="9">
        <f t="shared" si="1"/>
        <v>890</v>
      </c>
      <c r="L43" s="28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3"/>
        <v>借</v>
      </c>
      <c r="K44" s="9">
        <f t="shared" si="1"/>
        <v>890</v>
      </c>
      <c r="L44" s="28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3"/>
        <v>借</v>
      </c>
      <c r="K45" s="9">
        <f t="shared" si="1"/>
        <v>890</v>
      </c>
      <c r="L45" s="28"/>
      <c r="M45" s="99"/>
    </row>
    <row r="46" spans="1:13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3"/>
        <v>借</v>
      </c>
      <c r="K46" s="9">
        <f t="shared" si="1"/>
        <v>890</v>
      </c>
      <c r="L46" s="28"/>
      <c r="M46" s="99"/>
    </row>
    <row r="47" spans="1:13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3"/>
        <v>借</v>
      </c>
      <c r="K47" s="9">
        <f t="shared" si="1"/>
        <v>890</v>
      </c>
      <c r="L47" s="28"/>
      <c r="M47" s="99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3"/>
        <v>借</v>
      </c>
      <c r="K48" s="9">
        <f t="shared" si="1"/>
        <v>890</v>
      </c>
      <c r="L48" s="28"/>
      <c r="M48" s="99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3"/>
        <v>借</v>
      </c>
      <c r="K49" s="9">
        <f t="shared" si="1"/>
        <v>890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3"/>
        <v>借</v>
      </c>
      <c r="K50" s="9">
        <f t="shared" si="1"/>
        <v>890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3"/>
        <v>借</v>
      </c>
      <c r="K51" s="9">
        <f t="shared" si="1"/>
        <v>890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3"/>
        <v>借</v>
      </c>
      <c r="K52" s="9">
        <f t="shared" si="1"/>
        <v>890</v>
      </c>
      <c r="L52" s="28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3"/>
        <v>借</v>
      </c>
      <c r="K53" s="9">
        <f t="shared" si="1"/>
        <v>890</v>
      </c>
      <c r="L53" s="28"/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3"/>
        <v>借</v>
      </c>
      <c r="K54" s="9">
        <f t="shared" si="1"/>
        <v>890</v>
      </c>
      <c r="L54" s="28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3"/>
        <v>借</v>
      </c>
      <c r="K55" s="9">
        <f t="shared" si="1"/>
        <v>890</v>
      </c>
      <c r="L55" s="28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3"/>
        <v>借</v>
      </c>
      <c r="K56" s="9">
        <f t="shared" si="1"/>
        <v>890</v>
      </c>
      <c r="L56" s="28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3"/>
        <v>借</v>
      </c>
      <c r="K57" s="9">
        <f t="shared" si="1"/>
        <v>890</v>
      </c>
      <c r="L57" s="28"/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  <c r="L58" s="28"/>
      <c r="M58" s="99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  <c r="L59" s="28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  <c r="L60" s="28"/>
    </row>
    <row r="61" spans="1:13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890</v>
      </c>
      <c r="L62" s="28"/>
      <c r="M62" s="99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890</v>
      </c>
      <c r="L63" s="28"/>
      <c r="M63" s="99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890</v>
      </c>
      <c r="L64" s="28"/>
      <c r="M64" s="99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890</v>
      </c>
      <c r="L65" s="28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890</v>
      </c>
      <c r="L66" s="28"/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890</v>
      </c>
      <c r="L67" s="28"/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890</v>
      </c>
      <c r="L68" s="28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890</v>
      </c>
      <c r="L69" s="28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si="0"/>
        <v>借</v>
      </c>
      <c r="K70" s="9">
        <f t="shared" si="1"/>
        <v>890</v>
      </c>
      <c r="L70" s="28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0"/>
        <v>借</v>
      </c>
      <c r="K71" s="9">
        <f>K70+H71-I71</f>
        <v>890</v>
      </c>
      <c r="L71" s="28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0"/>
        <v>借</v>
      </c>
      <c r="K72" s="9">
        <f>K71+H72-I72</f>
        <v>890</v>
      </c>
      <c r="L72" s="28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0"/>
        <v>借</v>
      </c>
      <c r="K73" s="9">
        <f>K72+H73-I73</f>
        <v>890</v>
      </c>
      <c r="L73" s="28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0"/>
        <v>借</v>
      </c>
      <c r="K74" s="9">
        <f>K73+H74-I74</f>
        <v>890</v>
      </c>
      <c r="L74" s="28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ref="J75:J80" si="4">IF((K74+H75-I75)&gt;0,"借","贷")</f>
        <v>借</v>
      </c>
      <c r="K75" s="9">
        <f t="shared" ref="K75:K81" si="5">K74+H75-I75</f>
        <v>890</v>
      </c>
      <c r="L75" s="28"/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15"/>
      <c r="J76" s="8" t="str">
        <f t="shared" si="4"/>
        <v>借</v>
      </c>
      <c r="K76" s="9">
        <f t="shared" si="5"/>
        <v>890</v>
      </c>
      <c r="L76" s="28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15"/>
      <c r="J77" s="8" t="str">
        <f t="shared" si="4"/>
        <v>借</v>
      </c>
      <c r="K77" s="9">
        <f t="shared" si="5"/>
        <v>890</v>
      </c>
      <c r="L77" s="28"/>
    </row>
    <row r="78" spans="1:13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15"/>
      <c r="J78" s="8" t="str">
        <f t="shared" si="4"/>
        <v>借</v>
      </c>
      <c r="K78" s="9">
        <f t="shared" si="5"/>
        <v>890</v>
      </c>
      <c r="L78" s="28"/>
    </row>
    <row r="79" spans="1:13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4"/>
        <v>借</v>
      </c>
      <c r="K79" s="9">
        <f t="shared" si="5"/>
        <v>890</v>
      </c>
      <c r="L79" s="28"/>
      <c r="M79" s="99"/>
    </row>
    <row r="80" spans="1:13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8"/>
      <c r="J80" s="8" t="str">
        <f t="shared" si="4"/>
        <v>借</v>
      </c>
      <c r="K80" s="9">
        <f t="shared" si="5"/>
        <v>890</v>
      </c>
      <c r="L80" s="28"/>
      <c r="M80" s="99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ref="J81:J132" si="6">IF((K80+H81-I81)&gt;0,"借","贷")</f>
        <v>借</v>
      </c>
      <c r="K81" s="9">
        <f t="shared" si="5"/>
        <v>890</v>
      </c>
      <c r="L81" s="28"/>
      <c r="M81" s="99"/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6"/>
        <v>借</v>
      </c>
      <c r="K82" s="9">
        <f t="shared" ref="K82:K131" si="7">K81+H82-I82</f>
        <v>890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6"/>
        <v>借</v>
      </c>
      <c r="K83" s="9">
        <f t="shared" si="7"/>
        <v>890</v>
      </c>
      <c r="L83" s="28"/>
    </row>
    <row r="84" spans="1:13" ht="20.100000000000001" customHeight="1" x14ac:dyDescent="0.15">
      <c r="A84" s="10"/>
      <c r="B84" s="5"/>
      <c r="C84" s="10"/>
      <c r="D84" s="10"/>
      <c r="E84" s="10"/>
      <c r="F84" s="10"/>
      <c r="G84" s="10"/>
      <c r="H84" s="8"/>
      <c r="I84" s="15"/>
      <c r="J84" s="8" t="str">
        <f t="shared" si="6"/>
        <v>借</v>
      </c>
      <c r="K84" s="9">
        <f t="shared" si="7"/>
        <v>890</v>
      </c>
      <c r="L84" s="28"/>
    </row>
    <row r="85" spans="1:13" ht="20.100000000000001" customHeight="1" x14ac:dyDescent="0.15">
      <c r="A85" s="10"/>
      <c r="B85" s="5"/>
      <c r="C85" s="10"/>
      <c r="D85" s="10"/>
      <c r="E85" s="10"/>
      <c r="F85" s="10"/>
      <c r="G85" s="10"/>
      <c r="H85" s="8"/>
      <c r="I85" s="15"/>
      <c r="J85" s="8" t="str">
        <f t="shared" si="6"/>
        <v>借</v>
      </c>
      <c r="K85" s="9">
        <f t="shared" si="7"/>
        <v>890</v>
      </c>
      <c r="L85" s="28"/>
    </row>
    <row r="86" spans="1:13" ht="20.100000000000001" customHeight="1" x14ac:dyDescent="0.15">
      <c r="A86" s="5"/>
      <c r="B86" s="5"/>
      <c r="C86" s="10"/>
      <c r="D86" s="10"/>
      <c r="E86" s="10"/>
      <c r="F86" s="10"/>
      <c r="G86" s="10"/>
      <c r="H86" s="8"/>
      <c r="I86" s="15"/>
      <c r="J86" s="8" t="str">
        <f t="shared" si="6"/>
        <v>借</v>
      </c>
      <c r="K86" s="9">
        <f t="shared" si="7"/>
        <v>890</v>
      </c>
      <c r="L86" s="28"/>
    </row>
    <row r="87" spans="1:13" ht="20.100000000000001" customHeight="1" x14ac:dyDescent="0.15">
      <c r="A87" s="5"/>
      <c r="B87" s="5"/>
      <c r="C87" s="10"/>
      <c r="D87" s="10"/>
      <c r="E87" s="10"/>
      <c r="F87" s="10"/>
      <c r="G87" s="10"/>
      <c r="H87" s="8"/>
      <c r="I87" s="15"/>
      <c r="J87" s="8" t="str">
        <f t="shared" si="6"/>
        <v>借</v>
      </c>
      <c r="K87" s="9">
        <f t="shared" si="7"/>
        <v>890</v>
      </c>
      <c r="L87" s="28"/>
    </row>
    <row r="88" spans="1:13" ht="20.100000000000001" customHeight="1" x14ac:dyDescent="0.15">
      <c r="A88" s="5"/>
      <c r="B88" s="5"/>
      <c r="C88" s="10"/>
      <c r="D88" s="10"/>
      <c r="E88" s="10"/>
      <c r="F88" s="10"/>
      <c r="G88" s="10"/>
      <c r="H88" s="8"/>
      <c r="I88" s="8"/>
      <c r="J88" s="8" t="str">
        <f t="shared" si="6"/>
        <v>借</v>
      </c>
      <c r="K88" s="9">
        <f t="shared" si="7"/>
        <v>890</v>
      </c>
      <c r="L88" s="28"/>
    </row>
    <row r="89" spans="1:13" ht="20.100000000000001" customHeight="1" x14ac:dyDescent="0.15">
      <c r="A89" s="5"/>
      <c r="B89" s="5"/>
      <c r="C89" s="10"/>
      <c r="D89" s="10"/>
      <c r="E89" s="10"/>
      <c r="F89" s="10"/>
      <c r="G89" s="10"/>
      <c r="H89" s="8"/>
      <c r="I89" s="15"/>
      <c r="J89" s="8" t="str">
        <f t="shared" si="6"/>
        <v>借</v>
      </c>
      <c r="K89" s="9">
        <f t="shared" si="7"/>
        <v>890</v>
      </c>
      <c r="L89" s="28"/>
    </row>
    <row r="90" spans="1:13" ht="2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6"/>
        <v>借</v>
      </c>
      <c r="K90" s="9">
        <f t="shared" si="7"/>
        <v>890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6"/>
        <v>借</v>
      </c>
      <c r="K91" s="9">
        <f t="shared" si="7"/>
        <v>890</v>
      </c>
      <c r="L91" s="28"/>
    </row>
    <row r="92" spans="1:13" ht="20.100000000000001" customHeight="1" x14ac:dyDescent="0.15">
      <c r="A92" s="10"/>
      <c r="B92" s="5"/>
      <c r="C92" s="5"/>
      <c r="D92" s="10"/>
      <c r="F92" s="10"/>
      <c r="G92" s="10"/>
      <c r="H92" s="8"/>
      <c r="I92" s="8"/>
      <c r="J92" s="8" t="str">
        <f t="shared" si="6"/>
        <v>借</v>
      </c>
      <c r="K92" s="9">
        <f t="shared" si="7"/>
        <v>890</v>
      </c>
      <c r="L92" s="28"/>
    </row>
    <row r="93" spans="1:13" ht="20.100000000000001" customHeight="1" x14ac:dyDescent="0.15">
      <c r="A93" s="10"/>
      <c r="B93" s="5"/>
      <c r="C93" s="5"/>
      <c r="D93" s="10"/>
      <c r="E93" s="10"/>
      <c r="F93" s="10"/>
      <c r="G93" s="10"/>
      <c r="H93" s="8"/>
      <c r="I93" s="8"/>
      <c r="J93" s="8" t="str">
        <f t="shared" si="6"/>
        <v>借</v>
      </c>
      <c r="K93" s="9">
        <f t="shared" si="7"/>
        <v>890</v>
      </c>
      <c r="L93" s="28"/>
    </row>
    <row r="94" spans="1:13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6"/>
        <v>借</v>
      </c>
      <c r="K94" s="9">
        <f t="shared" si="7"/>
        <v>890</v>
      </c>
      <c r="L94" s="28"/>
      <c r="M94" s="99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6"/>
        <v>借</v>
      </c>
      <c r="K95" s="9">
        <f t="shared" si="7"/>
        <v>890</v>
      </c>
      <c r="L95" s="28"/>
      <c r="M95" s="99"/>
    </row>
    <row r="96" spans="1:13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6"/>
        <v>借</v>
      </c>
      <c r="K96" s="9">
        <f t="shared" si="7"/>
        <v>890</v>
      </c>
      <c r="L96" s="28"/>
      <c r="M96" s="99"/>
    </row>
    <row r="97" spans="1:13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6"/>
        <v>借</v>
      </c>
      <c r="K97" s="9">
        <f t="shared" si="7"/>
        <v>890</v>
      </c>
      <c r="L97" s="28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6"/>
        <v>借</v>
      </c>
      <c r="K98" s="9">
        <f t="shared" si="7"/>
        <v>890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6"/>
        <v>借</v>
      </c>
      <c r="K99" s="9">
        <f t="shared" si="7"/>
        <v>890</v>
      </c>
      <c r="L99" s="28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6"/>
        <v>借</v>
      </c>
      <c r="K100" s="9">
        <f t="shared" si="7"/>
        <v>890</v>
      </c>
      <c r="L100" s="28"/>
      <c r="M100" s="99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6"/>
        <v>借</v>
      </c>
      <c r="K101" s="9">
        <f t="shared" si="7"/>
        <v>890</v>
      </c>
      <c r="L101" s="28"/>
      <c r="M101" s="99"/>
    </row>
    <row r="102" spans="1:13" ht="20.100000000000001" customHeight="1" x14ac:dyDescent="0.15">
      <c r="A102" s="10"/>
      <c r="B102" s="5"/>
      <c r="C102" s="5"/>
      <c r="D102" s="10"/>
      <c r="E102" s="10"/>
      <c r="F102" s="10"/>
      <c r="G102" s="10"/>
      <c r="H102" s="8"/>
      <c r="I102" s="8"/>
      <c r="J102" s="8" t="str">
        <f t="shared" si="6"/>
        <v>借</v>
      </c>
      <c r="K102" s="9">
        <f t="shared" si="7"/>
        <v>890</v>
      </c>
      <c r="L102" s="28"/>
    </row>
    <row r="103" spans="1:13" ht="20.100000000000001" customHeight="1" x14ac:dyDescent="0.15">
      <c r="A103" s="10"/>
      <c r="B103" s="5"/>
      <c r="C103" s="5"/>
      <c r="D103" s="10"/>
      <c r="E103" s="10"/>
      <c r="F103" s="14"/>
      <c r="G103" s="14"/>
      <c r="H103" s="8"/>
      <c r="I103" s="8"/>
      <c r="J103" s="8" t="str">
        <f t="shared" si="6"/>
        <v>借</v>
      </c>
      <c r="K103" s="9">
        <f t="shared" si="7"/>
        <v>890</v>
      </c>
      <c r="L103" s="28"/>
      <c r="M103" s="99"/>
    </row>
    <row r="104" spans="1:13" ht="20.100000000000001" customHeight="1" x14ac:dyDescent="0.15">
      <c r="A104" s="5"/>
      <c r="B104" s="5"/>
      <c r="C104" s="5"/>
      <c r="D104" s="10"/>
      <c r="E104" s="10"/>
      <c r="F104" s="14"/>
      <c r="G104" s="14"/>
      <c r="H104" s="8"/>
      <c r="I104" s="8"/>
      <c r="J104" s="8" t="str">
        <f t="shared" si="6"/>
        <v>借</v>
      </c>
      <c r="K104" s="9">
        <f t="shared" si="7"/>
        <v>890</v>
      </c>
      <c r="L104" s="28"/>
      <c r="M104" s="99"/>
    </row>
    <row r="105" spans="1:13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si="7"/>
        <v>890</v>
      </c>
      <c r="L105" s="28"/>
    </row>
    <row r="106" spans="1:13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890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890</v>
      </c>
      <c r="L107" s="28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890</v>
      </c>
      <c r="L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890</v>
      </c>
      <c r="L109" s="28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6"/>
        <v>借</v>
      </c>
      <c r="K110" s="9">
        <f t="shared" si="7"/>
        <v>890</v>
      </c>
      <c r="L110" s="28"/>
    </row>
    <row r="111" spans="1:13" ht="20.100000000000001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6"/>
        <v>借</v>
      </c>
      <c r="K111" s="9">
        <f t="shared" si="7"/>
        <v>890</v>
      </c>
      <c r="L111" s="28"/>
    </row>
    <row r="112" spans="1:13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890</v>
      </c>
      <c r="L112" s="28"/>
    </row>
    <row r="113" spans="1:13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6"/>
        <v>借</v>
      </c>
      <c r="K113" s="9">
        <f t="shared" si="7"/>
        <v>890</v>
      </c>
      <c r="L113" s="28"/>
    </row>
    <row r="114" spans="1:13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6"/>
        <v>借</v>
      </c>
      <c r="K114" s="9">
        <f t="shared" si="7"/>
        <v>890</v>
      </c>
      <c r="L114" s="28"/>
      <c r="M114" s="99"/>
    </row>
    <row r="115" spans="1:13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6"/>
        <v>借</v>
      </c>
      <c r="K115" s="9">
        <f t="shared" si="7"/>
        <v>890</v>
      </c>
      <c r="L115" s="28"/>
      <c r="M115" s="99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6"/>
        <v>借</v>
      </c>
      <c r="K116" s="9">
        <f t="shared" si="7"/>
        <v>890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6"/>
        <v>借</v>
      </c>
      <c r="K117" s="9">
        <f t="shared" si="7"/>
        <v>890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6"/>
        <v>借</v>
      </c>
      <c r="K118" s="9">
        <f t="shared" si="7"/>
        <v>890</v>
      </c>
      <c r="L118" s="28"/>
    </row>
    <row r="119" spans="1:13" ht="20.100000000000001" customHeight="1" x14ac:dyDescent="0.15">
      <c r="A119" s="10"/>
      <c r="B119" s="5"/>
      <c r="C119" s="5"/>
      <c r="D119" s="10"/>
      <c r="E119" s="10"/>
      <c r="F119" s="10"/>
      <c r="G119" s="10"/>
      <c r="H119" s="8"/>
      <c r="I119" s="8"/>
      <c r="J119" s="8" t="str">
        <f t="shared" si="6"/>
        <v>借</v>
      </c>
      <c r="K119" s="9">
        <f t="shared" si="7"/>
        <v>890</v>
      </c>
      <c r="L119" s="28"/>
      <c r="M119" s="99"/>
    </row>
    <row r="120" spans="1:13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6"/>
        <v>借</v>
      </c>
      <c r="K120" s="9">
        <f t="shared" si="7"/>
        <v>890</v>
      </c>
      <c r="L120" s="28"/>
      <c r="M120" s="99"/>
    </row>
    <row r="121" spans="1:13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6"/>
        <v>借</v>
      </c>
      <c r="K121" s="9">
        <f t="shared" si="7"/>
        <v>890</v>
      </c>
      <c r="L121" s="28"/>
      <c r="M121" s="99"/>
    </row>
    <row r="122" spans="1:13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6"/>
        <v>借</v>
      </c>
      <c r="K122" s="9">
        <f t="shared" si="7"/>
        <v>890</v>
      </c>
      <c r="L122" s="28"/>
    </row>
    <row r="123" spans="1:13" ht="20.100000000000001" customHeight="1" x14ac:dyDescent="0.15">
      <c r="A123" s="5"/>
      <c r="B123" s="5"/>
      <c r="C123" s="10"/>
      <c r="D123" s="10"/>
      <c r="E123" s="10"/>
      <c r="F123" s="10"/>
      <c r="G123" s="10"/>
      <c r="H123" s="8"/>
      <c r="I123" s="8"/>
      <c r="J123" s="8" t="str">
        <f t="shared" si="6"/>
        <v>借</v>
      </c>
      <c r="K123" s="9">
        <f t="shared" si="7"/>
        <v>890</v>
      </c>
      <c r="L123" s="28"/>
    </row>
    <row r="124" spans="1:13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6"/>
        <v>借</v>
      </c>
      <c r="K124" s="9">
        <f t="shared" si="7"/>
        <v>890</v>
      </c>
      <c r="L124" s="28"/>
    </row>
    <row r="125" spans="1:13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6"/>
        <v>借</v>
      </c>
      <c r="K125" s="9">
        <f t="shared" si="7"/>
        <v>890</v>
      </c>
      <c r="L125" s="28"/>
    </row>
    <row r="126" spans="1:13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6"/>
        <v>借</v>
      </c>
      <c r="K126" s="9">
        <f t="shared" si="7"/>
        <v>890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6"/>
        <v>借</v>
      </c>
      <c r="K127" s="9">
        <f t="shared" si="7"/>
        <v>890</v>
      </c>
      <c r="L127" s="28"/>
      <c r="M127" s="99"/>
    </row>
    <row r="128" spans="1:13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6"/>
        <v>借</v>
      </c>
      <c r="K128" s="9">
        <f t="shared" si="7"/>
        <v>890</v>
      </c>
      <c r="L128" s="28"/>
      <c r="M128" s="99"/>
    </row>
    <row r="129" spans="1:13" ht="20.100000000000001" customHeight="1" x14ac:dyDescent="0.15">
      <c r="A129" s="10"/>
      <c r="B129" s="5"/>
      <c r="C129" s="5"/>
      <c r="D129" s="10"/>
      <c r="E129" s="16"/>
      <c r="F129" s="10"/>
      <c r="G129" s="10"/>
      <c r="H129" s="8"/>
      <c r="I129" s="8"/>
      <c r="J129" s="8" t="str">
        <f t="shared" si="6"/>
        <v>借</v>
      </c>
      <c r="K129" s="9">
        <f t="shared" si="7"/>
        <v>890</v>
      </c>
      <c r="L129" s="28"/>
    </row>
    <row r="130" spans="1:13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6"/>
        <v>借</v>
      </c>
      <c r="K130" s="9">
        <f t="shared" si="7"/>
        <v>890</v>
      </c>
      <c r="L130" s="28"/>
    </row>
    <row r="131" spans="1:13" ht="20.100000000000001" customHeight="1" x14ac:dyDescent="0.15">
      <c r="A131" s="5"/>
      <c r="B131" s="5"/>
      <c r="C131" s="5"/>
      <c r="D131" s="13"/>
      <c r="E131" s="16"/>
      <c r="F131" s="10"/>
      <c r="G131" s="10"/>
      <c r="H131" s="8"/>
      <c r="I131" s="8"/>
      <c r="J131" s="8" t="str">
        <f t="shared" si="6"/>
        <v>借</v>
      </c>
      <c r="K131" s="9">
        <f t="shared" si="7"/>
        <v>890</v>
      </c>
      <c r="L131" s="28"/>
    </row>
    <row r="132" spans="1:13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6"/>
        <v>借</v>
      </c>
      <c r="K132" s="9">
        <f t="shared" ref="K132:K195" si="8">K131+H132-I132</f>
        <v>890</v>
      </c>
      <c r="L132" s="28"/>
    </row>
    <row r="133" spans="1:13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ref="J133:J196" si="9">IF((K132+H133-I133)&gt;0,"借","贷")</f>
        <v>借</v>
      </c>
      <c r="K133" s="9">
        <f t="shared" si="8"/>
        <v>890</v>
      </c>
      <c r="L133" s="28"/>
      <c r="M133" s="99"/>
    </row>
    <row r="134" spans="1:13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9"/>
        <v>借</v>
      </c>
      <c r="K134" s="9">
        <f t="shared" si="8"/>
        <v>890</v>
      </c>
      <c r="L134" s="28"/>
      <c r="M134" s="99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9"/>
        <v>借</v>
      </c>
      <c r="K135" s="9">
        <f t="shared" si="8"/>
        <v>890</v>
      </c>
      <c r="L135" s="28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9"/>
        <v>借</v>
      </c>
      <c r="K136" s="9">
        <f t="shared" si="8"/>
        <v>890</v>
      </c>
      <c r="L136" s="28"/>
    </row>
    <row r="137" spans="1:13" ht="20.100000000000001" customHeight="1" x14ac:dyDescent="0.15">
      <c r="A137" s="10"/>
      <c r="B137" s="5"/>
      <c r="C137" s="5"/>
      <c r="D137" s="10"/>
      <c r="E137" s="10"/>
      <c r="F137" s="10"/>
      <c r="G137" s="10"/>
      <c r="H137" s="8"/>
      <c r="I137" s="8"/>
      <c r="J137" s="8" t="str">
        <f t="shared" si="9"/>
        <v>借</v>
      </c>
      <c r="K137" s="9">
        <f t="shared" si="8"/>
        <v>890</v>
      </c>
      <c r="L137" s="28"/>
    </row>
    <row r="138" spans="1:13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9"/>
        <v>借</v>
      </c>
      <c r="K138" s="9">
        <f t="shared" si="8"/>
        <v>890</v>
      </c>
      <c r="L138" s="28"/>
    </row>
    <row r="139" spans="1:13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10"/>
      <c r="J139" s="8" t="str">
        <f t="shared" si="9"/>
        <v>借</v>
      </c>
      <c r="K139" s="9">
        <f t="shared" si="8"/>
        <v>890</v>
      </c>
      <c r="L139" s="28"/>
      <c r="M139" s="99"/>
    </row>
    <row r="140" spans="1:13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10"/>
      <c r="J140" s="8" t="str">
        <f t="shared" si="9"/>
        <v>借</v>
      </c>
      <c r="K140" s="9">
        <f t="shared" si="8"/>
        <v>890</v>
      </c>
      <c r="L140" s="28"/>
      <c r="M140" s="99"/>
    </row>
    <row r="141" spans="1:13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10"/>
      <c r="J141" s="8" t="str">
        <f t="shared" si="9"/>
        <v>借</v>
      </c>
      <c r="K141" s="9">
        <f t="shared" si="8"/>
        <v>890</v>
      </c>
      <c r="L141" s="28"/>
      <c r="M141" s="99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9"/>
        <v>借</v>
      </c>
      <c r="K142" s="9">
        <f t="shared" si="8"/>
        <v>890</v>
      </c>
      <c r="L142" s="28"/>
      <c r="M142" s="99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9"/>
        <v>借</v>
      </c>
      <c r="K143" s="9">
        <f t="shared" si="8"/>
        <v>890</v>
      </c>
      <c r="L143" s="28"/>
      <c r="M143" s="99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9"/>
        <v>借</v>
      </c>
      <c r="K144" s="9">
        <f t="shared" si="8"/>
        <v>890</v>
      </c>
      <c r="L144" s="28"/>
      <c r="M144" s="99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9"/>
        <v>借</v>
      </c>
      <c r="K145" s="9">
        <f t="shared" si="8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9"/>
        <v>借</v>
      </c>
      <c r="K146" s="9">
        <f t="shared" si="8"/>
        <v>890</v>
      </c>
      <c r="L146" s="28"/>
    </row>
    <row r="147" spans="1:13" ht="20.100000000000001" customHeight="1" x14ac:dyDescent="0.15">
      <c r="A147" s="10"/>
      <c r="B147" s="5"/>
      <c r="C147" s="5"/>
      <c r="D147" s="10"/>
      <c r="E147" s="10"/>
      <c r="F147" s="10"/>
      <c r="G147" s="10"/>
      <c r="H147" s="8"/>
      <c r="I147" s="8"/>
      <c r="J147" s="8" t="str">
        <f t="shared" si="9"/>
        <v>借</v>
      </c>
      <c r="K147" s="9">
        <f t="shared" si="8"/>
        <v>890</v>
      </c>
      <c r="L147" s="28"/>
    </row>
    <row r="148" spans="1:13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9"/>
        <v>借</v>
      </c>
      <c r="K148" s="9">
        <f t="shared" si="8"/>
        <v>890</v>
      </c>
      <c r="L148" s="28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9"/>
        <v>借</v>
      </c>
      <c r="K149" s="9">
        <f t="shared" si="8"/>
        <v>890</v>
      </c>
      <c r="L149" s="28"/>
      <c r="M149" s="99"/>
    </row>
    <row r="150" spans="1:13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9"/>
        <v>借</v>
      </c>
      <c r="K150" s="9">
        <f t="shared" si="8"/>
        <v>890</v>
      </c>
      <c r="L150" s="28"/>
      <c r="M150" s="99"/>
    </row>
    <row r="151" spans="1:13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9"/>
        <v>借</v>
      </c>
      <c r="K151" s="9">
        <f t="shared" si="8"/>
        <v>890</v>
      </c>
      <c r="L151" s="28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9"/>
        <v>借</v>
      </c>
      <c r="K152" s="9">
        <f t="shared" si="8"/>
        <v>890</v>
      </c>
      <c r="L152" s="28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9"/>
        <v>借</v>
      </c>
      <c r="K153" s="9">
        <f t="shared" si="8"/>
        <v>890</v>
      </c>
      <c r="L153" s="28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9"/>
        <v>借</v>
      </c>
      <c r="K154" s="9">
        <f t="shared" si="8"/>
        <v>890</v>
      </c>
      <c r="L154" s="28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9"/>
        <v>借</v>
      </c>
      <c r="K155" s="9">
        <f t="shared" si="8"/>
        <v>890</v>
      </c>
      <c r="L155" s="28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9"/>
        <v>借</v>
      </c>
      <c r="K156" s="9">
        <f t="shared" si="8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9"/>
        <v>借</v>
      </c>
      <c r="K157" s="9">
        <f t="shared" si="8"/>
        <v>890</v>
      </c>
      <c r="L157" s="28"/>
    </row>
    <row r="158" spans="1:13" ht="20.100000000000001" customHeight="1" x14ac:dyDescent="0.15">
      <c r="A158" s="10"/>
      <c r="B158" s="5"/>
      <c r="C158" s="5"/>
      <c r="D158" s="10"/>
      <c r="E158" s="10"/>
      <c r="F158" s="10"/>
      <c r="G158" s="10"/>
      <c r="H158" s="8"/>
      <c r="I158" s="8"/>
      <c r="J158" s="8" t="str">
        <f t="shared" si="9"/>
        <v>借</v>
      </c>
      <c r="K158" s="9">
        <f t="shared" si="8"/>
        <v>890</v>
      </c>
      <c r="L158" s="28"/>
    </row>
    <row r="159" spans="1:13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9"/>
        <v>借</v>
      </c>
      <c r="K159" s="9">
        <f t="shared" si="8"/>
        <v>890</v>
      </c>
      <c r="L159" s="28"/>
    </row>
    <row r="160" spans="1:13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9"/>
        <v>借</v>
      </c>
      <c r="K160" s="9">
        <f t="shared" si="8"/>
        <v>890</v>
      </c>
      <c r="L160" s="28"/>
    </row>
    <row r="161" spans="1:13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9"/>
        <v>借</v>
      </c>
      <c r="K161" s="9">
        <f t="shared" si="8"/>
        <v>890</v>
      </c>
      <c r="L161" s="28"/>
      <c r="M161" s="99"/>
    </row>
    <row r="162" spans="1:13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9"/>
        <v>借</v>
      </c>
      <c r="K162" s="9">
        <f t="shared" si="8"/>
        <v>890</v>
      </c>
      <c r="L162" s="28"/>
      <c r="M162" s="99"/>
    </row>
    <row r="163" spans="1:13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9"/>
        <v>借</v>
      </c>
      <c r="K163" s="9">
        <f t="shared" si="8"/>
        <v>890</v>
      </c>
      <c r="L163" s="28"/>
    </row>
    <row r="164" spans="1:13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9"/>
        <v>借</v>
      </c>
      <c r="K164" s="9">
        <f t="shared" si="8"/>
        <v>890</v>
      </c>
      <c r="L164" s="28"/>
    </row>
    <row r="165" spans="1:13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9"/>
        <v>借</v>
      </c>
      <c r="K165" s="9">
        <f t="shared" si="8"/>
        <v>890</v>
      </c>
      <c r="L165" s="28"/>
    </row>
    <row r="166" spans="1:13" ht="20.100000000000001" customHeight="1" x14ac:dyDescent="0.15">
      <c r="A166" s="10"/>
      <c r="B166" s="5"/>
      <c r="C166" s="10"/>
      <c r="D166" s="10"/>
      <c r="E166" s="17"/>
      <c r="F166" s="10"/>
      <c r="G166" s="10"/>
      <c r="H166" s="8"/>
      <c r="I166" s="8"/>
      <c r="J166" s="8" t="str">
        <f t="shared" si="9"/>
        <v>借</v>
      </c>
      <c r="K166" s="9">
        <f t="shared" si="8"/>
        <v>890</v>
      </c>
      <c r="L166" s="28"/>
    </row>
    <row r="167" spans="1:13" ht="20.100000000000001" customHeight="1" x14ac:dyDescent="0.15">
      <c r="A167" s="10"/>
      <c r="B167" s="5"/>
      <c r="C167" s="10"/>
      <c r="D167" s="10"/>
      <c r="E167" s="37"/>
      <c r="F167" s="10"/>
      <c r="G167" s="10"/>
      <c r="H167" s="8"/>
      <c r="I167" s="8"/>
      <c r="J167" s="8" t="str">
        <f t="shared" si="9"/>
        <v>借</v>
      </c>
      <c r="K167" s="9">
        <f t="shared" si="8"/>
        <v>890</v>
      </c>
      <c r="L167" s="28"/>
    </row>
    <row r="168" spans="1:13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9"/>
        <v>借</v>
      </c>
      <c r="K168" s="9">
        <f t="shared" si="8"/>
        <v>890</v>
      </c>
      <c r="L168" s="28"/>
    </row>
    <row r="169" spans="1:13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9"/>
        <v>借</v>
      </c>
      <c r="K169" s="9">
        <f t="shared" si="8"/>
        <v>890</v>
      </c>
      <c r="L169" s="28"/>
      <c r="M169" s="99"/>
    </row>
    <row r="170" spans="1:13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9"/>
        <v>借</v>
      </c>
      <c r="K170" s="9">
        <f t="shared" si="8"/>
        <v>890</v>
      </c>
      <c r="L170" s="28"/>
      <c r="M170" s="99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9"/>
        <v>借</v>
      </c>
      <c r="K171" s="9">
        <f t="shared" si="8"/>
        <v>890</v>
      </c>
      <c r="L171" s="28"/>
    </row>
    <row r="172" spans="1:13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9"/>
        <v>借</v>
      </c>
      <c r="K172" s="9">
        <f t="shared" si="8"/>
        <v>890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9"/>
        <v>借</v>
      </c>
      <c r="K173" s="9">
        <f t="shared" si="8"/>
        <v>890</v>
      </c>
      <c r="L173" s="28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9"/>
        <v>借</v>
      </c>
      <c r="K174" s="9">
        <f t="shared" si="8"/>
        <v>890</v>
      </c>
      <c r="L174" s="28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9"/>
        <v>借</v>
      </c>
      <c r="K175" s="9">
        <f t="shared" si="8"/>
        <v>890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9"/>
        <v>借</v>
      </c>
      <c r="K176" s="9">
        <f t="shared" si="8"/>
        <v>890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9"/>
        <v>借</v>
      </c>
      <c r="K177" s="9">
        <f t="shared" si="8"/>
        <v>890</v>
      </c>
      <c r="L177" s="28"/>
      <c r="M177" s="99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9"/>
        <v>借</v>
      </c>
      <c r="K178" s="9">
        <f t="shared" si="8"/>
        <v>890</v>
      </c>
      <c r="L178" s="28"/>
      <c r="M178" s="99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9"/>
        <v>借</v>
      </c>
      <c r="K179" s="9">
        <f t="shared" si="8"/>
        <v>890</v>
      </c>
      <c r="L179" s="28"/>
    </row>
    <row r="180" spans="1:13" ht="20.100000000000001" customHeight="1" x14ac:dyDescent="0.15">
      <c r="A180" s="10"/>
      <c r="B180" s="5"/>
      <c r="C180" s="10"/>
      <c r="D180" s="11"/>
      <c r="E180" s="10"/>
      <c r="F180" s="10"/>
      <c r="G180" s="10"/>
      <c r="H180" s="8"/>
      <c r="I180" s="8"/>
      <c r="J180" s="8" t="str">
        <f t="shared" si="9"/>
        <v>借</v>
      </c>
      <c r="K180" s="9">
        <f t="shared" si="8"/>
        <v>890</v>
      </c>
      <c r="L180" s="28"/>
    </row>
    <row r="181" spans="1:13" ht="20.100000000000001" customHeight="1" x14ac:dyDescent="0.15">
      <c r="A181" s="10"/>
      <c r="B181" s="5"/>
      <c r="C181" s="10"/>
      <c r="D181" s="11"/>
      <c r="E181" s="10"/>
      <c r="F181" s="10"/>
      <c r="G181" s="10"/>
      <c r="H181" s="8"/>
      <c r="I181" s="8"/>
      <c r="J181" s="8" t="str">
        <f t="shared" si="9"/>
        <v>借</v>
      </c>
      <c r="K181" s="9">
        <f t="shared" si="8"/>
        <v>890</v>
      </c>
      <c r="L181" s="28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9"/>
        <v>借</v>
      </c>
      <c r="K182" s="9">
        <f t="shared" si="8"/>
        <v>890</v>
      </c>
      <c r="L182" s="28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9"/>
        <v>借</v>
      </c>
      <c r="K183" s="9">
        <f t="shared" si="8"/>
        <v>890</v>
      </c>
      <c r="L183" s="28"/>
    </row>
    <row r="184" spans="1:13" ht="20.100000000000001" customHeight="1" x14ac:dyDescent="0.15">
      <c r="A184" s="10"/>
      <c r="B184" s="5"/>
      <c r="C184" s="10"/>
      <c r="E184" s="10"/>
      <c r="F184" s="10"/>
      <c r="G184" s="10"/>
      <c r="H184" s="8"/>
      <c r="I184" s="8"/>
      <c r="J184" s="8" t="str">
        <f t="shared" si="9"/>
        <v>借</v>
      </c>
      <c r="K184" s="9">
        <f t="shared" si="8"/>
        <v>890</v>
      </c>
      <c r="L184" s="28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9"/>
        <v>借</v>
      </c>
      <c r="K185" s="9">
        <f t="shared" si="8"/>
        <v>890</v>
      </c>
      <c r="L185" s="28"/>
      <c r="M185" s="99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9"/>
        <v>借</v>
      </c>
      <c r="K186" s="9">
        <f t="shared" si="8"/>
        <v>890</v>
      </c>
      <c r="L186" s="28"/>
      <c r="M186" s="99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9"/>
        <v>借</v>
      </c>
      <c r="K187" s="9">
        <f t="shared" si="8"/>
        <v>890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9"/>
        <v>借</v>
      </c>
      <c r="K188" s="9">
        <f t="shared" si="8"/>
        <v>890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9"/>
        <v>借</v>
      </c>
      <c r="K189" s="9">
        <f t="shared" si="8"/>
        <v>890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9"/>
        <v>借</v>
      </c>
      <c r="K190" s="9">
        <f t="shared" si="8"/>
        <v>890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9"/>
        <v>借</v>
      </c>
      <c r="K191" s="9">
        <f t="shared" si="8"/>
        <v>890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9"/>
        <v>借</v>
      </c>
      <c r="K192" s="9">
        <f t="shared" si="8"/>
        <v>890</v>
      </c>
      <c r="L192" s="28"/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9"/>
        <v>借</v>
      </c>
      <c r="K193" s="9">
        <f t="shared" si="8"/>
        <v>890</v>
      </c>
      <c r="L193" s="28"/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9"/>
        <v>借</v>
      </c>
      <c r="K194" s="9">
        <f t="shared" si="8"/>
        <v>890</v>
      </c>
      <c r="L194" s="28"/>
    </row>
    <row r="195" spans="1:13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9"/>
        <v>借</v>
      </c>
      <c r="K195" s="9">
        <f t="shared" si="8"/>
        <v>890</v>
      </c>
      <c r="L195" s="28"/>
    </row>
    <row r="196" spans="1:13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9"/>
        <v>借</v>
      </c>
      <c r="K196" s="9">
        <f t="shared" ref="K196:K259" si="10">K195+H196-I196</f>
        <v>890</v>
      </c>
      <c r="L196" s="28"/>
    </row>
    <row r="197" spans="1:13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ref="J197:J260" si="11">IF((K196+H197-I197)&gt;0,"借","贷")</f>
        <v>借</v>
      </c>
      <c r="K197" s="9">
        <f t="shared" si="10"/>
        <v>890</v>
      </c>
      <c r="L197" s="28"/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11"/>
        <v>借</v>
      </c>
      <c r="K198" s="9">
        <f t="shared" si="10"/>
        <v>890</v>
      </c>
      <c r="L198" s="28"/>
    </row>
    <row r="199" spans="1:13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11"/>
        <v>借</v>
      </c>
      <c r="K199" s="9">
        <f t="shared" si="10"/>
        <v>890</v>
      </c>
      <c r="L199" s="28"/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890</v>
      </c>
      <c r="L200" s="28"/>
    </row>
    <row r="201" spans="1:13" ht="20.100000000000001" customHeight="1" x14ac:dyDescent="0.15">
      <c r="A201" s="10"/>
      <c r="B201" s="5"/>
      <c r="C201" s="10"/>
      <c r="D201" s="11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890</v>
      </c>
      <c r="L201" s="28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890</v>
      </c>
      <c r="L202" s="28"/>
      <c r="M202" s="99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890</v>
      </c>
      <c r="L203" s="28"/>
      <c r="M203" s="99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890</v>
      </c>
      <c r="L204" s="28"/>
    </row>
    <row r="205" spans="1:13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1"/>
        <v>借</v>
      </c>
      <c r="K205" s="9">
        <f t="shared" si="10"/>
        <v>890</v>
      </c>
      <c r="L205" s="28"/>
    </row>
    <row r="206" spans="1:13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890</v>
      </c>
      <c r="L206" s="28"/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890</v>
      </c>
      <c r="L207" s="28"/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890</v>
      </c>
      <c r="L208" s="28"/>
    </row>
    <row r="209" spans="1:12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890</v>
      </c>
      <c r="L209" s="28"/>
    </row>
    <row r="210" spans="1:12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890</v>
      </c>
      <c r="L210" s="28"/>
    </row>
    <row r="211" spans="1:12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890</v>
      </c>
      <c r="L211" s="28"/>
    </row>
    <row r="212" spans="1:12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890</v>
      </c>
      <c r="L212" s="28"/>
    </row>
    <row r="213" spans="1:12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1"/>
        <v>借</v>
      </c>
      <c r="K213" s="9">
        <f t="shared" si="10"/>
        <v>890</v>
      </c>
      <c r="L213" s="28"/>
    </row>
    <row r="214" spans="1:12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890</v>
      </c>
      <c r="L214" s="28"/>
    </row>
    <row r="215" spans="1:12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si="10"/>
        <v>890</v>
      </c>
      <c r="L215" s="28"/>
    </row>
    <row r="216" spans="1:12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0"/>
        <v>890</v>
      </c>
      <c r="L216" s="28"/>
    </row>
    <row r="217" spans="1:12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0"/>
        <v>890</v>
      </c>
      <c r="L217" s="28"/>
    </row>
    <row r="218" spans="1:12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0"/>
        <v>890</v>
      </c>
      <c r="L218" s="28"/>
    </row>
    <row r="219" spans="1:12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0"/>
        <v>890</v>
      </c>
      <c r="L219" s="28"/>
    </row>
    <row r="220" spans="1:12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0"/>
        <v>890</v>
      </c>
      <c r="L220" s="28"/>
    </row>
    <row r="221" spans="1:12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0"/>
        <v>890</v>
      </c>
      <c r="L221" s="28"/>
    </row>
    <row r="222" spans="1:12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0"/>
        <v>890</v>
      </c>
      <c r="L222" s="28"/>
    </row>
    <row r="223" spans="1:12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0"/>
        <v>890</v>
      </c>
      <c r="L223" s="28"/>
    </row>
    <row r="224" spans="1:12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0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0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0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0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0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0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0"/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9">
        <f t="shared" si="10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0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0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0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1"/>
        <v>借</v>
      </c>
      <c r="K235" s="9">
        <f t="shared" si="10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1"/>
        <v>借</v>
      </c>
      <c r="K236" s="9">
        <f t="shared" si="10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1"/>
        <v>借</v>
      </c>
      <c r="K237" s="9">
        <f t="shared" si="10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1"/>
        <v>借</v>
      </c>
      <c r="K238" s="9">
        <f t="shared" si="10"/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1"/>
        <v>借</v>
      </c>
      <c r="K239" s="9">
        <f t="shared" si="10"/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1"/>
        <v>借</v>
      </c>
      <c r="K240" s="9">
        <f t="shared" si="10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23" t="str">
        <f t="shared" si="11"/>
        <v>借</v>
      </c>
      <c r="K241" s="9">
        <f t="shared" si="10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11"/>
        <v>借</v>
      </c>
      <c r="K242" s="9">
        <f t="shared" si="10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11"/>
        <v>借</v>
      </c>
      <c r="K243" s="9">
        <f t="shared" si="10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1"/>
        <v>借</v>
      </c>
      <c r="K244" s="9">
        <f t="shared" si="10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1"/>
        <v>借</v>
      </c>
      <c r="K245" s="9">
        <f t="shared" si="10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1"/>
        <v>借</v>
      </c>
      <c r="K246" s="9">
        <f t="shared" si="10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1"/>
        <v>借</v>
      </c>
      <c r="K247" s="9">
        <f t="shared" si="10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1"/>
        <v>借</v>
      </c>
      <c r="K248" s="9">
        <f t="shared" si="10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0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0"/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0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0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0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0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1"/>
        <v>借</v>
      </c>
      <c r="K255" s="9">
        <f t="shared" si="10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1"/>
        <v>借</v>
      </c>
      <c r="K256" s="9">
        <f t="shared" si="10"/>
        <v>890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1"/>
        <v>借</v>
      </c>
      <c r="K257" s="9">
        <f t="shared" si="10"/>
        <v>890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1"/>
        <v>借</v>
      </c>
      <c r="K258" s="9">
        <f t="shared" si="10"/>
        <v>890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1"/>
        <v>借</v>
      </c>
      <c r="K259" s="9">
        <f t="shared" si="10"/>
        <v>890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1"/>
        <v>借</v>
      </c>
      <c r="K260" s="9">
        <f t="shared" ref="K260:K323" si="12">K259+H260-I260</f>
        <v>890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ref="J261:J324" si="13">IF((K260+H261-I261)&gt;0,"借","贷")</f>
        <v>借</v>
      </c>
      <c r="K261" s="9">
        <f t="shared" si="12"/>
        <v>890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2"/>
        <v>890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2"/>
        <v>890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890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890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890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890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890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890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890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890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si="12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2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2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2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2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2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2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2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2"/>
        <v>890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2"/>
        <v>890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2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2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2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2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2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2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2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2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2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2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2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2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2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si="12"/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2"/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2"/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2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2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2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2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2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2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2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2"/>
        <v>890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2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2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2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2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2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2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3"/>
        <v>借</v>
      </c>
      <c r="K319" s="9">
        <f t="shared" si="12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3"/>
        <v>借</v>
      </c>
      <c r="K320" s="9">
        <f t="shared" si="12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3"/>
        <v>借</v>
      </c>
      <c r="K321" s="9">
        <f t="shared" si="12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3"/>
        <v>借</v>
      </c>
      <c r="K322" s="9">
        <f t="shared" si="12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3"/>
        <v>借</v>
      </c>
      <c r="K323" s="9">
        <f t="shared" si="12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3"/>
        <v>借</v>
      </c>
      <c r="K324" s="9">
        <f t="shared" ref="K324:K387" si="14">K323+H324-I324</f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ref="J325:J388" si="15">IF((K324+H325-I325)&gt;0,"借","贷")</f>
        <v>借</v>
      </c>
      <c r="K325" s="9">
        <f t="shared" si="14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4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4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si="14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4"/>
        <v>890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4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4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4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4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4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4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4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4"/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4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4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4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4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4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4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4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4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4"/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4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4"/>
        <v>890</v>
      </c>
      <c r="L363" s="28"/>
    </row>
    <row r="364" spans="1:12" ht="20.100000000000001" customHeight="1" x14ac:dyDescent="0.15">
      <c r="B364" s="5"/>
      <c r="C364" s="10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4"/>
        <v>890</v>
      </c>
      <c r="L364" s="28"/>
    </row>
    <row r="365" spans="1:12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4"/>
        <v>890</v>
      </c>
      <c r="L365" s="28"/>
    </row>
    <row r="366" spans="1:12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si="14"/>
        <v>890</v>
      </c>
      <c r="L366" s="28"/>
    </row>
    <row r="367" spans="1:12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4"/>
        <v>890</v>
      </c>
      <c r="L367" s="28"/>
    </row>
    <row r="368" spans="1:12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4"/>
        <v>890</v>
      </c>
      <c r="L368" s="28"/>
    </row>
    <row r="369" spans="2:12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4"/>
        <v>890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4"/>
        <v>890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4"/>
        <v>890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4"/>
        <v>890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4"/>
        <v>890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4"/>
        <v>890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4"/>
        <v>890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4"/>
        <v>890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4"/>
        <v>890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4"/>
        <v>890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4"/>
        <v>890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4"/>
        <v>890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4"/>
        <v>890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4"/>
        <v>890</v>
      </c>
      <c r="L382" s="28"/>
    </row>
    <row r="383" spans="2:12" ht="20.100000000000001" customHeight="1" x14ac:dyDescent="0.15">
      <c r="B383" s="5"/>
      <c r="C383" s="10"/>
      <c r="D383" s="10"/>
      <c r="E383" s="10"/>
      <c r="F383" s="10"/>
      <c r="G383" s="10"/>
      <c r="H383" s="8"/>
      <c r="I383" s="8"/>
      <c r="J383" s="8" t="str">
        <f t="shared" si="15"/>
        <v>借</v>
      </c>
      <c r="K383" s="9">
        <f t="shared" si="14"/>
        <v>890</v>
      </c>
      <c r="L383" s="28"/>
    </row>
    <row r="384" spans="2:12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5"/>
        <v>借</v>
      </c>
      <c r="K384" s="9">
        <f t="shared" si="14"/>
        <v>890</v>
      </c>
      <c r="L384" s="28"/>
    </row>
    <row r="385" spans="2:12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5"/>
        <v>借</v>
      </c>
      <c r="K385" s="9">
        <f t="shared" si="14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5"/>
        <v>借</v>
      </c>
      <c r="K386" s="9">
        <f t="shared" si="14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5"/>
        <v>借</v>
      </c>
      <c r="K387" s="9">
        <f t="shared" si="14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5"/>
        <v>借</v>
      </c>
      <c r="K388" s="9">
        <f t="shared" ref="K388:K451" si="16">K387+H388-I388</f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ref="J389:J452" si="17">IF((K388+H389-I389)&gt;0,"借","贷")</f>
        <v>借</v>
      </c>
      <c r="K389" s="9">
        <f t="shared" si="16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7"/>
        <v>借</v>
      </c>
      <c r="K390" s="9">
        <f t="shared" si="16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7"/>
        <v>借</v>
      </c>
      <c r="K391" s="9">
        <f t="shared" si="16"/>
        <v>890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890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890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890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890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890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890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890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890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890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890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si="16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6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6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6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6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6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6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6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6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6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6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6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6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6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6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6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6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6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6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6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6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6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6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si="16"/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6"/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6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6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6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6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6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6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6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6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6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6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6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6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6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6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6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7"/>
        <v>借</v>
      </c>
      <c r="K447" s="9">
        <f t="shared" si="16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7"/>
        <v>借</v>
      </c>
      <c r="K448" s="9">
        <f t="shared" si="16"/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7"/>
        <v>借</v>
      </c>
      <c r="K449" s="9">
        <f t="shared" si="16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7"/>
        <v>借</v>
      </c>
      <c r="K450" s="9">
        <f t="shared" si="16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7"/>
        <v>借</v>
      </c>
      <c r="K451" s="9">
        <f t="shared" si="16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7"/>
        <v>借</v>
      </c>
      <c r="K452" s="9">
        <f t="shared" ref="K452:K496" si="18">K451+H452-I452</f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ref="J453:J496" si="19">IF((K452+H453-I453)&gt;0,"借","贷")</f>
        <v>借</v>
      </c>
      <c r="K453" s="9">
        <f t="shared" si="18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9"/>
        <v>借</v>
      </c>
      <c r="K454" s="9">
        <f t="shared" si="18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9"/>
        <v>借</v>
      </c>
      <c r="K455" s="9">
        <f t="shared" si="18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si="18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18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18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18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18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18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18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18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18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18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18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18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18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18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18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18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18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18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18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18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9"/>
        <v>借</v>
      </c>
      <c r="K491" s="9">
        <f t="shared" si="18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9"/>
        <v>借</v>
      </c>
      <c r="K492" s="9">
        <f t="shared" si="18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9"/>
        <v>借</v>
      </c>
      <c r="K493" s="9">
        <f t="shared" si="18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9"/>
        <v>借</v>
      </c>
      <c r="K494" s="9">
        <f t="shared" si="18"/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9"/>
        <v>借</v>
      </c>
      <c r="K495" s="9">
        <f t="shared" si="18"/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9"/>
        <v>借</v>
      </c>
      <c r="K496" s="9">
        <f t="shared" si="18"/>
        <v>890</v>
      </c>
      <c r="L496" s="28"/>
    </row>
  </sheetData>
  <autoFilter ref="A4:M496" xr:uid="{00000000-0009-0000-0000-00000E000000}"/>
  <mergeCells count="24">
    <mergeCell ref="M169:M170"/>
    <mergeCell ref="M177:M178"/>
    <mergeCell ref="M185:M186"/>
    <mergeCell ref="M202:M203"/>
    <mergeCell ref="M127:M128"/>
    <mergeCell ref="M133:M134"/>
    <mergeCell ref="M139:M144"/>
    <mergeCell ref="M149:M150"/>
    <mergeCell ref="M161:M162"/>
    <mergeCell ref="M94:M96"/>
    <mergeCell ref="M100:M101"/>
    <mergeCell ref="M103:M104"/>
    <mergeCell ref="M114:M115"/>
    <mergeCell ref="M119:M121"/>
    <mergeCell ref="M45:M46"/>
    <mergeCell ref="M47:M48"/>
    <mergeCell ref="M57:M58"/>
    <mergeCell ref="M62:M64"/>
    <mergeCell ref="M79:M81"/>
    <mergeCell ref="A1:K1"/>
    <mergeCell ref="M15:M16"/>
    <mergeCell ref="M24:M26"/>
    <mergeCell ref="M35:M36"/>
    <mergeCell ref="M39:M40"/>
  </mergeCells>
  <phoneticPr fontId="22" type="noConversion"/>
  <dataValidations count="1">
    <dataValidation type="list" allowBlank="1" showInputMessage="1" showErrorMessage="1" sqref="A1:F1 H1:L1 G1:G2 G5:G190 G195:G1048576" xr:uid="{00000000-0002-0000-0E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9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70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99"/>
      <c r="M27" s="99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99"/>
      <c r="M28" s="99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99"/>
      <c r="M29" s="99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99"/>
      <c r="M30" s="99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99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99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99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0F00-000000000000}"/>
    <dataValidation type="list" allowBlank="1" showInputMessage="1" showErrorMessage="1" sqref="G5:G1048576" xr:uid="{00000000-0002-0000-0F00-000001000000}">
      <formula1>#REF!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99"/>
  <sheetViews>
    <sheetView topLeftCell="B1" workbookViewId="0">
      <selection activeCell="H10" sqref="H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0.5" customWidth="1"/>
    <col min="13" max="13" width="11.625" customWidth="1"/>
  </cols>
  <sheetData>
    <row r="1" spans="1:13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  <c r="L1" s="2"/>
    </row>
    <row r="2" spans="1:13" ht="20.100000000000001" customHeight="1" x14ac:dyDescent="0.15">
      <c r="B2" t="s">
        <v>71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SUM(H5:H190002)</f>
        <v>10000</v>
      </c>
      <c r="I3" s="4">
        <f>SUM(I5:I190002)</f>
        <v>10110</v>
      </c>
      <c r="J3" s="4"/>
      <c r="K3" s="3">
        <f>K5+H3-I3</f>
        <v>890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26" si="0">IF((K5+H6-I6)&gt;0,"借","贷")</f>
        <v>借</v>
      </c>
      <c r="K6" s="9">
        <f t="shared" ref="K6:K26" si="1">K5+H6-I6</f>
        <v>11000</v>
      </c>
      <c r="L6" s="28"/>
      <c r="M6" s="99"/>
    </row>
    <row r="7" spans="1:13" ht="20.100000000000001" customHeight="1" x14ac:dyDescent="0.15">
      <c r="A7" s="5"/>
      <c r="B7" s="5">
        <v>2</v>
      </c>
      <c r="C7" s="5">
        <v>3</v>
      </c>
      <c r="D7" s="10" t="s">
        <v>43</v>
      </c>
      <c r="E7" s="10"/>
      <c r="F7" s="10" t="s">
        <v>44</v>
      </c>
      <c r="G7" s="10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  <c r="L7" s="28"/>
      <c r="M7" s="99"/>
    </row>
    <row r="8" spans="1:13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  <c r="L8" s="28"/>
    </row>
    <row r="9" spans="1:13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  <c r="L9" s="28"/>
    </row>
    <row r="10" spans="1:13" ht="20.100000000000001" customHeight="1" x14ac:dyDescent="0.15">
      <c r="A10" s="5"/>
      <c r="B10" s="5"/>
      <c r="C10" s="5"/>
      <c r="D10" s="7"/>
      <c r="E10" s="7"/>
      <c r="F10" s="7"/>
      <c r="G10" s="7"/>
      <c r="H10" s="8"/>
      <c r="I10" s="14"/>
      <c r="J10" s="8" t="str">
        <f t="shared" si="0"/>
        <v>借</v>
      </c>
      <c r="K10" s="9">
        <f t="shared" si="1"/>
        <v>890</v>
      </c>
      <c r="L10" s="28"/>
    </row>
    <row r="11" spans="1:13" ht="20.100000000000001" customHeight="1" x14ac:dyDescent="0.15">
      <c r="A11" s="5"/>
      <c r="B11" s="5"/>
      <c r="C11" s="5"/>
      <c r="D11" s="7"/>
      <c r="E11" s="7"/>
      <c r="F11" s="7"/>
      <c r="G11" s="7"/>
      <c r="H11" s="8"/>
      <c r="I11" s="14"/>
      <c r="J11" s="8" t="str">
        <f t="shared" si="0"/>
        <v>借</v>
      </c>
      <c r="K11" s="9">
        <f t="shared" si="1"/>
        <v>890</v>
      </c>
      <c r="L11" s="28"/>
    </row>
    <row r="12" spans="1:13" ht="20.100000000000001" customHeight="1" x14ac:dyDescent="0.15">
      <c r="A12" s="5"/>
      <c r="B12" s="10"/>
      <c r="C12" s="10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  <c r="L12" s="28"/>
      <c r="M12" s="99"/>
    </row>
    <row r="13" spans="1:13" ht="20.100000000000001" customHeight="1" x14ac:dyDescent="0.15">
      <c r="A13" s="5"/>
      <c r="B13" s="10"/>
      <c r="C13" s="10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  <c r="L13" s="28"/>
      <c r="M13" s="99"/>
    </row>
    <row r="14" spans="1:13" ht="20.100000000000001" customHeight="1" x14ac:dyDescent="0.15">
      <c r="A14" s="5"/>
      <c r="B14" s="10"/>
      <c r="C14" s="10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  <c r="L14" s="28"/>
      <c r="M14" s="99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  <c r="L16" s="28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  <c r="L17" s="28"/>
      <c r="M17" s="99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  <c r="L18" s="28"/>
      <c r="M18" s="99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  <c r="L19" s="28"/>
      <c r="M19" s="99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  <c r="L20" s="28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  <c r="L21" s="28"/>
      <c r="M21" s="99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  <c r="L22" s="28"/>
      <c r="M22" s="99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  <c r="L24" s="28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  <c r="L25" s="28"/>
      <c r="M25" s="99"/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  <c r="L26" s="28"/>
      <c r="M26" s="99"/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ref="J27:J70" si="2">IF((K26+H27-I27)&gt;0,"借","贷")</f>
        <v>借</v>
      </c>
      <c r="K27" s="9">
        <f t="shared" ref="K27:K70" si="3">K26+H27-I27</f>
        <v>890</v>
      </c>
      <c r="L27" s="28"/>
      <c r="M27" s="99"/>
    </row>
    <row r="28" spans="1:13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890</v>
      </c>
      <c r="L28" s="28"/>
      <c r="M28" s="99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890</v>
      </c>
      <c r="L29" s="28"/>
      <c r="M29" s="99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890</v>
      </c>
      <c r="L30" s="28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890</v>
      </c>
      <c r="L31" s="28"/>
      <c r="M31" s="99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890</v>
      </c>
      <c r="L32" s="28"/>
      <c r="M32" s="99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890</v>
      </c>
      <c r="L33" s="28"/>
      <c r="M33" s="99"/>
    </row>
    <row r="34" spans="1:13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890</v>
      </c>
      <c r="L34" s="28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890</v>
      </c>
      <c r="L35" s="28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890</v>
      </c>
      <c r="L36" s="28"/>
      <c r="M36" s="99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890</v>
      </c>
      <c r="L37" s="28"/>
      <c r="M37" s="99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890</v>
      </c>
      <c r="L38" s="28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890</v>
      </c>
      <c r="L39" s="28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890</v>
      </c>
      <c r="L40" s="28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890</v>
      </c>
      <c r="L41" s="28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890</v>
      </c>
      <c r="L42" s="28"/>
      <c r="M42" s="99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890</v>
      </c>
      <c r="L43" s="28"/>
      <c r="M43" s="99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890</v>
      </c>
      <c r="L44" s="28"/>
      <c r="M44" s="99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890</v>
      </c>
      <c r="L45" s="28"/>
    </row>
    <row r="46" spans="1:13" ht="20.100000000000001" customHeight="1" x14ac:dyDescent="0.15">
      <c r="A46" s="5"/>
      <c r="B46" s="5"/>
      <c r="C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890</v>
      </c>
      <c r="L46" s="28"/>
    </row>
    <row r="47" spans="1:13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890</v>
      </c>
      <c r="L47" s="28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890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890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890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890</v>
      </c>
      <c r="L51" s="28"/>
      <c r="M51" s="99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890</v>
      </c>
      <c r="L52" s="28"/>
      <c r="M52" s="99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890</v>
      </c>
      <c r="L53" s="28"/>
      <c r="M53" s="105"/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890</v>
      </c>
      <c r="L54" s="28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890</v>
      </c>
      <c r="L55" s="28"/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890</v>
      </c>
      <c r="L56" s="28"/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890</v>
      </c>
      <c r="L57" s="28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890</v>
      </c>
      <c r="L58" s="28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890</v>
      </c>
      <c r="L59" s="28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890</v>
      </c>
      <c r="L60" s="28"/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890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890</v>
      </c>
      <c r="L62" s="28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890</v>
      </c>
      <c r="L63" s="28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890</v>
      </c>
      <c r="L64" s="28"/>
      <c r="M64" s="99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890</v>
      </c>
      <c r="L65" s="28"/>
      <c r="M65" s="99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890</v>
      </c>
      <c r="L66" s="28"/>
      <c r="M66" s="99"/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890</v>
      </c>
      <c r="L67" s="28"/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890</v>
      </c>
      <c r="L68" s="28"/>
      <c r="M68" s="99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890</v>
      </c>
      <c r="L69" s="28"/>
      <c r="M69" s="99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si="2"/>
        <v>借</v>
      </c>
      <c r="K70" s="9">
        <f t="shared" si="3"/>
        <v>890</v>
      </c>
      <c r="L70" s="28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ref="J71:J134" si="4">IF((K70+H71-I71)&gt;0,"借","贷")</f>
        <v>借</v>
      </c>
      <c r="K71" s="9">
        <f t="shared" ref="K71:K134" si="5">K70+H71-I71</f>
        <v>890</v>
      </c>
      <c r="L71" s="28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5"/>
        <v>890</v>
      </c>
      <c r="L72" s="28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890</v>
      </c>
      <c r="L73" s="28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890</v>
      </c>
      <c r="L74" s="28"/>
      <c r="M74" s="99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4"/>
        <v>借</v>
      </c>
      <c r="K75" s="9">
        <f t="shared" si="5"/>
        <v>890</v>
      </c>
      <c r="L75" s="28"/>
      <c r="M75" s="99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890</v>
      </c>
      <c r="L76" s="28"/>
      <c r="M76" s="99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890</v>
      </c>
      <c r="L77" s="28"/>
      <c r="M77" s="99"/>
    </row>
    <row r="78" spans="1:13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890</v>
      </c>
      <c r="L78" s="28"/>
    </row>
    <row r="79" spans="1:13" ht="20.100000000000001" customHeight="1" x14ac:dyDescent="0.15">
      <c r="A79" s="10"/>
      <c r="B79" s="5"/>
      <c r="C79" s="5"/>
      <c r="D79" s="10"/>
      <c r="E79" s="10"/>
      <c r="F79" s="14"/>
      <c r="G79" s="10"/>
      <c r="H79" s="8"/>
      <c r="I79" s="8"/>
      <c r="J79" s="8" t="str">
        <f t="shared" si="4"/>
        <v>借</v>
      </c>
      <c r="K79" s="9">
        <f t="shared" si="5"/>
        <v>890</v>
      </c>
      <c r="L79" s="28"/>
    </row>
    <row r="80" spans="1:13" ht="20.100000000000001" customHeight="1" x14ac:dyDescent="0.15">
      <c r="A80" s="5"/>
      <c r="B80" s="5"/>
      <c r="C80" s="5"/>
      <c r="D80" s="10"/>
      <c r="E80" s="10"/>
      <c r="F80" s="14"/>
      <c r="G80" s="10"/>
      <c r="H80" s="8"/>
      <c r="I80" s="15"/>
      <c r="J80" s="8" t="str">
        <f t="shared" si="4"/>
        <v>借</v>
      </c>
      <c r="K80" s="9">
        <f t="shared" si="5"/>
        <v>890</v>
      </c>
      <c r="L80" s="28"/>
      <c r="M80" s="99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890</v>
      </c>
      <c r="L81" s="28"/>
      <c r="M81" s="99"/>
    </row>
    <row r="82" spans="1:13" ht="20.100000000000001" customHeight="1" x14ac:dyDescent="0.15">
      <c r="A82" s="5"/>
      <c r="B82" s="5"/>
      <c r="C82" s="5"/>
      <c r="D82" s="10"/>
      <c r="E82" s="10"/>
      <c r="F82" s="14"/>
      <c r="G82" s="10"/>
      <c r="H82" s="8"/>
      <c r="I82" s="15"/>
      <c r="J82" s="8" t="str">
        <f t="shared" si="4"/>
        <v>借</v>
      </c>
      <c r="K82" s="9">
        <f t="shared" si="5"/>
        <v>890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4"/>
      <c r="G83" s="10"/>
      <c r="H83" s="8"/>
      <c r="I83" s="8"/>
      <c r="J83" s="8" t="str">
        <f t="shared" si="4"/>
        <v>借</v>
      </c>
      <c r="K83" s="9">
        <f t="shared" si="5"/>
        <v>890</v>
      </c>
      <c r="L83" s="28"/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4"/>
        <v>借</v>
      </c>
      <c r="K84" s="9">
        <f t="shared" si="5"/>
        <v>890</v>
      </c>
      <c r="L84" s="28"/>
      <c r="M84" s="99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4"/>
        <v>借</v>
      </c>
      <c r="K85" s="9">
        <f t="shared" si="5"/>
        <v>890</v>
      </c>
      <c r="L85" s="28"/>
      <c r="M85" s="99"/>
    </row>
    <row r="86" spans="1:13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4"/>
        <v>借</v>
      </c>
      <c r="K86" s="9">
        <f t="shared" si="5"/>
        <v>890</v>
      </c>
      <c r="L86" s="28"/>
      <c r="M86" s="99"/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4"/>
        <v>借</v>
      </c>
      <c r="K87" s="9">
        <f t="shared" si="5"/>
        <v>890</v>
      </c>
      <c r="L87" s="28"/>
    </row>
    <row r="88" spans="1:13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4"/>
        <v>借</v>
      </c>
      <c r="K88" s="9">
        <f t="shared" si="5"/>
        <v>890</v>
      </c>
      <c r="L88" s="28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4"/>
        <v>借</v>
      </c>
      <c r="K89" s="9">
        <f t="shared" si="5"/>
        <v>890</v>
      </c>
      <c r="L89" s="28"/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4"/>
        <v>借</v>
      </c>
      <c r="K90" s="9">
        <f t="shared" si="5"/>
        <v>890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4"/>
        <v>借</v>
      </c>
      <c r="K91" s="9">
        <f t="shared" si="5"/>
        <v>890</v>
      </c>
      <c r="L91" s="28"/>
      <c r="M91" s="99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4"/>
        <v>借</v>
      </c>
      <c r="K92" s="9">
        <f t="shared" si="5"/>
        <v>890</v>
      </c>
      <c r="L92" s="28"/>
      <c r="M92" s="99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4"/>
        <v>借</v>
      </c>
      <c r="K93" s="9">
        <f t="shared" si="5"/>
        <v>890</v>
      </c>
      <c r="L93" s="28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4"/>
        <v>借</v>
      </c>
      <c r="K94" s="9">
        <f t="shared" si="5"/>
        <v>890</v>
      </c>
      <c r="L94" s="28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4"/>
        <v>借</v>
      </c>
      <c r="K95" s="9">
        <f t="shared" si="5"/>
        <v>890</v>
      </c>
      <c r="L95" s="28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4"/>
        <v>借</v>
      </c>
      <c r="K96" s="9">
        <f t="shared" si="5"/>
        <v>890</v>
      </c>
      <c r="L96" s="28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4"/>
        <v>借</v>
      </c>
      <c r="K97" s="9">
        <f t="shared" si="5"/>
        <v>890</v>
      </c>
      <c r="L97" s="28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890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890</v>
      </c>
      <c r="L99" s="28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890</v>
      </c>
      <c r="L100" s="28"/>
      <c r="M100" s="99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890</v>
      </c>
      <c r="L101" s="28"/>
      <c r="M101" s="99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890</v>
      </c>
      <c r="L102" s="28"/>
      <c r="M102" s="99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890</v>
      </c>
      <c r="L103" s="28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890</v>
      </c>
      <c r="L104" s="28"/>
      <c r="M104" s="99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890</v>
      </c>
      <c r="L105" s="28"/>
      <c r="M105" s="99"/>
    </row>
    <row r="106" spans="1:13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890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4"/>
        <v>借</v>
      </c>
      <c r="K107" s="9">
        <f t="shared" si="5"/>
        <v>890</v>
      </c>
      <c r="L107" s="28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5"/>
      <c r="J108" s="8" t="str">
        <f t="shared" si="4"/>
        <v>借</v>
      </c>
      <c r="K108" s="9">
        <f t="shared" si="5"/>
        <v>890</v>
      </c>
      <c r="L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15"/>
      <c r="J109" s="8" t="str">
        <f t="shared" si="4"/>
        <v>借</v>
      </c>
      <c r="K109" s="9">
        <f t="shared" si="5"/>
        <v>890</v>
      </c>
      <c r="L109" s="28"/>
      <c r="M109" s="99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4"/>
        <v>借</v>
      </c>
      <c r="K110" s="9">
        <f t="shared" si="5"/>
        <v>890</v>
      </c>
      <c r="L110" s="28"/>
      <c r="M110" s="99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4"/>
        <v>借</v>
      </c>
      <c r="K111" s="9">
        <f t="shared" si="5"/>
        <v>890</v>
      </c>
      <c r="L111" s="28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890</v>
      </c>
      <c r="L112" s="28"/>
    </row>
    <row r="113" spans="1:13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890</v>
      </c>
      <c r="L113" s="28"/>
      <c r="M113" s="105"/>
    </row>
    <row r="114" spans="1:13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890</v>
      </c>
      <c r="L114" s="28"/>
      <c r="M114" s="105"/>
    </row>
    <row r="115" spans="1:13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890</v>
      </c>
      <c r="L115" s="28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890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890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890</v>
      </c>
      <c r="L118" s="28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890</v>
      </c>
      <c r="L119" s="28"/>
    </row>
    <row r="120" spans="1:13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890</v>
      </c>
      <c r="L120" s="28"/>
    </row>
    <row r="121" spans="1:13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890</v>
      </c>
      <c r="L121" s="28"/>
    </row>
    <row r="122" spans="1:13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890</v>
      </c>
      <c r="L122" s="28"/>
      <c r="M122" s="99"/>
    </row>
    <row r="123" spans="1:13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890</v>
      </c>
      <c r="L123" s="28"/>
      <c r="M123" s="99"/>
    </row>
    <row r="124" spans="1:13" ht="20.100000000000001" customHeight="1" x14ac:dyDescent="0.15">
      <c r="A124" s="10"/>
      <c r="B124" s="5"/>
      <c r="C124" s="10"/>
      <c r="D124" s="10"/>
      <c r="E124" s="17"/>
      <c r="F124" s="10"/>
      <c r="G124" s="10"/>
      <c r="H124" s="8"/>
      <c r="I124" s="8"/>
      <c r="J124" s="8" t="str">
        <f t="shared" si="4"/>
        <v>借</v>
      </c>
      <c r="K124" s="9">
        <f t="shared" si="5"/>
        <v>890</v>
      </c>
      <c r="L124" s="28"/>
      <c r="M124" s="99"/>
    </row>
    <row r="125" spans="1:13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4"/>
        <v>借</v>
      </c>
      <c r="K125" s="9">
        <f t="shared" si="5"/>
        <v>890</v>
      </c>
      <c r="L125" s="28"/>
    </row>
    <row r="126" spans="1:13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890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890</v>
      </c>
      <c r="L127" s="28"/>
    </row>
    <row r="128" spans="1:13" ht="20.100000000000001" customHeight="1" x14ac:dyDescent="0.15">
      <c r="A128" s="5"/>
      <c r="B128" s="5"/>
      <c r="C128" s="10"/>
      <c r="E128" s="10"/>
      <c r="F128" s="10"/>
      <c r="G128" s="10"/>
      <c r="H128" s="8"/>
      <c r="I128" s="8"/>
      <c r="J128" s="8" t="str">
        <f t="shared" si="4"/>
        <v>借</v>
      </c>
      <c r="K128" s="9">
        <f t="shared" si="5"/>
        <v>890</v>
      </c>
      <c r="L128" s="28"/>
    </row>
    <row r="129" spans="1:13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5"/>
        <v>890</v>
      </c>
      <c r="L129" s="28"/>
    </row>
    <row r="130" spans="1:13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5"/>
        <v>890</v>
      </c>
      <c r="L130" s="28"/>
    </row>
    <row r="131" spans="1:13" ht="20.100000000000001" customHeight="1" x14ac:dyDescent="0.15">
      <c r="A131" s="10"/>
      <c r="B131" s="5"/>
      <c r="C131" s="5"/>
      <c r="D131" s="10"/>
      <c r="E131" s="10"/>
      <c r="F131" s="10"/>
      <c r="G131" s="10"/>
      <c r="H131" s="8"/>
      <c r="I131" s="8"/>
      <c r="J131" s="8" t="str">
        <f t="shared" si="4"/>
        <v>借</v>
      </c>
      <c r="K131" s="9">
        <f t="shared" si="5"/>
        <v>890</v>
      </c>
      <c r="L131" s="28"/>
      <c r="M131" s="99"/>
    </row>
    <row r="132" spans="1:13" ht="20.100000000000001" customHeight="1" x14ac:dyDescent="0.15">
      <c r="A132" s="10"/>
      <c r="B132" s="5"/>
      <c r="C132" s="5"/>
      <c r="D132" s="10"/>
      <c r="E132" s="10"/>
      <c r="F132" s="10"/>
      <c r="G132" s="10"/>
      <c r="H132" s="8"/>
      <c r="I132" s="8"/>
      <c r="J132" s="8" t="str">
        <f t="shared" si="4"/>
        <v>借</v>
      </c>
      <c r="K132" s="9">
        <f t="shared" si="5"/>
        <v>890</v>
      </c>
      <c r="L132" s="28"/>
      <c r="M132" s="99"/>
    </row>
    <row r="133" spans="1:13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4"/>
        <v>借</v>
      </c>
      <c r="K133" s="9">
        <f t="shared" si="5"/>
        <v>890</v>
      </c>
      <c r="L133" s="28"/>
    </row>
    <row r="134" spans="1:13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4"/>
        <v>借</v>
      </c>
      <c r="K134" s="9">
        <f t="shared" si="5"/>
        <v>890</v>
      </c>
      <c r="L134" s="28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ref="J135:J182" si="6">IF((K134+H135-I135)&gt;0,"借","贷")</f>
        <v>借</v>
      </c>
      <c r="K135" s="9">
        <f t="shared" ref="K135:K173" si="7">K134+H135-I135</f>
        <v>890</v>
      </c>
      <c r="L135" s="28"/>
      <c r="M135" s="99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6"/>
        <v>借</v>
      </c>
      <c r="K136" s="9">
        <f t="shared" si="7"/>
        <v>890</v>
      </c>
      <c r="L136" s="28"/>
      <c r="M136" s="99"/>
    </row>
    <row r="137" spans="1:13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6"/>
        <v>借</v>
      </c>
      <c r="K137" s="9">
        <f t="shared" si="7"/>
        <v>890</v>
      </c>
      <c r="L137" s="28"/>
      <c r="M137" s="99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6"/>
        <v>借</v>
      </c>
      <c r="K138" s="9">
        <f t="shared" si="7"/>
        <v>890</v>
      </c>
      <c r="L138" s="28"/>
      <c r="M138" s="99"/>
    </row>
    <row r="139" spans="1:13" ht="20.100000000000001" customHeight="1" x14ac:dyDescent="0.15">
      <c r="A139" s="10"/>
      <c r="B139" s="5"/>
      <c r="C139" s="5"/>
      <c r="D139" s="10"/>
      <c r="E139" s="17"/>
      <c r="F139" s="10"/>
      <c r="G139" s="10"/>
      <c r="H139" s="8"/>
      <c r="I139" s="8"/>
      <c r="J139" s="8" t="str">
        <f t="shared" si="6"/>
        <v>借</v>
      </c>
      <c r="K139" s="9">
        <f t="shared" si="7"/>
        <v>890</v>
      </c>
      <c r="L139" s="28"/>
      <c r="M139" s="99"/>
    </row>
    <row r="140" spans="1:13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890</v>
      </c>
      <c r="L140" s="28"/>
    </row>
    <row r="141" spans="1:13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890</v>
      </c>
      <c r="L141" s="28"/>
      <c r="M141" s="99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6"/>
        <v>借</v>
      </c>
      <c r="K142" s="9">
        <f t="shared" si="7"/>
        <v>890</v>
      </c>
      <c r="L142" s="28"/>
      <c r="M142" s="99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6"/>
        <v>借</v>
      </c>
      <c r="K143" s="9">
        <f t="shared" si="7"/>
        <v>890</v>
      </c>
      <c r="L143" s="28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6"/>
        <v>借</v>
      </c>
      <c r="K144" s="9">
        <f t="shared" si="7"/>
        <v>890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6"/>
        <v>借</v>
      </c>
      <c r="K145" s="9">
        <f t="shared" si="7"/>
        <v>890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6"/>
        <v>借</v>
      </c>
      <c r="K146" s="9">
        <f t="shared" si="7"/>
        <v>890</v>
      </c>
      <c r="L146" s="28"/>
      <c r="M146" s="99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6"/>
        <v>借</v>
      </c>
      <c r="K147" s="9">
        <f t="shared" si="7"/>
        <v>890</v>
      </c>
      <c r="L147" s="28"/>
      <c r="M147" s="99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6"/>
        <v>借</v>
      </c>
      <c r="K148" s="9">
        <f t="shared" si="7"/>
        <v>890</v>
      </c>
      <c r="L148" s="28"/>
      <c r="M148" s="99"/>
    </row>
    <row r="149" spans="1:13" ht="20.100000000000001" customHeight="1" x14ac:dyDescent="0.15">
      <c r="A149" s="10"/>
      <c r="B149" s="5"/>
      <c r="C149" s="5"/>
      <c r="E149" s="10"/>
      <c r="F149" s="10"/>
      <c r="G149" s="10"/>
      <c r="H149" s="8"/>
      <c r="I149" s="8"/>
      <c r="J149" s="8" t="str">
        <f t="shared" si="6"/>
        <v>借</v>
      </c>
      <c r="K149" s="9">
        <f t="shared" si="7"/>
        <v>890</v>
      </c>
      <c r="L149" s="28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6"/>
        <v>借</v>
      </c>
      <c r="K150" s="9">
        <f t="shared" si="7"/>
        <v>890</v>
      </c>
      <c r="L150" s="28"/>
    </row>
    <row r="151" spans="1:13" ht="20.100000000000001" customHeight="1" x14ac:dyDescent="0.15">
      <c r="A151" s="5"/>
      <c r="B151" s="5"/>
      <c r="C151" s="5"/>
      <c r="E151" s="10"/>
      <c r="F151" s="10"/>
      <c r="G151" s="10"/>
      <c r="H151" s="8"/>
      <c r="I151" s="8"/>
      <c r="J151" s="8" t="str">
        <f t="shared" si="6"/>
        <v>借</v>
      </c>
      <c r="K151" s="9">
        <f t="shared" si="7"/>
        <v>890</v>
      </c>
      <c r="L151" s="28"/>
      <c r="M151" s="99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6"/>
        <v>借</v>
      </c>
      <c r="K152" s="9">
        <f t="shared" si="7"/>
        <v>890</v>
      </c>
      <c r="L152" s="28"/>
      <c r="M152" s="99"/>
    </row>
    <row r="153" spans="1:13" ht="20.100000000000001" customHeight="1" x14ac:dyDescent="0.15">
      <c r="A153" s="5"/>
      <c r="B153" s="5"/>
      <c r="C153" s="5"/>
      <c r="D153" s="10"/>
      <c r="E153" s="17"/>
      <c r="F153" s="10"/>
      <c r="G153" s="10"/>
      <c r="H153" s="8"/>
      <c r="I153" s="8"/>
      <c r="J153" s="8" t="str">
        <f t="shared" si="6"/>
        <v>借</v>
      </c>
      <c r="K153" s="9">
        <f t="shared" si="7"/>
        <v>890</v>
      </c>
      <c r="L153" s="28"/>
      <c r="M153" s="99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890</v>
      </c>
      <c r="L154" s="28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890</v>
      </c>
      <c r="L155" s="28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890</v>
      </c>
      <c r="L156" s="28"/>
    </row>
    <row r="157" spans="1:13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890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890</v>
      </c>
      <c r="L158" s="28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890</v>
      </c>
      <c r="L159" s="28"/>
      <c r="M159" s="99"/>
    </row>
    <row r="160" spans="1:13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890</v>
      </c>
      <c r="L160" s="28"/>
      <c r="M160" s="99"/>
    </row>
    <row r="161" spans="1:13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890</v>
      </c>
      <c r="L161" s="28"/>
    </row>
    <row r="162" spans="1:13" ht="20.100000000000001" customHeight="1" x14ac:dyDescent="0.15">
      <c r="A162" s="10"/>
      <c r="B162" s="5"/>
      <c r="C162" s="5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890</v>
      </c>
      <c r="L162" s="28"/>
    </row>
    <row r="163" spans="1:13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6"/>
        <v>借</v>
      </c>
      <c r="K163" s="9">
        <f t="shared" si="7"/>
        <v>890</v>
      </c>
      <c r="L163" s="28"/>
    </row>
    <row r="164" spans="1:13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6"/>
        <v>借</v>
      </c>
      <c r="K164" s="9">
        <f t="shared" si="7"/>
        <v>890</v>
      </c>
      <c r="L164" s="28"/>
      <c r="M164" s="99"/>
    </row>
    <row r="165" spans="1:13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6"/>
        <v>借</v>
      </c>
      <c r="K165" s="9">
        <f t="shared" si="7"/>
        <v>890</v>
      </c>
      <c r="L165" s="28"/>
      <c r="M165" s="99"/>
    </row>
    <row r="166" spans="1:13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6"/>
        <v>借</v>
      </c>
      <c r="K166" s="9">
        <f t="shared" si="7"/>
        <v>890</v>
      </c>
      <c r="L166" s="28"/>
      <c r="M166" s="99"/>
    </row>
    <row r="167" spans="1:13" ht="20.100000000000001" customHeight="1" x14ac:dyDescent="0.15">
      <c r="A167" s="10"/>
      <c r="B167" s="5"/>
      <c r="C167" s="10"/>
      <c r="D167" s="10"/>
      <c r="E167" s="17"/>
      <c r="F167" s="10"/>
      <c r="G167" s="10"/>
      <c r="H167" s="8"/>
      <c r="I167" s="8"/>
      <c r="J167" s="8" t="str">
        <f t="shared" si="6"/>
        <v>借</v>
      </c>
      <c r="K167" s="9">
        <f t="shared" si="7"/>
        <v>890</v>
      </c>
      <c r="L167" s="28"/>
    </row>
    <row r="168" spans="1:13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6"/>
        <v>借</v>
      </c>
      <c r="K168" s="9">
        <f t="shared" si="7"/>
        <v>890</v>
      </c>
      <c r="L168" s="28"/>
    </row>
    <row r="169" spans="1:13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6"/>
        <v>借</v>
      </c>
      <c r="K169" s="9">
        <f t="shared" si="7"/>
        <v>890</v>
      </c>
      <c r="L169" s="28"/>
    </row>
    <row r="170" spans="1:13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6"/>
        <v>借</v>
      </c>
      <c r="K170" s="9">
        <f t="shared" si="7"/>
        <v>890</v>
      </c>
      <c r="L170" s="28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6"/>
        <v>借</v>
      </c>
      <c r="K171" s="9">
        <f t="shared" si="7"/>
        <v>890</v>
      </c>
      <c r="L171" s="28"/>
    </row>
    <row r="172" spans="1:13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6"/>
        <v>借</v>
      </c>
      <c r="K172" s="9">
        <f t="shared" si="7"/>
        <v>890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6"/>
        <v>借</v>
      </c>
      <c r="K173" s="9">
        <f t="shared" si="7"/>
        <v>890</v>
      </c>
      <c r="L173" s="28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6"/>
        <v>借</v>
      </c>
      <c r="K174" s="9">
        <f t="shared" ref="K174:K182" si="8">_xlfn.IFS(J173="借",K173+H174-I174,J173="贷",H174-I174-K173)</f>
        <v>890</v>
      </c>
      <c r="L174" s="28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6"/>
        <v>借</v>
      </c>
      <c r="K175" s="9">
        <f t="shared" si="8"/>
        <v>890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6"/>
        <v>借</v>
      </c>
      <c r="K176" s="9">
        <f t="shared" si="8"/>
        <v>890</v>
      </c>
      <c r="L176" s="28"/>
      <c r="M176" s="99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6"/>
        <v>借</v>
      </c>
      <c r="K177" s="9">
        <f t="shared" si="8"/>
        <v>890</v>
      </c>
      <c r="L177" s="28"/>
      <c r="M177" s="99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6"/>
        <v>借</v>
      </c>
      <c r="K178" s="9">
        <f t="shared" si="8"/>
        <v>890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6"/>
        <v>借</v>
      </c>
      <c r="K179" s="9">
        <f t="shared" si="8"/>
        <v>890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6"/>
        <v>借</v>
      </c>
      <c r="K180" s="9">
        <f t="shared" si="8"/>
        <v>890</v>
      </c>
      <c r="L180" s="28"/>
      <c r="M180" s="99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6"/>
        <v>借</v>
      </c>
      <c r="K181" s="9">
        <f t="shared" si="8"/>
        <v>890</v>
      </c>
      <c r="L181" s="28"/>
      <c r="M181" s="99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6"/>
        <v>借</v>
      </c>
      <c r="K182" s="9">
        <f t="shared" si="8"/>
        <v>890</v>
      </c>
      <c r="L182" s="28"/>
      <c r="M182" s="99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ref="J183:J199" si="9">IF((K182+H183-I183)&gt;0,"借","贷")</f>
        <v>借</v>
      </c>
      <c r="K183" s="9">
        <f t="shared" ref="K183:K190" si="10">_xlfn.IFS(J182="借",K182+H183-I183,J182="贷",H183-I183-K182)</f>
        <v>890</v>
      </c>
      <c r="L183" s="28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9"/>
        <v>借</v>
      </c>
      <c r="K184" s="9">
        <f t="shared" si="10"/>
        <v>890</v>
      </c>
      <c r="L184" s="28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9"/>
        <v>借</v>
      </c>
      <c r="K185" s="9">
        <f t="shared" si="10"/>
        <v>890</v>
      </c>
      <c r="L185" s="28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9"/>
        <v>借</v>
      </c>
      <c r="K186" s="9">
        <f t="shared" si="10"/>
        <v>890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9"/>
        <v>借</v>
      </c>
      <c r="K187" s="9">
        <f t="shared" si="10"/>
        <v>890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9"/>
        <v>借</v>
      </c>
      <c r="K188" s="9">
        <f t="shared" si="10"/>
        <v>890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9"/>
        <v>借</v>
      </c>
      <c r="K189" s="9">
        <f t="shared" si="10"/>
        <v>890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9"/>
        <v>借</v>
      </c>
      <c r="K190" s="9">
        <f t="shared" si="10"/>
        <v>890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9"/>
        <v>借</v>
      </c>
      <c r="K191" s="9">
        <f t="shared" ref="K191:K238" si="11">_xlfn.IFS(J190="借",K190+H191-I191,J190="贷",H191-I191-K190)</f>
        <v>890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9"/>
        <v>借</v>
      </c>
      <c r="K192" s="9">
        <f t="shared" si="11"/>
        <v>890</v>
      </c>
      <c r="L192" s="28"/>
    </row>
    <row r="193" spans="1:12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9"/>
        <v>借</v>
      </c>
      <c r="K193" s="9">
        <f t="shared" si="11"/>
        <v>890</v>
      </c>
      <c r="L193" s="28"/>
    </row>
    <row r="194" spans="1:12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9"/>
        <v>借</v>
      </c>
      <c r="K194" s="9">
        <f t="shared" si="11"/>
        <v>890</v>
      </c>
      <c r="L194" s="28"/>
    </row>
    <row r="195" spans="1:12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9"/>
        <v>借</v>
      </c>
      <c r="K195" s="9">
        <f t="shared" si="11"/>
        <v>890</v>
      </c>
      <c r="L195" s="28"/>
    </row>
    <row r="196" spans="1:12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9"/>
        <v>借</v>
      </c>
      <c r="K196" s="9">
        <f t="shared" si="11"/>
        <v>890</v>
      </c>
      <c r="L196" s="28"/>
    </row>
    <row r="197" spans="1:12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9"/>
        <v>借</v>
      </c>
      <c r="K197" s="9">
        <f t="shared" si="11"/>
        <v>890</v>
      </c>
      <c r="L197" s="28"/>
    </row>
    <row r="198" spans="1:12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9"/>
        <v>借</v>
      </c>
      <c r="K198" s="9">
        <f t="shared" si="11"/>
        <v>890</v>
      </c>
      <c r="L198" s="28"/>
    </row>
    <row r="199" spans="1:12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9"/>
        <v>借</v>
      </c>
      <c r="K199" s="9">
        <f t="shared" si="11"/>
        <v>890</v>
      </c>
      <c r="L199" s="28"/>
    </row>
    <row r="200" spans="1:12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ref="J200:J263" si="12">IF((K199+H200-I200)&gt;0,"借","贷")</f>
        <v>借</v>
      </c>
      <c r="K200" s="9">
        <f t="shared" si="11"/>
        <v>890</v>
      </c>
      <c r="L200" s="28"/>
    </row>
    <row r="201" spans="1:12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2"/>
        <v>借</v>
      </c>
      <c r="K201" s="9">
        <f t="shared" si="11"/>
        <v>890</v>
      </c>
      <c r="L201" s="28"/>
    </row>
    <row r="202" spans="1:12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2"/>
        <v>借</v>
      </c>
      <c r="K202" s="9">
        <f t="shared" si="11"/>
        <v>890</v>
      </c>
      <c r="L202" s="28"/>
    </row>
    <row r="203" spans="1:12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2"/>
        <v>借</v>
      </c>
      <c r="K203" s="9">
        <f t="shared" si="11"/>
        <v>890</v>
      </c>
      <c r="L203" s="28"/>
    </row>
    <row r="204" spans="1:12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2"/>
        <v>借</v>
      </c>
      <c r="K204" s="9">
        <f t="shared" si="11"/>
        <v>890</v>
      </c>
      <c r="L204" s="28"/>
    </row>
    <row r="205" spans="1:12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2"/>
        <v>借</v>
      </c>
      <c r="K205" s="9">
        <f t="shared" si="11"/>
        <v>890</v>
      </c>
      <c r="L205" s="28"/>
    </row>
    <row r="206" spans="1:12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2"/>
        <v>借</v>
      </c>
      <c r="K206" s="9">
        <f t="shared" si="11"/>
        <v>890</v>
      </c>
      <c r="L206" s="28"/>
    </row>
    <row r="207" spans="1:12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2"/>
        <v>借</v>
      </c>
      <c r="K207" s="9">
        <f t="shared" si="11"/>
        <v>890</v>
      </c>
      <c r="L207" s="28"/>
    </row>
    <row r="208" spans="1:12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2"/>
        <v>借</v>
      </c>
      <c r="K208" s="9">
        <f t="shared" si="11"/>
        <v>890</v>
      </c>
      <c r="L208" s="28"/>
    </row>
    <row r="209" spans="1:12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2"/>
        <v>借</v>
      </c>
      <c r="K209" s="9">
        <f t="shared" si="11"/>
        <v>890</v>
      </c>
      <c r="L209" s="28"/>
    </row>
    <row r="210" spans="1:12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2"/>
        <v>借</v>
      </c>
      <c r="K210" s="9">
        <f t="shared" si="11"/>
        <v>890</v>
      </c>
      <c r="L210" s="28"/>
    </row>
    <row r="211" spans="1:12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2"/>
        <v>借</v>
      </c>
      <c r="K211" s="9">
        <f t="shared" si="11"/>
        <v>890</v>
      </c>
      <c r="L211" s="28"/>
    </row>
    <row r="212" spans="1:12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2"/>
        <v>借</v>
      </c>
      <c r="K212" s="9">
        <f t="shared" si="11"/>
        <v>890</v>
      </c>
      <c r="L212" s="28"/>
    </row>
    <row r="213" spans="1:12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2"/>
        <v>借</v>
      </c>
      <c r="K213" s="9">
        <f t="shared" si="11"/>
        <v>890</v>
      </c>
      <c r="L213" s="28"/>
    </row>
    <row r="214" spans="1:12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12"/>
        <v>借</v>
      </c>
      <c r="K214" s="9">
        <f t="shared" si="11"/>
        <v>890</v>
      </c>
      <c r="L214" s="28"/>
    </row>
    <row r="215" spans="1:12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2"/>
        <v>借</v>
      </c>
      <c r="K215" s="9">
        <f t="shared" si="11"/>
        <v>890</v>
      </c>
      <c r="L215" s="28"/>
    </row>
    <row r="216" spans="1:12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2"/>
        <v>借</v>
      </c>
      <c r="K216" s="9">
        <f t="shared" si="11"/>
        <v>890</v>
      </c>
      <c r="L216" s="28"/>
    </row>
    <row r="217" spans="1:12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2"/>
        <v>借</v>
      </c>
      <c r="K217" s="9">
        <f t="shared" si="11"/>
        <v>890</v>
      </c>
      <c r="L217" s="28"/>
    </row>
    <row r="218" spans="1:12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2"/>
        <v>借</v>
      </c>
      <c r="K218" s="9">
        <f t="shared" si="11"/>
        <v>890</v>
      </c>
      <c r="L218" s="28"/>
    </row>
    <row r="219" spans="1:12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2"/>
        <v>借</v>
      </c>
      <c r="K219" s="9">
        <f t="shared" si="11"/>
        <v>890</v>
      </c>
      <c r="L219" s="28"/>
    </row>
    <row r="220" spans="1:12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2"/>
        <v>借</v>
      </c>
      <c r="K220" s="9">
        <f t="shared" si="11"/>
        <v>890</v>
      </c>
      <c r="L220" s="28"/>
    </row>
    <row r="221" spans="1:12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2"/>
        <v>借</v>
      </c>
      <c r="K221" s="9">
        <f t="shared" si="11"/>
        <v>890</v>
      </c>
      <c r="L221" s="28"/>
    </row>
    <row r="222" spans="1:12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2"/>
        <v>借</v>
      </c>
      <c r="K222" s="9">
        <f t="shared" si="11"/>
        <v>890</v>
      </c>
      <c r="L222" s="28"/>
    </row>
    <row r="223" spans="1:12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2"/>
        <v>借</v>
      </c>
      <c r="K223" s="9">
        <f t="shared" si="11"/>
        <v>890</v>
      </c>
      <c r="L223" s="28"/>
    </row>
    <row r="224" spans="1:12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2"/>
        <v>借</v>
      </c>
      <c r="K224" s="9">
        <f t="shared" si="11"/>
        <v>890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2"/>
        <v>借</v>
      </c>
      <c r="K225" s="9">
        <f t="shared" si="11"/>
        <v>890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2"/>
        <v>借</v>
      </c>
      <c r="K226" s="9">
        <f t="shared" si="11"/>
        <v>890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2"/>
        <v>借</v>
      </c>
      <c r="K227" s="9">
        <f t="shared" si="11"/>
        <v>890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2"/>
        <v>借</v>
      </c>
      <c r="K228" s="9">
        <f t="shared" si="11"/>
        <v>890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2"/>
        <v>借</v>
      </c>
      <c r="K229" s="9">
        <f t="shared" si="11"/>
        <v>890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2"/>
        <v>借</v>
      </c>
      <c r="K230" s="9">
        <f t="shared" si="11"/>
        <v>890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2"/>
        <v>借</v>
      </c>
      <c r="K231" s="9">
        <f t="shared" si="11"/>
        <v>890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2"/>
        <v>借</v>
      </c>
      <c r="K232" s="21">
        <f t="shared" si="11"/>
        <v>890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2"/>
        <v>借</v>
      </c>
      <c r="K233" s="9">
        <f t="shared" si="11"/>
        <v>890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2"/>
        <v>借</v>
      </c>
      <c r="K234" s="9">
        <f t="shared" si="11"/>
        <v>890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2"/>
        <v>借</v>
      </c>
      <c r="K235" s="9">
        <f t="shared" si="11"/>
        <v>890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2"/>
        <v>借</v>
      </c>
      <c r="K236" s="21">
        <f t="shared" si="11"/>
        <v>890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2"/>
        <v>借</v>
      </c>
      <c r="K237" s="9">
        <f t="shared" si="11"/>
        <v>890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2"/>
        <v>借</v>
      </c>
      <c r="K238" s="9">
        <f t="shared" si="11"/>
        <v>890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2"/>
        <v>借</v>
      </c>
      <c r="K239" s="9">
        <f t="shared" ref="K239:K302" si="13">_xlfn.IFS(J238="借",K238+H239-I239,J238="贷",H239-I239-K238)</f>
        <v>890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2"/>
        <v>借</v>
      </c>
      <c r="K240" s="9">
        <f t="shared" si="13"/>
        <v>890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2"/>
        <v>借</v>
      </c>
      <c r="K241" s="9">
        <f t="shared" si="13"/>
        <v>890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2"/>
        <v>借</v>
      </c>
      <c r="K242" s="9">
        <f t="shared" si="13"/>
        <v>890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2"/>
        <v>借</v>
      </c>
      <c r="K243" s="9">
        <f t="shared" si="13"/>
        <v>890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2"/>
        <v>借</v>
      </c>
      <c r="K244" s="9">
        <f t="shared" si="13"/>
        <v>890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2"/>
        <v>借</v>
      </c>
      <c r="K245" s="9">
        <f t="shared" si="13"/>
        <v>890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2"/>
        <v>借</v>
      </c>
      <c r="K246" s="9">
        <f t="shared" si="13"/>
        <v>890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2"/>
        <v>借</v>
      </c>
      <c r="K247" s="9">
        <f t="shared" si="13"/>
        <v>890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2"/>
        <v>借</v>
      </c>
      <c r="K248" s="9">
        <f t="shared" si="13"/>
        <v>890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12"/>
        <v>借</v>
      </c>
      <c r="K249" s="9">
        <f t="shared" si="13"/>
        <v>890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2"/>
        <v>借</v>
      </c>
      <c r="K250" s="9">
        <f t="shared" si="13"/>
        <v>890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2"/>
        <v>借</v>
      </c>
      <c r="K251" s="9">
        <f t="shared" si="13"/>
        <v>890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2"/>
        <v>借</v>
      </c>
      <c r="K252" s="9">
        <f t="shared" si="13"/>
        <v>890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2"/>
        <v>借</v>
      </c>
      <c r="K253" s="9">
        <f t="shared" si="13"/>
        <v>890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2"/>
        <v>借</v>
      </c>
      <c r="K254" s="9">
        <f t="shared" si="13"/>
        <v>890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2"/>
        <v>借</v>
      </c>
      <c r="K255" s="9">
        <f t="shared" si="13"/>
        <v>890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2"/>
        <v>借</v>
      </c>
      <c r="K256" s="9">
        <f t="shared" si="13"/>
        <v>890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2"/>
        <v>借</v>
      </c>
      <c r="K257" s="9">
        <f t="shared" si="13"/>
        <v>890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2"/>
        <v>借</v>
      </c>
      <c r="K258" s="9">
        <f t="shared" si="13"/>
        <v>890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2"/>
        <v>借</v>
      </c>
      <c r="K259" s="9">
        <f t="shared" si="13"/>
        <v>890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2"/>
        <v>借</v>
      </c>
      <c r="K260" s="9">
        <f t="shared" si="13"/>
        <v>890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2"/>
        <v>借</v>
      </c>
      <c r="K261" s="9">
        <f t="shared" si="13"/>
        <v>890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2"/>
        <v>借</v>
      </c>
      <c r="K262" s="9">
        <f t="shared" si="13"/>
        <v>890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2"/>
        <v>借</v>
      </c>
      <c r="K263" s="9">
        <f t="shared" si="13"/>
        <v>890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327" si="14">IF((K263+H264-I264)&gt;0,"借","贷")</f>
        <v>借</v>
      </c>
      <c r="K264" s="9">
        <f t="shared" si="13"/>
        <v>890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4"/>
        <v>借</v>
      </c>
      <c r="K265" s="9">
        <f t="shared" si="13"/>
        <v>890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4"/>
        <v>借</v>
      </c>
      <c r="K266" s="9">
        <f t="shared" si="13"/>
        <v>890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4"/>
        <v>借</v>
      </c>
      <c r="K267" s="9">
        <f t="shared" si="13"/>
        <v>890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4"/>
        <v>借</v>
      </c>
      <c r="K268" s="9">
        <f t="shared" si="13"/>
        <v>890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4"/>
        <v>借</v>
      </c>
      <c r="K269" s="9">
        <f t="shared" si="13"/>
        <v>890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4"/>
        <v>借</v>
      </c>
      <c r="K270" s="9">
        <f t="shared" si="13"/>
        <v>890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4"/>
        <v>借</v>
      </c>
      <c r="K271" s="9">
        <f t="shared" si="13"/>
        <v>890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4"/>
        <v>借</v>
      </c>
      <c r="K272" s="9">
        <f t="shared" si="13"/>
        <v>890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4"/>
        <v>借</v>
      </c>
      <c r="K273" s="9">
        <f t="shared" si="13"/>
        <v>890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4"/>
        <v>借</v>
      </c>
      <c r="K274" s="9">
        <f t="shared" si="13"/>
        <v>890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4"/>
        <v>借</v>
      </c>
      <c r="K275" s="9">
        <f t="shared" si="13"/>
        <v>890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4"/>
        <v>借</v>
      </c>
      <c r="K276" s="9">
        <f t="shared" si="13"/>
        <v>890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4"/>
        <v>借</v>
      </c>
      <c r="K277" s="9">
        <f t="shared" si="13"/>
        <v>890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4"/>
        <v>借</v>
      </c>
      <c r="K278" s="9">
        <f t="shared" si="13"/>
        <v>890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4"/>
        <v>借</v>
      </c>
      <c r="K279" s="9">
        <f t="shared" si="13"/>
        <v>890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4"/>
        <v>借</v>
      </c>
      <c r="K280" s="9">
        <f t="shared" si="13"/>
        <v>890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4"/>
        <v>借</v>
      </c>
      <c r="K281" s="9">
        <f t="shared" si="13"/>
        <v>890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4"/>
        <v>借</v>
      </c>
      <c r="K282" s="9">
        <f t="shared" si="13"/>
        <v>890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4"/>
        <v>借</v>
      </c>
      <c r="K283" s="9">
        <f t="shared" si="13"/>
        <v>890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4"/>
        <v>借</v>
      </c>
      <c r="K284" s="9">
        <f t="shared" si="13"/>
        <v>890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4"/>
        <v>借</v>
      </c>
      <c r="K285" s="9">
        <f t="shared" si="13"/>
        <v>890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4"/>
        <v>借</v>
      </c>
      <c r="K286" s="9">
        <f t="shared" si="13"/>
        <v>890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4"/>
        <v>借</v>
      </c>
      <c r="K287" s="9">
        <f t="shared" si="13"/>
        <v>890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4"/>
        <v>借</v>
      </c>
      <c r="K288" s="9">
        <f t="shared" si="13"/>
        <v>890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4"/>
        <v>借</v>
      </c>
      <c r="K289" s="9">
        <f t="shared" si="13"/>
        <v>890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4"/>
        <v>借</v>
      </c>
      <c r="K290" s="9">
        <f t="shared" si="13"/>
        <v>890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4"/>
        <v>借</v>
      </c>
      <c r="K291" s="9">
        <f t="shared" si="13"/>
        <v>890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4"/>
        <v>借</v>
      </c>
      <c r="K292" s="9">
        <f t="shared" si="13"/>
        <v>890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4"/>
        <v>借</v>
      </c>
      <c r="K293" s="9">
        <f t="shared" si="13"/>
        <v>890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4"/>
        <v>借</v>
      </c>
      <c r="K294" s="9">
        <f t="shared" si="13"/>
        <v>890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4"/>
        <v>借</v>
      </c>
      <c r="K295" s="9">
        <f t="shared" si="13"/>
        <v>890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4"/>
        <v>借</v>
      </c>
      <c r="K296" s="9">
        <f t="shared" si="13"/>
        <v>890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4"/>
        <v>借</v>
      </c>
      <c r="K297" s="9">
        <f t="shared" si="13"/>
        <v>890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4"/>
        <v>借</v>
      </c>
      <c r="K298" s="9">
        <f t="shared" si="13"/>
        <v>890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4"/>
        <v>借</v>
      </c>
      <c r="K299" s="9">
        <f t="shared" si="13"/>
        <v>890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4"/>
        <v>借</v>
      </c>
      <c r="K300" s="9">
        <f t="shared" si="13"/>
        <v>890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4"/>
        <v>借</v>
      </c>
      <c r="K301" s="9">
        <f t="shared" si="13"/>
        <v>890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4"/>
        <v>借</v>
      </c>
      <c r="K302" s="9">
        <f t="shared" si="13"/>
        <v>890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4"/>
        <v>借</v>
      </c>
      <c r="K303" s="9">
        <f t="shared" ref="K303:K366" si="15">_xlfn.IFS(J302="借",K302+H303-I303,J302="贷",H303-I303-K302)</f>
        <v>890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4"/>
        <v>借</v>
      </c>
      <c r="K304" s="9">
        <f t="shared" si="15"/>
        <v>890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4"/>
        <v>借</v>
      </c>
      <c r="K305" s="9">
        <f t="shared" si="15"/>
        <v>890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4"/>
        <v>借</v>
      </c>
      <c r="K306" s="9">
        <f t="shared" si="15"/>
        <v>890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4"/>
        <v>借</v>
      </c>
      <c r="K307" s="9">
        <f t="shared" si="15"/>
        <v>890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4"/>
        <v>借</v>
      </c>
      <c r="K308" s="9">
        <f t="shared" si="15"/>
        <v>890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4"/>
        <v>借</v>
      </c>
      <c r="K309" s="9">
        <f t="shared" si="15"/>
        <v>890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4"/>
        <v>借</v>
      </c>
      <c r="K310" s="9">
        <f t="shared" si="15"/>
        <v>890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4"/>
        <v>借</v>
      </c>
      <c r="K311" s="9">
        <f t="shared" si="15"/>
        <v>890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4"/>
        <v>借</v>
      </c>
      <c r="K312" s="9">
        <f t="shared" si="15"/>
        <v>890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4"/>
        <v>借</v>
      </c>
      <c r="K313" s="9">
        <f t="shared" si="15"/>
        <v>890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4"/>
        <v>借</v>
      </c>
      <c r="K314" s="9">
        <f t="shared" si="15"/>
        <v>890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4"/>
        <v>借</v>
      </c>
      <c r="K315" s="9">
        <f t="shared" si="15"/>
        <v>890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4"/>
        <v>借</v>
      </c>
      <c r="K316" s="9">
        <f t="shared" si="15"/>
        <v>890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4"/>
        <v>借</v>
      </c>
      <c r="K317" s="9">
        <f t="shared" si="15"/>
        <v>890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4"/>
        <v>借</v>
      </c>
      <c r="K318" s="9">
        <f t="shared" si="15"/>
        <v>890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4"/>
        <v>借</v>
      </c>
      <c r="K319" s="9">
        <f t="shared" si="15"/>
        <v>890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4"/>
        <v>借</v>
      </c>
      <c r="K320" s="9">
        <f t="shared" si="15"/>
        <v>890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4"/>
        <v>借</v>
      </c>
      <c r="K321" s="9">
        <f t="shared" si="15"/>
        <v>890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4"/>
        <v>借</v>
      </c>
      <c r="K322" s="9">
        <f t="shared" si="15"/>
        <v>890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4"/>
        <v>借</v>
      </c>
      <c r="K323" s="9">
        <f t="shared" si="15"/>
        <v>890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4"/>
        <v>借</v>
      </c>
      <c r="K324" s="9">
        <f t="shared" si="15"/>
        <v>890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4"/>
        <v>借</v>
      </c>
      <c r="K325" s="9">
        <f t="shared" si="15"/>
        <v>890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4"/>
        <v>借</v>
      </c>
      <c r="K326" s="9">
        <f t="shared" si="15"/>
        <v>890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4"/>
        <v>借</v>
      </c>
      <c r="K327" s="9">
        <f t="shared" si="15"/>
        <v>890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ref="J328:J391" si="16">IF((K327+H328-I328)&gt;0,"借","贷")</f>
        <v>借</v>
      </c>
      <c r="K328" s="9">
        <f t="shared" si="15"/>
        <v>890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6"/>
        <v>借</v>
      </c>
      <c r="K329" s="9">
        <f t="shared" si="15"/>
        <v>890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6"/>
        <v>借</v>
      </c>
      <c r="K330" s="9">
        <f t="shared" si="15"/>
        <v>890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6"/>
        <v>借</v>
      </c>
      <c r="K331" s="9">
        <f t="shared" si="15"/>
        <v>890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6"/>
        <v>借</v>
      </c>
      <c r="K332" s="9">
        <f t="shared" si="15"/>
        <v>890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6"/>
        <v>借</v>
      </c>
      <c r="K333" s="9">
        <f t="shared" si="15"/>
        <v>890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6"/>
        <v>借</v>
      </c>
      <c r="K334" s="9">
        <f t="shared" si="15"/>
        <v>890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6"/>
        <v>借</v>
      </c>
      <c r="K335" s="9">
        <f t="shared" si="15"/>
        <v>890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6"/>
        <v>借</v>
      </c>
      <c r="K336" s="9">
        <f t="shared" si="15"/>
        <v>890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6"/>
        <v>借</v>
      </c>
      <c r="K337" s="9">
        <f t="shared" si="15"/>
        <v>890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6"/>
        <v>借</v>
      </c>
      <c r="K338" s="9">
        <f t="shared" si="15"/>
        <v>890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6"/>
        <v>借</v>
      </c>
      <c r="K339" s="9">
        <f t="shared" si="15"/>
        <v>890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6"/>
        <v>借</v>
      </c>
      <c r="K340" s="9">
        <f t="shared" si="15"/>
        <v>890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6"/>
        <v>借</v>
      </c>
      <c r="K341" s="9">
        <f t="shared" si="15"/>
        <v>890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6"/>
        <v>借</v>
      </c>
      <c r="K342" s="9">
        <f t="shared" si="15"/>
        <v>890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6"/>
        <v>借</v>
      </c>
      <c r="K343" s="9">
        <f t="shared" si="15"/>
        <v>890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6"/>
        <v>借</v>
      </c>
      <c r="K344" s="9">
        <f t="shared" si="15"/>
        <v>890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6"/>
        <v>借</v>
      </c>
      <c r="K345" s="9">
        <f t="shared" si="15"/>
        <v>890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6"/>
        <v>借</v>
      </c>
      <c r="K346" s="9">
        <f t="shared" si="15"/>
        <v>890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6"/>
        <v>借</v>
      </c>
      <c r="K347" s="9">
        <f t="shared" si="15"/>
        <v>890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6"/>
        <v>借</v>
      </c>
      <c r="K348" s="9">
        <f t="shared" si="15"/>
        <v>890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6"/>
        <v>借</v>
      </c>
      <c r="K349" s="9">
        <f t="shared" si="15"/>
        <v>890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6"/>
        <v>借</v>
      </c>
      <c r="K350" s="9">
        <f t="shared" si="15"/>
        <v>890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6"/>
        <v>借</v>
      </c>
      <c r="K351" s="9">
        <f t="shared" si="15"/>
        <v>890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6"/>
        <v>借</v>
      </c>
      <c r="K352" s="9">
        <f t="shared" si="15"/>
        <v>890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6"/>
        <v>借</v>
      </c>
      <c r="K353" s="9">
        <f t="shared" si="15"/>
        <v>890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6"/>
        <v>借</v>
      </c>
      <c r="K354" s="9">
        <f t="shared" si="15"/>
        <v>890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6"/>
        <v>借</v>
      </c>
      <c r="K355" s="9">
        <f t="shared" si="15"/>
        <v>890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6"/>
        <v>借</v>
      </c>
      <c r="K356" s="9">
        <f t="shared" si="15"/>
        <v>890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6"/>
        <v>借</v>
      </c>
      <c r="K357" s="9">
        <f t="shared" si="15"/>
        <v>890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6"/>
        <v>借</v>
      </c>
      <c r="K358" s="9">
        <f t="shared" si="15"/>
        <v>890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6"/>
        <v>借</v>
      </c>
      <c r="K359" s="9">
        <f t="shared" si="15"/>
        <v>890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6"/>
        <v>借</v>
      </c>
      <c r="K360" s="9">
        <f t="shared" si="15"/>
        <v>890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6"/>
        <v>借</v>
      </c>
      <c r="K361" s="9">
        <f t="shared" si="15"/>
        <v>890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6"/>
        <v>借</v>
      </c>
      <c r="K362" s="9">
        <f t="shared" si="15"/>
        <v>890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6"/>
        <v>借</v>
      </c>
      <c r="K363" s="9">
        <f t="shared" si="15"/>
        <v>890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6"/>
        <v>借</v>
      </c>
      <c r="K364" s="9">
        <f t="shared" si="15"/>
        <v>890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6"/>
        <v>借</v>
      </c>
      <c r="K365" s="9">
        <f t="shared" si="15"/>
        <v>890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6"/>
        <v>借</v>
      </c>
      <c r="K366" s="9">
        <f t="shared" si="15"/>
        <v>890</v>
      </c>
      <c r="L366" s="28"/>
    </row>
    <row r="367" spans="1:12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6"/>
        <v>借</v>
      </c>
      <c r="K367" s="9">
        <f t="shared" ref="K367:K430" si="17">_xlfn.IFS(J366="借",K366+H367-I367,J366="贷",H367-I367-K366)</f>
        <v>890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6"/>
        <v>借</v>
      </c>
      <c r="K368" s="9">
        <f t="shared" si="17"/>
        <v>890</v>
      </c>
      <c r="L368" s="28"/>
    </row>
    <row r="369" spans="2:12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6"/>
        <v>借</v>
      </c>
      <c r="K369" s="9">
        <f t="shared" si="17"/>
        <v>890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6"/>
        <v>借</v>
      </c>
      <c r="K370" s="9">
        <f t="shared" si="17"/>
        <v>890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6"/>
        <v>借</v>
      </c>
      <c r="K371" s="9">
        <f t="shared" si="17"/>
        <v>890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6"/>
        <v>借</v>
      </c>
      <c r="K372" s="9">
        <f t="shared" si="17"/>
        <v>890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6"/>
        <v>借</v>
      </c>
      <c r="K373" s="9">
        <f t="shared" si="17"/>
        <v>890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6"/>
        <v>借</v>
      </c>
      <c r="K374" s="9">
        <f t="shared" si="17"/>
        <v>890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6"/>
        <v>借</v>
      </c>
      <c r="K375" s="9">
        <f t="shared" si="17"/>
        <v>890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6"/>
        <v>借</v>
      </c>
      <c r="K376" s="9">
        <f t="shared" si="17"/>
        <v>890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6"/>
        <v>借</v>
      </c>
      <c r="K377" s="9">
        <f t="shared" si="17"/>
        <v>890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6"/>
        <v>借</v>
      </c>
      <c r="K378" s="9">
        <f t="shared" si="17"/>
        <v>890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6"/>
        <v>借</v>
      </c>
      <c r="K379" s="9">
        <f t="shared" si="17"/>
        <v>890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6"/>
        <v>借</v>
      </c>
      <c r="K380" s="9">
        <f t="shared" si="17"/>
        <v>890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6"/>
        <v>借</v>
      </c>
      <c r="K381" s="9">
        <f t="shared" si="17"/>
        <v>890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6"/>
        <v>借</v>
      </c>
      <c r="K382" s="9">
        <f t="shared" si="17"/>
        <v>890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6"/>
        <v>借</v>
      </c>
      <c r="K383" s="9">
        <f t="shared" si="17"/>
        <v>890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6"/>
        <v>借</v>
      </c>
      <c r="K384" s="9">
        <f t="shared" si="17"/>
        <v>890</v>
      </c>
      <c r="L384" s="28"/>
    </row>
    <row r="385" spans="2:12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6"/>
        <v>借</v>
      </c>
      <c r="K385" s="9">
        <f t="shared" si="17"/>
        <v>890</v>
      </c>
      <c r="L385" s="28"/>
    </row>
    <row r="386" spans="2:12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6"/>
        <v>借</v>
      </c>
      <c r="K386" s="9">
        <f t="shared" si="17"/>
        <v>890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6"/>
        <v>借</v>
      </c>
      <c r="K387" s="9">
        <f t="shared" si="17"/>
        <v>890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6"/>
        <v>借</v>
      </c>
      <c r="K388" s="9">
        <f t="shared" si="17"/>
        <v>890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6"/>
        <v>借</v>
      </c>
      <c r="K389" s="9">
        <f t="shared" si="17"/>
        <v>890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6"/>
        <v>借</v>
      </c>
      <c r="K390" s="9">
        <f t="shared" si="17"/>
        <v>890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6"/>
        <v>借</v>
      </c>
      <c r="K391" s="9">
        <f t="shared" si="17"/>
        <v>890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ref="J392:J455" si="18">IF((K391+H392-I392)&gt;0,"借","贷")</f>
        <v>借</v>
      </c>
      <c r="K392" s="9">
        <f t="shared" si="17"/>
        <v>890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8"/>
        <v>借</v>
      </c>
      <c r="K393" s="9">
        <f t="shared" si="17"/>
        <v>890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8"/>
        <v>借</v>
      </c>
      <c r="K394" s="9">
        <f t="shared" si="17"/>
        <v>890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8"/>
        <v>借</v>
      </c>
      <c r="K395" s="9">
        <f t="shared" si="17"/>
        <v>890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8"/>
        <v>借</v>
      </c>
      <c r="K396" s="9">
        <f t="shared" si="17"/>
        <v>890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8"/>
        <v>借</v>
      </c>
      <c r="K397" s="9">
        <f t="shared" si="17"/>
        <v>890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8"/>
        <v>借</v>
      </c>
      <c r="K398" s="9">
        <f t="shared" si="17"/>
        <v>890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8"/>
        <v>借</v>
      </c>
      <c r="K399" s="9">
        <f t="shared" si="17"/>
        <v>890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8"/>
        <v>借</v>
      </c>
      <c r="K400" s="9">
        <f t="shared" si="17"/>
        <v>890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8"/>
        <v>借</v>
      </c>
      <c r="K401" s="9">
        <f t="shared" si="17"/>
        <v>890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8"/>
        <v>借</v>
      </c>
      <c r="K402" s="9">
        <f t="shared" si="17"/>
        <v>890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8"/>
        <v>借</v>
      </c>
      <c r="K403" s="9">
        <f t="shared" si="17"/>
        <v>890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8"/>
        <v>借</v>
      </c>
      <c r="K404" s="9">
        <f t="shared" si="17"/>
        <v>890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8"/>
        <v>借</v>
      </c>
      <c r="K405" s="9">
        <f t="shared" si="17"/>
        <v>890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8"/>
        <v>借</v>
      </c>
      <c r="K406" s="9">
        <f t="shared" si="17"/>
        <v>890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8"/>
        <v>借</v>
      </c>
      <c r="K407" s="9">
        <f t="shared" si="17"/>
        <v>890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8"/>
        <v>借</v>
      </c>
      <c r="K408" s="9">
        <f t="shared" si="17"/>
        <v>890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8"/>
        <v>借</v>
      </c>
      <c r="K409" s="9">
        <f t="shared" si="17"/>
        <v>890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8"/>
        <v>借</v>
      </c>
      <c r="K410" s="9">
        <f t="shared" si="17"/>
        <v>890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8"/>
        <v>借</v>
      </c>
      <c r="K411" s="9">
        <f t="shared" si="17"/>
        <v>890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8"/>
        <v>借</v>
      </c>
      <c r="K412" s="9">
        <f t="shared" si="17"/>
        <v>890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8"/>
        <v>借</v>
      </c>
      <c r="K413" s="9">
        <f t="shared" si="17"/>
        <v>890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8"/>
        <v>借</v>
      </c>
      <c r="K414" s="9">
        <f t="shared" si="17"/>
        <v>890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8"/>
        <v>借</v>
      </c>
      <c r="K415" s="9">
        <f t="shared" si="17"/>
        <v>890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8"/>
        <v>借</v>
      </c>
      <c r="K416" s="9">
        <f t="shared" si="17"/>
        <v>890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8"/>
        <v>借</v>
      </c>
      <c r="K417" s="9">
        <f t="shared" si="17"/>
        <v>890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8"/>
        <v>借</v>
      </c>
      <c r="K418" s="9">
        <f t="shared" si="17"/>
        <v>890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8"/>
        <v>借</v>
      </c>
      <c r="K419" s="9">
        <f t="shared" si="17"/>
        <v>890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8"/>
        <v>借</v>
      </c>
      <c r="K420" s="9">
        <f t="shared" si="17"/>
        <v>890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8"/>
        <v>借</v>
      </c>
      <c r="K421" s="9">
        <f t="shared" si="17"/>
        <v>890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8"/>
        <v>借</v>
      </c>
      <c r="K422" s="9">
        <f t="shared" si="17"/>
        <v>890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8"/>
        <v>借</v>
      </c>
      <c r="K423" s="9">
        <f t="shared" si="17"/>
        <v>890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8"/>
        <v>借</v>
      </c>
      <c r="K424" s="9">
        <f t="shared" si="17"/>
        <v>890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8"/>
        <v>借</v>
      </c>
      <c r="K425" s="9">
        <f t="shared" si="17"/>
        <v>890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8"/>
        <v>借</v>
      </c>
      <c r="K426" s="9">
        <f t="shared" si="17"/>
        <v>890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8"/>
        <v>借</v>
      </c>
      <c r="K427" s="9">
        <f t="shared" si="17"/>
        <v>890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8"/>
        <v>借</v>
      </c>
      <c r="K428" s="9">
        <f t="shared" si="17"/>
        <v>890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8"/>
        <v>借</v>
      </c>
      <c r="K429" s="9">
        <f t="shared" si="17"/>
        <v>890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8"/>
        <v>借</v>
      </c>
      <c r="K430" s="9">
        <f t="shared" si="17"/>
        <v>890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8"/>
        <v>借</v>
      </c>
      <c r="K431" s="9">
        <f t="shared" ref="K431:K494" si="19">_xlfn.IFS(J430="借",K430+H431-I431,J430="贷",H431-I431-K430)</f>
        <v>890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8"/>
        <v>借</v>
      </c>
      <c r="K432" s="9">
        <f t="shared" si="19"/>
        <v>890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8"/>
        <v>借</v>
      </c>
      <c r="K433" s="9">
        <f t="shared" si="19"/>
        <v>890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8"/>
        <v>借</v>
      </c>
      <c r="K434" s="9">
        <f t="shared" si="19"/>
        <v>890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8"/>
        <v>借</v>
      </c>
      <c r="K435" s="9">
        <f t="shared" si="19"/>
        <v>890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8"/>
        <v>借</v>
      </c>
      <c r="K436" s="9">
        <f t="shared" si="19"/>
        <v>890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8"/>
        <v>借</v>
      </c>
      <c r="K437" s="9">
        <f t="shared" si="19"/>
        <v>890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8"/>
        <v>借</v>
      </c>
      <c r="K438" s="9">
        <f t="shared" si="19"/>
        <v>890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8"/>
        <v>借</v>
      </c>
      <c r="K439" s="9">
        <f t="shared" si="19"/>
        <v>890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8"/>
        <v>借</v>
      </c>
      <c r="K440" s="9">
        <f t="shared" si="19"/>
        <v>890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8"/>
        <v>借</v>
      </c>
      <c r="K441" s="9">
        <f t="shared" si="19"/>
        <v>890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8"/>
        <v>借</v>
      </c>
      <c r="K442" s="9">
        <f t="shared" si="19"/>
        <v>890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8"/>
        <v>借</v>
      </c>
      <c r="K443" s="9">
        <f t="shared" si="19"/>
        <v>890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8"/>
        <v>借</v>
      </c>
      <c r="K444" s="9">
        <f t="shared" si="19"/>
        <v>890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8"/>
        <v>借</v>
      </c>
      <c r="K445" s="9">
        <f t="shared" si="19"/>
        <v>890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8"/>
        <v>借</v>
      </c>
      <c r="K446" s="9">
        <f t="shared" si="19"/>
        <v>890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8"/>
        <v>借</v>
      </c>
      <c r="K447" s="9">
        <f t="shared" si="19"/>
        <v>890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8"/>
        <v>借</v>
      </c>
      <c r="K448" s="9">
        <f t="shared" si="19"/>
        <v>890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8"/>
        <v>借</v>
      </c>
      <c r="K449" s="9">
        <f t="shared" si="19"/>
        <v>890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8"/>
        <v>借</v>
      </c>
      <c r="K450" s="9">
        <f t="shared" si="19"/>
        <v>890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8"/>
        <v>借</v>
      </c>
      <c r="K451" s="9">
        <f t="shared" si="19"/>
        <v>890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8"/>
        <v>借</v>
      </c>
      <c r="K452" s="9">
        <f t="shared" si="19"/>
        <v>890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8"/>
        <v>借</v>
      </c>
      <c r="K453" s="9">
        <f t="shared" si="19"/>
        <v>890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8"/>
        <v>借</v>
      </c>
      <c r="K454" s="9">
        <f t="shared" si="19"/>
        <v>890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8"/>
        <v>借</v>
      </c>
      <c r="K455" s="9">
        <f t="shared" si="19"/>
        <v>890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ref="J456:J499" si="20">IF((K455+H456-I456)&gt;0,"借","贷")</f>
        <v>借</v>
      </c>
      <c r="K456" s="9">
        <f t="shared" si="19"/>
        <v>890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20"/>
        <v>借</v>
      </c>
      <c r="K457" s="9">
        <f t="shared" si="19"/>
        <v>890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0"/>
        <v>借</v>
      </c>
      <c r="K458" s="9">
        <f t="shared" si="19"/>
        <v>890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0"/>
        <v>借</v>
      </c>
      <c r="K459" s="9">
        <f t="shared" si="19"/>
        <v>890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0"/>
        <v>借</v>
      </c>
      <c r="K460" s="9">
        <f t="shared" si="19"/>
        <v>890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0"/>
        <v>借</v>
      </c>
      <c r="K461" s="9">
        <f t="shared" si="19"/>
        <v>890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0"/>
        <v>借</v>
      </c>
      <c r="K462" s="9">
        <f t="shared" si="19"/>
        <v>890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20"/>
        <v>借</v>
      </c>
      <c r="K463" s="9">
        <f t="shared" si="19"/>
        <v>890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0"/>
        <v>借</v>
      </c>
      <c r="K464" s="9">
        <f t="shared" si="19"/>
        <v>890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0"/>
        <v>借</v>
      </c>
      <c r="K465" s="9">
        <f t="shared" si="19"/>
        <v>890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0"/>
        <v>借</v>
      </c>
      <c r="K466" s="9">
        <f t="shared" si="19"/>
        <v>890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0"/>
        <v>借</v>
      </c>
      <c r="K467" s="9">
        <f t="shared" si="19"/>
        <v>890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0"/>
        <v>借</v>
      </c>
      <c r="K468" s="9">
        <f t="shared" si="19"/>
        <v>890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20"/>
        <v>借</v>
      </c>
      <c r="K469" s="9">
        <f t="shared" si="19"/>
        <v>890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0"/>
        <v>借</v>
      </c>
      <c r="K470" s="9">
        <f t="shared" si="19"/>
        <v>890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0"/>
        <v>借</v>
      </c>
      <c r="K471" s="9">
        <f t="shared" si="19"/>
        <v>890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0"/>
        <v>借</v>
      </c>
      <c r="K472" s="9">
        <f t="shared" si="19"/>
        <v>890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0"/>
        <v>借</v>
      </c>
      <c r="K473" s="9">
        <f t="shared" si="19"/>
        <v>890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0"/>
        <v>借</v>
      </c>
      <c r="K474" s="9">
        <f t="shared" si="19"/>
        <v>890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0"/>
        <v>借</v>
      </c>
      <c r="K475" s="9">
        <f t="shared" si="19"/>
        <v>890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0"/>
        <v>借</v>
      </c>
      <c r="K476" s="9">
        <f t="shared" si="19"/>
        <v>890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0"/>
        <v>借</v>
      </c>
      <c r="K477" s="9">
        <f t="shared" si="19"/>
        <v>890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0"/>
        <v>借</v>
      </c>
      <c r="K478" s="9">
        <f t="shared" si="19"/>
        <v>890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0"/>
        <v>借</v>
      </c>
      <c r="K479" s="9">
        <f t="shared" si="19"/>
        <v>890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0"/>
        <v>借</v>
      </c>
      <c r="K480" s="9">
        <f t="shared" si="19"/>
        <v>890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0"/>
        <v>借</v>
      </c>
      <c r="K481" s="9">
        <f t="shared" si="19"/>
        <v>890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0"/>
        <v>借</v>
      </c>
      <c r="K482" s="9">
        <f t="shared" si="19"/>
        <v>890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0"/>
        <v>借</v>
      </c>
      <c r="K483" s="9">
        <f t="shared" si="19"/>
        <v>890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0"/>
        <v>借</v>
      </c>
      <c r="K484" s="9">
        <f t="shared" si="19"/>
        <v>890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0"/>
        <v>借</v>
      </c>
      <c r="K485" s="9">
        <f t="shared" si="19"/>
        <v>890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0"/>
        <v>借</v>
      </c>
      <c r="K486" s="9">
        <f t="shared" si="19"/>
        <v>890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0"/>
        <v>借</v>
      </c>
      <c r="K487" s="9">
        <f t="shared" si="19"/>
        <v>890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0"/>
        <v>借</v>
      </c>
      <c r="K488" s="9">
        <f t="shared" si="19"/>
        <v>890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0"/>
        <v>借</v>
      </c>
      <c r="K489" s="9">
        <f t="shared" si="19"/>
        <v>890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0"/>
        <v>借</v>
      </c>
      <c r="K490" s="9">
        <f t="shared" si="19"/>
        <v>890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0"/>
        <v>借</v>
      </c>
      <c r="K491" s="9">
        <f t="shared" si="19"/>
        <v>890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0"/>
        <v>借</v>
      </c>
      <c r="K492" s="9">
        <f t="shared" si="19"/>
        <v>890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0"/>
        <v>借</v>
      </c>
      <c r="K493" s="9">
        <f t="shared" si="19"/>
        <v>890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0"/>
        <v>借</v>
      </c>
      <c r="K494" s="9">
        <f t="shared" si="19"/>
        <v>890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0"/>
        <v>借</v>
      </c>
      <c r="K495" s="9">
        <f t="shared" ref="K495:K499" si="21">_xlfn.IFS(J494="借",K494+H495-I495,J494="贷",H495-I495-K494)</f>
        <v>890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0"/>
        <v>借</v>
      </c>
      <c r="K496" s="9">
        <f t="shared" si="21"/>
        <v>890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0"/>
        <v>借</v>
      </c>
      <c r="K497" s="9">
        <f t="shared" si="21"/>
        <v>890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0"/>
        <v>借</v>
      </c>
      <c r="K498" s="9">
        <f t="shared" si="21"/>
        <v>890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0"/>
        <v>借</v>
      </c>
      <c r="K499" s="9">
        <f t="shared" si="21"/>
        <v>890</v>
      </c>
      <c r="L499" s="28"/>
    </row>
  </sheetData>
  <autoFilter ref="A4:M499" xr:uid="{00000000-0009-0000-0000-000010000000}"/>
  <mergeCells count="34">
    <mergeCell ref="M159:M160"/>
    <mergeCell ref="M164:M166"/>
    <mergeCell ref="M176:M177"/>
    <mergeCell ref="M180:M182"/>
    <mergeCell ref="M135:M136"/>
    <mergeCell ref="M137:M139"/>
    <mergeCell ref="M141:M142"/>
    <mergeCell ref="M146:M148"/>
    <mergeCell ref="M151:M153"/>
    <mergeCell ref="M104:M105"/>
    <mergeCell ref="M109:M110"/>
    <mergeCell ref="M113:M114"/>
    <mergeCell ref="M122:M124"/>
    <mergeCell ref="M131:M132"/>
    <mergeCell ref="M76:M77"/>
    <mergeCell ref="M80:M81"/>
    <mergeCell ref="M84:M86"/>
    <mergeCell ref="M91:M92"/>
    <mergeCell ref="M100:M102"/>
    <mergeCell ref="M51:M53"/>
    <mergeCell ref="M55:M56"/>
    <mergeCell ref="M64:M66"/>
    <mergeCell ref="M68:M69"/>
    <mergeCell ref="M74:M75"/>
    <mergeCell ref="M25:M26"/>
    <mergeCell ref="M27:M29"/>
    <mergeCell ref="M31:M33"/>
    <mergeCell ref="M36:M37"/>
    <mergeCell ref="M42:M44"/>
    <mergeCell ref="A1:K1"/>
    <mergeCell ref="M6:M7"/>
    <mergeCell ref="M12:M14"/>
    <mergeCell ref="M17:M19"/>
    <mergeCell ref="M21:M22"/>
  </mergeCells>
  <phoneticPr fontId="22" type="noConversion"/>
  <dataValidations count="1">
    <dataValidation type="list" allowBlank="1" showInputMessage="1" showErrorMessage="1" sqref="A1:F1 G1:G1048576 H1:L1" xr:uid="{00000000-0002-0000-1000-000000000000}">
      <formula1>#REF!</formula1>
    </dataValidation>
  </dataValidations>
  <pageMargins left="0.75" right="0.75" top="1" bottom="1" header="0.5" footer="0.5"/>
  <pageSetup paperSize="9" orientation="portrait"/>
  <ignoredErrors>
    <ignoredError sqref="G4" listDataValidation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98"/>
  <sheetViews>
    <sheetView workbookViewId="0">
      <selection activeCell="E10" sqref="E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  <col min="13" max="13" width="12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72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SUM(H5:H90001)</f>
        <v>10000</v>
      </c>
      <c r="I3" s="4">
        <f>SUM(I5:I90001)</f>
        <v>10110</v>
      </c>
      <c r="J3" s="4"/>
      <c r="K3" s="3">
        <f>H3-I3</f>
        <v>-110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51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31" t="s">
        <v>38</v>
      </c>
      <c r="E5" s="7"/>
      <c r="F5" s="7"/>
      <c r="G5" s="7"/>
      <c r="H5" s="8"/>
      <c r="I5" s="8"/>
      <c r="J5" s="8" t="s">
        <v>39</v>
      </c>
      <c r="K5" s="9">
        <v>1000</v>
      </c>
      <c r="L5" t="s">
        <v>57</v>
      </c>
    </row>
    <row r="6" spans="1:12" ht="20.100000000000001" customHeight="1" x14ac:dyDescent="0.15">
      <c r="A6" s="5"/>
      <c r="B6" s="5">
        <v>2</v>
      </c>
      <c r="C6" s="5">
        <v>2</v>
      </c>
      <c r="D6" s="10" t="s">
        <v>40</v>
      </c>
      <c r="E6" s="10"/>
      <c r="F6" s="10" t="s">
        <v>41</v>
      </c>
      <c r="G6" s="10" t="s">
        <v>42</v>
      </c>
      <c r="H6" s="8">
        <v>10000</v>
      </c>
      <c r="I6" s="8"/>
      <c r="J6" s="8" t="str">
        <f t="shared" ref="J6:J69" si="0">IF((K5+H6-I6)&gt;0,"借","贷")</f>
        <v>借</v>
      </c>
      <c r="K6" s="9">
        <f t="shared" ref="K6:K69" si="1">K5+H6-I6</f>
        <v>11000</v>
      </c>
      <c r="L6" t="s">
        <v>57</v>
      </c>
    </row>
    <row r="7" spans="1:12" ht="20.100000000000001" customHeight="1" x14ac:dyDescent="0.15">
      <c r="A7" s="5"/>
      <c r="B7" s="5">
        <v>2</v>
      </c>
      <c r="C7" s="5">
        <v>3</v>
      </c>
      <c r="D7" s="31" t="s">
        <v>43</v>
      </c>
      <c r="E7" s="10"/>
      <c r="F7" s="10" t="s">
        <v>44</v>
      </c>
      <c r="G7" s="7" t="s">
        <v>44</v>
      </c>
      <c r="H7" s="8"/>
      <c r="I7" s="8">
        <v>100</v>
      </c>
      <c r="J7" s="8" t="str">
        <f t="shared" si="0"/>
        <v>借</v>
      </c>
      <c r="K7" s="9">
        <f t="shared" si="1"/>
        <v>10900</v>
      </c>
    </row>
    <row r="8" spans="1:12" ht="20.100000000000001" customHeight="1" x14ac:dyDescent="0.15">
      <c r="A8" s="5"/>
      <c r="B8" s="5">
        <v>2</v>
      </c>
      <c r="C8" s="5">
        <v>4</v>
      </c>
      <c r="D8" s="10" t="s">
        <v>45</v>
      </c>
      <c r="E8" s="10"/>
      <c r="F8" s="10" t="s">
        <v>46</v>
      </c>
      <c r="G8" s="10" t="s">
        <v>47</v>
      </c>
      <c r="H8" s="8"/>
      <c r="I8" s="8">
        <v>10000</v>
      </c>
      <c r="J8" s="8" t="str">
        <f t="shared" si="0"/>
        <v>借</v>
      </c>
      <c r="K8" s="9">
        <f t="shared" si="1"/>
        <v>900</v>
      </c>
    </row>
    <row r="9" spans="1:12" ht="20.100000000000001" customHeight="1" x14ac:dyDescent="0.15">
      <c r="A9" s="5"/>
      <c r="B9" s="5">
        <v>2</v>
      </c>
      <c r="C9" s="5">
        <v>5</v>
      </c>
      <c r="D9" s="10" t="s">
        <v>48</v>
      </c>
      <c r="E9" s="10"/>
      <c r="F9" s="10" t="s">
        <v>49</v>
      </c>
      <c r="G9" s="10" t="s">
        <v>49</v>
      </c>
      <c r="H9" s="8"/>
      <c r="I9" s="8">
        <v>10</v>
      </c>
      <c r="J9" s="8" t="str">
        <f t="shared" si="0"/>
        <v>借</v>
      </c>
      <c r="K9" s="9">
        <f t="shared" si="1"/>
        <v>890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890</v>
      </c>
    </row>
    <row r="11" spans="1:12" ht="20.100000000000001" customHeight="1" x14ac:dyDescent="0.15">
      <c r="A11" s="5"/>
      <c r="B11" s="5"/>
      <c r="C11" s="5"/>
      <c r="D11" s="32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890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890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890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890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890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890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890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890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890</v>
      </c>
    </row>
    <row r="20" spans="1:13" ht="20.100000000000001" customHeight="1" x14ac:dyDescent="0.15">
      <c r="A20" s="5"/>
      <c r="B20" s="5"/>
      <c r="C20" s="5"/>
      <c r="D20" s="33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890</v>
      </c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890</v>
      </c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890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890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890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890</v>
      </c>
    </row>
    <row r="26" spans="1:13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890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890</v>
      </c>
      <c r="L27" s="99"/>
      <c r="M27" s="99"/>
    </row>
    <row r="28" spans="1:13" ht="20.100000000000001" customHeight="1" x14ac:dyDescent="0.15">
      <c r="A28" s="5"/>
      <c r="B28" s="5"/>
      <c r="C28" s="10"/>
      <c r="D28" s="32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890</v>
      </c>
      <c r="L28" s="99"/>
      <c r="M28" s="99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890</v>
      </c>
      <c r="L29" s="99"/>
      <c r="M29" s="99"/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890</v>
      </c>
      <c r="L30" s="99"/>
      <c r="M30" s="99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890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890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890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890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890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890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890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890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890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890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890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890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890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890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890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890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890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890</v>
      </c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890</v>
      </c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890</v>
      </c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890</v>
      </c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890</v>
      </c>
    </row>
    <row r="53" spans="1:13" ht="20.100000000000001" customHeight="1" x14ac:dyDescent="0.15">
      <c r="A53" s="10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890</v>
      </c>
    </row>
    <row r="54" spans="1:13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890</v>
      </c>
      <c r="M54" s="99"/>
    </row>
    <row r="55" spans="1:13" ht="20.100000000000001" customHeight="1" x14ac:dyDescent="0.15">
      <c r="A55" s="10"/>
      <c r="B55" s="5"/>
      <c r="C55" s="10"/>
      <c r="D55" s="32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890</v>
      </c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890</v>
      </c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890</v>
      </c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890</v>
      </c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890</v>
      </c>
    </row>
    <row r="60" spans="1:13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890</v>
      </c>
    </row>
    <row r="61" spans="1:13" ht="20.100000000000001" customHeight="1" x14ac:dyDescent="0.15">
      <c r="A61" s="5"/>
      <c r="B61" s="5"/>
      <c r="C61" s="10"/>
      <c r="D61" s="32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890</v>
      </c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4"/>
      <c r="J62" s="8" t="str">
        <f t="shared" si="0"/>
        <v>借</v>
      </c>
      <c r="K62" s="9">
        <f t="shared" si="1"/>
        <v>890</v>
      </c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4"/>
      <c r="J63" s="8" t="str">
        <f t="shared" si="0"/>
        <v>借</v>
      </c>
      <c r="K63" s="9">
        <f t="shared" si="1"/>
        <v>890</v>
      </c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14"/>
      <c r="J64" s="8" t="str">
        <f t="shared" si="0"/>
        <v>借</v>
      </c>
      <c r="K64" s="9">
        <f t="shared" si="1"/>
        <v>890</v>
      </c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14"/>
      <c r="J65" s="8" t="str">
        <f t="shared" si="0"/>
        <v>借</v>
      </c>
      <c r="K65" s="9">
        <f t="shared" si="1"/>
        <v>890</v>
      </c>
    </row>
    <row r="66" spans="1:13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10"/>
      <c r="J66" s="8" t="str">
        <f t="shared" si="0"/>
        <v>借</v>
      </c>
      <c r="K66" s="9">
        <f t="shared" si="1"/>
        <v>890</v>
      </c>
    </row>
    <row r="67" spans="1:13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14"/>
      <c r="J67" s="8" t="str">
        <f t="shared" si="0"/>
        <v>借</v>
      </c>
      <c r="K67" s="9">
        <f t="shared" si="1"/>
        <v>890</v>
      </c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34"/>
      <c r="J68" s="8" t="str">
        <f t="shared" si="0"/>
        <v>借</v>
      </c>
      <c r="K68" s="9">
        <f t="shared" si="1"/>
        <v>890</v>
      </c>
      <c r="M68" s="99"/>
    </row>
    <row r="69" spans="1:13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0"/>
        <v>借</v>
      </c>
      <c r="K69" s="9">
        <f t="shared" si="1"/>
        <v>890</v>
      </c>
      <c r="M69" s="99"/>
    </row>
    <row r="70" spans="1:13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890</v>
      </c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890</v>
      </c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890</v>
      </c>
      <c r="L72" s="10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890</v>
      </c>
      <c r="L73" s="10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890</v>
      </c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890</v>
      </c>
    </row>
    <row r="76" spans="1:13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890</v>
      </c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890</v>
      </c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15"/>
      <c r="J78" s="8" t="str">
        <f t="shared" si="2"/>
        <v>借</v>
      </c>
      <c r="K78" s="9">
        <f t="shared" si="3"/>
        <v>890</v>
      </c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890</v>
      </c>
    </row>
    <row r="80" spans="1:13" ht="20.100000000000001" customHeight="1" x14ac:dyDescent="0.15">
      <c r="A80" s="5"/>
      <c r="B80" s="5"/>
      <c r="C80" s="10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890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890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890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10"/>
      <c r="I83" s="10"/>
      <c r="J83" s="8" t="str">
        <f t="shared" si="2"/>
        <v>借</v>
      </c>
      <c r="K83" s="9">
        <f t="shared" si="3"/>
        <v>890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10"/>
      <c r="I84" s="10"/>
      <c r="J84" s="8" t="str">
        <f t="shared" si="2"/>
        <v>借</v>
      </c>
      <c r="K84" s="9">
        <f t="shared" si="3"/>
        <v>890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10"/>
      <c r="I85" s="10"/>
      <c r="J85" s="8" t="str">
        <f t="shared" si="2"/>
        <v>借</v>
      </c>
      <c r="K85" s="9">
        <f t="shared" si="3"/>
        <v>890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10"/>
      <c r="I86" s="10"/>
      <c r="J86" s="8" t="str">
        <f t="shared" si="2"/>
        <v>借</v>
      </c>
      <c r="K86" s="9">
        <f t="shared" si="3"/>
        <v>890</v>
      </c>
    </row>
    <row r="87" spans="1:11" ht="20.100000000000001" customHeight="1" x14ac:dyDescent="0.15">
      <c r="A87" s="10"/>
      <c r="B87" s="5"/>
      <c r="C87" s="5"/>
      <c r="D87" s="35"/>
      <c r="E87" s="10"/>
      <c r="F87" s="10"/>
      <c r="G87" s="10"/>
      <c r="H87" s="10"/>
      <c r="I87" s="10"/>
      <c r="J87" s="8" t="str">
        <f t="shared" si="2"/>
        <v>借</v>
      </c>
      <c r="K87" s="9">
        <f t="shared" si="3"/>
        <v>890</v>
      </c>
    </row>
    <row r="88" spans="1:11" ht="20.100000000000001" customHeight="1" x14ac:dyDescent="0.15">
      <c r="A88" s="5"/>
      <c r="B88" s="5"/>
      <c r="C88" s="5"/>
      <c r="D88" s="35"/>
      <c r="E88" s="10"/>
      <c r="F88" s="10"/>
      <c r="G88" s="10"/>
      <c r="H88" s="10"/>
      <c r="I88" s="10"/>
      <c r="J88" s="8" t="str">
        <f t="shared" si="2"/>
        <v>借</v>
      </c>
      <c r="K88" s="9">
        <f t="shared" si="3"/>
        <v>890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10"/>
      <c r="I89" s="10"/>
      <c r="J89" s="8" t="str">
        <f t="shared" si="2"/>
        <v>借</v>
      </c>
      <c r="K89" s="9">
        <f t="shared" si="3"/>
        <v>890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10"/>
      <c r="I90" s="10"/>
      <c r="J90" s="8" t="str">
        <f t="shared" si="2"/>
        <v>借</v>
      </c>
      <c r="K90" s="9">
        <f t="shared" si="3"/>
        <v>890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10"/>
      <c r="I91" s="10"/>
      <c r="J91" s="8" t="str">
        <f t="shared" si="2"/>
        <v>借</v>
      </c>
      <c r="K91" s="9">
        <f t="shared" si="3"/>
        <v>890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10"/>
      <c r="I92" s="10"/>
      <c r="J92" s="8" t="str">
        <f t="shared" si="2"/>
        <v>借</v>
      </c>
      <c r="K92" s="9">
        <f t="shared" si="3"/>
        <v>890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890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890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890</v>
      </c>
    </row>
    <row r="96" spans="1:11" ht="20.100000000000001" customHeight="1" x14ac:dyDescent="0.15">
      <c r="A96" s="10"/>
      <c r="B96" s="5"/>
      <c r="C96" s="5"/>
      <c r="D96" s="11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890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890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890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890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890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890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890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890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890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890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890</v>
      </c>
    </row>
    <row r="107" spans="1:11" ht="20.100000000000001" customHeight="1" x14ac:dyDescent="0.15">
      <c r="A107" s="5"/>
      <c r="B107" s="5"/>
      <c r="C107" s="5"/>
      <c r="D107" s="10"/>
      <c r="E107" s="16"/>
      <c r="F107" s="10"/>
      <c r="G107" s="10"/>
      <c r="H107" s="8"/>
      <c r="I107" s="8"/>
      <c r="J107" s="8" t="str">
        <f t="shared" si="2"/>
        <v>借</v>
      </c>
      <c r="K107" s="9">
        <f t="shared" si="3"/>
        <v>890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890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890</v>
      </c>
    </row>
    <row r="110" spans="1:11" ht="20.100000000000001" customHeight="1" x14ac:dyDescent="0.15">
      <c r="A110" s="5"/>
      <c r="B110" s="5"/>
      <c r="C110" s="5"/>
      <c r="D110" s="10"/>
      <c r="E110" s="16"/>
      <c r="F110" s="10"/>
      <c r="G110" s="10"/>
      <c r="H110" s="8"/>
      <c r="I110" s="8"/>
      <c r="J110" s="8" t="str">
        <f t="shared" si="2"/>
        <v>借</v>
      </c>
      <c r="K110" s="9">
        <f t="shared" si="3"/>
        <v>890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890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890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890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890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890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890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890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890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890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890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890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890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890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890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890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890</v>
      </c>
    </row>
    <row r="127" spans="1:11" ht="20.100000000000001" customHeight="1" x14ac:dyDescent="0.15">
      <c r="A127" s="5"/>
      <c r="B127" s="5"/>
      <c r="C127" s="10"/>
      <c r="D127" s="10"/>
      <c r="E127" s="16"/>
      <c r="F127" s="10"/>
      <c r="G127" s="10"/>
      <c r="H127" s="8"/>
      <c r="I127" s="8"/>
      <c r="J127" s="8" t="str">
        <f t="shared" si="2"/>
        <v>借</v>
      </c>
      <c r="K127" s="9">
        <f t="shared" si="3"/>
        <v>890</v>
      </c>
    </row>
    <row r="128" spans="1:11" ht="20.100000000000001" customHeight="1" x14ac:dyDescent="0.15">
      <c r="A128" s="5"/>
      <c r="B128" s="5"/>
      <c r="C128" s="10"/>
      <c r="D128" s="10"/>
      <c r="E128" s="16"/>
      <c r="F128" s="10"/>
      <c r="G128" s="10"/>
      <c r="H128" s="8"/>
      <c r="I128" s="8"/>
      <c r="J128" s="8" t="str">
        <f t="shared" si="2"/>
        <v>借</v>
      </c>
      <c r="K128" s="9">
        <f t="shared" si="3"/>
        <v>890</v>
      </c>
    </row>
    <row r="129" spans="1:11" ht="20.100000000000001" customHeight="1" x14ac:dyDescent="0.15">
      <c r="A129" s="5"/>
      <c r="B129" s="5"/>
      <c r="C129" s="10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890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890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890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890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2"/>
        <v>借</v>
      </c>
      <c r="K133" s="9">
        <f t="shared" si="3"/>
        <v>890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97" si="5">K133+H134-I134</f>
        <v>890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si="5"/>
        <v>890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890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890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890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890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890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36"/>
      <c r="I141" s="36"/>
      <c r="J141" s="8" t="str">
        <f t="shared" si="4"/>
        <v>借</v>
      </c>
      <c r="K141" s="9">
        <f t="shared" si="5"/>
        <v>890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36"/>
      <c r="I142" s="36"/>
      <c r="J142" s="8" t="str">
        <f t="shared" si="4"/>
        <v>借</v>
      </c>
      <c r="K142" s="9">
        <f t="shared" si="5"/>
        <v>890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36"/>
      <c r="I143" s="36"/>
      <c r="J143" s="8" t="str">
        <f t="shared" si="4"/>
        <v>借</v>
      </c>
      <c r="K143" s="9">
        <f t="shared" si="5"/>
        <v>890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36"/>
      <c r="I144" s="36"/>
      <c r="J144" s="8" t="str">
        <f t="shared" si="4"/>
        <v>借</v>
      </c>
      <c r="K144" s="9">
        <f t="shared" si="5"/>
        <v>890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36"/>
      <c r="I145" s="36"/>
      <c r="J145" s="8" t="str">
        <f t="shared" si="4"/>
        <v>借</v>
      </c>
      <c r="K145" s="9">
        <f t="shared" si="5"/>
        <v>890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36"/>
      <c r="I146" s="36"/>
      <c r="J146" s="8" t="str">
        <f t="shared" si="4"/>
        <v>借</v>
      </c>
      <c r="K146" s="9">
        <f t="shared" si="5"/>
        <v>890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36"/>
      <c r="I147" s="36"/>
      <c r="J147" s="8" t="str">
        <f t="shared" si="4"/>
        <v>借</v>
      </c>
      <c r="K147" s="9">
        <f t="shared" si="5"/>
        <v>890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36"/>
      <c r="I148" s="36"/>
      <c r="J148" s="8" t="str">
        <f t="shared" si="4"/>
        <v>借</v>
      </c>
      <c r="K148" s="9">
        <f t="shared" si="5"/>
        <v>890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36"/>
      <c r="I149" s="36"/>
      <c r="J149" s="8" t="str">
        <f t="shared" si="4"/>
        <v>借</v>
      </c>
      <c r="K149" s="9">
        <f t="shared" si="5"/>
        <v>890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36"/>
      <c r="I150" s="36"/>
      <c r="J150" s="8" t="str">
        <f t="shared" si="4"/>
        <v>借</v>
      </c>
      <c r="K150" s="9">
        <f t="shared" si="5"/>
        <v>890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36"/>
      <c r="I151" s="36"/>
      <c r="J151" s="8" t="str">
        <f t="shared" si="4"/>
        <v>借</v>
      </c>
      <c r="K151" s="9">
        <f t="shared" si="5"/>
        <v>890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36"/>
      <c r="I152" s="36"/>
      <c r="J152" s="8" t="str">
        <f t="shared" si="4"/>
        <v>借</v>
      </c>
      <c r="K152" s="9">
        <f t="shared" si="5"/>
        <v>890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890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890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890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890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890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890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890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890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890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36"/>
      <c r="I162" s="36"/>
      <c r="J162" s="8" t="str">
        <f t="shared" si="4"/>
        <v>借</v>
      </c>
      <c r="K162" s="9">
        <f t="shared" si="5"/>
        <v>890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36"/>
      <c r="I163" s="36"/>
      <c r="J163" s="8" t="str">
        <f t="shared" si="4"/>
        <v>借</v>
      </c>
      <c r="K163" s="9">
        <f t="shared" si="5"/>
        <v>890</v>
      </c>
    </row>
    <row r="164" spans="1:11" ht="20.100000000000001" customHeight="1" x14ac:dyDescent="0.15">
      <c r="A164" s="10"/>
      <c r="B164" s="5"/>
      <c r="C164" s="5"/>
      <c r="D164" s="10"/>
      <c r="E164" s="18"/>
      <c r="F164" s="10"/>
      <c r="G164" s="10"/>
      <c r="H164" s="36"/>
      <c r="I164" s="36"/>
      <c r="J164" s="8" t="str">
        <f t="shared" si="4"/>
        <v>借</v>
      </c>
      <c r="K164" s="9">
        <f t="shared" si="5"/>
        <v>890</v>
      </c>
    </row>
    <row r="165" spans="1:11" ht="20.100000000000001" customHeight="1" x14ac:dyDescent="0.15">
      <c r="A165" s="10"/>
      <c r="B165" s="5"/>
      <c r="C165" s="5"/>
      <c r="D165" s="10"/>
      <c r="E165" s="10"/>
      <c r="F165" s="10"/>
      <c r="G165" s="10"/>
      <c r="H165" s="36"/>
      <c r="I165" s="36"/>
      <c r="J165" s="8" t="str">
        <f t="shared" si="4"/>
        <v>借</v>
      </c>
      <c r="K165" s="9">
        <f t="shared" si="5"/>
        <v>890</v>
      </c>
    </row>
    <row r="166" spans="1:11" ht="20.100000000000001" customHeight="1" x14ac:dyDescent="0.15">
      <c r="A166" s="10"/>
      <c r="B166" s="5"/>
      <c r="C166" s="5"/>
      <c r="D166" s="10"/>
      <c r="E166" s="10"/>
      <c r="F166" s="10"/>
      <c r="G166" s="10"/>
      <c r="H166" s="36"/>
      <c r="I166" s="36"/>
      <c r="J166" s="8" t="str">
        <f t="shared" si="4"/>
        <v>借</v>
      </c>
      <c r="K166" s="9">
        <f t="shared" si="5"/>
        <v>890</v>
      </c>
    </row>
    <row r="167" spans="1:11" ht="20.100000000000001" customHeight="1" x14ac:dyDescent="0.15">
      <c r="A167" s="10"/>
      <c r="B167" s="5"/>
      <c r="C167" s="5"/>
      <c r="D167" s="10"/>
      <c r="E167" s="10"/>
      <c r="F167" s="10"/>
      <c r="G167" s="10"/>
      <c r="H167" s="36"/>
      <c r="I167" s="36"/>
      <c r="J167" s="8" t="str">
        <f t="shared" si="4"/>
        <v>借</v>
      </c>
      <c r="K167" s="9">
        <f t="shared" si="5"/>
        <v>890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36"/>
      <c r="I168" s="36"/>
      <c r="J168" s="8" t="str">
        <f t="shared" si="4"/>
        <v>借</v>
      </c>
      <c r="K168" s="9">
        <f t="shared" si="5"/>
        <v>890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36"/>
      <c r="I169" s="36"/>
      <c r="J169" s="8" t="str">
        <f t="shared" si="4"/>
        <v>借</v>
      </c>
      <c r="K169" s="9">
        <f t="shared" si="5"/>
        <v>890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36"/>
      <c r="I170" s="36"/>
      <c r="J170" s="8" t="str">
        <f t="shared" si="4"/>
        <v>借</v>
      </c>
      <c r="K170" s="9">
        <f t="shared" si="5"/>
        <v>890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36"/>
      <c r="I171" s="36"/>
      <c r="J171" s="8" t="str">
        <f t="shared" si="4"/>
        <v>借</v>
      </c>
      <c r="K171" s="9">
        <f t="shared" si="5"/>
        <v>890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36"/>
      <c r="I172" s="36"/>
      <c r="J172" s="8" t="str">
        <f t="shared" si="4"/>
        <v>借</v>
      </c>
      <c r="K172" s="9">
        <f t="shared" si="5"/>
        <v>890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36"/>
      <c r="I173" s="36"/>
      <c r="J173" s="8" t="str">
        <f t="shared" si="4"/>
        <v>借</v>
      </c>
      <c r="K173" s="9">
        <f t="shared" si="5"/>
        <v>890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36"/>
      <c r="I174" s="36"/>
      <c r="J174" s="8" t="str">
        <f t="shared" si="4"/>
        <v>借</v>
      </c>
      <c r="K174" s="9">
        <f t="shared" si="5"/>
        <v>890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36"/>
      <c r="I175" s="36"/>
      <c r="J175" s="8" t="str">
        <f t="shared" si="4"/>
        <v>借</v>
      </c>
      <c r="K175" s="9">
        <f t="shared" si="5"/>
        <v>890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36"/>
      <c r="I176" s="36"/>
      <c r="J176" s="8" t="str">
        <f t="shared" si="4"/>
        <v>借</v>
      </c>
      <c r="K176" s="9">
        <f t="shared" si="5"/>
        <v>890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36"/>
      <c r="I177" s="36"/>
      <c r="J177" s="8" t="str">
        <f t="shared" si="4"/>
        <v>借</v>
      </c>
      <c r="K177" s="9">
        <f t="shared" si="5"/>
        <v>890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36"/>
      <c r="I178" s="36"/>
      <c r="J178" s="8" t="str">
        <f t="shared" si="4"/>
        <v>借</v>
      </c>
      <c r="K178" s="9">
        <f t="shared" si="5"/>
        <v>890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36"/>
      <c r="I179" s="36"/>
      <c r="J179" s="8" t="str">
        <f t="shared" si="4"/>
        <v>借</v>
      </c>
      <c r="K179" s="9">
        <f t="shared" si="5"/>
        <v>890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36"/>
      <c r="I180" s="36"/>
      <c r="J180" s="8" t="str">
        <f t="shared" si="4"/>
        <v>借</v>
      </c>
      <c r="K180" s="9">
        <f t="shared" si="5"/>
        <v>890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36"/>
      <c r="I181" s="36"/>
      <c r="J181" s="8" t="str">
        <f t="shared" si="4"/>
        <v>借</v>
      </c>
      <c r="K181" s="9">
        <f t="shared" si="5"/>
        <v>890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890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890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890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890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890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890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890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5"/>
        <v>890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4"/>
        <v>借</v>
      </c>
      <c r="K190" s="9">
        <f t="shared" si="5"/>
        <v>890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890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890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890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890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890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890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890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ref="K198:K261" si="7">K197+H198-I198</f>
        <v>890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7"/>
        <v>890</v>
      </c>
    </row>
    <row r="200" spans="1:11" ht="20.100000000000001" customHeight="1" x14ac:dyDescent="0.15">
      <c r="A200" s="10"/>
      <c r="B200" s="5"/>
      <c r="C200" s="10"/>
      <c r="D200" s="35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890</v>
      </c>
    </row>
    <row r="201" spans="1:11" ht="20.100000000000001" customHeight="1" x14ac:dyDescent="0.15">
      <c r="A201" s="10"/>
      <c r="B201" s="5"/>
      <c r="C201" s="10"/>
      <c r="D201" s="35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890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890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890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890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890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890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890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890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890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890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890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890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6"/>
        <v>借</v>
      </c>
      <c r="K213" s="9">
        <f t="shared" si="7"/>
        <v>890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890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890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890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890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890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890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890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890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890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890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890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890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890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890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890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890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890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890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890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890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890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890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890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890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890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890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890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890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890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890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890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890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890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890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6"/>
        <v>借</v>
      </c>
      <c r="K248" s="9">
        <f t="shared" si="7"/>
        <v>890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890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890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890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890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890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890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890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890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890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890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890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890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890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ref="K262:K325" si="9">K261+H262-I262</f>
        <v>890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890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890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890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890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890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890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890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890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890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890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890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890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890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890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890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890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890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890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890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890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890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890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890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890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890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890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890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890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890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890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890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890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890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890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890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890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890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890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890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890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890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890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890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890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890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890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890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890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890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890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890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890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890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890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890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890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890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890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890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890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890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890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890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ref="K326:K389" si="11">K325+H326-I326</f>
        <v>890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890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890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890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890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890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890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890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890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890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890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890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890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890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890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890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890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890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890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890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890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890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890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890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890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890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890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890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890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890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890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890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890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890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890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890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890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890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890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890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890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890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890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890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890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890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890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890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890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890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890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890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890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890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890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890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890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890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890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890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890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890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890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890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ref="K390:K453" si="13">K389+H390-I390</f>
        <v>890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890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890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890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890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890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890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890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890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890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890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890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890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890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890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890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890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890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890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890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890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890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890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890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890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890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890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890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890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890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890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890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890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890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890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890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890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890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890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890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890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890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890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890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890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890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890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890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890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890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890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890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890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890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890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890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890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890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890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890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890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890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890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890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8" si="14">IF((K453+H454-I454)&gt;0,"借","贷")</f>
        <v>借</v>
      </c>
      <c r="K454" s="9">
        <f t="shared" ref="K454:K498" si="15">K453+H454-I454</f>
        <v>890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890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890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890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890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890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890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890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890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890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890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890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890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890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890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890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890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890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890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890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890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890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890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890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890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890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890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890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890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890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890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890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890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890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890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890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890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890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890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890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890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890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890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890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4"/>
        <v>借</v>
      </c>
      <c r="K498" s="9">
        <f t="shared" si="15"/>
        <v>890</v>
      </c>
    </row>
  </sheetData>
  <mergeCells count="6">
    <mergeCell ref="M68:M70"/>
    <mergeCell ref="A1:K1"/>
    <mergeCell ref="A2:K2"/>
    <mergeCell ref="L27:L30"/>
    <mergeCell ref="M27:M30"/>
    <mergeCell ref="M54:M57"/>
  </mergeCells>
  <phoneticPr fontId="22" type="noConversion"/>
  <dataValidations count="2">
    <dataValidation allowBlank="1" showInputMessage="1" showErrorMessage="1" sqref="G1 A2:XFD2 G3:G4 L72:L73" xr:uid="{00000000-0002-0000-1100-000000000000}"/>
    <dataValidation type="list" allowBlank="1" showInputMessage="1" showErrorMessage="1" sqref="G5:G1048576" xr:uid="{00000000-0002-0000-1100-000001000000}">
      <formula1>#REF!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00"/>
  <sheetViews>
    <sheetView topLeftCell="B1" workbookViewId="0">
      <selection activeCell="E13" sqref="E13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  <c r="L1" s="2"/>
    </row>
    <row r="2" spans="1:13" ht="20.100000000000001" customHeight="1" x14ac:dyDescent="0.15">
      <c r="B2" t="s">
        <v>73</v>
      </c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SUM(H5:H190002)</f>
        <v>0</v>
      </c>
      <c r="I3" s="4">
        <f>SUM(I5:I190002)</f>
        <v>0</v>
      </c>
      <c r="J3" s="4"/>
      <c r="K3" s="3">
        <f>K5+H3-I3</f>
        <v>1000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74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12" si="0">IF((K5+H6-I6)&gt;0,"借","贷")</f>
        <v>借</v>
      </c>
      <c r="K6" s="9">
        <f t="shared" ref="K6:K13" si="1">K5+H6-I6</f>
        <v>1000</v>
      </c>
      <c r="L6" s="28"/>
    </row>
    <row r="7" spans="1:13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1000</v>
      </c>
      <c r="L7" s="28"/>
    </row>
    <row r="8" spans="1:13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  <c r="L8" s="28"/>
      <c r="M8" s="99"/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  <c r="L9" s="28"/>
      <c r="M9" s="99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  <c r="L10" s="28"/>
      <c r="M10" s="99"/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  <c r="L11" s="28"/>
      <c r="M11" s="99"/>
    </row>
    <row r="12" spans="1:13" ht="20.100000000000001" customHeight="1" x14ac:dyDescent="0.15">
      <c r="A12" s="5"/>
      <c r="B12" s="5"/>
      <c r="C12" s="5"/>
      <c r="D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  <c r="L12" s="28"/>
    </row>
    <row r="13" spans="1:13" ht="20.100000000000001" customHeight="1" x14ac:dyDescent="0.15">
      <c r="A13" s="5"/>
      <c r="B13" s="5"/>
      <c r="C13" s="5"/>
      <c r="D13" s="10"/>
      <c r="E13" s="10"/>
      <c r="F13" s="8"/>
      <c r="G13" s="8"/>
      <c r="H13" s="8"/>
      <c r="I13" s="8"/>
      <c r="J13" s="8" t="str">
        <f t="shared" ref="J13:J69" si="2">IF((K12+H13-I13)&gt;0,"借","贷")</f>
        <v>借</v>
      </c>
      <c r="K13" s="9">
        <f t="shared" si="1"/>
        <v>1000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8"/>
      <c r="G14" s="10"/>
      <c r="H14" s="8"/>
      <c r="I14" s="8"/>
      <c r="J14" s="8" t="str">
        <f t="shared" si="2"/>
        <v>借</v>
      </c>
      <c r="K14" s="9">
        <f t="shared" ref="K14:K69" si="3">K13+H14-I14</f>
        <v>1000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2"/>
        <v>借</v>
      </c>
      <c r="K15" s="9">
        <f t="shared" si="3"/>
        <v>1000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2"/>
        <v>借</v>
      </c>
      <c r="K16" s="9">
        <f t="shared" si="3"/>
        <v>1000</v>
      </c>
      <c r="L16" s="28"/>
      <c r="M16" s="99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2"/>
        <v>借</v>
      </c>
      <c r="K17" s="9">
        <f t="shared" si="3"/>
        <v>1000</v>
      </c>
      <c r="L17" s="28"/>
      <c r="M17" s="99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2"/>
        <v>借</v>
      </c>
      <c r="K18" s="9">
        <f t="shared" si="3"/>
        <v>1000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2"/>
        <v>借</v>
      </c>
      <c r="K19" s="9">
        <f t="shared" si="3"/>
        <v>1000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2"/>
        <v>借</v>
      </c>
      <c r="K20" s="9">
        <f t="shared" si="3"/>
        <v>1000</v>
      </c>
      <c r="L20" s="28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2"/>
        <v>借</v>
      </c>
      <c r="K21" s="9">
        <f t="shared" si="3"/>
        <v>1000</v>
      </c>
      <c r="L21" s="28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2"/>
        <v>借</v>
      </c>
      <c r="K22" s="9">
        <f t="shared" si="3"/>
        <v>1000</v>
      </c>
      <c r="L22" s="28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2"/>
        <v>借</v>
      </c>
      <c r="K23" s="9">
        <f t="shared" si="3"/>
        <v>1000</v>
      </c>
      <c r="L23" s="28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2"/>
        <v>借</v>
      </c>
      <c r="K24" s="9">
        <f t="shared" si="3"/>
        <v>1000</v>
      </c>
      <c r="L24" s="28"/>
      <c r="M24" s="99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2"/>
        <v>借</v>
      </c>
      <c r="K25" s="9">
        <f t="shared" si="3"/>
        <v>1000</v>
      </c>
      <c r="L25" s="28"/>
      <c r="M25" s="99"/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2"/>
        <v>借</v>
      </c>
      <c r="K26" s="9">
        <f t="shared" si="3"/>
        <v>1000</v>
      </c>
      <c r="L26" s="28"/>
      <c r="M26" s="99"/>
    </row>
    <row r="27" spans="1:13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2"/>
        <v>借</v>
      </c>
      <c r="K27" s="9">
        <f t="shared" si="3"/>
        <v>1000</v>
      </c>
      <c r="L27" s="28"/>
      <c r="M27" s="99"/>
    </row>
    <row r="28" spans="1:13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2"/>
        <v>借</v>
      </c>
      <c r="K28" s="9">
        <f t="shared" si="3"/>
        <v>1000</v>
      </c>
      <c r="L28" s="28"/>
      <c r="M28" s="105"/>
    </row>
    <row r="29" spans="1:13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1000</v>
      </c>
      <c r="L29" s="28"/>
      <c r="M29" s="105"/>
    </row>
    <row r="30" spans="1:13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1000</v>
      </c>
      <c r="L30" s="28"/>
      <c r="M30" s="105"/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1000</v>
      </c>
      <c r="L31" s="28"/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1000</v>
      </c>
      <c r="L32" s="28"/>
      <c r="M32" s="99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1000</v>
      </c>
      <c r="L33" s="28"/>
      <c r="M33" s="99"/>
    </row>
    <row r="34" spans="1:13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1000</v>
      </c>
      <c r="L34" s="28"/>
      <c r="M34" s="99"/>
    </row>
    <row r="35" spans="1:13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1000</v>
      </c>
      <c r="L35" s="28"/>
      <c r="M35" s="99"/>
    </row>
    <row r="36" spans="1:13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1000</v>
      </c>
      <c r="L36" s="28"/>
    </row>
    <row r="37" spans="1:13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1000</v>
      </c>
      <c r="L37" s="28"/>
      <c r="M37" s="99"/>
    </row>
    <row r="38" spans="1:13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1000</v>
      </c>
      <c r="L38" s="28"/>
      <c r="M38" s="99"/>
    </row>
    <row r="39" spans="1:13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1000</v>
      </c>
      <c r="L39" s="28"/>
      <c r="M39" s="99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1000</v>
      </c>
      <c r="L40" s="28"/>
      <c r="M40" s="99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1000</v>
      </c>
      <c r="L41" s="28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1000</v>
      </c>
      <c r="L42" s="28"/>
    </row>
    <row r="43" spans="1:13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1000</v>
      </c>
      <c r="L43" s="28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1000</v>
      </c>
      <c r="L44" s="28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1000</v>
      </c>
      <c r="L45" s="28"/>
    </row>
    <row r="46" spans="1:13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1000</v>
      </c>
      <c r="L46" s="28"/>
      <c r="M46" s="99"/>
    </row>
    <row r="47" spans="1:13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1000</v>
      </c>
      <c r="L47" s="28"/>
      <c r="M47" s="99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1000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1000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1000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1000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1000</v>
      </c>
      <c r="L52" s="28"/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1000</v>
      </c>
      <c r="L53" s="28"/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1000</v>
      </c>
      <c r="L54" s="28"/>
      <c r="M54" s="99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1000</v>
      </c>
      <c r="L55" s="28"/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1000</v>
      </c>
      <c r="L56" s="28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1000</v>
      </c>
      <c r="L57" s="28"/>
      <c r="M57" s="99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1000</v>
      </c>
      <c r="L58" s="28"/>
      <c r="M58" s="99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1000</v>
      </c>
      <c r="L59" s="28"/>
      <c r="M59" s="99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1000</v>
      </c>
      <c r="L60" s="28"/>
      <c r="M60" s="99"/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1000</v>
      </c>
      <c r="L61" s="28"/>
    </row>
    <row r="62" spans="1:13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1000</v>
      </c>
      <c r="L62" s="28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1000</v>
      </c>
      <c r="L63" s="28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1000</v>
      </c>
      <c r="L64" s="28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1000</v>
      </c>
      <c r="L65" s="28"/>
      <c r="M65" s="99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1000</v>
      </c>
      <c r="L66" s="28"/>
      <c r="M66" s="99"/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1000</v>
      </c>
      <c r="L67" s="28"/>
    </row>
    <row r="68" spans="1:13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1000</v>
      </c>
      <c r="L68" s="28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1000</v>
      </c>
      <c r="L69" s="28"/>
    </row>
    <row r="70" spans="1:13" ht="20.100000000000001" customHeight="1" x14ac:dyDescent="0.15">
      <c r="A70" s="10"/>
      <c r="B70" s="5"/>
      <c r="C70" s="10"/>
      <c r="D70" s="10"/>
      <c r="E70" s="10"/>
      <c r="F70" s="10"/>
      <c r="G70" s="10"/>
      <c r="H70" s="8"/>
      <c r="I70" s="8"/>
      <c r="J70" s="8" t="str">
        <f t="shared" ref="J70:J75" si="4">IF((K69+H70-I70)&gt;0,"借","贷")</f>
        <v>借</v>
      </c>
      <c r="K70" s="9">
        <f t="shared" ref="K70:K75" si="5">K69+H70-I70</f>
        <v>1000</v>
      </c>
      <c r="L70" s="28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4"/>
        <v>借</v>
      </c>
      <c r="K71" s="9">
        <f t="shared" si="5"/>
        <v>1000</v>
      </c>
      <c r="L71" s="28"/>
      <c r="M71" s="99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8"/>
      <c r="J72" s="8" t="str">
        <f t="shared" si="4"/>
        <v>借</v>
      </c>
      <c r="K72" s="9">
        <f t="shared" si="5"/>
        <v>1000</v>
      </c>
      <c r="L72" s="28"/>
      <c r="M72" s="99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8"/>
      <c r="J73" s="8" t="str">
        <f t="shared" si="4"/>
        <v>借</v>
      </c>
      <c r="K73" s="9">
        <f t="shared" si="5"/>
        <v>1000</v>
      </c>
      <c r="L73" s="28"/>
      <c r="M73" s="99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1000</v>
      </c>
      <c r="L74" s="28"/>
      <c r="M74" s="99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1000</v>
      </c>
      <c r="L75" s="28"/>
      <c r="M75" s="99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ref="J76:J112" si="6">IF((K75+H76-I76)&gt;0,"借","贷")</f>
        <v>借</v>
      </c>
      <c r="K76" s="9">
        <f t="shared" ref="K76:K112" si="7">K75+H76-I76</f>
        <v>1000</v>
      </c>
      <c r="L76" s="28"/>
      <c r="M76" s="99"/>
    </row>
    <row r="77" spans="1:13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6"/>
        <v>借</v>
      </c>
      <c r="K77" s="9">
        <f t="shared" si="7"/>
        <v>1000</v>
      </c>
      <c r="L77" s="28"/>
    </row>
    <row r="78" spans="1:13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6"/>
        <v>借</v>
      </c>
      <c r="K78" s="9">
        <f t="shared" si="7"/>
        <v>1000</v>
      </c>
      <c r="L78" s="28"/>
    </row>
    <row r="79" spans="1:13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6"/>
        <v>借</v>
      </c>
      <c r="K79" s="9">
        <f t="shared" si="7"/>
        <v>1000</v>
      </c>
      <c r="L79" s="28"/>
    </row>
    <row r="80" spans="1:13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6"/>
        <v>借</v>
      </c>
      <c r="K80" s="9">
        <f t="shared" si="7"/>
        <v>1000</v>
      </c>
      <c r="L80" s="28"/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6"/>
        <v>借</v>
      </c>
      <c r="K81" s="9">
        <f t="shared" si="7"/>
        <v>1000</v>
      </c>
      <c r="L81" s="28"/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6"/>
        <v>借</v>
      </c>
      <c r="K82" s="9">
        <f t="shared" si="7"/>
        <v>1000</v>
      </c>
      <c r="L82" s="28"/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6"/>
        <v>借</v>
      </c>
      <c r="K83" s="9">
        <f t="shared" si="7"/>
        <v>1000</v>
      </c>
      <c r="L83" s="28"/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6"/>
        <v>借</v>
      </c>
      <c r="K84" s="9">
        <f t="shared" si="7"/>
        <v>1000</v>
      </c>
      <c r="L84" s="28"/>
      <c r="M84" s="99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6"/>
        <v>借</v>
      </c>
      <c r="K85" s="9">
        <f t="shared" si="7"/>
        <v>1000</v>
      </c>
      <c r="L85" s="28"/>
      <c r="M85" s="99"/>
    </row>
    <row r="86" spans="1:13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6"/>
        <v>借</v>
      </c>
      <c r="K86" s="9">
        <f t="shared" si="7"/>
        <v>1000</v>
      </c>
      <c r="L86" s="28"/>
      <c r="M86" s="99"/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6"/>
        <v>借</v>
      </c>
      <c r="K87" s="9">
        <f t="shared" si="7"/>
        <v>1000</v>
      </c>
      <c r="L87" s="28"/>
      <c r="M87" s="99"/>
    </row>
    <row r="88" spans="1:13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6"/>
        <v>借</v>
      </c>
      <c r="K88" s="9">
        <f t="shared" si="7"/>
        <v>1000</v>
      </c>
      <c r="L88" s="28"/>
      <c r="M88" s="99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6"/>
        <v>借</v>
      </c>
      <c r="K89" s="9">
        <f t="shared" si="7"/>
        <v>1000</v>
      </c>
      <c r="L89" s="28"/>
      <c r="M89" s="99"/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6"/>
        <v>借</v>
      </c>
      <c r="K90" s="9">
        <f t="shared" si="7"/>
        <v>1000</v>
      </c>
      <c r="L90" s="28"/>
      <c r="M90" s="99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6"/>
        <v>借</v>
      </c>
      <c r="K91" s="9">
        <f t="shared" si="7"/>
        <v>1000</v>
      </c>
      <c r="L91" s="28"/>
      <c r="M91" s="99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6"/>
        <v>借</v>
      </c>
      <c r="K92" s="9">
        <f t="shared" si="7"/>
        <v>1000</v>
      </c>
      <c r="L92" s="28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6"/>
        <v>借</v>
      </c>
      <c r="K93" s="9">
        <f t="shared" si="7"/>
        <v>1000</v>
      </c>
      <c r="L93" s="28"/>
      <c r="M93" s="99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15"/>
      <c r="J94" s="8" t="str">
        <f t="shared" si="6"/>
        <v>借</v>
      </c>
      <c r="K94" s="9">
        <f t="shared" si="7"/>
        <v>1000</v>
      </c>
      <c r="L94" s="28"/>
      <c r="M94" s="99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15"/>
      <c r="J95" s="8" t="str">
        <f t="shared" si="6"/>
        <v>借</v>
      </c>
      <c r="K95" s="9">
        <f t="shared" si="7"/>
        <v>1000</v>
      </c>
      <c r="L95" s="28"/>
      <c r="M95" s="99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6"/>
        <v>借</v>
      </c>
      <c r="K96" s="9">
        <f t="shared" si="7"/>
        <v>1000</v>
      </c>
      <c r="L96" s="28"/>
      <c r="M96" s="99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6"/>
        <v>借</v>
      </c>
      <c r="K97" s="9">
        <f t="shared" si="7"/>
        <v>1000</v>
      </c>
      <c r="L97" s="28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6"/>
        <v>借</v>
      </c>
      <c r="K98" s="9">
        <f t="shared" si="7"/>
        <v>1000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15"/>
      <c r="J99" s="8" t="str">
        <f t="shared" si="6"/>
        <v>借</v>
      </c>
      <c r="K99" s="9">
        <f t="shared" si="7"/>
        <v>1000</v>
      </c>
      <c r="L99" s="28"/>
      <c r="M99" s="99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6"/>
        <v>借</v>
      </c>
      <c r="K100" s="9">
        <f t="shared" si="7"/>
        <v>1000</v>
      </c>
      <c r="L100" s="28"/>
      <c r="M100" s="99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6"/>
        <v>借</v>
      </c>
      <c r="K101" s="9">
        <f t="shared" si="7"/>
        <v>1000</v>
      </c>
      <c r="L101" s="28"/>
      <c r="M101" s="99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6"/>
        <v>借</v>
      </c>
      <c r="K102" s="9">
        <f t="shared" si="7"/>
        <v>1000</v>
      </c>
      <c r="L102" s="28"/>
      <c r="M102" s="99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6"/>
        <v>借</v>
      </c>
      <c r="K103" s="9">
        <f t="shared" si="7"/>
        <v>1000</v>
      </c>
      <c r="L103" s="28"/>
      <c r="M103" s="99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6"/>
        <v>借</v>
      </c>
      <c r="K104" s="9">
        <f t="shared" si="7"/>
        <v>1000</v>
      </c>
      <c r="L104" s="28"/>
      <c r="M104" s="99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si="7"/>
        <v>1000</v>
      </c>
      <c r="L105" s="28"/>
    </row>
    <row r="106" spans="1:13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1000</v>
      </c>
      <c r="L106" s="28"/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1000</v>
      </c>
      <c r="L107" s="28"/>
      <c r="M107" s="99"/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1000</v>
      </c>
      <c r="L108" s="28"/>
      <c r="M108" s="99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1000</v>
      </c>
      <c r="L109" s="28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6"/>
        <v>借</v>
      </c>
      <c r="K110" s="9">
        <f t="shared" si="7"/>
        <v>1000</v>
      </c>
      <c r="L110" s="28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6"/>
        <v>借</v>
      </c>
      <c r="K111" s="9">
        <f t="shared" si="7"/>
        <v>1000</v>
      </c>
      <c r="L111" s="28"/>
      <c r="M111" s="99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1000</v>
      </c>
      <c r="L112" s="28"/>
      <c r="M112" s="99"/>
    </row>
    <row r="113" spans="1:13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ref="J113:J135" si="8">IF((K112+H113-I113)&gt;0,"借","贷")</f>
        <v>借</v>
      </c>
      <c r="K113" s="9">
        <f t="shared" ref="K113:K135" si="9">K112+H113-I113</f>
        <v>1000</v>
      </c>
      <c r="L113" s="28"/>
      <c r="M113" s="99"/>
    </row>
    <row r="114" spans="1:13" ht="20.100000000000001" customHeight="1" x14ac:dyDescent="0.15">
      <c r="B114" s="5"/>
      <c r="C114" s="5"/>
      <c r="D114" s="10"/>
      <c r="E114" s="10"/>
      <c r="F114" s="10"/>
      <c r="G114" s="10"/>
      <c r="H114" s="8"/>
      <c r="I114" s="8"/>
      <c r="J114" s="8" t="str">
        <f t="shared" si="8"/>
        <v>借</v>
      </c>
      <c r="K114" s="9">
        <f t="shared" si="9"/>
        <v>1000</v>
      </c>
      <c r="L114" s="28"/>
      <c r="M114" s="99"/>
    </row>
    <row r="115" spans="1:13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8"/>
        <v>借</v>
      </c>
      <c r="K115" s="9">
        <f t="shared" si="9"/>
        <v>1000</v>
      </c>
      <c r="L115" s="28"/>
    </row>
    <row r="116" spans="1:13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8"/>
        <v>借</v>
      </c>
      <c r="K116" s="9">
        <f t="shared" si="9"/>
        <v>1000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8"/>
        <v>借</v>
      </c>
      <c r="K117" s="9">
        <f t="shared" si="9"/>
        <v>1000</v>
      </c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8"/>
        <v>借</v>
      </c>
      <c r="K118" s="9">
        <f t="shared" si="9"/>
        <v>1000</v>
      </c>
      <c r="L118" s="28"/>
      <c r="M118" s="99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8"/>
        <v>借</v>
      </c>
      <c r="K119" s="9">
        <f t="shared" si="9"/>
        <v>1000</v>
      </c>
      <c r="L119" s="28"/>
      <c r="M119" s="99"/>
    </row>
    <row r="120" spans="1:13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8"/>
        <v>借</v>
      </c>
      <c r="K120" s="9">
        <f t="shared" si="9"/>
        <v>1000</v>
      </c>
      <c r="L120" s="28"/>
    </row>
    <row r="121" spans="1:13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8"/>
        <v>借</v>
      </c>
      <c r="K121" s="9">
        <f t="shared" si="9"/>
        <v>1000</v>
      </c>
      <c r="L121" s="28"/>
    </row>
    <row r="122" spans="1:13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8"/>
        <v>借</v>
      </c>
      <c r="K122" s="9">
        <f t="shared" si="9"/>
        <v>1000</v>
      </c>
      <c r="L122" s="28"/>
    </row>
    <row r="123" spans="1:13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8"/>
        <v>借</v>
      </c>
      <c r="K123" s="9">
        <f t="shared" si="9"/>
        <v>1000</v>
      </c>
      <c r="L123" s="28"/>
    </row>
    <row r="124" spans="1:13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8"/>
        <v>借</v>
      </c>
      <c r="K124" s="9">
        <f t="shared" si="9"/>
        <v>1000</v>
      </c>
      <c r="L124" s="28"/>
    </row>
    <row r="125" spans="1:13" ht="20.100000000000001" customHeight="1" x14ac:dyDescent="0.15">
      <c r="A125" s="10"/>
      <c r="B125" s="5"/>
      <c r="C125" s="5"/>
      <c r="D125" s="10"/>
      <c r="E125" s="10"/>
      <c r="F125" s="10"/>
      <c r="G125" s="10"/>
      <c r="H125" s="8"/>
      <c r="I125" s="8"/>
      <c r="J125" s="8" t="str">
        <f t="shared" si="8"/>
        <v>借</v>
      </c>
      <c r="K125" s="9">
        <f t="shared" si="9"/>
        <v>1000</v>
      </c>
      <c r="L125" s="28"/>
    </row>
    <row r="126" spans="1:13" ht="20.100000000000001" customHeight="1" x14ac:dyDescent="0.15">
      <c r="A126" s="5"/>
      <c r="B126" s="5"/>
      <c r="C126" s="5"/>
      <c r="D126" s="29"/>
      <c r="E126" s="10"/>
      <c r="F126" s="10"/>
      <c r="G126" s="10"/>
      <c r="H126" s="8"/>
      <c r="I126" s="8"/>
      <c r="J126" s="8" t="str">
        <f t="shared" si="8"/>
        <v>借</v>
      </c>
      <c r="K126" s="9">
        <f t="shared" si="9"/>
        <v>1000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8"/>
        <v>借</v>
      </c>
      <c r="K127" s="9">
        <f t="shared" si="9"/>
        <v>1000</v>
      </c>
      <c r="L127" s="28"/>
    </row>
    <row r="128" spans="1:13" ht="20.100000000000001" customHeight="1" x14ac:dyDescent="0.15">
      <c r="A128" s="5"/>
      <c r="B128" s="5"/>
      <c r="C128" s="10"/>
      <c r="D128" s="30"/>
      <c r="E128" s="10"/>
      <c r="F128" s="10"/>
      <c r="G128" s="10"/>
      <c r="H128" s="8"/>
      <c r="I128" s="8"/>
      <c r="J128" s="8" t="str">
        <f t="shared" si="8"/>
        <v>借</v>
      </c>
      <c r="K128" s="9">
        <f t="shared" si="9"/>
        <v>1000</v>
      </c>
      <c r="L128" s="28"/>
    </row>
    <row r="129" spans="1:13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8"/>
        <v>借</v>
      </c>
      <c r="K129" s="9">
        <f t="shared" si="9"/>
        <v>1000</v>
      </c>
      <c r="L129" s="28"/>
    </row>
    <row r="130" spans="1:13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8"/>
        <v>借</v>
      </c>
      <c r="K130" s="9">
        <f t="shared" si="9"/>
        <v>1000</v>
      </c>
      <c r="L130" s="28"/>
      <c r="M130" s="99"/>
    </row>
    <row r="131" spans="1:13" ht="20.100000000000001" customHeight="1" x14ac:dyDescent="0.15">
      <c r="A131" s="5"/>
      <c r="B131" s="5"/>
      <c r="C131" s="5"/>
      <c r="D131" s="10"/>
      <c r="E131" s="10"/>
      <c r="F131" s="10"/>
      <c r="G131" s="10"/>
      <c r="H131" s="8"/>
      <c r="I131" s="8"/>
      <c r="J131" s="8" t="str">
        <f t="shared" si="8"/>
        <v>借</v>
      </c>
      <c r="K131" s="9">
        <f t="shared" si="9"/>
        <v>1000</v>
      </c>
      <c r="L131" s="28"/>
      <c r="M131" s="99"/>
    </row>
    <row r="132" spans="1:13" ht="20.100000000000001" customHeight="1" x14ac:dyDescent="0.15">
      <c r="A132" s="10"/>
      <c r="B132" s="5"/>
      <c r="C132" s="5"/>
      <c r="D132" s="14"/>
      <c r="E132" s="10"/>
      <c r="F132" s="10"/>
      <c r="G132" s="10"/>
      <c r="H132" s="8"/>
      <c r="I132" s="8"/>
      <c r="J132" s="8" t="str">
        <f t="shared" si="8"/>
        <v>借</v>
      </c>
      <c r="K132" s="9">
        <f t="shared" si="9"/>
        <v>1000</v>
      </c>
      <c r="L132" s="28"/>
      <c r="M132" s="99"/>
    </row>
    <row r="133" spans="1:13" ht="20.100000000000001" customHeight="1" x14ac:dyDescent="0.15">
      <c r="A133" s="10"/>
      <c r="B133" s="5"/>
      <c r="C133" s="5"/>
      <c r="D133" s="10"/>
      <c r="E133" s="10"/>
      <c r="F133" s="10"/>
      <c r="G133" s="10"/>
      <c r="H133" s="8"/>
      <c r="I133" s="8"/>
      <c r="J133" s="8" t="str">
        <f t="shared" si="8"/>
        <v>借</v>
      </c>
      <c r="K133" s="9">
        <f t="shared" si="9"/>
        <v>1000</v>
      </c>
      <c r="L133" s="28"/>
      <c r="M133" s="99"/>
    </row>
    <row r="134" spans="1:13" ht="20.100000000000001" customHeight="1" x14ac:dyDescent="0.15">
      <c r="A134" s="5"/>
      <c r="B134" s="5"/>
      <c r="C134" s="5"/>
      <c r="D134" s="14"/>
      <c r="E134" s="10"/>
      <c r="F134" s="10"/>
      <c r="G134" s="10"/>
      <c r="H134" s="8"/>
      <c r="I134" s="8"/>
      <c r="J134" s="8" t="str">
        <f t="shared" si="8"/>
        <v>借</v>
      </c>
      <c r="K134" s="9">
        <f t="shared" si="9"/>
        <v>1000</v>
      </c>
      <c r="L134" s="28"/>
      <c r="M134" s="99"/>
    </row>
    <row r="135" spans="1:13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8"/>
        <v>借</v>
      </c>
      <c r="K135" s="9">
        <f t="shared" si="9"/>
        <v>1000</v>
      </c>
      <c r="L135" s="28"/>
      <c r="M135" s="99"/>
    </row>
    <row r="136" spans="1:13" ht="20.100000000000001" customHeight="1" x14ac:dyDescent="0.15">
      <c r="A136" s="5"/>
      <c r="B136" s="5"/>
      <c r="C136" s="5"/>
      <c r="D136" s="29"/>
      <c r="E136" s="10"/>
      <c r="F136" s="10"/>
      <c r="G136" s="10"/>
      <c r="H136" s="8"/>
      <c r="I136" s="8"/>
      <c r="J136" s="8" t="str">
        <f t="shared" ref="J136:J199" si="10">IF((K135+H136-I136)&gt;0,"借","贷")</f>
        <v>借</v>
      </c>
      <c r="K136" s="9">
        <f t="shared" ref="K136:K178" si="11">K135+H136-I136</f>
        <v>1000</v>
      </c>
      <c r="L136" s="28"/>
    </row>
    <row r="137" spans="1:13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10"/>
        <v>借</v>
      </c>
      <c r="K137" s="9">
        <f t="shared" si="11"/>
        <v>1000</v>
      </c>
      <c r="L137" s="28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10"/>
        <v>借</v>
      </c>
      <c r="K138" s="9">
        <f t="shared" si="11"/>
        <v>1000</v>
      </c>
      <c r="L138" s="28"/>
    </row>
    <row r="139" spans="1:13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10"/>
        <v>借</v>
      </c>
      <c r="K139" s="9">
        <f t="shared" si="11"/>
        <v>1000</v>
      </c>
      <c r="L139" s="28"/>
    </row>
    <row r="140" spans="1:13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10"/>
        <v>借</v>
      </c>
      <c r="K140" s="9">
        <f t="shared" si="11"/>
        <v>1000</v>
      </c>
      <c r="L140" s="28"/>
    </row>
    <row r="141" spans="1:13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10"/>
        <v>借</v>
      </c>
      <c r="K141" s="9">
        <f t="shared" si="11"/>
        <v>1000</v>
      </c>
      <c r="L141" s="28"/>
      <c r="M141" s="99"/>
    </row>
    <row r="142" spans="1:13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10"/>
        <v>借</v>
      </c>
      <c r="K142" s="9">
        <f t="shared" si="11"/>
        <v>1000</v>
      </c>
      <c r="L142" s="28"/>
      <c r="M142" s="99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10"/>
        <v>借</v>
      </c>
      <c r="K143" s="9">
        <f t="shared" si="11"/>
        <v>1000</v>
      </c>
      <c r="L143" s="28"/>
    </row>
    <row r="144" spans="1:13" ht="20.100000000000001" customHeight="1" x14ac:dyDescent="0.15">
      <c r="A144" s="5"/>
      <c r="B144" s="5"/>
      <c r="C144" s="5"/>
      <c r="D144" s="10"/>
      <c r="E144" s="16"/>
      <c r="F144" s="10"/>
      <c r="G144" s="10"/>
      <c r="H144" s="8"/>
      <c r="I144" s="8"/>
      <c r="J144" s="8" t="str">
        <f t="shared" si="10"/>
        <v>借</v>
      </c>
      <c r="K144" s="9">
        <f t="shared" si="11"/>
        <v>1000</v>
      </c>
      <c r="L144" s="28"/>
    </row>
    <row r="145" spans="1:13" ht="20.100000000000001" customHeight="1" x14ac:dyDescent="0.15">
      <c r="A145" s="5"/>
      <c r="B145" s="5"/>
      <c r="C145" s="5"/>
      <c r="D145" s="10"/>
      <c r="E145" s="16"/>
      <c r="F145" s="10"/>
      <c r="G145" s="10"/>
      <c r="H145" s="8"/>
      <c r="I145" s="8"/>
      <c r="J145" s="8" t="str">
        <f t="shared" si="10"/>
        <v>借</v>
      </c>
      <c r="K145" s="9">
        <f t="shared" si="11"/>
        <v>1000</v>
      </c>
      <c r="L145" s="28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10"/>
        <v>借</v>
      </c>
      <c r="K146" s="9">
        <f t="shared" si="11"/>
        <v>1000</v>
      </c>
      <c r="L146" s="28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10"/>
        <v>借</v>
      </c>
      <c r="K147" s="9">
        <f t="shared" si="11"/>
        <v>1000</v>
      </c>
      <c r="L147" s="28"/>
    </row>
    <row r="148" spans="1:13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10"/>
        <v>借</v>
      </c>
      <c r="K148" s="9">
        <f t="shared" si="11"/>
        <v>1000</v>
      </c>
      <c r="L148" s="28"/>
      <c r="M148" s="99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10"/>
        <v>借</v>
      </c>
      <c r="K149" s="9">
        <f t="shared" si="11"/>
        <v>1000</v>
      </c>
      <c r="L149" s="28"/>
      <c r="M149" s="99"/>
    </row>
    <row r="150" spans="1:13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10"/>
        <v>借</v>
      </c>
      <c r="K150" s="9">
        <f t="shared" si="11"/>
        <v>1000</v>
      </c>
      <c r="L150" s="28"/>
      <c r="M150" s="99"/>
    </row>
    <row r="151" spans="1:13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10"/>
        <v>借</v>
      </c>
      <c r="K151" s="9">
        <f t="shared" si="11"/>
        <v>1000</v>
      </c>
      <c r="L151" s="28"/>
      <c r="M151" s="99"/>
    </row>
    <row r="152" spans="1:13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10"/>
        <v>借</v>
      </c>
      <c r="K152" s="9">
        <f t="shared" si="11"/>
        <v>1000</v>
      </c>
      <c r="L152" s="28"/>
      <c r="M152" s="99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10"/>
        <v>借</v>
      </c>
      <c r="K153" s="9">
        <f t="shared" si="11"/>
        <v>1000</v>
      </c>
      <c r="L153" s="28"/>
      <c r="M153" s="99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10"/>
        <v>借</v>
      </c>
      <c r="K154" s="9">
        <f t="shared" si="11"/>
        <v>1000</v>
      </c>
      <c r="L154" s="28"/>
    </row>
    <row r="155" spans="1:13" ht="20.100000000000001" customHeight="1" x14ac:dyDescent="0.15">
      <c r="A155" s="5"/>
      <c r="B155" s="5"/>
      <c r="C155" s="5"/>
      <c r="D155" s="10"/>
      <c r="E155" s="16"/>
      <c r="F155" s="10"/>
      <c r="G155" s="10"/>
      <c r="H155" s="8"/>
      <c r="I155" s="8"/>
      <c r="J155" s="8" t="str">
        <f t="shared" si="10"/>
        <v>借</v>
      </c>
      <c r="K155" s="9">
        <f t="shared" si="11"/>
        <v>1000</v>
      </c>
      <c r="L155" s="28"/>
      <c r="M155" s="99"/>
    </row>
    <row r="156" spans="1:13" ht="20.100000000000001" customHeight="1" x14ac:dyDescent="0.15">
      <c r="A156" s="5"/>
      <c r="B156" s="5"/>
      <c r="C156" s="5"/>
      <c r="D156" s="10"/>
      <c r="E156" s="16"/>
      <c r="F156" s="10"/>
      <c r="G156" s="10"/>
      <c r="H156" s="8"/>
      <c r="I156" s="8"/>
      <c r="J156" s="8" t="str">
        <f t="shared" si="10"/>
        <v>借</v>
      </c>
      <c r="K156" s="9">
        <f t="shared" si="11"/>
        <v>1000</v>
      </c>
      <c r="L156" s="28"/>
      <c r="M156" s="99"/>
    </row>
    <row r="157" spans="1:13" ht="20.100000000000001" customHeight="1" x14ac:dyDescent="0.15">
      <c r="A157" s="5"/>
      <c r="B157" s="5"/>
      <c r="C157" s="5"/>
      <c r="D157" s="10"/>
      <c r="E157" s="16"/>
      <c r="F157" s="10"/>
      <c r="G157" s="10"/>
      <c r="H157" s="8"/>
      <c r="I157" s="8"/>
      <c r="J157" s="8" t="str">
        <f t="shared" si="10"/>
        <v>借</v>
      </c>
      <c r="K157" s="9">
        <f t="shared" si="11"/>
        <v>1000</v>
      </c>
      <c r="L157" s="28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10"/>
        <v>借</v>
      </c>
      <c r="K158" s="9">
        <f t="shared" si="11"/>
        <v>1000</v>
      </c>
      <c r="L158" s="28"/>
      <c r="M158" s="99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10"/>
        <v>借</v>
      </c>
      <c r="K159" s="9">
        <f t="shared" si="11"/>
        <v>1000</v>
      </c>
      <c r="L159" s="28"/>
      <c r="M159" s="99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10"/>
        <v>借</v>
      </c>
      <c r="K160" s="9">
        <f t="shared" si="11"/>
        <v>1000</v>
      </c>
      <c r="L160" s="28"/>
    </row>
    <row r="161" spans="1:13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10"/>
        <v>借</v>
      </c>
      <c r="K161" s="9">
        <f t="shared" si="11"/>
        <v>1000</v>
      </c>
      <c r="L161" s="28"/>
    </row>
    <row r="162" spans="1:13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10"/>
        <v>借</v>
      </c>
      <c r="K162" s="9">
        <f t="shared" si="11"/>
        <v>1000</v>
      </c>
      <c r="L162" s="28"/>
    </row>
    <row r="163" spans="1:13" ht="20.100000000000001" customHeight="1" x14ac:dyDescent="0.15">
      <c r="A163" s="10"/>
      <c r="B163" s="5"/>
      <c r="C163" s="5"/>
      <c r="D163" s="10"/>
      <c r="E163" s="16"/>
      <c r="F163" s="10"/>
      <c r="G163" s="10"/>
      <c r="H163" s="8"/>
      <c r="I163" s="8"/>
      <c r="J163" s="8" t="str">
        <f t="shared" si="10"/>
        <v>借</v>
      </c>
      <c r="K163" s="9">
        <f t="shared" si="11"/>
        <v>1000</v>
      </c>
      <c r="L163" s="28"/>
    </row>
    <row r="164" spans="1:13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10"/>
        <v>借</v>
      </c>
      <c r="K164" s="9">
        <f t="shared" si="11"/>
        <v>1000</v>
      </c>
      <c r="L164" s="28"/>
    </row>
    <row r="165" spans="1:13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10"/>
        <v>借</v>
      </c>
      <c r="K165" s="9">
        <f t="shared" si="11"/>
        <v>1000</v>
      </c>
      <c r="L165" s="28"/>
      <c r="M165" s="99"/>
    </row>
    <row r="166" spans="1:13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10"/>
        <v>借</v>
      </c>
      <c r="K166" s="9">
        <f t="shared" si="11"/>
        <v>1000</v>
      </c>
      <c r="L166" s="28"/>
      <c r="M166" s="99"/>
    </row>
    <row r="167" spans="1:13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10"/>
        <v>借</v>
      </c>
      <c r="K167" s="9">
        <f t="shared" si="11"/>
        <v>1000</v>
      </c>
      <c r="L167" s="28"/>
      <c r="M167" s="99"/>
    </row>
    <row r="168" spans="1:13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10"/>
        <v>借</v>
      </c>
      <c r="K168" s="9">
        <f t="shared" si="11"/>
        <v>1000</v>
      </c>
      <c r="L168" s="28"/>
      <c r="M168" s="99"/>
    </row>
    <row r="169" spans="1:13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10"/>
        <v>借</v>
      </c>
      <c r="K169" s="9">
        <f t="shared" si="11"/>
        <v>1000</v>
      </c>
      <c r="L169" s="28"/>
    </row>
    <row r="170" spans="1:13" ht="20.100000000000001" customHeight="1" x14ac:dyDescent="0.15">
      <c r="A170" s="10"/>
      <c r="B170" s="5"/>
      <c r="C170" s="10"/>
      <c r="D170" s="10"/>
      <c r="E170" s="16"/>
      <c r="F170" s="10"/>
      <c r="G170" s="10"/>
      <c r="H170" s="8"/>
      <c r="I170" s="8"/>
      <c r="J170" s="8" t="str">
        <f t="shared" si="10"/>
        <v>借</v>
      </c>
      <c r="K170" s="9">
        <f t="shared" si="11"/>
        <v>1000</v>
      </c>
      <c r="L170" s="28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10"/>
        <v>借</v>
      </c>
      <c r="K171" s="9">
        <f t="shared" si="11"/>
        <v>1000</v>
      </c>
      <c r="L171" s="28"/>
    </row>
    <row r="172" spans="1:13" ht="20.100000000000001" customHeight="1" x14ac:dyDescent="0.15">
      <c r="A172" s="10"/>
      <c r="B172" s="5"/>
      <c r="C172" s="10"/>
      <c r="D172" s="10"/>
      <c r="E172" s="16"/>
      <c r="F172" s="10"/>
      <c r="G172" s="10"/>
      <c r="H172" s="8"/>
      <c r="I172" s="8"/>
      <c r="J172" s="8" t="str">
        <f t="shared" si="10"/>
        <v>借</v>
      </c>
      <c r="K172" s="9">
        <f t="shared" si="11"/>
        <v>1000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10"/>
        <v>借</v>
      </c>
      <c r="K173" s="9">
        <f t="shared" si="11"/>
        <v>1000</v>
      </c>
      <c r="L173" s="28"/>
      <c r="M173" s="99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10"/>
        <v>借</v>
      </c>
      <c r="K174" s="9">
        <f t="shared" si="11"/>
        <v>1000</v>
      </c>
      <c r="L174" s="28"/>
      <c r="M174" s="99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10"/>
        <v>借</v>
      </c>
      <c r="K175" s="9">
        <f t="shared" si="11"/>
        <v>1000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10"/>
        <v>借</v>
      </c>
      <c r="K176" s="9">
        <f t="shared" si="11"/>
        <v>1000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10"/>
        <v>借</v>
      </c>
      <c r="K177" s="9">
        <f t="shared" si="11"/>
        <v>1000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10"/>
        <v>借</v>
      </c>
      <c r="K178" s="9">
        <f t="shared" si="11"/>
        <v>1000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10"/>
        <v>借</v>
      </c>
      <c r="K179" s="9">
        <f t="shared" ref="K179:K239" si="12">_xlfn.IFS(J178="借",K178+H179-I179,J178="贷",H179-I179-K178)</f>
        <v>1000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10"/>
        <v>借</v>
      </c>
      <c r="K180" s="9">
        <f t="shared" si="12"/>
        <v>1000</v>
      </c>
      <c r="L180" s="28"/>
    </row>
    <row r="181" spans="1:13" ht="20.100000000000001" customHeight="1" x14ac:dyDescent="0.15">
      <c r="A181" s="10"/>
      <c r="B181" s="5"/>
      <c r="C181" s="10"/>
      <c r="D181" s="10"/>
      <c r="E181" s="16"/>
      <c r="F181" s="10"/>
      <c r="G181" s="10"/>
      <c r="H181" s="8"/>
      <c r="I181" s="8"/>
      <c r="J181" s="8" t="str">
        <f t="shared" si="10"/>
        <v>借</v>
      </c>
      <c r="K181" s="9">
        <f t="shared" si="12"/>
        <v>1000</v>
      </c>
      <c r="L181" s="28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10"/>
        <v>借</v>
      </c>
      <c r="K182" s="9">
        <f t="shared" si="12"/>
        <v>1000</v>
      </c>
      <c r="L182" s="28"/>
      <c r="M182" s="99"/>
    </row>
    <row r="183" spans="1:13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10"/>
        <v>借</v>
      </c>
      <c r="K183" s="9">
        <f t="shared" si="12"/>
        <v>1000</v>
      </c>
      <c r="L183" s="28"/>
      <c r="M183" s="99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10"/>
        <v>借</v>
      </c>
      <c r="K184" s="9">
        <f t="shared" si="12"/>
        <v>1000</v>
      </c>
      <c r="L184" s="28"/>
      <c r="M184" s="99"/>
    </row>
    <row r="185" spans="1:13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10"/>
        <v>借</v>
      </c>
      <c r="K185" s="9">
        <f t="shared" si="12"/>
        <v>1000</v>
      </c>
      <c r="L185" s="28"/>
      <c r="M185" s="99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10"/>
        <v>借</v>
      </c>
      <c r="K186" s="9">
        <f t="shared" si="12"/>
        <v>1000</v>
      </c>
      <c r="L186" s="28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10"/>
        <v>借</v>
      </c>
      <c r="K187" s="9">
        <f t="shared" si="12"/>
        <v>1000</v>
      </c>
      <c r="L187" s="28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10"/>
        <v>借</v>
      </c>
      <c r="K188" s="9">
        <f t="shared" si="12"/>
        <v>1000</v>
      </c>
      <c r="L188" s="28"/>
    </row>
    <row r="189" spans="1:13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10"/>
        <v>借</v>
      </c>
      <c r="K189" s="9">
        <f t="shared" si="12"/>
        <v>1000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10"/>
        <v>借</v>
      </c>
      <c r="K190" s="9">
        <f t="shared" si="12"/>
        <v>1000</v>
      </c>
      <c r="L190" s="28"/>
      <c r="M190" s="99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10"/>
        <v>借</v>
      </c>
      <c r="K191" s="9">
        <f t="shared" si="12"/>
        <v>1000</v>
      </c>
      <c r="L191" s="28"/>
      <c r="M191" s="99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10"/>
        <v>借</v>
      </c>
      <c r="K192" s="9">
        <f t="shared" si="12"/>
        <v>1000</v>
      </c>
      <c r="L192" s="28"/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10"/>
        <v>借</v>
      </c>
      <c r="K193" s="9">
        <f t="shared" si="12"/>
        <v>1000</v>
      </c>
      <c r="L193" s="28"/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10"/>
        <v>借</v>
      </c>
      <c r="K194" s="9">
        <f t="shared" si="12"/>
        <v>1000</v>
      </c>
      <c r="L194" s="28"/>
    </row>
    <row r="195" spans="1:13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10"/>
        <v>借</v>
      </c>
      <c r="K195" s="9">
        <f t="shared" si="12"/>
        <v>1000</v>
      </c>
      <c r="L195" s="28"/>
    </row>
    <row r="196" spans="1:13" ht="20.100000000000001" customHeight="1" x14ac:dyDescent="0.15">
      <c r="A196" s="10"/>
      <c r="B196" s="5"/>
      <c r="C196" s="10"/>
      <c r="D196" s="10"/>
      <c r="E196" s="16"/>
      <c r="F196" s="10"/>
      <c r="G196" s="10"/>
      <c r="H196" s="8"/>
      <c r="I196" s="8"/>
      <c r="J196" s="8" t="str">
        <f t="shared" si="10"/>
        <v>借</v>
      </c>
      <c r="K196" s="9">
        <f t="shared" si="12"/>
        <v>1000</v>
      </c>
      <c r="L196" s="28"/>
    </row>
    <row r="197" spans="1:13" ht="20.100000000000001" customHeight="1" x14ac:dyDescent="0.15">
      <c r="A197" s="10"/>
      <c r="B197" s="5"/>
      <c r="C197" s="10"/>
      <c r="D197" s="10"/>
      <c r="E197" s="16"/>
      <c r="F197" s="10"/>
      <c r="G197" s="10"/>
      <c r="H197" s="8"/>
      <c r="I197" s="8"/>
      <c r="J197" s="8" t="str">
        <f t="shared" si="10"/>
        <v>借</v>
      </c>
      <c r="K197" s="9">
        <f t="shared" si="12"/>
        <v>1000</v>
      </c>
      <c r="L197" s="28"/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10"/>
        <v>借</v>
      </c>
      <c r="K198" s="9">
        <f t="shared" si="12"/>
        <v>1000</v>
      </c>
      <c r="L198" s="28"/>
    </row>
    <row r="199" spans="1:13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10"/>
        <v>借</v>
      </c>
      <c r="K199" s="9">
        <f t="shared" si="12"/>
        <v>1000</v>
      </c>
      <c r="L199" s="28"/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>IF((K199+H200-I200)&gt;0,"借","贷")</f>
        <v>借</v>
      </c>
      <c r="K200" s="9">
        <f t="shared" si="12"/>
        <v>1000</v>
      </c>
      <c r="L200" s="28"/>
      <c r="M200" s="99"/>
    </row>
    <row r="201" spans="1:13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ref="J201:J264" si="13">IF((K200+H201-I201)&gt;0,"借","贷")</f>
        <v>借</v>
      </c>
      <c r="K201" s="9">
        <f t="shared" si="12"/>
        <v>1000</v>
      </c>
      <c r="L201" s="28"/>
      <c r="M201" s="99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3"/>
        <v>借</v>
      </c>
      <c r="K202" s="9">
        <f t="shared" si="12"/>
        <v>1000</v>
      </c>
      <c r="L202" s="28"/>
      <c r="M202" s="99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3"/>
        <v>借</v>
      </c>
      <c r="K203" s="9">
        <f t="shared" si="12"/>
        <v>1000</v>
      </c>
      <c r="L203" s="28"/>
      <c r="M203" s="99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3"/>
        <v>借</v>
      </c>
      <c r="K204" s="9">
        <f t="shared" si="12"/>
        <v>1000</v>
      </c>
      <c r="L204" s="28"/>
    </row>
    <row r="205" spans="1:13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3"/>
        <v>借</v>
      </c>
      <c r="K205" s="9">
        <f t="shared" si="12"/>
        <v>1000</v>
      </c>
      <c r="L205" s="28"/>
    </row>
    <row r="206" spans="1:13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3"/>
        <v>借</v>
      </c>
      <c r="K206" s="9">
        <f t="shared" si="12"/>
        <v>1000</v>
      </c>
      <c r="L206" s="28"/>
      <c r="M206" s="99"/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3"/>
        <v>借</v>
      </c>
      <c r="K207" s="9">
        <f t="shared" si="12"/>
        <v>1000</v>
      </c>
      <c r="L207" s="28"/>
      <c r="M207" s="99"/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3"/>
        <v>借</v>
      </c>
      <c r="K208" s="9">
        <f t="shared" si="12"/>
        <v>1000</v>
      </c>
      <c r="L208" s="28"/>
    </row>
    <row r="209" spans="1:13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3"/>
        <v>借</v>
      </c>
      <c r="K209" s="9">
        <f t="shared" si="12"/>
        <v>1000</v>
      </c>
      <c r="L209" s="28"/>
      <c r="M209" s="99"/>
    </row>
    <row r="210" spans="1:13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3"/>
        <v>借</v>
      </c>
      <c r="K210" s="9">
        <f t="shared" si="12"/>
        <v>1000</v>
      </c>
      <c r="L210" s="28"/>
      <c r="M210" s="99"/>
    </row>
    <row r="211" spans="1:13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3"/>
        <v>借</v>
      </c>
      <c r="K211" s="9">
        <f t="shared" si="12"/>
        <v>1000</v>
      </c>
      <c r="L211" s="28"/>
      <c r="M211" s="99"/>
    </row>
    <row r="212" spans="1:13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3"/>
        <v>借</v>
      </c>
      <c r="K212" s="9">
        <f t="shared" si="12"/>
        <v>1000</v>
      </c>
      <c r="L212" s="28"/>
      <c r="M212" s="99"/>
    </row>
    <row r="213" spans="1:13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3"/>
        <v>借</v>
      </c>
      <c r="K213" s="9">
        <f t="shared" si="12"/>
        <v>1000</v>
      </c>
      <c r="L213" s="28"/>
      <c r="M213" s="99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3"/>
        <v>借</v>
      </c>
      <c r="K214" s="9">
        <f t="shared" si="12"/>
        <v>1000</v>
      </c>
      <c r="L214" s="28"/>
      <c r="M214" s="99"/>
    </row>
    <row r="215" spans="1:13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3"/>
        <v>借</v>
      </c>
      <c r="K215" s="9">
        <f t="shared" si="12"/>
        <v>1000</v>
      </c>
      <c r="L215" s="28"/>
    </row>
    <row r="216" spans="1:13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3"/>
        <v>借</v>
      </c>
      <c r="K216" s="9">
        <f t="shared" si="12"/>
        <v>1000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3"/>
        <v>借</v>
      </c>
      <c r="K217" s="9">
        <f t="shared" si="12"/>
        <v>1000</v>
      </c>
      <c r="L217" s="28"/>
      <c r="M217" s="99"/>
    </row>
    <row r="218" spans="1:13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3"/>
        <v>借</v>
      </c>
      <c r="K218" s="9">
        <f t="shared" si="12"/>
        <v>1000</v>
      </c>
      <c r="L218" s="28"/>
      <c r="M218" s="99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3"/>
        <v>借</v>
      </c>
      <c r="K219" s="9">
        <f t="shared" si="12"/>
        <v>1000</v>
      </c>
      <c r="L219" s="28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3"/>
        <v>借</v>
      </c>
      <c r="K220" s="9">
        <f t="shared" si="12"/>
        <v>1000</v>
      </c>
      <c r="L220" s="28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3"/>
        <v>借</v>
      </c>
      <c r="K221" s="9">
        <f t="shared" si="12"/>
        <v>1000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3"/>
        <v>借</v>
      </c>
      <c r="K222" s="9">
        <f t="shared" si="12"/>
        <v>1000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3"/>
        <v>借</v>
      </c>
      <c r="K223" s="9">
        <f t="shared" si="12"/>
        <v>1000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3"/>
        <v>借</v>
      </c>
      <c r="K224" s="9">
        <f t="shared" si="12"/>
        <v>1000</v>
      </c>
      <c r="L224" s="28"/>
    </row>
    <row r="225" spans="1:13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3"/>
        <v>借</v>
      </c>
      <c r="K225" s="9">
        <f t="shared" si="12"/>
        <v>1000</v>
      </c>
      <c r="L225" s="28"/>
    </row>
    <row r="226" spans="1:13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3"/>
        <v>借</v>
      </c>
      <c r="K226" s="9">
        <f t="shared" si="12"/>
        <v>1000</v>
      </c>
      <c r="L226" s="28"/>
    </row>
    <row r="227" spans="1:13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3"/>
        <v>借</v>
      </c>
      <c r="K227" s="9">
        <f t="shared" si="12"/>
        <v>1000</v>
      </c>
      <c r="L227" s="28"/>
    </row>
    <row r="228" spans="1:13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3"/>
        <v>借</v>
      </c>
      <c r="K228" s="9">
        <f t="shared" si="12"/>
        <v>1000</v>
      </c>
      <c r="L228" s="28"/>
    </row>
    <row r="229" spans="1:13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3"/>
        <v>借</v>
      </c>
      <c r="K229" s="9">
        <f t="shared" si="12"/>
        <v>1000</v>
      </c>
      <c r="L229" s="28"/>
    </row>
    <row r="230" spans="1:13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3"/>
        <v>借</v>
      </c>
      <c r="K230" s="9">
        <f t="shared" si="12"/>
        <v>1000</v>
      </c>
      <c r="L230" s="28"/>
      <c r="M230" s="99"/>
    </row>
    <row r="231" spans="1:13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3"/>
        <v>借</v>
      </c>
      <c r="K231" s="9">
        <f t="shared" si="12"/>
        <v>1000</v>
      </c>
      <c r="L231" s="28"/>
      <c r="M231" s="99"/>
    </row>
    <row r="232" spans="1:13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3"/>
        <v>借</v>
      </c>
      <c r="K232" s="9">
        <f t="shared" si="12"/>
        <v>1000</v>
      </c>
      <c r="L232" s="28"/>
      <c r="M232" s="99"/>
    </row>
    <row r="233" spans="1:13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3"/>
        <v>借</v>
      </c>
      <c r="K233" s="21">
        <f t="shared" si="12"/>
        <v>1000</v>
      </c>
      <c r="L233" s="28"/>
      <c r="M233" s="99"/>
    </row>
    <row r="234" spans="1:13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3"/>
        <v>借</v>
      </c>
      <c r="K234" s="9">
        <f t="shared" si="12"/>
        <v>1000</v>
      </c>
      <c r="L234" s="28"/>
      <c r="M234" s="99"/>
    </row>
    <row r="235" spans="1:13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3"/>
        <v>借</v>
      </c>
      <c r="K235" s="9">
        <f t="shared" si="12"/>
        <v>1000</v>
      </c>
      <c r="L235" s="28"/>
      <c r="M235" s="99"/>
    </row>
    <row r="236" spans="1:13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3"/>
        <v>借</v>
      </c>
      <c r="K236" s="9">
        <f t="shared" si="12"/>
        <v>1000</v>
      </c>
      <c r="L236" s="28"/>
    </row>
    <row r="237" spans="1:13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3"/>
        <v>借</v>
      </c>
      <c r="K237" s="21">
        <f t="shared" si="12"/>
        <v>1000</v>
      </c>
      <c r="L237" s="28"/>
      <c r="M237" s="99"/>
    </row>
    <row r="238" spans="1:13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3"/>
        <v>借</v>
      </c>
      <c r="K238" s="9">
        <f t="shared" si="12"/>
        <v>1000</v>
      </c>
      <c r="L238" s="28"/>
      <c r="M238" s="99"/>
    </row>
    <row r="239" spans="1:13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3"/>
        <v>借</v>
      </c>
      <c r="K239" s="9">
        <f t="shared" si="12"/>
        <v>1000</v>
      </c>
      <c r="L239" s="28"/>
    </row>
    <row r="240" spans="1:13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3"/>
        <v>借</v>
      </c>
      <c r="K240" s="9">
        <f t="shared" ref="K240:K303" si="14">_xlfn.IFS(J239="借",K239+H240-I240,J239="贷",H240-I240-K239)</f>
        <v>1000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3"/>
        <v>借</v>
      </c>
      <c r="K241" s="9">
        <f t="shared" si="14"/>
        <v>1000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3"/>
        <v>借</v>
      </c>
      <c r="K242" s="9">
        <f t="shared" si="14"/>
        <v>1000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3"/>
        <v>借</v>
      </c>
      <c r="K243" s="9">
        <f t="shared" si="14"/>
        <v>1000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3"/>
        <v>借</v>
      </c>
      <c r="K244" s="9">
        <f t="shared" si="14"/>
        <v>1000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3"/>
        <v>借</v>
      </c>
      <c r="K245" s="9">
        <f t="shared" si="14"/>
        <v>1000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3"/>
        <v>借</v>
      </c>
      <c r="K246" s="9">
        <f t="shared" si="14"/>
        <v>1000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3"/>
        <v>借</v>
      </c>
      <c r="K247" s="9">
        <f t="shared" si="14"/>
        <v>1000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3"/>
        <v>借</v>
      </c>
      <c r="K248" s="9">
        <f t="shared" si="14"/>
        <v>1000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13"/>
        <v>借</v>
      </c>
      <c r="K249" s="9">
        <f t="shared" si="14"/>
        <v>1000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23" t="str">
        <f t="shared" si="13"/>
        <v>借</v>
      </c>
      <c r="K250" s="9">
        <f t="shared" si="14"/>
        <v>1000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3"/>
        <v>借</v>
      </c>
      <c r="K251" s="9">
        <f t="shared" si="14"/>
        <v>1000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3"/>
        <v>借</v>
      </c>
      <c r="K252" s="9">
        <f t="shared" si="14"/>
        <v>1000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3"/>
        <v>借</v>
      </c>
      <c r="K253" s="9">
        <f t="shared" si="14"/>
        <v>1000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3"/>
        <v>借</v>
      </c>
      <c r="K254" s="9">
        <f t="shared" si="14"/>
        <v>1000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3"/>
        <v>借</v>
      </c>
      <c r="K255" s="9">
        <f t="shared" si="14"/>
        <v>1000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3"/>
        <v>借</v>
      </c>
      <c r="K256" s="9">
        <f t="shared" si="14"/>
        <v>1000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3"/>
        <v>借</v>
      </c>
      <c r="K257" s="9">
        <f t="shared" si="14"/>
        <v>1000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3"/>
        <v>借</v>
      </c>
      <c r="K258" s="9">
        <f t="shared" si="14"/>
        <v>1000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3"/>
        <v>借</v>
      </c>
      <c r="K259" s="9">
        <f t="shared" si="14"/>
        <v>1000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3"/>
        <v>借</v>
      </c>
      <c r="K260" s="9">
        <f t="shared" si="14"/>
        <v>1000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3"/>
        <v>借</v>
      </c>
      <c r="K261" s="9">
        <f t="shared" si="14"/>
        <v>1000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4"/>
        <v>1000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4"/>
        <v>1000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4"/>
        <v>1000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ref="J265:J328" si="15">IF((K264+H265-I265)&gt;0,"借","贷")</f>
        <v>借</v>
      </c>
      <c r="K265" s="9">
        <f t="shared" si="14"/>
        <v>1000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5"/>
        <v>借</v>
      </c>
      <c r="K266" s="9">
        <f t="shared" si="14"/>
        <v>1000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5"/>
        <v>借</v>
      </c>
      <c r="K267" s="9">
        <f t="shared" si="14"/>
        <v>1000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5"/>
        <v>借</v>
      </c>
      <c r="K268" s="9">
        <f t="shared" si="14"/>
        <v>1000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5"/>
        <v>借</v>
      </c>
      <c r="K269" s="9">
        <f t="shared" si="14"/>
        <v>1000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5"/>
        <v>借</v>
      </c>
      <c r="K270" s="9">
        <f t="shared" si="14"/>
        <v>1000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5"/>
        <v>借</v>
      </c>
      <c r="K271" s="9">
        <f t="shared" si="14"/>
        <v>1000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5"/>
        <v>借</v>
      </c>
      <c r="K272" s="9">
        <f t="shared" si="14"/>
        <v>1000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5"/>
        <v>借</v>
      </c>
      <c r="K273" s="9">
        <f t="shared" si="14"/>
        <v>1000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5"/>
        <v>借</v>
      </c>
      <c r="K274" s="9">
        <f t="shared" si="14"/>
        <v>1000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5"/>
        <v>借</v>
      </c>
      <c r="K275" s="9">
        <f t="shared" si="14"/>
        <v>1000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5"/>
        <v>借</v>
      </c>
      <c r="K276" s="9">
        <f t="shared" si="14"/>
        <v>1000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5"/>
        <v>借</v>
      </c>
      <c r="K277" s="9">
        <f t="shared" si="14"/>
        <v>1000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5"/>
        <v>借</v>
      </c>
      <c r="K278" s="9">
        <f t="shared" si="14"/>
        <v>1000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5"/>
        <v>借</v>
      </c>
      <c r="K279" s="9">
        <f t="shared" si="14"/>
        <v>1000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5"/>
        <v>借</v>
      </c>
      <c r="K280" s="9">
        <f t="shared" si="14"/>
        <v>1000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5"/>
        <v>借</v>
      </c>
      <c r="K281" s="9">
        <f t="shared" si="14"/>
        <v>1000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5"/>
        <v>借</v>
      </c>
      <c r="K282" s="9">
        <f t="shared" si="14"/>
        <v>1000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5"/>
        <v>借</v>
      </c>
      <c r="K283" s="9">
        <f t="shared" si="14"/>
        <v>1000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5"/>
        <v>借</v>
      </c>
      <c r="K284" s="9">
        <f t="shared" si="14"/>
        <v>1000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5"/>
        <v>借</v>
      </c>
      <c r="K285" s="9">
        <f t="shared" si="14"/>
        <v>1000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5"/>
        <v>借</v>
      </c>
      <c r="K286" s="9">
        <f t="shared" si="14"/>
        <v>1000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5"/>
        <v>借</v>
      </c>
      <c r="K287" s="9">
        <f t="shared" si="14"/>
        <v>1000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5"/>
        <v>借</v>
      </c>
      <c r="K288" s="9">
        <f t="shared" si="14"/>
        <v>1000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5"/>
        <v>借</v>
      </c>
      <c r="K289" s="9">
        <f t="shared" si="14"/>
        <v>1000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5"/>
        <v>借</v>
      </c>
      <c r="K290" s="9">
        <f t="shared" si="14"/>
        <v>1000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5"/>
        <v>借</v>
      </c>
      <c r="K291" s="9">
        <f t="shared" si="14"/>
        <v>1000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5"/>
        <v>借</v>
      </c>
      <c r="K292" s="9">
        <f t="shared" si="14"/>
        <v>1000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5"/>
        <v>借</v>
      </c>
      <c r="K293" s="9">
        <f t="shared" si="14"/>
        <v>1000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5"/>
        <v>借</v>
      </c>
      <c r="K294" s="9">
        <f t="shared" si="14"/>
        <v>1000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5"/>
        <v>借</v>
      </c>
      <c r="K295" s="9">
        <f t="shared" si="14"/>
        <v>1000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5"/>
        <v>借</v>
      </c>
      <c r="K296" s="9">
        <f t="shared" si="14"/>
        <v>1000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5"/>
        <v>借</v>
      </c>
      <c r="K297" s="9">
        <f t="shared" si="14"/>
        <v>1000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5"/>
        <v>借</v>
      </c>
      <c r="K298" s="9">
        <f t="shared" si="14"/>
        <v>1000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5"/>
        <v>借</v>
      </c>
      <c r="K299" s="9">
        <f t="shared" si="14"/>
        <v>1000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5"/>
        <v>借</v>
      </c>
      <c r="K300" s="9">
        <f t="shared" si="14"/>
        <v>1000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5"/>
        <v>借</v>
      </c>
      <c r="K301" s="9">
        <f t="shared" si="14"/>
        <v>1000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5"/>
        <v>借</v>
      </c>
      <c r="K302" s="9">
        <f t="shared" si="14"/>
        <v>1000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5"/>
        <v>借</v>
      </c>
      <c r="K303" s="9">
        <f t="shared" si="14"/>
        <v>1000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5"/>
        <v>借</v>
      </c>
      <c r="K304" s="9">
        <f t="shared" ref="K304:K367" si="16">_xlfn.IFS(J303="借",K303+H304-I304,J303="贷",H304-I304-K303)</f>
        <v>1000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5"/>
        <v>借</v>
      </c>
      <c r="K305" s="9">
        <f t="shared" si="16"/>
        <v>1000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5"/>
        <v>借</v>
      </c>
      <c r="K306" s="9">
        <f t="shared" si="16"/>
        <v>1000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5"/>
        <v>借</v>
      </c>
      <c r="K307" s="9">
        <f t="shared" si="16"/>
        <v>1000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5"/>
        <v>借</v>
      </c>
      <c r="K308" s="9">
        <f t="shared" si="16"/>
        <v>1000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5"/>
        <v>借</v>
      </c>
      <c r="K309" s="9">
        <f t="shared" si="16"/>
        <v>1000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5"/>
        <v>借</v>
      </c>
      <c r="K310" s="9">
        <f t="shared" si="16"/>
        <v>1000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5"/>
        <v>借</v>
      </c>
      <c r="K311" s="9">
        <f t="shared" si="16"/>
        <v>1000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5"/>
        <v>借</v>
      </c>
      <c r="K312" s="9">
        <f t="shared" si="16"/>
        <v>1000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5"/>
        <v>借</v>
      </c>
      <c r="K313" s="9">
        <f t="shared" si="16"/>
        <v>1000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5"/>
        <v>借</v>
      </c>
      <c r="K314" s="9">
        <f t="shared" si="16"/>
        <v>1000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5"/>
        <v>借</v>
      </c>
      <c r="K315" s="9">
        <f t="shared" si="16"/>
        <v>1000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5"/>
        <v>借</v>
      </c>
      <c r="K316" s="9">
        <f t="shared" si="16"/>
        <v>1000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5"/>
        <v>借</v>
      </c>
      <c r="K317" s="9">
        <f t="shared" si="16"/>
        <v>1000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5"/>
        <v>借</v>
      </c>
      <c r="K318" s="9">
        <f t="shared" si="16"/>
        <v>1000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5"/>
        <v>借</v>
      </c>
      <c r="K319" s="9">
        <f t="shared" si="16"/>
        <v>1000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5"/>
        <v>借</v>
      </c>
      <c r="K320" s="9">
        <f t="shared" si="16"/>
        <v>1000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5"/>
        <v>借</v>
      </c>
      <c r="K321" s="9">
        <f t="shared" si="16"/>
        <v>1000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5"/>
        <v>借</v>
      </c>
      <c r="K322" s="9">
        <f t="shared" si="16"/>
        <v>1000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5"/>
        <v>借</v>
      </c>
      <c r="K323" s="9">
        <f t="shared" si="16"/>
        <v>1000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5"/>
        <v>借</v>
      </c>
      <c r="K324" s="9">
        <f t="shared" si="16"/>
        <v>1000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5"/>
        <v>借</v>
      </c>
      <c r="K325" s="9">
        <f t="shared" si="16"/>
        <v>1000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6"/>
        <v>1000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6"/>
        <v>1000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6"/>
        <v>1000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ref="J329:J392" si="17">IF((K328+H329-I329)&gt;0,"借","贷")</f>
        <v>借</v>
      </c>
      <c r="K329" s="9">
        <f t="shared" si="16"/>
        <v>1000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7"/>
        <v>借</v>
      </c>
      <c r="K330" s="9">
        <f t="shared" si="16"/>
        <v>1000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7"/>
        <v>借</v>
      </c>
      <c r="K331" s="9">
        <f t="shared" si="16"/>
        <v>1000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7"/>
        <v>借</v>
      </c>
      <c r="K332" s="9">
        <f t="shared" si="16"/>
        <v>1000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7"/>
        <v>借</v>
      </c>
      <c r="K333" s="9">
        <f t="shared" si="16"/>
        <v>1000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7"/>
        <v>借</v>
      </c>
      <c r="K334" s="9">
        <f t="shared" si="16"/>
        <v>1000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7"/>
        <v>借</v>
      </c>
      <c r="K335" s="9">
        <f t="shared" si="16"/>
        <v>1000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7"/>
        <v>借</v>
      </c>
      <c r="K336" s="9">
        <f t="shared" si="16"/>
        <v>1000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7"/>
        <v>借</v>
      </c>
      <c r="K337" s="9">
        <f t="shared" si="16"/>
        <v>1000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7"/>
        <v>借</v>
      </c>
      <c r="K338" s="9">
        <f t="shared" si="16"/>
        <v>1000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7"/>
        <v>借</v>
      </c>
      <c r="K339" s="9">
        <f t="shared" si="16"/>
        <v>1000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7"/>
        <v>借</v>
      </c>
      <c r="K340" s="9">
        <f t="shared" si="16"/>
        <v>1000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7"/>
        <v>借</v>
      </c>
      <c r="K341" s="9">
        <f t="shared" si="16"/>
        <v>1000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7"/>
        <v>借</v>
      </c>
      <c r="K342" s="9">
        <f t="shared" si="16"/>
        <v>1000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7"/>
        <v>借</v>
      </c>
      <c r="K343" s="9">
        <f t="shared" si="16"/>
        <v>1000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7"/>
        <v>借</v>
      </c>
      <c r="K344" s="9">
        <f t="shared" si="16"/>
        <v>1000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7"/>
        <v>借</v>
      </c>
      <c r="K345" s="9">
        <f t="shared" si="16"/>
        <v>1000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7"/>
        <v>借</v>
      </c>
      <c r="K346" s="9">
        <f t="shared" si="16"/>
        <v>1000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7"/>
        <v>借</v>
      </c>
      <c r="K347" s="9">
        <f t="shared" si="16"/>
        <v>1000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7"/>
        <v>借</v>
      </c>
      <c r="K348" s="9">
        <f t="shared" si="16"/>
        <v>1000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7"/>
        <v>借</v>
      </c>
      <c r="K349" s="9">
        <f t="shared" si="16"/>
        <v>1000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7"/>
        <v>借</v>
      </c>
      <c r="K350" s="9">
        <f t="shared" si="16"/>
        <v>1000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7"/>
        <v>借</v>
      </c>
      <c r="K351" s="9">
        <f t="shared" si="16"/>
        <v>1000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7"/>
        <v>借</v>
      </c>
      <c r="K352" s="9">
        <f t="shared" si="16"/>
        <v>1000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7"/>
        <v>借</v>
      </c>
      <c r="K353" s="9">
        <f t="shared" si="16"/>
        <v>1000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7"/>
        <v>借</v>
      </c>
      <c r="K354" s="9">
        <f t="shared" si="16"/>
        <v>1000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7"/>
        <v>借</v>
      </c>
      <c r="K355" s="9">
        <f t="shared" si="16"/>
        <v>1000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7"/>
        <v>借</v>
      </c>
      <c r="K356" s="9">
        <f t="shared" si="16"/>
        <v>1000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7"/>
        <v>借</v>
      </c>
      <c r="K357" s="9">
        <f t="shared" si="16"/>
        <v>1000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7"/>
        <v>借</v>
      </c>
      <c r="K358" s="9">
        <f t="shared" si="16"/>
        <v>1000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7"/>
        <v>借</v>
      </c>
      <c r="K359" s="9">
        <f t="shared" si="16"/>
        <v>1000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7"/>
        <v>借</v>
      </c>
      <c r="K360" s="9">
        <f t="shared" si="16"/>
        <v>1000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7"/>
        <v>借</v>
      </c>
      <c r="K361" s="9">
        <f t="shared" si="16"/>
        <v>1000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7"/>
        <v>借</v>
      </c>
      <c r="K362" s="9">
        <f t="shared" si="16"/>
        <v>1000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7"/>
        <v>借</v>
      </c>
      <c r="K363" s="9">
        <f t="shared" si="16"/>
        <v>1000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7"/>
        <v>借</v>
      </c>
      <c r="K364" s="9">
        <f t="shared" si="16"/>
        <v>1000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7"/>
        <v>借</v>
      </c>
      <c r="K365" s="9">
        <f t="shared" si="16"/>
        <v>1000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7"/>
        <v>借</v>
      </c>
      <c r="K366" s="9">
        <f t="shared" si="16"/>
        <v>1000</v>
      </c>
      <c r="L366" s="28"/>
    </row>
    <row r="367" spans="1:12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si="17"/>
        <v>借</v>
      </c>
      <c r="K367" s="9">
        <f t="shared" si="16"/>
        <v>1000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7"/>
        <v>借</v>
      </c>
      <c r="K368" s="9">
        <f t="shared" ref="K368:K431" si="18">_xlfn.IFS(J367="借",K367+H368-I368,J367="贷",H368-I368-K367)</f>
        <v>1000</v>
      </c>
      <c r="L368" s="28"/>
    </row>
    <row r="369" spans="2:12" ht="20.100000000000001" customHeight="1" x14ac:dyDescent="0.15">
      <c r="B369" s="5"/>
      <c r="C369" s="10"/>
      <c r="D369" s="10"/>
      <c r="E369" s="10"/>
      <c r="F369" s="10"/>
      <c r="G369" s="10"/>
      <c r="H369" s="8"/>
      <c r="I369" s="8"/>
      <c r="J369" s="8" t="str">
        <f t="shared" si="17"/>
        <v>借</v>
      </c>
      <c r="K369" s="9">
        <f t="shared" si="18"/>
        <v>1000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7"/>
        <v>借</v>
      </c>
      <c r="K370" s="9">
        <f t="shared" si="18"/>
        <v>1000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7"/>
        <v>借</v>
      </c>
      <c r="K371" s="9">
        <f t="shared" si="18"/>
        <v>1000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7"/>
        <v>借</v>
      </c>
      <c r="K372" s="9">
        <f t="shared" si="18"/>
        <v>1000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7"/>
        <v>借</v>
      </c>
      <c r="K373" s="9">
        <f t="shared" si="18"/>
        <v>1000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7"/>
        <v>借</v>
      </c>
      <c r="K374" s="9">
        <f t="shared" si="18"/>
        <v>1000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7"/>
        <v>借</v>
      </c>
      <c r="K375" s="9">
        <f t="shared" si="18"/>
        <v>1000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7"/>
        <v>借</v>
      </c>
      <c r="K376" s="9">
        <f t="shared" si="18"/>
        <v>1000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7"/>
        <v>借</v>
      </c>
      <c r="K377" s="9">
        <f t="shared" si="18"/>
        <v>1000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7"/>
        <v>借</v>
      </c>
      <c r="K378" s="9">
        <f t="shared" si="18"/>
        <v>1000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7"/>
        <v>借</v>
      </c>
      <c r="K379" s="9">
        <f t="shared" si="18"/>
        <v>1000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7"/>
        <v>借</v>
      </c>
      <c r="K380" s="9">
        <f t="shared" si="18"/>
        <v>1000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7"/>
        <v>借</v>
      </c>
      <c r="K381" s="9">
        <f t="shared" si="18"/>
        <v>1000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7"/>
        <v>借</v>
      </c>
      <c r="K382" s="9">
        <f t="shared" si="18"/>
        <v>1000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7"/>
        <v>借</v>
      </c>
      <c r="K383" s="9">
        <f t="shared" si="18"/>
        <v>1000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7"/>
        <v>借</v>
      </c>
      <c r="K384" s="9">
        <f t="shared" si="18"/>
        <v>1000</v>
      </c>
      <c r="L384" s="28"/>
    </row>
    <row r="385" spans="2:12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7"/>
        <v>借</v>
      </c>
      <c r="K385" s="9">
        <f t="shared" si="18"/>
        <v>1000</v>
      </c>
      <c r="L385" s="28"/>
    </row>
    <row r="386" spans="2:12" ht="20.100000000000001" customHeight="1" x14ac:dyDescent="0.15">
      <c r="B386" s="5"/>
      <c r="C386" s="7"/>
      <c r="D386" s="10"/>
      <c r="E386" s="10"/>
      <c r="F386" s="10"/>
      <c r="G386" s="10"/>
      <c r="H386" s="8"/>
      <c r="I386" s="8"/>
      <c r="J386" s="8" t="str">
        <f t="shared" si="17"/>
        <v>借</v>
      </c>
      <c r="K386" s="9">
        <f t="shared" si="18"/>
        <v>1000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7"/>
        <v>借</v>
      </c>
      <c r="K387" s="9">
        <f t="shared" si="18"/>
        <v>1000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7"/>
        <v>借</v>
      </c>
      <c r="K388" s="9">
        <f t="shared" si="18"/>
        <v>1000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7"/>
        <v>借</v>
      </c>
      <c r="K389" s="9">
        <f t="shared" si="18"/>
        <v>1000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7"/>
        <v>借</v>
      </c>
      <c r="K390" s="9">
        <f t="shared" si="18"/>
        <v>1000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7"/>
        <v>借</v>
      </c>
      <c r="K391" s="9">
        <f t="shared" si="18"/>
        <v>1000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8"/>
        <v>1000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ref="J393:J456" si="19">IF((K392+H393-I393)&gt;0,"借","贷")</f>
        <v>借</v>
      </c>
      <c r="K393" s="9">
        <f t="shared" si="18"/>
        <v>1000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9"/>
        <v>借</v>
      </c>
      <c r="K394" s="9">
        <f t="shared" si="18"/>
        <v>1000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9"/>
        <v>借</v>
      </c>
      <c r="K395" s="9">
        <f t="shared" si="18"/>
        <v>1000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9"/>
        <v>借</v>
      </c>
      <c r="K396" s="9">
        <f t="shared" si="18"/>
        <v>1000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9"/>
        <v>借</v>
      </c>
      <c r="K397" s="9">
        <f t="shared" si="18"/>
        <v>1000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9"/>
        <v>借</v>
      </c>
      <c r="K398" s="9">
        <f t="shared" si="18"/>
        <v>1000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9"/>
        <v>借</v>
      </c>
      <c r="K399" s="9">
        <f t="shared" si="18"/>
        <v>1000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9"/>
        <v>借</v>
      </c>
      <c r="K400" s="9">
        <f t="shared" si="18"/>
        <v>1000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9"/>
        <v>借</v>
      </c>
      <c r="K401" s="9">
        <f t="shared" si="18"/>
        <v>1000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9"/>
        <v>借</v>
      </c>
      <c r="K402" s="9">
        <f t="shared" si="18"/>
        <v>1000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9"/>
        <v>借</v>
      </c>
      <c r="K403" s="9">
        <f t="shared" si="18"/>
        <v>1000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9"/>
        <v>借</v>
      </c>
      <c r="K404" s="9">
        <f t="shared" si="18"/>
        <v>1000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9"/>
        <v>借</v>
      </c>
      <c r="K405" s="9">
        <f t="shared" si="18"/>
        <v>1000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9"/>
        <v>借</v>
      </c>
      <c r="K406" s="9">
        <f t="shared" si="18"/>
        <v>1000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9"/>
        <v>借</v>
      </c>
      <c r="K407" s="9">
        <f t="shared" si="18"/>
        <v>1000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9"/>
        <v>借</v>
      </c>
      <c r="K408" s="9">
        <f t="shared" si="18"/>
        <v>1000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9"/>
        <v>借</v>
      </c>
      <c r="K409" s="9">
        <f t="shared" si="18"/>
        <v>1000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9"/>
        <v>借</v>
      </c>
      <c r="K410" s="9">
        <f t="shared" si="18"/>
        <v>1000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9"/>
        <v>借</v>
      </c>
      <c r="K411" s="9">
        <f t="shared" si="18"/>
        <v>1000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9"/>
        <v>借</v>
      </c>
      <c r="K412" s="9">
        <f t="shared" si="18"/>
        <v>1000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9"/>
        <v>借</v>
      </c>
      <c r="K413" s="9">
        <f t="shared" si="18"/>
        <v>1000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9"/>
        <v>借</v>
      </c>
      <c r="K414" s="9">
        <f t="shared" si="18"/>
        <v>1000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9"/>
        <v>借</v>
      </c>
      <c r="K415" s="9">
        <f t="shared" si="18"/>
        <v>1000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9"/>
        <v>借</v>
      </c>
      <c r="K416" s="9">
        <f t="shared" si="18"/>
        <v>1000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9"/>
        <v>借</v>
      </c>
      <c r="K417" s="9">
        <f t="shared" si="18"/>
        <v>1000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9"/>
        <v>借</v>
      </c>
      <c r="K418" s="9">
        <f t="shared" si="18"/>
        <v>1000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9"/>
        <v>借</v>
      </c>
      <c r="K419" s="9">
        <f t="shared" si="18"/>
        <v>1000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9"/>
        <v>借</v>
      </c>
      <c r="K420" s="9">
        <f t="shared" si="18"/>
        <v>1000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9"/>
        <v>借</v>
      </c>
      <c r="K421" s="9">
        <f t="shared" si="18"/>
        <v>1000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9"/>
        <v>借</v>
      </c>
      <c r="K422" s="9">
        <f t="shared" si="18"/>
        <v>1000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9"/>
        <v>借</v>
      </c>
      <c r="K423" s="9">
        <f t="shared" si="18"/>
        <v>1000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9"/>
        <v>借</v>
      </c>
      <c r="K424" s="9">
        <f t="shared" si="18"/>
        <v>1000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9"/>
        <v>借</v>
      </c>
      <c r="K425" s="9">
        <f t="shared" si="18"/>
        <v>1000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9"/>
        <v>借</v>
      </c>
      <c r="K426" s="9">
        <f t="shared" si="18"/>
        <v>1000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9"/>
        <v>借</v>
      </c>
      <c r="K427" s="9">
        <f t="shared" si="18"/>
        <v>1000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9"/>
        <v>借</v>
      </c>
      <c r="K428" s="9">
        <f t="shared" si="18"/>
        <v>1000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9"/>
        <v>借</v>
      </c>
      <c r="K429" s="9">
        <f t="shared" si="18"/>
        <v>1000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9"/>
        <v>借</v>
      </c>
      <c r="K430" s="9">
        <f t="shared" si="18"/>
        <v>1000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9"/>
        <v>借</v>
      </c>
      <c r="K431" s="9">
        <f t="shared" si="18"/>
        <v>1000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9"/>
        <v>借</v>
      </c>
      <c r="K432" s="9">
        <f t="shared" ref="K432:K495" si="20">_xlfn.IFS(J431="借",K431+H432-I432,J431="贷",H432-I432-K431)</f>
        <v>1000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9"/>
        <v>借</v>
      </c>
      <c r="K433" s="9">
        <f t="shared" si="20"/>
        <v>1000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9"/>
        <v>借</v>
      </c>
      <c r="K434" s="9">
        <f t="shared" si="20"/>
        <v>1000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9"/>
        <v>借</v>
      </c>
      <c r="K435" s="9">
        <f t="shared" si="20"/>
        <v>1000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9"/>
        <v>借</v>
      </c>
      <c r="K436" s="9">
        <f t="shared" si="20"/>
        <v>1000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9"/>
        <v>借</v>
      </c>
      <c r="K437" s="9">
        <f t="shared" si="20"/>
        <v>1000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9"/>
        <v>借</v>
      </c>
      <c r="K438" s="9">
        <f t="shared" si="20"/>
        <v>1000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9"/>
        <v>借</v>
      </c>
      <c r="K439" s="9">
        <f t="shared" si="20"/>
        <v>1000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9"/>
        <v>借</v>
      </c>
      <c r="K440" s="9">
        <f t="shared" si="20"/>
        <v>1000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9"/>
        <v>借</v>
      </c>
      <c r="K441" s="9">
        <f t="shared" si="20"/>
        <v>1000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9"/>
        <v>借</v>
      </c>
      <c r="K442" s="9">
        <f t="shared" si="20"/>
        <v>1000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9"/>
        <v>借</v>
      </c>
      <c r="K443" s="9">
        <f t="shared" si="20"/>
        <v>1000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9"/>
        <v>借</v>
      </c>
      <c r="K444" s="9">
        <f t="shared" si="20"/>
        <v>1000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9"/>
        <v>借</v>
      </c>
      <c r="K445" s="9">
        <f t="shared" si="20"/>
        <v>1000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9"/>
        <v>借</v>
      </c>
      <c r="K446" s="9">
        <f t="shared" si="20"/>
        <v>1000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9"/>
        <v>借</v>
      </c>
      <c r="K447" s="9">
        <f t="shared" si="20"/>
        <v>1000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9"/>
        <v>借</v>
      </c>
      <c r="K448" s="9">
        <f t="shared" si="20"/>
        <v>1000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9"/>
        <v>借</v>
      </c>
      <c r="K449" s="9">
        <f t="shared" si="20"/>
        <v>1000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9"/>
        <v>借</v>
      </c>
      <c r="K450" s="9">
        <f t="shared" si="20"/>
        <v>1000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9"/>
        <v>借</v>
      </c>
      <c r="K451" s="9">
        <f t="shared" si="20"/>
        <v>1000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9"/>
        <v>借</v>
      </c>
      <c r="K452" s="9">
        <f t="shared" si="20"/>
        <v>1000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9"/>
        <v>借</v>
      </c>
      <c r="K453" s="9">
        <f t="shared" si="20"/>
        <v>1000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9"/>
        <v>借</v>
      </c>
      <c r="K454" s="9">
        <f t="shared" si="20"/>
        <v>1000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9"/>
        <v>借</v>
      </c>
      <c r="K455" s="9">
        <f t="shared" si="20"/>
        <v>1000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20"/>
        <v>1000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ref="J457:J500" si="21">IF((K456+H457-I457)&gt;0,"借","贷")</f>
        <v>借</v>
      </c>
      <c r="K457" s="9">
        <f t="shared" si="20"/>
        <v>1000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21"/>
        <v>借</v>
      </c>
      <c r="K458" s="9">
        <f t="shared" si="20"/>
        <v>1000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21"/>
        <v>借</v>
      </c>
      <c r="K459" s="9">
        <f t="shared" si="20"/>
        <v>1000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21"/>
        <v>借</v>
      </c>
      <c r="K460" s="9">
        <f t="shared" si="20"/>
        <v>1000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21"/>
        <v>借</v>
      </c>
      <c r="K461" s="9">
        <f t="shared" si="20"/>
        <v>1000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21"/>
        <v>借</v>
      </c>
      <c r="K462" s="9">
        <f t="shared" si="20"/>
        <v>1000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21"/>
        <v>借</v>
      </c>
      <c r="K463" s="9">
        <f t="shared" si="20"/>
        <v>1000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21"/>
        <v>借</v>
      </c>
      <c r="K464" s="9">
        <f t="shared" si="20"/>
        <v>1000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21"/>
        <v>借</v>
      </c>
      <c r="K465" s="9">
        <f t="shared" si="20"/>
        <v>1000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21"/>
        <v>借</v>
      </c>
      <c r="K466" s="9">
        <f t="shared" si="20"/>
        <v>1000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21"/>
        <v>借</v>
      </c>
      <c r="K467" s="9">
        <f t="shared" si="20"/>
        <v>1000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21"/>
        <v>借</v>
      </c>
      <c r="K468" s="9">
        <f t="shared" si="20"/>
        <v>1000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21"/>
        <v>借</v>
      </c>
      <c r="K469" s="9">
        <f t="shared" si="20"/>
        <v>1000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21"/>
        <v>借</v>
      </c>
      <c r="K470" s="9">
        <f t="shared" si="20"/>
        <v>1000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21"/>
        <v>借</v>
      </c>
      <c r="K471" s="9">
        <f t="shared" si="20"/>
        <v>1000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21"/>
        <v>借</v>
      </c>
      <c r="K472" s="9">
        <f t="shared" si="20"/>
        <v>1000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21"/>
        <v>借</v>
      </c>
      <c r="K473" s="9">
        <f t="shared" si="20"/>
        <v>1000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21"/>
        <v>借</v>
      </c>
      <c r="K474" s="9">
        <f t="shared" si="20"/>
        <v>1000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21"/>
        <v>借</v>
      </c>
      <c r="K475" s="9">
        <f t="shared" si="20"/>
        <v>1000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21"/>
        <v>借</v>
      </c>
      <c r="K476" s="9">
        <f t="shared" si="20"/>
        <v>1000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21"/>
        <v>借</v>
      </c>
      <c r="K477" s="9">
        <f t="shared" si="20"/>
        <v>1000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21"/>
        <v>借</v>
      </c>
      <c r="K478" s="9">
        <f t="shared" si="20"/>
        <v>1000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21"/>
        <v>借</v>
      </c>
      <c r="K479" s="9">
        <f t="shared" si="20"/>
        <v>1000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21"/>
        <v>借</v>
      </c>
      <c r="K480" s="9">
        <f t="shared" si="20"/>
        <v>1000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21"/>
        <v>借</v>
      </c>
      <c r="K481" s="9">
        <f t="shared" si="20"/>
        <v>1000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21"/>
        <v>借</v>
      </c>
      <c r="K482" s="9">
        <f t="shared" si="20"/>
        <v>1000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21"/>
        <v>借</v>
      </c>
      <c r="K483" s="9">
        <f t="shared" si="20"/>
        <v>1000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21"/>
        <v>借</v>
      </c>
      <c r="K484" s="9">
        <f t="shared" si="20"/>
        <v>1000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21"/>
        <v>借</v>
      </c>
      <c r="K485" s="9">
        <f t="shared" si="20"/>
        <v>1000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21"/>
        <v>借</v>
      </c>
      <c r="K486" s="9">
        <f t="shared" si="20"/>
        <v>1000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21"/>
        <v>借</v>
      </c>
      <c r="K487" s="9">
        <f t="shared" si="20"/>
        <v>1000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21"/>
        <v>借</v>
      </c>
      <c r="K488" s="9">
        <f t="shared" si="20"/>
        <v>1000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21"/>
        <v>借</v>
      </c>
      <c r="K489" s="9">
        <f t="shared" si="20"/>
        <v>1000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21"/>
        <v>借</v>
      </c>
      <c r="K490" s="9">
        <f t="shared" si="20"/>
        <v>1000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21"/>
        <v>借</v>
      </c>
      <c r="K491" s="9">
        <f t="shared" si="20"/>
        <v>1000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21"/>
        <v>借</v>
      </c>
      <c r="K492" s="9">
        <f t="shared" si="20"/>
        <v>1000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21"/>
        <v>借</v>
      </c>
      <c r="K493" s="9">
        <f t="shared" si="20"/>
        <v>1000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21"/>
        <v>借</v>
      </c>
      <c r="K494" s="9">
        <f t="shared" si="20"/>
        <v>1000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21"/>
        <v>借</v>
      </c>
      <c r="K495" s="9">
        <f t="shared" si="20"/>
        <v>1000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21"/>
        <v>借</v>
      </c>
      <c r="K496" s="9">
        <f t="shared" ref="K496:K500" si="22">_xlfn.IFS(J495="借",K495+H496-I496,J495="贷",H496-I496-K495)</f>
        <v>1000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21"/>
        <v>借</v>
      </c>
      <c r="K497" s="9">
        <f t="shared" si="22"/>
        <v>1000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21"/>
        <v>借</v>
      </c>
      <c r="K498" s="9">
        <f t="shared" si="22"/>
        <v>1000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21"/>
        <v>借</v>
      </c>
      <c r="K499" s="9">
        <f t="shared" si="22"/>
        <v>1000</v>
      </c>
      <c r="L499" s="28"/>
    </row>
    <row r="500" spans="2:12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21"/>
        <v>借</v>
      </c>
      <c r="K500" s="9">
        <f t="shared" si="22"/>
        <v>1000</v>
      </c>
      <c r="L500" s="28"/>
    </row>
  </sheetData>
  <autoFilter ref="A5:IV500" xr:uid="{00000000-0009-0000-0000-000012000000}"/>
  <mergeCells count="38">
    <mergeCell ref="M217:M218"/>
    <mergeCell ref="M230:M235"/>
    <mergeCell ref="M237:M238"/>
    <mergeCell ref="M182:M185"/>
    <mergeCell ref="M190:M191"/>
    <mergeCell ref="M200:M203"/>
    <mergeCell ref="M206:M207"/>
    <mergeCell ref="M209:M214"/>
    <mergeCell ref="M148:M153"/>
    <mergeCell ref="M155:M156"/>
    <mergeCell ref="M158:M159"/>
    <mergeCell ref="M165:M168"/>
    <mergeCell ref="M173:M174"/>
    <mergeCell ref="M111:M114"/>
    <mergeCell ref="M118:M119"/>
    <mergeCell ref="M130:M131"/>
    <mergeCell ref="M132:M135"/>
    <mergeCell ref="M141:M142"/>
    <mergeCell ref="M90:M91"/>
    <mergeCell ref="M93:M96"/>
    <mergeCell ref="M99:M102"/>
    <mergeCell ref="M103:M104"/>
    <mergeCell ref="M107:M108"/>
    <mergeCell ref="M65:M66"/>
    <mergeCell ref="M71:M72"/>
    <mergeCell ref="M73:M76"/>
    <mergeCell ref="M84:M85"/>
    <mergeCell ref="M86:M89"/>
    <mergeCell ref="M34:M35"/>
    <mergeCell ref="M37:M40"/>
    <mergeCell ref="M46:M47"/>
    <mergeCell ref="M54:M55"/>
    <mergeCell ref="M57:M60"/>
    <mergeCell ref="A1:K1"/>
    <mergeCell ref="M8:M11"/>
    <mergeCell ref="M16:M17"/>
    <mergeCell ref="M24:M30"/>
    <mergeCell ref="M32:M33"/>
  </mergeCells>
  <phoneticPr fontId="22" type="noConversion"/>
  <dataValidations count="1">
    <dataValidation type="list" allowBlank="1" showInputMessage="1" showErrorMessage="1" sqref="G5:G1048576 A1:L1" xr:uid="{00000000-0002-0000-1200-000000000000}">
      <formula1>#REF!</formula1>
    </dataValidation>
  </dataValidations>
  <pageMargins left="0.75" right="0.75" top="1" bottom="1" header="0.5" footer="0.5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00"/>
  <sheetViews>
    <sheetView topLeftCell="E1" zoomScale="115" zoomScaleNormal="115" workbookViewId="0">
      <selection activeCell="H9" sqref="H9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2" width="20" customWidth="1"/>
    <col min="13" max="13" width="15.75" customWidth="1"/>
  </cols>
  <sheetData>
    <row r="1" spans="1:13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  <c r="L1" s="2"/>
    </row>
    <row r="2" spans="1:13" ht="20.100000000000001" customHeight="1" x14ac:dyDescent="0.15">
      <c r="D2" t="s">
        <v>76</v>
      </c>
      <c r="H2"/>
      <c r="I2"/>
      <c r="J2"/>
      <c r="M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SUM(H5:H190002)</f>
        <v>0</v>
      </c>
      <c r="I3" s="4">
        <f>SUM(I5:I190002)</f>
        <v>0</v>
      </c>
      <c r="J3" s="4"/>
      <c r="K3" s="3">
        <f>K5+H3-I3</f>
        <v>1000</v>
      </c>
      <c r="L3" s="3"/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74</v>
      </c>
      <c r="H4" s="6" t="s">
        <v>34</v>
      </c>
      <c r="I4" s="6" t="s">
        <v>35</v>
      </c>
      <c r="J4" s="6" t="s">
        <v>36</v>
      </c>
      <c r="K4" s="5"/>
      <c r="L4" s="27" t="s">
        <v>61</v>
      </c>
    </row>
    <row r="5" spans="1:13" ht="20.100000000000001" customHeight="1" x14ac:dyDescent="0.15">
      <c r="A5" s="5"/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  <c r="L5" s="28"/>
    </row>
    <row r="6" spans="1:13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>IF((K5+H6-I6)&gt;0,"借","贷")</f>
        <v>借</v>
      </c>
      <c r="K6" s="9">
        <f t="shared" ref="K6:K11" si="0">K5+H6-I6</f>
        <v>1000</v>
      </c>
      <c r="L6" s="28"/>
    </row>
    <row r="7" spans="1:13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>IF((K6+H7-I7)&gt;0,"借","贷")</f>
        <v>借</v>
      </c>
      <c r="K7" s="9">
        <f t="shared" si="0"/>
        <v>1000</v>
      </c>
      <c r="L7" s="28"/>
    </row>
    <row r="8" spans="1:13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>IF((K7+H8-I8)&gt;0,"借","贷")</f>
        <v>借</v>
      </c>
      <c r="K8" s="9">
        <f t="shared" si="0"/>
        <v>1000</v>
      </c>
      <c r="L8" s="28"/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>IF((K8+H9-I9)&gt;0,"借","贷")</f>
        <v>借</v>
      </c>
      <c r="K9" s="9">
        <f t="shared" si="0"/>
        <v>1000</v>
      </c>
      <c r="L9" s="28"/>
      <c r="M9" s="99"/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ref="J10:J71" si="1">IF((K9+H10-I10)&gt;0,"借","贷")</f>
        <v>借</v>
      </c>
      <c r="K10" s="9">
        <f t="shared" si="0"/>
        <v>1000</v>
      </c>
      <c r="L10" s="28"/>
      <c r="M10" s="99"/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1"/>
        <v>借</v>
      </c>
      <c r="K11" s="9">
        <f t="shared" si="0"/>
        <v>1000</v>
      </c>
      <c r="L11" s="28"/>
      <c r="M11" s="99"/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1"/>
        <v>借</v>
      </c>
      <c r="K12" s="9">
        <f t="shared" ref="K12:K71" si="2">K11+H12-I12</f>
        <v>1000</v>
      </c>
      <c r="L12" s="28"/>
      <c r="M12" s="99"/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1"/>
        <v>借</v>
      </c>
      <c r="K13" s="9">
        <f t="shared" si="2"/>
        <v>1000</v>
      </c>
      <c r="L13" s="28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1"/>
        <v>借</v>
      </c>
      <c r="K14" s="9">
        <f t="shared" si="2"/>
        <v>1000</v>
      </c>
      <c r="L14" s="28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1"/>
        <v>借</v>
      </c>
      <c r="K15" s="9">
        <f t="shared" si="2"/>
        <v>1000</v>
      </c>
      <c r="L15" s="28"/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1"/>
        <v>借</v>
      </c>
      <c r="K16" s="9">
        <f t="shared" si="2"/>
        <v>1000</v>
      </c>
      <c r="L16" s="28"/>
      <c r="M16" s="99"/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1"/>
        <v>借</v>
      </c>
      <c r="K17" s="9">
        <f t="shared" si="2"/>
        <v>1000</v>
      </c>
      <c r="L17" s="28"/>
      <c r="M17" s="99"/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1"/>
        <v>借</v>
      </c>
      <c r="K18" s="9">
        <f t="shared" si="2"/>
        <v>1000</v>
      </c>
      <c r="L18" s="28"/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1"/>
        <v>借</v>
      </c>
      <c r="K19" s="9">
        <f t="shared" si="2"/>
        <v>1000</v>
      </c>
      <c r="L19" s="28"/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1"/>
        <v>借</v>
      </c>
      <c r="K20" s="9">
        <f t="shared" si="2"/>
        <v>1000</v>
      </c>
      <c r="L20" s="28"/>
      <c r="M20" s="99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1"/>
        <v>借</v>
      </c>
      <c r="K21" s="9">
        <f t="shared" si="2"/>
        <v>1000</v>
      </c>
      <c r="L21" s="28"/>
      <c r="M21" s="99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1"/>
        <v>借</v>
      </c>
      <c r="K22" s="9">
        <f t="shared" si="2"/>
        <v>1000</v>
      </c>
      <c r="L22" s="28"/>
      <c r="M22" s="99"/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1"/>
        <v>借</v>
      </c>
      <c r="K23" s="9">
        <f t="shared" si="2"/>
        <v>1000</v>
      </c>
      <c r="L23" s="28"/>
      <c r="M23" s="99"/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1"/>
        <v>借</v>
      </c>
      <c r="K24" s="9">
        <f t="shared" si="2"/>
        <v>1000</v>
      </c>
      <c r="L24" s="28"/>
      <c r="M24" s="99"/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1"/>
        <v>借</v>
      </c>
      <c r="K25" s="9">
        <f t="shared" si="2"/>
        <v>1000</v>
      </c>
      <c r="L25" s="28"/>
      <c r="M25" s="99"/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1"/>
        <v>借</v>
      </c>
      <c r="K26" s="9">
        <f t="shared" si="2"/>
        <v>1000</v>
      </c>
      <c r="L26" s="28"/>
    </row>
    <row r="27" spans="1:13" ht="20.100000000000001" customHeight="1" x14ac:dyDescent="0.15">
      <c r="A27" s="5"/>
      <c r="B27" s="5"/>
      <c r="C27" s="5"/>
      <c r="D27" s="10"/>
      <c r="E27" s="11"/>
      <c r="F27" s="10"/>
      <c r="G27" s="10"/>
      <c r="H27" s="8"/>
      <c r="I27" s="8"/>
      <c r="J27" s="8" t="str">
        <f t="shared" si="1"/>
        <v>借</v>
      </c>
      <c r="K27" s="9">
        <f t="shared" si="2"/>
        <v>1000</v>
      </c>
      <c r="L27" s="28"/>
    </row>
    <row r="28" spans="1:13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1"/>
        <v>借</v>
      </c>
      <c r="K28" s="9">
        <f t="shared" si="2"/>
        <v>1000</v>
      </c>
      <c r="L28" s="28"/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1"/>
        <v>借</v>
      </c>
      <c r="K29" s="9">
        <f t="shared" si="2"/>
        <v>1000</v>
      </c>
      <c r="L29" s="28"/>
    </row>
    <row r="30" spans="1:13" ht="20.100000000000001" customHeight="1" x14ac:dyDescent="0.15">
      <c r="A30" s="5"/>
      <c r="B30" s="5"/>
      <c r="C30" s="5"/>
      <c r="D30" s="10"/>
      <c r="E30" s="10"/>
      <c r="F30" s="10"/>
      <c r="G30" s="10"/>
      <c r="H30" s="8"/>
      <c r="I30" s="8"/>
      <c r="J30" s="8" t="str">
        <f t="shared" si="1"/>
        <v>借</v>
      </c>
      <c r="K30" s="9">
        <f t="shared" si="2"/>
        <v>1000</v>
      </c>
      <c r="L30" s="28"/>
      <c r="M30" s="99"/>
    </row>
    <row r="31" spans="1:13" ht="20.100000000000001" customHeight="1" x14ac:dyDescent="0.15">
      <c r="A31" s="5"/>
      <c r="B31" s="5"/>
      <c r="C31" s="5"/>
      <c r="D31" s="10"/>
      <c r="E31" s="10"/>
      <c r="F31" s="10"/>
      <c r="G31" s="10"/>
      <c r="H31" s="8"/>
      <c r="I31" s="8"/>
      <c r="J31" s="8" t="str">
        <f t="shared" si="1"/>
        <v>借</v>
      </c>
      <c r="K31" s="9">
        <f t="shared" si="2"/>
        <v>1000</v>
      </c>
      <c r="L31" s="28"/>
      <c r="M31" s="99"/>
    </row>
    <row r="32" spans="1:13" ht="20.100000000000001" customHeight="1" x14ac:dyDescent="0.15">
      <c r="A32" s="5"/>
      <c r="B32" s="5"/>
      <c r="C32" s="10"/>
      <c r="D32" s="10"/>
      <c r="E32" s="11"/>
      <c r="F32" s="10"/>
      <c r="G32" s="10"/>
      <c r="H32" s="8"/>
      <c r="I32" s="8"/>
      <c r="J32" s="8" t="str">
        <f t="shared" si="1"/>
        <v>借</v>
      </c>
      <c r="K32" s="9">
        <f t="shared" si="2"/>
        <v>1000</v>
      </c>
      <c r="L32" s="28"/>
    </row>
    <row r="33" spans="1:13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1"/>
        <v>借</v>
      </c>
      <c r="K33" s="9">
        <f t="shared" si="2"/>
        <v>1000</v>
      </c>
      <c r="L33" s="28"/>
    </row>
    <row r="34" spans="1:13" ht="20.100000000000001" customHeight="1" x14ac:dyDescent="0.15">
      <c r="A34" s="5"/>
      <c r="B34" s="5"/>
      <c r="C34" s="5"/>
      <c r="D34" s="10"/>
      <c r="E34" s="10"/>
      <c r="F34" s="10"/>
      <c r="G34" s="10"/>
      <c r="H34" s="8"/>
      <c r="I34" s="8"/>
      <c r="J34" s="8" t="str">
        <f t="shared" si="1"/>
        <v>借</v>
      </c>
      <c r="K34" s="9">
        <f t="shared" si="2"/>
        <v>1000</v>
      </c>
      <c r="L34" s="28"/>
      <c r="M34" s="99"/>
    </row>
    <row r="35" spans="1:13" ht="20.100000000000001" customHeight="1" x14ac:dyDescent="0.15">
      <c r="A35" s="5"/>
      <c r="B35" s="5"/>
      <c r="C35" s="5"/>
      <c r="D35" s="10"/>
      <c r="E35" s="10"/>
      <c r="F35" s="10"/>
      <c r="G35" s="10"/>
      <c r="H35" s="8"/>
      <c r="I35" s="8"/>
      <c r="J35" s="8" t="str">
        <f t="shared" si="1"/>
        <v>借</v>
      </c>
      <c r="K35" s="9">
        <f t="shared" si="2"/>
        <v>1000</v>
      </c>
      <c r="L35" s="28"/>
      <c r="M35" s="99"/>
    </row>
    <row r="36" spans="1:13" ht="20.100000000000001" customHeight="1" x14ac:dyDescent="0.15">
      <c r="A36" s="5"/>
      <c r="B36" s="5"/>
      <c r="C36" s="5"/>
      <c r="D36" s="10"/>
      <c r="E36" s="10"/>
      <c r="F36" s="10"/>
      <c r="G36" s="10"/>
      <c r="H36" s="8"/>
      <c r="I36" s="8"/>
      <c r="J36" s="8" t="str">
        <f t="shared" si="1"/>
        <v>借</v>
      </c>
      <c r="K36" s="9">
        <f t="shared" si="2"/>
        <v>1000</v>
      </c>
      <c r="L36" s="28"/>
      <c r="M36" s="99"/>
    </row>
    <row r="37" spans="1:13" ht="20.100000000000001" customHeight="1" x14ac:dyDescent="0.15">
      <c r="A37" s="5"/>
      <c r="B37" s="5"/>
      <c r="C37" s="5"/>
      <c r="D37" s="10"/>
      <c r="E37" s="10"/>
      <c r="F37" s="10"/>
      <c r="G37" s="10"/>
      <c r="H37" s="8"/>
      <c r="I37" s="8"/>
      <c r="J37" s="8" t="str">
        <f t="shared" si="1"/>
        <v>借</v>
      </c>
      <c r="K37" s="9">
        <f t="shared" si="2"/>
        <v>1000</v>
      </c>
      <c r="L37" s="28"/>
      <c r="M37" s="99"/>
    </row>
    <row r="38" spans="1:13" ht="20.100000000000001" customHeight="1" x14ac:dyDescent="0.15">
      <c r="A38" s="5"/>
      <c r="B38" s="5"/>
      <c r="C38" s="5"/>
      <c r="D38" s="10"/>
      <c r="E38" s="10"/>
      <c r="F38" s="10"/>
      <c r="G38" s="10"/>
      <c r="H38" s="8"/>
      <c r="I38" s="8"/>
      <c r="J38" s="8" t="str">
        <f t="shared" si="1"/>
        <v>借</v>
      </c>
      <c r="K38" s="9">
        <f t="shared" si="2"/>
        <v>1000</v>
      </c>
      <c r="L38" s="28"/>
    </row>
    <row r="39" spans="1:13" ht="20.100000000000001" customHeight="1" x14ac:dyDescent="0.15">
      <c r="A39" s="5"/>
      <c r="B39" s="5"/>
      <c r="C39" s="5"/>
      <c r="D39" s="10"/>
      <c r="E39" s="11"/>
      <c r="F39" s="10"/>
      <c r="G39" s="10"/>
      <c r="H39" s="8"/>
      <c r="I39" s="8"/>
      <c r="J39" s="8" t="str">
        <f t="shared" si="1"/>
        <v>借</v>
      </c>
      <c r="K39" s="9">
        <f t="shared" si="2"/>
        <v>1000</v>
      </c>
      <c r="L39" s="28"/>
      <c r="M39" s="99"/>
    </row>
    <row r="40" spans="1:13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1"/>
        <v>借</v>
      </c>
      <c r="K40" s="9">
        <f t="shared" si="2"/>
        <v>1000</v>
      </c>
      <c r="L40" s="28"/>
      <c r="M40" s="99"/>
    </row>
    <row r="41" spans="1:13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1"/>
        <v>借</v>
      </c>
      <c r="K41" s="9">
        <f t="shared" si="2"/>
        <v>1000</v>
      </c>
      <c r="L41" s="28"/>
      <c r="M41" s="99"/>
    </row>
    <row r="42" spans="1:13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1"/>
        <v>借</v>
      </c>
      <c r="K42" s="9">
        <f t="shared" si="2"/>
        <v>1000</v>
      </c>
      <c r="L42" s="28"/>
      <c r="M42" s="99"/>
    </row>
    <row r="43" spans="1:13" ht="20.100000000000001" customHeight="1" x14ac:dyDescent="0.15">
      <c r="A43" s="5"/>
      <c r="B43" s="5"/>
      <c r="C43" s="10"/>
      <c r="D43" s="10"/>
      <c r="E43" s="11"/>
      <c r="F43" s="10"/>
      <c r="G43" s="10"/>
      <c r="H43" s="8"/>
      <c r="I43" s="8"/>
      <c r="J43" s="8" t="str">
        <f t="shared" si="1"/>
        <v>借</v>
      </c>
      <c r="K43" s="9">
        <f t="shared" si="2"/>
        <v>1000</v>
      </c>
      <c r="L43" s="28"/>
    </row>
    <row r="44" spans="1:13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1"/>
        <v>借</v>
      </c>
      <c r="K44" s="9">
        <f t="shared" si="2"/>
        <v>1000</v>
      </c>
      <c r="L44" s="28"/>
    </row>
    <row r="45" spans="1:13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1"/>
        <v>借</v>
      </c>
      <c r="K45" s="9">
        <f t="shared" si="2"/>
        <v>1000</v>
      </c>
      <c r="L45" s="28"/>
    </row>
    <row r="46" spans="1:13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1"/>
        <v>借</v>
      </c>
      <c r="K46" s="9">
        <f t="shared" si="2"/>
        <v>1000</v>
      </c>
      <c r="L46" s="28"/>
    </row>
    <row r="47" spans="1:13" ht="20.100000000000001" customHeight="1" x14ac:dyDescent="0.15">
      <c r="A47" s="5"/>
      <c r="B47" s="5"/>
      <c r="C47" s="10"/>
      <c r="D47" s="10"/>
      <c r="E47" s="10"/>
      <c r="F47" s="8"/>
      <c r="G47" s="8"/>
      <c r="H47" s="8"/>
      <c r="I47" s="8"/>
      <c r="J47" s="8" t="str">
        <f t="shared" si="1"/>
        <v>借</v>
      </c>
      <c r="K47" s="9">
        <f t="shared" si="2"/>
        <v>1000</v>
      </c>
      <c r="L47" s="28"/>
    </row>
    <row r="48" spans="1:13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1"/>
        <v>借</v>
      </c>
      <c r="K48" s="9">
        <f t="shared" si="2"/>
        <v>1000</v>
      </c>
      <c r="L48" s="28"/>
    </row>
    <row r="49" spans="1:13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1"/>
        <v>借</v>
      </c>
      <c r="K49" s="9">
        <f t="shared" si="2"/>
        <v>1000</v>
      </c>
      <c r="L49" s="28"/>
    </row>
    <row r="50" spans="1:13" ht="20.100000000000001" customHeight="1" x14ac:dyDescent="0.15">
      <c r="A50" s="5"/>
      <c r="B50" s="5"/>
      <c r="C50" s="10"/>
      <c r="D50" s="10"/>
      <c r="E50" s="10"/>
      <c r="F50" s="8"/>
      <c r="G50" s="10"/>
      <c r="H50" s="8"/>
      <c r="I50" s="8"/>
      <c r="J50" s="8" t="str">
        <f t="shared" si="1"/>
        <v>借</v>
      </c>
      <c r="K50" s="9">
        <f t="shared" si="2"/>
        <v>1000</v>
      </c>
      <c r="L50" s="28"/>
    </row>
    <row r="51" spans="1:13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1"/>
        <v>借</v>
      </c>
      <c r="K51" s="9">
        <f t="shared" si="2"/>
        <v>1000</v>
      </c>
      <c r="L51" s="28"/>
    </row>
    <row r="52" spans="1:13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1"/>
        <v>借</v>
      </c>
      <c r="K52" s="9">
        <f t="shared" si="2"/>
        <v>1000</v>
      </c>
    </row>
    <row r="53" spans="1:13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1"/>
        <v>借</v>
      </c>
      <c r="K53" s="9">
        <f t="shared" si="2"/>
        <v>1000</v>
      </c>
      <c r="L53" s="28"/>
      <c r="M53" s="99"/>
    </row>
    <row r="54" spans="1:13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1"/>
        <v>借</v>
      </c>
      <c r="K54" s="9">
        <f t="shared" si="2"/>
        <v>1000</v>
      </c>
      <c r="L54" s="28"/>
      <c r="M54" s="99"/>
    </row>
    <row r="55" spans="1:13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1"/>
        <v>借</v>
      </c>
      <c r="K55" s="9">
        <f t="shared" si="2"/>
        <v>1000</v>
      </c>
      <c r="L55" s="28"/>
      <c r="M55" s="99"/>
    </row>
    <row r="56" spans="1:13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1"/>
        <v>借</v>
      </c>
      <c r="K56" s="9">
        <f t="shared" si="2"/>
        <v>1000</v>
      </c>
      <c r="L56" s="28"/>
      <c r="M56" s="99"/>
    </row>
    <row r="57" spans="1:13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1"/>
        <v>借</v>
      </c>
      <c r="K57" s="9">
        <f t="shared" si="2"/>
        <v>1000</v>
      </c>
      <c r="L57" s="28"/>
    </row>
    <row r="58" spans="1:13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1"/>
        <v>借</v>
      </c>
      <c r="K58" s="9">
        <f t="shared" si="2"/>
        <v>1000</v>
      </c>
      <c r="L58" s="28"/>
      <c r="M58" s="27"/>
    </row>
    <row r="59" spans="1:13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1"/>
        <v>借</v>
      </c>
      <c r="K59" s="9">
        <f t="shared" si="2"/>
        <v>1000</v>
      </c>
      <c r="L59" s="28"/>
      <c r="M59" s="27"/>
    </row>
    <row r="60" spans="1:13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1"/>
        <v>借</v>
      </c>
      <c r="K60" s="9">
        <f t="shared" si="2"/>
        <v>1000</v>
      </c>
      <c r="L60" s="28"/>
      <c r="M60" s="27"/>
    </row>
    <row r="61" spans="1:13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1"/>
        <v>借</v>
      </c>
      <c r="K61" s="9">
        <f t="shared" si="2"/>
        <v>1000</v>
      </c>
      <c r="L61" s="28"/>
      <c r="M61" s="99"/>
    </row>
    <row r="62" spans="1:13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1"/>
        <v>借</v>
      </c>
      <c r="K62" s="9">
        <f t="shared" si="2"/>
        <v>1000</v>
      </c>
      <c r="L62" s="28"/>
      <c r="M62" s="99"/>
    </row>
    <row r="63" spans="1:13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1"/>
        <v>借</v>
      </c>
      <c r="K63" s="9">
        <f t="shared" si="2"/>
        <v>1000</v>
      </c>
      <c r="L63" s="28"/>
      <c r="M63" s="27"/>
    </row>
    <row r="64" spans="1:13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1"/>
        <v>借</v>
      </c>
      <c r="K64" s="9">
        <f t="shared" si="2"/>
        <v>1000</v>
      </c>
      <c r="L64" s="28"/>
      <c r="M64" s="27"/>
    </row>
    <row r="65" spans="1:13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1"/>
        <v>借</v>
      </c>
      <c r="K65" s="9">
        <f t="shared" si="2"/>
        <v>1000</v>
      </c>
      <c r="L65" s="28"/>
    </row>
    <row r="66" spans="1:13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1"/>
        <v>借</v>
      </c>
      <c r="K66" s="9">
        <f t="shared" si="2"/>
        <v>1000</v>
      </c>
      <c r="L66" s="28"/>
    </row>
    <row r="67" spans="1:13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1"/>
        <v>借</v>
      </c>
      <c r="K67" s="9">
        <f t="shared" si="2"/>
        <v>1000</v>
      </c>
      <c r="L67" s="28"/>
    </row>
    <row r="68" spans="1:13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1"/>
        <v>借</v>
      </c>
      <c r="K68" s="9">
        <f t="shared" si="2"/>
        <v>1000</v>
      </c>
      <c r="L68" s="28"/>
    </row>
    <row r="69" spans="1:13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1"/>
        <v>借</v>
      </c>
      <c r="K69" s="9">
        <f t="shared" si="2"/>
        <v>1000</v>
      </c>
      <c r="L69" s="28"/>
      <c r="M69" s="99"/>
    </row>
    <row r="70" spans="1:13" ht="20.100000000000001" customHeight="1" x14ac:dyDescent="0.15">
      <c r="A70" s="10"/>
      <c r="B70" s="5"/>
      <c r="C70" s="10"/>
      <c r="D70" s="10"/>
      <c r="E70" s="10"/>
      <c r="F70" s="10"/>
      <c r="G70" s="10"/>
      <c r="H70" s="8"/>
      <c r="I70" s="8"/>
      <c r="J70" s="8" t="str">
        <f t="shared" si="1"/>
        <v>借</v>
      </c>
      <c r="K70" s="9">
        <f t="shared" si="2"/>
        <v>1000</v>
      </c>
      <c r="L70" s="28"/>
      <c r="M70" s="99"/>
    </row>
    <row r="71" spans="1:13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1"/>
        <v>借</v>
      </c>
      <c r="K71" s="9">
        <f t="shared" si="2"/>
        <v>1000</v>
      </c>
      <c r="L71" s="28"/>
      <c r="M71" s="99"/>
    </row>
    <row r="72" spans="1:13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ref="J72:J135" si="3">IF((K71+H72-I72)&gt;0,"借","贷")</f>
        <v>借</v>
      </c>
      <c r="K72" s="9">
        <f t="shared" ref="K72:K135" si="4">K71+H72-I72</f>
        <v>1000</v>
      </c>
      <c r="L72" s="28"/>
      <c r="M72" s="99"/>
    </row>
    <row r="73" spans="1:13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3"/>
        <v>借</v>
      </c>
      <c r="K73" s="9">
        <f t="shared" si="4"/>
        <v>1000</v>
      </c>
      <c r="L73" s="28"/>
      <c r="M73" s="99"/>
    </row>
    <row r="74" spans="1:13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3"/>
        <v>借</v>
      </c>
      <c r="K74" s="9">
        <f t="shared" si="4"/>
        <v>1000</v>
      </c>
      <c r="L74" s="28"/>
      <c r="M74" s="99"/>
    </row>
    <row r="75" spans="1:13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3"/>
        <v>借</v>
      </c>
      <c r="K75" s="9">
        <f t="shared" si="4"/>
        <v>1000</v>
      </c>
      <c r="L75" s="28"/>
    </row>
    <row r="76" spans="1:13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3"/>
        <v>借</v>
      </c>
      <c r="K76" s="9">
        <f t="shared" si="4"/>
        <v>1000</v>
      </c>
      <c r="L76" s="28"/>
    </row>
    <row r="77" spans="1:13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3"/>
        <v>借</v>
      </c>
      <c r="K77" s="9">
        <f t="shared" si="4"/>
        <v>1000</v>
      </c>
      <c r="L77" s="28"/>
    </row>
    <row r="78" spans="1:13" ht="20.100000000000001" customHeight="1" x14ac:dyDescent="0.15">
      <c r="A78" s="5"/>
      <c r="B78" s="5"/>
      <c r="C78" s="10"/>
      <c r="D78" s="10"/>
      <c r="E78" s="10"/>
      <c r="F78" s="10"/>
      <c r="G78" s="10"/>
      <c r="H78" s="8"/>
      <c r="I78" s="8"/>
      <c r="J78" s="8" t="str">
        <f t="shared" si="3"/>
        <v>借</v>
      </c>
      <c r="K78" s="9">
        <f t="shared" si="4"/>
        <v>1000</v>
      </c>
      <c r="L78" s="28"/>
    </row>
    <row r="79" spans="1:13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3"/>
        <v>借</v>
      </c>
      <c r="K79" s="9">
        <f t="shared" si="4"/>
        <v>1000</v>
      </c>
      <c r="L79" s="28"/>
    </row>
    <row r="80" spans="1:13" ht="20.100000000000001" customHeight="1" x14ac:dyDescent="0.15">
      <c r="A80" s="10"/>
      <c r="B80" s="5"/>
      <c r="C80" s="10"/>
      <c r="D80" s="10"/>
      <c r="E80" s="10"/>
      <c r="F80" s="10"/>
      <c r="G80" s="10"/>
      <c r="H80" s="8"/>
      <c r="I80" s="8"/>
      <c r="J80" s="8" t="str">
        <f t="shared" si="3"/>
        <v>借</v>
      </c>
      <c r="K80" s="9">
        <f t="shared" si="4"/>
        <v>1000</v>
      </c>
      <c r="L80" s="28"/>
      <c r="M80" s="99"/>
    </row>
    <row r="81" spans="1:13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8"/>
      <c r="J81" s="8" t="str">
        <f t="shared" si="3"/>
        <v>借</v>
      </c>
      <c r="K81" s="9">
        <f t="shared" si="4"/>
        <v>1000</v>
      </c>
      <c r="L81" s="28"/>
      <c r="M81" s="99"/>
    </row>
    <row r="82" spans="1:13" ht="20.100000000000001" customHeight="1" x14ac:dyDescent="0.15">
      <c r="A82" s="5"/>
      <c r="B82" s="5"/>
      <c r="C82" s="10"/>
      <c r="D82" s="10"/>
      <c r="E82" s="10"/>
      <c r="F82" s="10"/>
      <c r="G82" s="10"/>
      <c r="H82" s="8"/>
      <c r="I82" s="8"/>
      <c r="J82" s="8" t="str">
        <f t="shared" si="3"/>
        <v>借</v>
      </c>
      <c r="K82" s="9">
        <f t="shared" si="4"/>
        <v>1000</v>
      </c>
      <c r="L82" s="28"/>
    </row>
    <row r="83" spans="1:13" ht="20.100000000000001" customHeight="1" x14ac:dyDescent="0.15">
      <c r="A83" s="5"/>
      <c r="B83" s="5"/>
      <c r="C83" s="10"/>
      <c r="D83" s="10"/>
      <c r="E83" s="10"/>
      <c r="F83" s="10"/>
      <c r="G83" s="10"/>
      <c r="H83" s="8"/>
      <c r="I83" s="15"/>
      <c r="J83" s="8" t="str">
        <f t="shared" si="3"/>
        <v>借</v>
      </c>
      <c r="K83" s="9">
        <f t="shared" si="4"/>
        <v>1000</v>
      </c>
      <c r="L83" s="28"/>
    </row>
    <row r="84" spans="1:13" ht="20.100000000000001" customHeight="1" x14ac:dyDescent="0.15">
      <c r="A84" s="5"/>
      <c r="B84" s="5"/>
      <c r="C84" s="10"/>
      <c r="D84" s="10"/>
      <c r="E84" s="10"/>
      <c r="F84" s="10"/>
      <c r="G84" s="10"/>
      <c r="H84" s="8"/>
      <c r="I84" s="15"/>
      <c r="J84" s="8" t="str">
        <f t="shared" si="3"/>
        <v>借</v>
      </c>
      <c r="K84" s="9">
        <f t="shared" si="4"/>
        <v>1000</v>
      </c>
      <c r="L84" s="28"/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3"/>
        <v>借</v>
      </c>
      <c r="K85" s="9">
        <f t="shared" si="4"/>
        <v>1000</v>
      </c>
      <c r="L85" s="28"/>
    </row>
    <row r="86" spans="1:13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3"/>
        <v>借</v>
      </c>
      <c r="K86" s="9">
        <f t="shared" si="4"/>
        <v>1000</v>
      </c>
      <c r="L86" s="28"/>
      <c r="M86" s="99"/>
    </row>
    <row r="87" spans="1:13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3"/>
        <v>借</v>
      </c>
      <c r="K87" s="9">
        <f t="shared" si="4"/>
        <v>1000</v>
      </c>
      <c r="L87" s="28"/>
      <c r="M87" s="99"/>
    </row>
    <row r="88" spans="1:13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3"/>
        <v>借</v>
      </c>
      <c r="K88" s="9">
        <f t="shared" si="4"/>
        <v>1000</v>
      </c>
      <c r="L88" s="28"/>
    </row>
    <row r="89" spans="1:13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3"/>
        <v>借</v>
      </c>
      <c r="K89" s="9">
        <f t="shared" si="4"/>
        <v>1000</v>
      </c>
      <c r="L89" s="28"/>
    </row>
    <row r="90" spans="1:13" ht="20.100000000000001" customHeight="1" x14ac:dyDescent="0.15">
      <c r="A90" s="5"/>
      <c r="B90" s="5"/>
      <c r="C90" s="5"/>
      <c r="D90" s="10"/>
      <c r="E90" s="10"/>
      <c r="F90" s="14"/>
      <c r="G90" s="14"/>
      <c r="H90" s="8"/>
      <c r="I90" s="8"/>
      <c r="J90" s="8" t="str">
        <f t="shared" si="3"/>
        <v>借</v>
      </c>
      <c r="K90" s="9">
        <f t="shared" si="4"/>
        <v>1000</v>
      </c>
      <c r="L90" s="28"/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3"/>
        <v>借</v>
      </c>
      <c r="K91" s="9">
        <f t="shared" si="4"/>
        <v>1000</v>
      </c>
      <c r="L91" s="28"/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3"/>
        <v>借</v>
      </c>
      <c r="K92" s="9">
        <f t="shared" si="4"/>
        <v>1000</v>
      </c>
      <c r="L92" s="28"/>
      <c r="M92" s="99"/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3"/>
        <v>借</v>
      </c>
      <c r="K93" s="9">
        <f t="shared" si="4"/>
        <v>1000</v>
      </c>
      <c r="L93" s="28"/>
      <c r="M93" s="99"/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3"/>
        <v>借</v>
      </c>
      <c r="K94" s="9">
        <f t="shared" si="4"/>
        <v>1000</v>
      </c>
      <c r="L94" s="28"/>
      <c r="M94" s="99"/>
    </row>
    <row r="95" spans="1:13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3"/>
        <v>借</v>
      </c>
      <c r="K95" s="9">
        <f t="shared" si="4"/>
        <v>1000</v>
      </c>
      <c r="L95" s="28"/>
      <c r="M95" s="99"/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3"/>
        <v>借</v>
      </c>
      <c r="K96" s="9">
        <f t="shared" si="4"/>
        <v>1000</v>
      </c>
      <c r="L96" s="28"/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3"/>
        <v>借</v>
      </c>
      <c r="K97" s="9">
        <f t="shared" si="4"/>
        <v>1000</v>
      </c>
      <c r="L97" s="28"/>
    </row>
    <row r="98" spans="1:13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3"/>
        <v>借</v>
      </c>
      <c r="K98" s="9">
        <f t="shared" si="4"/>
        <v>1000</v>
      </c>
      <c r="L98" s="28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3"/>
        <v>借</v>
      </c>
      <c r="K99" s="9">
        <f t="shared" si="4"/>
        <v>1000</v>
      </c>
      <c r="L99" s="28"/>
      <c r="M99" s="99"/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3"/>
        <v>借</v>
      </c>
      <c r="K100" s="9">
        <f t="shared" si="4"/>
        <v>1000</v>
      </c>
      <c r="L100" s="28"/>
      <c r="M100" s="99"/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3"/>
        <v>借</v>
      </c>
      <c r="K101" s="9">
        <f t="shared" si="4"/>
        <v>1000</v>
      </c>
      <c r="L101" s="28"/>
      <c r="M101" s="99"/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3"/>
        <v>借</v>
      </c>
      <c r="K102" s="9">
        <f t="shared" si="4"/>
        <v>1000</v>
      </c>
      <c r="L102" s="28"/>
      <c r="M102" s="99"/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3"/>
        <v>借</v>
      </c>
      <c r="K103" s="9">
        <f t="shared" si="4"/>
        <v>1000</v>
      </c>
      <c r="L103" s="28"/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3"/>
        <v>借</v>
      </c>
      <c r="K104" s="9">
        <f t="shared" si="4"/>
        <v>1000</v>
      </c>
      <c r="L104" s="28"/>
    </row>
    <row r="105" spans="1:13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3"/>
        <v>借</v>
      </c>
      <c r="K105" s="9">
        <f t="shared" si="4"/>
        <v>1000</v>
      </c>
      <c r="L105" s="28"/>
    </row>
    <row r="106" spans="1:13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3"/>
        <v>借</v>
      </c>
      <c r="K106" s="9">
        <f t="shared" si="4"/>
        <v>1000</v>
      </c>
      <c r="L106" s="28"/>
    </row>
    <row r="107" spans="1:13" ht="20.100000000000001" customHeight="1" x14ac:dyDescent="0.15">
      <c r="A107" s="10"/>
      <c r="B107" s="5"/>
      <c r="C107" s="5"/>
      <c r="D107" s="10"/>
      <c r="E107" s="10"/>
      <c r="F107" s="14"/>
      <c r="G107" s="14"/>
      <c r="H107" s="8"/>
      <c r="I107" s="8"/>
      <c r="J107" s="8" t="str">
        <f t="shared" si="3"/>
        <v>借</v>
      </c>
      <c r="K107" s="9">
        <f t="shared" si="4"/>
        <v>1000</v>
      </c>
      <c r="L107" s="28"/>
    </row>
    <row r="108" spans="1:13" ht="20.100000000000001" customHeight="1" x14ac:dyDescent="0.15">
      <c r="A108" s="10"/>
      <c r="B108" s="5"/>
      <c r="C108" s="5"/>
      <c r="D108" s="10"/>
      <c r="E108" s="10"/>
      <c r="F108" s="10"/>
      <c r="G108" s="10"/>
      <c r="H108" s="8"/>
      <c r="I108" s="8"/>
      <c r="J108" s="8" t="str">
        <f t="shared" si="3"/>
        <v>借</v>
      </c>
      <c r="K108" s="9">
        <f t="shared" si="4"/>
        <v>1000</v>
      </c>
      <c r="L108" s="28"/>
      <c r="M108" s="28"/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3"/>
        <v>借</v>
      </c>
      <c r="K109" s="9">
        <f t="shared" si="4"/>
        <v>1000</v>
      </c>
      <c r="L109" s="28"/>
      <c r="M109" s="1"/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3"/>
        <v>借</v>
      </c>
      <c r="K110" s="9">
        <f t="shared" si="4"/>
        <v>1000</v>
      </c>
      <c r="L110" s="28"/>
      <c r="M110" s="1"/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3"/>
        <v>借</v>
      </c>
      <c r="K111" s="9">
        <f t="shared" si="4"/>
        <v>1000</v>
      </c>
      <c r="L111" s="28"/>
      <c r="M111" s="106"/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3"/>
        <v>借</v>
      </c>
      <c r="K112" s="9">
        <f t="shared" si="4"/>
        <v>1000</v>
      </c>
      <c r="L112" s="28"/>
      <c r="M112" s="106"/>
    </row>
    <row r="113" spans="1:13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3"/>
        <v>借</v>
      </c>
      <c r="K113" s="9">
        <f t="shared" si="4"/>
        <v>1000</v>
      </c>
      <c r="L113" s="28"/>
      <c r="M113" s="106"/>
    </row>
    <row r="114" spans="1:13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3"/>
        <v>借</v>
      </c>
      <c r="K114" s="9">
        <f t="shared" si="4"/>
        <v>1000</v>
      </c>
      <c r="L114" s="28"/>
      <c r="M114" s="106"/>
    </row>
    <row r="115" spans="1:13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3"/>
        <v>借</v>
      </c>
      <c r="K115" s="9">
        <f t="shared" si="4"/>
        <v>1000</v>
      </c>
      <c r="L115" s="28"/>
    </row>
    <row r="116" spans="1:13" ht="20.100000000000001" customHeight="1" x14ac:dyDescent="0.15">
      <c r="A116" s="10"/>
      <c r="B116" s="5"/>
      <c r="C116" s="5"/>
      <c r="D116" s="10"/>
      <c r="E116" s="10"/>
      <c r="F116" s="10"/>
      <c r="G116" s="10"/>
      <c r="H116" s="8"/>
      <c r="I116" s="8"/>
      <c r="J116" s="8" t="str">
        <f t="shared" si="3"/>
        <v>借</v>
      </c>
      <c r="K116" s="9">
        <f t="shared" si="4"/>
        <v>1000</v>
      </c>
      <c r="L116" s="28"/>
    </row>
    <row r="117" spans="1:13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3"/>
        <v>借</v>
      </c>
      <c r="K117" s="9">
        <f t="shared" si="4"/>
        <v>1000</v>
      </c>
      <c r="L117" s="28"/>
    </row>
    <row r="118" spans="1:13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3"/>
        <v>借</v>
      </c>
      <c r="K118" s="9">
        <f t="shared" si="4"/>
        <v>1000</v>
      </c>
      <c r="L118" s="28"/>
      <c r="M118" s="99"/>
    </row>
    <row r="119" spans="1:13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3"/>
        <v>借</v>
      </c>
      <c r="K119" s="9">
        <f t="shared" si="4"/>
        <v>1000</v>
      </c>
      <c r="L119" s="28"/>
      <c r="M119" s="99"/>
    </row>
    <row r="120" spans="1:13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3"/>
        <v>借</v>
      </c>
      <c r="K120" s="9">
        <f t="shared" si="4"/>
        <v>1000</v>
      </c>
      <c r="L120" s="28"/>
    </row>
    <row r="121" spans="1:13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3"/>
        <v>借</v>
      </c>
      <c r="K121" s="9">
        <f t="shared" si="4"/>
        <v>1000</v>
      </c>
      <c r="L121" s="28"/>
    </row>
    <row r="122" spans="1:13" ht="20.100000000000001" customHeight="1" x14ac:dyDescent="0.15">
      <c r="A122" s="5"/>
      <c r="B122" s="5"/>
      <c r="C122" s="5"/>
      <c r="D122" s="10"/>
      <c r="E122" s="10"/>
      <c r="F122" s="10"/>
      <c r="G122" s="10"/>
      <c r="H122" s="8"/>
      <c r="I122" s="8"/>
      <c r="J122" s="8" t="str">
        <f t="shared" si="3"/>
        <v>借</v>
      </c>
      <c r="K122" s="9">
        <f t="shared" si="4"/>
        <v>1000</v>
      </c>
      <c r="L122" s="28"/>
    </row>
    <row r="123" spans="1:13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3"/>
        <v>借</v>
      </c>
      <c r="K123" s="9">
        <f t="shared" si="4"/>
        <v>1000</v>
      </c>
      <c r="L123" s="28"/>
    </row>
    <row r="124" spans="1:13" ht="20.100000000000001" customHeight="1" x14ac:dyDescent="0.15">
      <c r="A124" s="10"/>
      <c r="B124" s="5"/>
      <c r="C124" s="5"/>
      <c r="D124" s="10"/>
      <c r="E124" s="10"/>
      <c r="F124" s="10"/>
      <c r="G124" s="10"/>
      <c r="H124" s="8"/>
      <c r="I124" s="8"/>
      <c r="J124" s="8" t="str">
        <f t="shared" si="3"/>
        <v>借</v>
      </c>
      <c r="K124" s="9">
        <f t="shared" si="4"/>
        <v>1000</v>
      </c>
      <c r="L124" s="28"/>
    </row>
    <row r="125" spans="1:13" ht="20.100000000000001" customHeight="1" x14ac:dyDescent="0.15">
      <c r="A125" s="10"/>
      <c r="B125" s="5"/>
      <c r="C125" s="10"/>
      <c r="D125" s="10"/>
      <c r="E125" s="10"/>
      <c r="F125" s="10"/>
      <c r="G125" s="10"/>
      <c r="H125" s="8"/>
      <c r="I125" s="8"/>
      <c r="J125" s="8" t="str">
        <f t="shared" si="3"/>
        <v>借</v>
      </c>
      <c r="K125" s="9">
        <f t="shared" si="4"/>
        <v>1000</v>
      </c>
      <c r="L125" s="28"/>
    </row>
    <row r="126" spans="1:13" ht="20.100000000000001" customHeight="1" x14ac:dyDescent="0.15">
      <c r="A126" s="10"/>
      <c r="B126" s="5"/>
      <c r="C126" s="10"/>
      <c r="D126" s="10"/>
      <c r="E126" s="10"/>
      <c r="F126" s="10"/>
      <c r="G126" s="10"/>
      <c r="H126" s="8"/>
      <c r="I126" s="8"/>
      <c r="J126" s="8" t="str">
        <f t="shared" si="3"/>
        <v>借</v>
      </c>
      <c r="K126" s="9">
        <f t="shared" si="4"/>
        <v>1000</v>
      </c>
      <c r="L126" s="28"/>
    </row>
    <row r="127" spans="1:13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3"/>
        <v>借</v>
      </c>
      <c r="K127" s="9">
        <f t="shared" si="4"/>
        <v>1000</v>
      </c>
      <c r="L127" s="28"/>
    </row>
    <row r="128" spans="1:13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3"/>
        <v>借</v>
      </c>
      <c r="K128" s="9">
        <f t="shared" si="4"/>
        <v>1000</v>
      </c>
      <c r="L128" s="28"/>
    </row>
    <row r="129" spans="1:13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3"/>
        <v>借</v>
      </c>
      <c r="K129" s="9">
        <f t="shared" si="4"/>
        <v>1000</v>
      </c>
      <c r="L129" s="28"/>
    </row>
    <row r="130" spans="1:13" ht="20.100000000000001" customHeight="1" x14ac:dyDescent="0.15">
      <c r="A130" s="5"/>
      <c r="B130" s="5"/>
      <c r="C130" s="10"/>
      <c r="D130" s="10"/>
      <c r="E130" s="10"/>
      <c r="F130" s="10"/>
      <c r="G130" s="10"/>
      <c r="H130" s="8"/>
      <c r="I130" s="8"/>
      <c r="J130" s="8" t="str">
        <f t="shared" si="3"/>
        <v>借</v>
      </c>
      <c r="K130" s="9">
        <f t="shared" si="4"/>
        <v>1000</v>
      </c>
      <c r="L130" s="28"/>
    </row>
    <row r="131" spans="1:13" ht="20.100000000000001" customHeight="1" x14ac:dyDescent="0.15">
      <c r="A131" s="5"/>
      <c r="B131" s="5"/>
      <c r="C131" s="10"/>
      <c r="D131" s="10"/>
      <c r="E131" s="10"/>
      <c r="F131" s="10"/>
      <c r="G131" s="10"/>
      <c r="H131" s="8"/>
      <c r="I131" s="8"/>
      <c r="J131" s="8" t="str">
        <f t="shared" si="3"/>
        <v>借</v>
      </c>
      <c r="K131" s="9">
        <f t="shared" si="4"/>
        <v>1000</v>
      </c>
      <c r="L131" s="28"/>
    </row>
    <row r="132" spans="1:13" ht="20.100000000000001" customHeight="1" x14ac:dyDescent="0.15">
      <c r="A132" s="5"/>
      <c r="B132" s="5"/>
      <c r="C132" s="10"/>
      <c r="D132" s="10"/>
      <c r="E132" s="10"/>
      <c r="F132" s="10"/>
      <c r="G132" s="10"/>
      <c r="H132" s="8"/>
      <c r="I132" s="8"/>
      <c r="J132" s="8" t="str">
        <f t="shared" si="3"/>
        <v>借</v>
      </c>
      <c r="K132" s="9">
        <f t="shared" si="4"/>
        <v>1000</v>
      </c>
      <c r="L132" s="28"/>
    </row>
    <row r="133" spans="1:13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3"/>
        <v>借</v>
      </c>
      <c r="K133" s="9">
        <f t="shared" si="4"/>
        <v>1000</v>
      </c>
      <c r="L133" s="28"/>
    </row>
    <row r="134" spans="1:13" ht="20.100000000000001" customHeight="1" x14ac:dyDescent="0.15">
      <c r="A134" s="10"/>
      <c r="B134" s="5"/>
      <c r="C134" s="5"/>
      <c r="D134" s="10"/>
      <c r="E134" s="16"/>
      <c r="F134" s="10"/>
      <c r="G134" s="10"/>
      <c r="H134" s="8"/>
      <c r="I134" s="8"/>
      <c r="J134" s="8" t="str">
        <f t="shared" si="3"/>
        <v>借</v>
      </c>
      <c r="K134" s="9">
        <f t="shared" si="4"/>
        <v>1000</v>
      </c>
      <c r="L134" s="28"/>
    </row>
    <row r="135" spans="1:13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3"/>
        <v>借</v>
      </c>
      <c r="K135" s="9">
        <f t="shared" si="4"/>
        <v>1000</v>
      </c>
      <c r="L135" s="28"/>
    </row>
    <row r="136" spans="1:13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>IF((K135+H136-I136)&gt;0,"借","贷")</f>
        <v>借</v>
      </c>
      <c r="K136" s="9">
        <f>K135+H136-I136</f>
        <v>1000</v>
      </c>
      <c r="L136" s="28"/>
    </row>
    <row r="137" spans="1:13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ref="J137:J200" si="5">IF((K136+H137-I137)&gt;0,"借","贷")</f>
        <v>借</v>
      </c>
      <c r="K137" s="9">
        <f t="shared" ref="K137:K175" si="6">K136+H137-I137</f>
        <v>1000</v>
      </c>
      <c r="L137" s="28"/>
      <c r="M137" s="99"/>
    </row>
    <row r="138" spans="1:13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5"/>
        <v>借</v>
      </c>
      <c r="K138" s="9">
        <f t="shared" si="6"/>
        <v>1000</v>
      </c>
      <c r="L138" s="28"/>
      <c r="M138" s="99"/>
    </row>
    <row r="139" spans="1:13" ht="20.100000000000001" customHeight="1" x14ac:dyDescent="0.15">
      <c r="A139" s="5"/>
      <c r="B139" s="5"/>
      <c r="C139" s="5"/>
      <c r="D139" s="10"/>
      <c r="E139" s="10"/>
      <c r="F139" s="14"/>
      <c r="G139" s="10"/>
      <c r="H139" s="8"/>
      <c r="I139" s="8"/>
      <c r="J139" s="8" t="str">
        <f t="shared" si="5"/>
        <v>借</v>
      </c>
      <c r="K139" s="9">
        <f t="shared" si="6"/>
        <v>1000</v>
      </c>
      <c r="L139" s="28"/>
      <c r="M139" s="99"/>
    </row>
    <row r="140" spans="1:13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5"/>
        <v>借</v>
      </c>
      <c r="K140" s="9">
        <f t="shared" si="6"/>
        <v>1000</v>
      </c>
      <c r="L140" s="28"/>
      <c r="M140" s="99"/>
    </row>
    <row r="141" spans="1:13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5"/>
        <v>借</v>
      </c>
      <c r="K141" s="9">
        <f t="shared" si="6"/>
        <v>1000</v>
      </c>
      <c r="L141" s="28"/>
      <c r="M141" s="99"/>
    </row>
    <row r="142" spans="1:13" ht="20.100000000000001" customHeight="1" x14ac:dyDescent="0.15">
      <c r="A142" s="10"/>
      <c r="B142" s="5"/>
      <c r="C142" s="5"/>
      <c r="D142" s="10"/>
      <c r="E142" s="10"/>
      <c r="F142" s="10"/>
      <c r="G142" s="10"/>
      <c r="H142" s="8"/>
      <c r="I142" s="8"/>
      <c r="J142" s="8" t="str">
        <f t="shared" si="5"/>
        <v>借</v>
      </c>
      <c r="K142" s="9">
        <f t="shared" si="6"/>
        <v>1000</v>
      </c>
      <c r="L142" s="28"/>
      <c r="M142" s="99"/>
    </row>
    <row r="143" spans="1:13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5"/>
        <v>借</v>
      </c>
      <c r="K143" s="9">
        <f t="shared" si="6"/>
        <v>1000</v>
      </c>
      <c r="L143" s="28"/>
    </row>
    <row r="144" spans="1:13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5"/>
        <v>借</v>
      </c>
      <c r="K144" s="9">
        <f t="shared" si="6"/>
        <v>1000</v>
      </c>
      <c r="L144" s="28"/>
    </row>
    <row r="145" spans="1:13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5"/>
        <v>借</v>
      </c>
      <c r="K145" s="9">
        <f t="shared" si="6"/>
        <v>1000</v>
      </c>
      <c r="L145" s="28"/>
      <c r="M145" s="107"/>
    </row>
    <row r="146" spans="1:13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5"/>
        <v>借</v>
      </c>
      <c r="K146" s="9">
        <f t="shared" si="6"/>
        <v>1000</v>
      </c>
      <c r="L146" s="28"/>
      <c r="M146" s="107"/>
    </row>
    <row r="147" spans="1:13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5"/>
        <v>借</v>
      </c>
      <c r="K147" s="9">
        <f t="shared" si="6"/>
        <v>1000</v>
      </c>
      <c r="L147" s="28"/>
      <c r="M147" s="107"/>
    </row>
    <row r="148" spans="1:13" ht="20.100000000000001" customHeight="1" x14ac:dyDescent="0.15">
      <c r="A148" s="5"/>
      <c r="B148" s="5"/>
      <c r="C148" s="5"/>
      <c r="D148" s="10"/>
      <c r="E148" s="10"/>
      <c r="F148" s="14"/>
      <c r="G148" s="14"/>
      <c r="H148" s="8"/>
      <c r="I148" s="8"/>
      <c r="J148" s="8" t="str">
        <f t="shared" si="5"/>
        <v>借</v>
      </c>
      <c r="K148" s="9">
        <f t="shared" si="6"/>
        <v>1000</v>
      </c>
      <c r="L148" s="28"/>
      <c r="M148" s="107"/>
    </row>
    <row r="149" spans="1:13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5"/>
        <v>借</v>
      </c>
      <c r="K149" s="9">
        <f t="shared" si="6"/>
        <v>1000</v>
      </c>
      <c r="L149" s="28"/>
    </row>
    <row r="150" spans="1:13" ht="20.100000000000001" customHeight="1" x14ac:dyDescent="0.15">
      <c r="A150" s="5"/>
      <c r="B150" s="5"/>
      <c r="C150" s="5"/>
      <c r="D150" s="10"/>
      <c r="E150" s="16"/>
      <c r="F150" s="10"/>
      <c r="G150" s="10"/>
      <c r="H150" s="8"/>
      <c r="I150" s="8"/>
      <c r="J150" s="8" t="str">
        <f t="shared" si="5"/>
        <v>借</v>
      </c>
      <c r="K150" s="9">
        <f t="shared" si="6"/>
        <v>1000</v>
      </c>
      <c r="L150" s="28"/>
    </row>
    <row r="151" spans="1:13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5"/>
        <v>借</v>
      </c>
      <c r="K151" s="9">
        <f t="shared" si="6"/>
        <v>1000</v>
      </c>
      <c r="L151" s="28"/>
    </row>
    <row r="152" spans="1:13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5"/>
        <v>借</v>
      </c>
      <c r="K152" s="9">
        <f t="shared" si="6"/>
        <v>1000</v>
      </c>
      <c r="L152" s="28"/>
    </row>
    <row r="153" spans="1:13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5"/>
        <v>借</v>
      </c>
      <c r="K153" s="9">
        <f t="shared" si="6"/>
        <v>1000</v>
      </c>
      <c r="L153" s="28"/>
    </row>
    <row r="154" spans="1:13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5"/>
        <v>借</v>
      </c>
      <c r="K154" s="9">
        <f t="shared" si="6"/>
        <v>1000</v>
      </c>
      <c r="L154" s="28"/>
      <c r="M154" s="99"/>
    </row>
    <row r="155" spans="1:13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5"/>
        <v>借</v>
      </c>
      <c r="K155" s="9">
        <f t="shared" si="6"/>
        <v>1000</v>
      </c>
      <c r="L155" s="28"/>
      <c r="M155" s="99"/>
    </row>
    <row r="156" spans="1:13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5"/>
        <v>借</v>
      </c>
      <c r="K156" s="9">
        <f t="shared" si="6"/>
        <v>1000</v>
      </c>
      <c r="L156" s="28"/>
      <c r="M156" s="99"/>
    </row>
    <row r="157" spans="1:13" ht="20.100000000000001" customHeight="1" x14ac:dyDescent="0.15">
      <c r="A157" s="5"/>
      <c r="B157" s="5"/>
      <c r="C157" s="5"/>
      <c r="D157" s="10"/>
      <c r="E157" s="10"/>
      <c r="F157" s="14"/>
      <c r="G157" s="10"/>
      <c r="H157" s="8"/>
      <c r="I157" s="8"/>
      <c r="J157" s="8" t="str">
        <f t="shared" si="5"/>
        <v>借</v>
      </c>
      <c r="K157" s="9">
        <f t="shared" si="6"/>
        <v>1000</v>
      </c>
      <c r="L157" s="28"/>
      <c r="M157" s="99"/>
    </row>
    <row r="158" spans="1:13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5"/>
        <v>借</v>
      </c>
      <c r="K158" s="9">
        <f t="shared" si="6"/>
        <v>1000</v>
      </c>
      <c r="L158" s="28"/>
      <c r="M158" s="99"/>
    </row>
    <row r="159" spans="1:13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5"/>
        <v>借</v>
      </c>
      <c r="K159" s="9">
        <f t="shared" si="6"/>
        <v>1000</v>
      </c>
      <c r="L159" s="28"/>
      <c r="M159" s="99"/>
    </row>
    <row r="160" spans="1:13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5"/>
        <v>借</v>
      </c>
      <c r="K160" s="9">
        <f t="shared" si="6"/>
        <v>1000</v>
      </c>
      <c r="L160" s="28"/>
    </row>
    <row r="161" spans="1:13" ht="20.100000000000001" customHeight="1" x14ac:dyDescent="0.15">
      <c r="A161" s="5"/>
      <c r="B161" s="5"/>
      <c r="C161" s="5"/>
      <c r="D161" s="10"/>
      <c r="E161" s="10"/>
      <c r="F161" s="10"/>
      <c r="G161" s="10"/>
      <c r="H161" s="8"/>
      <c r="I161" s="8"/>
      <c r="J161" s="8" t="str">
        <f t="shared" si="5"/>
        <v>借</v>
      </c>
      <c r="K161" s="9">
        <f t="shared" si="6"/>
        <v>1000</v>
      </c>
      <c r="L161" s="28"/>
      <c r="M161" s="99"/>
    </row>
    <row r="162" spans="1:13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5"/>
        <v>借</v>
      </c>
      <c r="K162" s="9">
        <f t="shared" si="6"/>
        <v>1000</v>
      </c>
      <c r="L162" s="28"/>
      <c r="M162" s="99"/>
    </row>
    <row r="163" spans="1:13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5"/>
        <v>借</v>
      </c>
      <c r="K163" s="9">
        <f t="shared" si="6"/>
        <v>1000</v>
      </c>
      <c r="L163" s="28"/>
      <c r="M163" s="99"/>
    </row>
    <row r="164" spans="1:13" ht="20.100000000000001" customHeight="1" x14ac:dyDescent="0.15">
      <c r="A164" s="10"/>
      <c r="B164" s="5"/>
      <c r="C164" s="5"/>
      <c r="D164" s="10"/>
      <c r="E164" s="10"/>
      <c r="F164" s="14"/>
      <c r="G164" s="14"/>
      <c r="H164" s="8"/>
      <c r="I164" s="8"/>
      <c r="J164" s="8" t="str">
        <f t="shared" si="5"/>
        <v>借</v>
      </c>
      <c r="K164" s="9">
        <f t="shared" si="6"/>
        <v>1000</v>
      </c>
      <c r="L164" s="28"/>
      <c r="M164" s="99"/>
    </row>
    <row r="165" spans="1:13" ht="20.100000000000001" customHeight="1" x14ac:dyDescent="0.15">
      <c r="A165" s="10"/>
      <c r="B165" s="5"/>
      <c r="C165" s="5"/>
      <c r="D165" s="10"/>
      <c r="E165" s="10"/>
      <c r="F165" s="10"/>
      <c r="G165" s="10"/>
      <c r="H165" s="8"/>
      <c r="I165" s="8"/>
      <c r="J165" s="8" t="str">
        <f t="shared" si="5"/>
        <v>借</v>
      </c>
      <c r="K165" s="9">
        <f t="shared" si="6"/>
        <v>1000</v>
      </c>
      <c r="L165" s="28"/>
    </row>
    <row r="166" spans="1:13" ht="20.100000000000001" customHeight="1" x14ac:dyDescent="0.15">
      <c r="A166" s="10"/>
      <c r="B166" s="5"/>
      <c r="C166" s="5"/>
      <c r="D166" s="10"/>
      <c r="E166" s="16"/>
      <c r="F166" s="10"/>
      <c r="G166" s="10"/>
      <c r="H166" s="8"/>
      <c r="I166" s="8"/>
      <c r="J166" s="8" t="str">
        <f t="shared" si="5"/>
        <v>借</v>
      </c>
      <c r="K166" s="9">
        <f t="shared" si="6"/>
        <v>1000</v>
      </c>
      <c r="L166" s="28"/>
      <c r="M166" s="99"/>
    </row>
    <row r="167" spans="1:13" ht="20.100000000000001" customHeight="1" x14ac:dyDescent="0.15">
      <c r="A167" s="10"/>
      <c r="B167" s="5"/>
      <c r="C167" s="10"/>
      <c r="D167" s="10"/>
      <c r="E167" s="10"/>
      <c r="F167" s="14"/>
      <c r="G167" s="14"/>
      <c r="H167" s="8"/>
      <c r="I167" s="8"/>
      <c r="J167" s="8" t="str">
        <f t="shared" si="5"/>
        <v>借</v>
      </c>
      <c r="K167" s="9">
        <f t="shared" si="6"/>
        <v>1000</v>
      </c>
      <c r="L167" s="28"/>
      <c r="M167" s="99"/>
    </row>
    <row r="168" spans="1:13" ht="20.100000000000001" customHeight="1" x14ac:dyDescent="0.15">
      <c r="A168" s="10"/>
      <c r="B168" s="5"/>
      <c r="C168" s="5"/>
      <c r="D168" s="10"/>
      <c r="E168" s="10"/>
      <c r="F168" s="10"/>
      <c r="G168" s="10"/>
      <c r="H168" s="8"/>
      <c r="I168" s="8"/>
      <c r="J168" s="8" t="str">
        <f t="shared" si="5"/>
        <v>借</v>
      </c>
      <c r="K168" s="9">
        <f t="shared" si="6"/>
        <v>1000</v>
      </c>
      <c r="L168" s="28"/>
    </row>
    <row r="169" spans="1:13" ht="20.100000000000001" customHeight="1" x14ac:dyDescent="0.15">
      <c r="A169" s="10"/>
      <c r="B169" s="5"/>
      <c r="C169" s="5"/>
      <c r="D169" s="10"/>
      <c r="E169" s="10"/>
      <c r="F169" s="10"/>
      <c r="G169" s="10"/>
      <c r="H169" s="8"/>
      <c r="I169" s="8"/>
      <c r="J169" s="8" t="str">
        <f t="shared" si="5"/>
        <v>借</v>
      </c>
      <c r="K169" s="9">
        <f t="shared" si="6"/>
        <v>1000</v>
      </c>
      <c r="L169" s="28"/>
    </row>
    <row r="170" spans="1:13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5"/>
        <v>借</v>
      </c>
      <c r="K170" s="9">
        <f t="shared" si="6"/>
        <v>1000</v>
      </c>
      <c r="L170" s="28"/>
      <c r="M170" s="99"/>
    </row>
    <row r="171" spans="1:13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5"/>
        <v>借</v>
      </c>
      <c r="K171" s="9">
        <f t="shared" si="6"/>
        <v>1000</v>
      </c>
      <c r="L171" s="28"/>
      <c r="M171" s="99"/>
    </row>
    <row r="172" spans="1:13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5"/>
        <v>借</v>
      </c>
      <c r="K172" s="9">
        <f t="shared" si="6"/>
        <v>1000</v>
      </c>
      <c r="L172" s="28"/>
    </row>
    <row r="173" spans="1:13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5"/>
        <v>借</v>
      </c>
      <c r="K173" s="9">
        <f t="shared" si="6"/>
        <v>1000</v>
      </c>
      <c r="L173" s="28"/>
    </row>
    <row r="174" spans="1:13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5"/>
        <v>借</v>
      </c>
      <c r="K174" s="9">
        <f t="shared" si="6"/>
        <v>1000</v>
      </c>
      <c r="L174" s="28"/>
    </row>
    <row r="175" spans="1:13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5"/>
        <v>借</v>
      </c>
      <c r="K175" s="9">
        <f t="shared" si="6"/>
        <v>1000</v>
      </c>
      <c r="L175" s="28"/>
    </row>
    <row r="176" spans="1:13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5"/>
        <v>借</v>
      </c>
      <c r="K176" s="9">
        <f t="shared" ref="K176:K239" si="7">_xlfn.IFS(J175="借",K175+H176-I176,J175="贷",H176-I176-K175)</f>
        <v>1000</v>
      </c>
      <c r="L176" s="28"/>
    </row>
    <row r="177" spans="1:13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5"/>
        <v>借</v>
      </c>
      <c r="K177" s="9">
        <f t="shared" si="7"/>
        <v>1000</v>
      </c>
      <c r="L177" s="28"/>
    </row>
    <row r="178" spans="1:13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5"/>
        <v>借</v>
      </c>
      <c r="K178" s="9">
        <f t="shared" si="7"/>
        <v>1000</v>
      </c>
      <c r="L178" s="28"/>
    </row>
    <row r="179" spans="1:13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5"/>
        <v>借</v>
      </c>
      <c r="K179" s="9">
        <f t="shared" si="7"/>
        <v>1000</v>
      </c>
      <c r="L179" s="28"/>
    </row>
    <row r="180" spans="1:13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5"/>
        <v>借</v>
      </c>
      <c r="K180" s="9">
        <f t="shared" si="7"/>
        <v>1000</v>
      </c>
      <c r="L180" s="28"/>
      <c r="M180" s="99"/>
    </row>
    <row r="181" spans="1:13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5"/>
        <v>借</v>
      </c>
      <c r="K181" s="9">
        <f t="shared" si="7"/>
        <v>1000</v>
      </c>
      <c r="L181" s="28"/>
      <c r="M181" s="99"/>
    </row>
    <row r="182" spans="1:13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5"/>
        <v>借</v>
      </c>
      <c r="K182" s="9">
        <f t="shared" si="7"/>
        <v>1000</v>
      </c>
      <c r="L182" s="28"/>
      <c r="M182" s="99"/>
    </row>
    <row r="183" spans="1:13" ht="20.100000000000001" customHeight="1" x14ac:dyDescent="0.15">
      <c r="A183" s="10"/>
      <c r="B183" s="5"/>
      <c r="C183" s="10"/>
      <c r="D183" s="10"/>
      <c r="E183" s="10"/>
      <c r="F183" s="14"/>
      <c r="G183" s="14"/>
      <c r="H183" s="8"/>
      <c r="I183" s="8"/>
      <c r="J183" s="8" t="str">
        <f t="shared" si="5"/>
        <v>借</v>
      </c>
      <c r="K183" s="9">
        <f t="shared" si="7"/>
        <v>1000</v>
      </c>
      <c r="L183" s="28"/>
      <c r="M183" s="99"/>
    </row>
    <row r="184" spans="1:13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5"/>
        <v>借</v>
      </c>
      <c r="K184" s="9">
        <f t="shared" si="7"/>
        <v>1000</v>
      </c>
      <c r="L184" s="28"/>
    </row>
    <row r="185" spans="1:13" ht="20.100000000000001" customHeight="1" x14ac:dyDescent="0.15">
      <c r="A185" s="10"/>
      <c r="B185" s="5"/>
      <c r="C185" s="10"/>
      <c r="D185" s="10"/>
      <c r="E185" s="16"/>
      <c r="F185" s="10"/>
      <c r="G185" s="10"/>
      <c r="H185" s="8"/>
      <c r="I185" s="8"/>
      <c r="J185" s="8" t="str">
        <f t="shared" si="5"/>
        <v>借</v>
      </c>
      <c r="K185" s="9">
        <f t="shared" si="7"/>
        <v>1000</v>
      </c>
      <c r="L185" s="28"/>
      <c r="M185" s="99"/>
    </row>
    <row r="186" spans="1:13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5"/>
        <v>借</v>
      </c>
      <c r="K186" s="9">
        <f t="shared" si="7"/>
        <v>1000</v>
      </c>
      <c r="L186" s="28"/>
      <c r="M186" s="99"/>
    </row>
    <row r="187" spans="1:13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5"/>
        <v>借</v>
      </c>
      <c r="K187" s="9">
        <f t="shared" si="7"/>
        <v>1000</v>
      </c>
      <c r="L187" s="28"/>
      <c r="M187" s="99"/>
    </row>
    <row r="188" spans="1:13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5"/>
        <v>借</v>
      </c>
      <c r="K188" s="9">
        <f t="shared" si="7"/>
        <v>1000</v>
      </c>
      <c r="L188" s="28"/>
      <c r="M188" s="99"/>
    </row>
    <row r="189" spans="1:13" ht="20.100000000000001" customHeight="1" x14ac:dyDescent="0.15">
      <c r="A189" s="10"/>
      <c r="B189" s="5"/>
      <c r="C189" s="10"/>
      <c r="D189" s="10"/>
      <c r="E189" s="16"/>
      <c r="F189" s="10"/>
      <c r="G189" s="10"/>
      <c r="H189" s="8"/>
      <c r="I189" s="8"/>
      <c r="J189" s="8" t="str">
        <f t="shared" si="5"/>
        <v>借</v>
      </c>
      <c r="K189" s="9">
        <f t="shared" si="7"/>
        <v>1000</v>
      </c>
      <c r="L189" s="28"/>
    </row>
    <row r="190" spans="1:13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5"/>
        <v>借</v>
      </c>
      <c r="K190" s="9">
        <f t="shared" si="7"/>
        <v>1000</v>
      </c>
      <c r="L190" s="28"/>
    </row>
    <row r="191" spans="1:13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5"/>
        <v>借</v>
      </c>
      <c r="K191" s="9">
        <f t="shared" si="7"/>
        <v>1000</v>
      </c>
      <c r="L191" s="28"/>
    </row>
    <row r="192" spans="1:13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5"/>
        <v>借</v>
      </c>
      <c r="K192" s="9">
        <f t="shared" si="7"/>
        <v>1000</v>
      </c>
      <c r="L192" s="28"/>
    </row>
    <row r="193" spans="1:13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5"/>
        <v>借</v>
      </c>
      <c r="K193" s="9">
        <f t="shared" si="7"/>
        <v>1000</v>
      </c>
      <c r="L193" s="28"/>
    </row>
    <row r="194" spans="1:13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5"/>
        <v>借</v>
      </c>
      <c r="K194" s="9">
        <f t="shared" si="7"/>
        <v>1000</v>
      </c>
      <c r="L194" s="28"/>
    </row>
    <row r="195" spans="1:13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5"/>
        <v>借</v>
      </c>
      <c r="K195" s="9">
        <f t="shared" si="7"/>
        <v>1000</v>
      </c>
      <c r="L195" s="28"/>
    </row>
    <row r="196" spans="1:13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5"/>
        <v>借</v>
      </c>
      <c r="K196" s="9">
        <f t="shared" si="7"/>
        <v>1000</v>
      </c>
      <c r="L196" s="28"/>
      <c r="M196" s="99"/>
    </row>
    <row r="197" spans="1:13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5"/>
        <v>借</v>
      </c>
      <c r="K197" s="9">
        <f t="shared" si="7"/>
        <v>1000</v>
      </c>
      <c r="L197" s="28"/>
      <c r="M197" s="99"/>
    </row>
    <row r="198" spans="1:13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5"/>
        <v>借</v>
      </c>
      <c r="K198" s="9">
        <f t="shared" si="7"/>
        <v>1000</v>
      </c>
      <c r="L198" s="28"/>
      <c r="M198" s="99"/>
    </row>
    <row r="199" spans="1:13" ht="20.100000000000001" customHeight="1" x14ac:dyDescent="0.15">
      <c r="A199" s="10"/>
      <c r="B199" s="5"/>
      <c r="C199" s="10"/>
      <c r="D199" s="10"/>
      <c r="E199" s="10"/>
      <c r="F199" s="14"/>
      <c r="G199" s="14"/>
      <c r="H199" s="8"/>
      <c r="I199" s="8"/>
      <c r="J199" s="8" t="str">
        <f t="shared" si="5"/>
        <v>借</v>
      </c>
      <c r="K199" s="9">
        <f t="shared" si="7"/>
        <v>1000</v>
      </c>
      <c r="L199" s="28"/>
      <c r="M199" s="99"/>
    </row>
    <row r="200" spans="1:13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5"/>
        <v>借</v>
      </c>
      <c r="K200" s="9">
        <f t="shared" si="7"/>
        <v>1000</v>
      </c>
      <c r="L200" s="28"/>
    </row>
    <row r="201" spans="1:13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ref="J201:J264" si="8">IF((K200+H201-I201)&gt;0,"借","贷")</f>
        <v>借</v>
      </c>
      <c r="K201" s="9">
        <f t="shared" si="7"/>
        <v>1000</v>
      </c>
      <c r="L201" s="28"/>
    </row>
    <row r="202" spans="1:13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7"/>
        <v>1000</v>
      </c>
      <c r="L202" s="28"/>
    </row>
    <row r="203" spans="1:13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7"/>
        <v>1000</v>
      </c>
      <c r="L203" s="28"/>
      <c r="M203" s="99"/>
    </row>
    <row r="204" spans="1:13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7"/>
        <v>1000</v>
      </c>
      <c r="L204" s="28"/>
      <c r="M204" s="99"/>
    </row>
    <row r="205" spans="1:13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7"/>
        <v>1000</v>
      </c>
      <c r="L205" s="28"/>
    </row>
    <row r="206" spans="1:13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7"/>
        <v>1000</v>
      </c>
      <c r="L206" s="28"/>
    </row>
    <row r="207" spans="1:13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7"/>
        <v>1000</v>
      </c>
      <c r="L207" s="28"/>
    </row>
    <row r="208" spans="1:13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7"/>
        <v>1000</v>
      </c>
      <c r="L208" s="28"/>
    </row>
    <row r="209" spans="1:13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7"/>
        <v>1000</v>
      </c>
      <c r="L209" s="28"/>
    </row>
    <row r="210" spans="1:13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7"/>
        <v>1000</v>
      </c>
      <c r="L210" s="28"/>
      <c r="M210" s="99"/>
    </row>
    <row r="211" spans="1:13" ht="20.100000000000001" customHeight="1" x14ac:dyDescent="0.15">
      <c r="A211" s="10"/>
      <c r="B211" s="5"/>
      <c r="C211" s="10"/>
      <c r="D211" s="10"/>
      <c r="E211" s="10"/>
      <c r="F211" s="14"/>
      <c r="G211" s="14"/>
      <c r="H211" s="8"/>
      <c r="I211" s="8"/>
      <c r="J211" s="8" t="str">
        <f t="shared" si="8"/>
        <v>借</v>
      </c>
      <c r="K211" s="9">
        <f t="shared" si="7"/>
        <v>1000</v>
      </c>
      <c r="L211" s="28"/>
      <c r="M211" s="99"/>
    </row>
    <row r="212" spans="1:13" ht="20.100000000000001" customHeight="1" x14ac:dyDescent="0.15">
      <c r="A212" s="10"/>
      <c r="B212" s="5"/>
      <c r="C212" s="10"/>
      <c r="D212" s="10"/>
      <c r="E212" s="10"/>
      <c r="F212" s="10"/>
      <c r="G212" s="10"/>
      <c r="H212" s="10"/>
      <c r="I212" s="8"/>
      <c r="J212" s="8" t="str">
        <f t="shared" si="8"/>
        <v>借</v>
      </c>
      <c r="K212" s="9">
        <f t="shared" si="7"/>
        <v>1000</v>
      </c>
      <c r="L212" s="28"/>
      <c r="M212" s="99"/>
    </row>
    <row r="213" spans="1:13" ht="20.100000000000001" customHeight="1" x14ac:dyDescent="0.15">
      <c r="A213" s="10"/>
      <c r="B213" s="5"/>
      <c r="C213" s="10"/>
      <c r="D213" s="10"/>
      <c r="E213" s="10"/>
      <c r="F213" s="10"/>
      <c r="G213" s="10"/>
      <c r="H213" s="10"/>
      <c r="I213" s="8"/>
      <c r="J213" s="8" t="str">
        <f t="shared" si="8"/>
        <v>借</v>
      </c>
      <c r="K213" s="9">
        <f t="shared" si="7"/>
        <v>1000</v>
      </c>
      <c r="L213" s="28"/>
      <c r="M213" s="99"/>
    </row>
    <row r="214" spans="1:13" ht="20.100000000000001" customHeight="1" x14ac:dyDescent="0.15">
      <c r="A214" s="10"/>
      <c r="B214" s="5"/>
      <c r="C214" s="10"/>
      <c r="D214" s="10"/>
      <c r="E214" s="10"/>
      <c r="F214" s="10"/>
      <c r="G214" s="10"/>
      <c r="H214" s="10"/>
      <c r="I214" s="8"/>
      <c r="J214" s="8" t="str">
        <f t="shared" si="8"/>
        <v>借</v>
      </c>
      <c r="K214" s="9">
        <f t="shared" si="7"/>
        <v>1000</v>
      </c>
      <c r="L214" s="28"/>
      <c r="M214" s="99"/>
    </row>
    <row r="215" spans="1:13" ht="20.100000000000001" customHeight="1" x14ac:dyDescent="0.15">
      <c r="A215" s="10"/>
      <c r="B215" s="5"/>
      <c r="C215" s="10"/>
      <c r="D215" s="10"/>
      <c r="E215" s="10"/>
      <c r="F215" s="14"/>
      <c r="G215" s="14"/>
      <c r="H215" s="14"/>
      <c r="I215" s="8"/>
      <c r="J215" s="8" t="str">
        <f t="shared" si="8"/>
        <v>借</v>
      </c>
      <c r="K215" s="9">
        <f t="shared" si="7"/>
        <v>1000</v>
      </c>
      <c r="L215" s="28"/>
      <c r="M215" s="99"/>
    </row>
    <row r="216" spans="1:13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7"/>
        <v>1000</v>
      </c>
      <c r="L216" s="28"/>
    </row>
    <row r="217" spans="1:13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7"/>
        <v>1000</v>
      </c>
      <c r="L217" s="28"/>
    </row>
    <row r="218" spans="1:13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7"/>
        <v>1000</v>
      </c>
      <c r="L218" s="28"/>
      <c r="M218" s="99"/>
    </row>
    <row r="219" spans="1:13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7"/>
        <v>1000</v>
      </c>
      <c r="L219" s="28"/>
      <c r="M219" s="99"/>
    </row>
    <row r="220" spans="1:13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7"/>
        <v>1000</v>
      </c>
      <c r="L220" s="28"/>
    </row>
    <row r="221" spans="1:13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7"/>
        <v>1000</v>
      </c>
      <c r="L221" s="28"/>
    </row>
    <row r="222" spans="1:13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7"/>
        <v>1000</v>
      </c>
      <c r="L222" s="28"/>
    </row>
    <row r="223" spans="1:13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7"/>
        <v>1000</v>
      </c>
      <c r="L223" s="28"/>
    </row>
    <row r="224" spans="1:13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7"/>
        <v>1000</v>
      </c>
      <c r="L224" s="28"/>
    </row>
    <row r="225" spans="1:12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7"/>
        <v>1000</v>
      </c>
      <c r="L225" s="28"/>
    </row>
    <row r="226" spans="1:12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7"/>
        <v>1000</v>
      </c>
      <c r="L226" s="28"/>
    </row>
    <row r="227" spans="1:12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7"/>
        <v>1000</v>
      </c>
      <c r="L227" s="28"/>
    </row>
    <row r="228" spans="1:12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7"/>
        <v>1000</v>
      </c>
      <c r="L228" s="28"/>
    </row>
    <row r="229" spans="1:12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9">
        <f t="shared" si="7"/>
        <v>1000</v>
      </c>
      <c r="L229" s="28"/>
    </row>
    <row r="230" spans="1:12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7"/>
        <v>1000</v>
      </c>
      <c r="L230" s="28"/>
    </row>
    <row r="231" spans="1:12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7"/>
        <v>1000</v>
      </c>
      <c r="L231" s="28"/>
    </row>
    <row r="232" spans="1:12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7"/>
        <v>1000</v>
      </c>
      <c r="L232" s="28"/>
    </row>
    <row r="233" spans="1:12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21">
        <f t="shared" si="7"/>
        <v>1000</v>
      </c>
      <c r="L233" s="28"/>
    </row>
    <row r="234" spans="1:12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7"/>
        <v>1000</v>
      </c>
      <c r="L234" s="28"/>
    </row>
    <row r="235" spans="1:12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7"/>
        <v>1000</v>
      </c>
      <c r="L235" s="28"/>
    </row>
    <row r="236" spans="1:12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si="7"/>
        <v>1000</v>
      </c>
      <c r="L236" s="28"/>
    </row>
    <row r="237" spans="1:12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21">
        <f t="shared" si="7"/>
        <v>1000</v>
      </c>
      <c r="L237" s="28"/>
    </row>
    <row r="238" spans="1:12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7"/>
        <v>1000</v>
      </c>
      <c r="L238" s="28"/>
    </row>
    <row r="239" spans="1:12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7"/>
        <v>1000</v>
      </c>
      <c r="L239" s="28"/>
    </row>
    <row r="240" spans="1:12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ref="K240:K303" si="9">_xlfn.IFS(J239="借",K239+H240-I240,J239="贷",H240-I240-K239)</f>
        <v>1000</v>
      </c>
      <c r="L240" s="28"/>
    </row>
    <row r="241" spans="1:12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8"/>
        <v>借</v>
      </c>
      <c r="K241" s="9">
        <f t="shared" si="9"/>
        <v>1000</v>
      </c>
      <c r="L241" s="28"/>
    </row>
    <row r="242" spans="1:12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8"/>
        <v>借</v>
      </c>
      <c r="K242" s="9">
        <f t="shared" si="9"/>
        <v>1000</v>
      </c>
      <c r="L242" s="28"/>
    </row>
    <row r="243" spans="1:12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8"/>
        <v>借</v>
      </c>
      <c r="K243" s="9">
        <f t="shared" si="9"/>
        <v>1000</v>
      </c>
      <c r="L243" s="28"/>
    </row>
    <row r="244" spans="1:12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8"/>
        <v>借</v>
      </c>
      <c r="K244" s="9">
        <f t="shared" si="9"/>
        <v>1000</v>
      </c>
      <c r="L244" s="28"/>
    </row>
    <row r="245" spans="1:12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1000</v>
      </c>
      <c r="L245" s="28"/>
    </row>
    <row r="246" spans="1:12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8"/>
        <v>借</v>
      </c>
      <c r="K246" s="9">
        <f t="shared" si="9"/>
        <v>1000</v>
      </c>
      <c r="L246" s="28"/>
    </row>
    <row r="247" spans="1:12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8"/>
        <v>借</v>
      </c>
      <c r="K247" s="9">
        <f t="shared" si="9"/>
        <v>1000</v>
      </c>
      <c r="L247" s="28"/>
    </row>
    <row r="248" spans="1:12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8"/>
        <v>借</v>
      </c>
      <c r="K248" s="9">
        <f t="shared" si="9"/>
        <v>1000</v>
      </c>
      <c r="L248" s="28"/>
    </row>
    <row r="249" spans="1:12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8"/>
        <v>借</v>
      </c>
      <c r="K249" s="9">
        <f t="shared" si="9"/>
        <v>1000</v>
      </c>
      <c r="L249" s="28"/>
    </row>
    <row r="250" spans="1:12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23" t="str">
        <f t="shared" si="8"/>
        <v>借</v>
      </c>
      <c r="K250" s="9">
        <f t="shared" si="9"/>
        <v>1000</v>
      </c>
      <c r="L250" s="28"/>
    </row>
    <row r="251" spans="1:12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8"/>
        <v>借</v>
      </c>
      <c r="K251" s="9">
        <f t="shared" si="9"/>
        <v>1000</v>
      </c>
      <c r="L251" s="28"/>
    </row>
    <row r="252" spans="1:12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8"/>
        <v>借</v>
      </c>
      <c r="K252" s="9">
        <f t="shared" si="9"/>
        <v>1000</v>
      </c>
      <c r="L252" s="28"/>
    </row>
    <row r="253" spans="1:12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8"/>
        <v>借</v>
      </c>
      <c r="K253" s="9">
        <f t="shared" si="9"/>
        <v>1000</v>
      </c>
      <c r="L253" s="28"/>
    </row>
    <row r="254" spans="1:12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8"/>
        <v>借</v>
      </c>
      <c r="K254" s="9">
        <f t="shared" si="9"/>
        <v>1000</v>
      </c>
      <c r="L254" s="28"/>
    </row>
    <row r="255" spans="1:12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8"/>
        <v>借</v>
      </c>
      <c r="K255" s="9">
        <f t="shared" si="9"/>
        <v>1000</v>
      </c>
      <c r="L255" s="28"/>
    </row>
    <row r="256" spans="1:12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8"/>
        <v>借</v>
      </c>
      <c r="K256" s="9">
        <f t="shared" si="9"/>
        <v>1000</v>
      </c>
      <c r="L256" s="28"/>
    </row>
    <row r="257" spans="1:12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8"/>
        <v>借</v>
      </c>
      <c r="K257" s="9">
        <f t="shared" si="9"/>
        <v>1000</v>
      </c>
      <c r="L257" s="28"/>
    </row>
    <row r="258" spans="1:12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8"/>
        <v>借</v>
      </c>
      <c r="K258" s="9">
        <f t="shared" si="9"/>
        <v>1000</v>
      </c>
      <c r="L258" s="28"/>
    </row>
    <row r="259" spans="1:12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8"/>
        <v>借</v>
      </c>
      <c r="K259" s="9">
        <f t="shared" si="9"/>
        <v>1000</v>
      </c>
      <c r="L259" s="28"/>
    </row>
    <row r="260" spans="1:12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8"/>
        <v>借</v>
      </c>
      <c r="K260" s="9">
        <f t="shared" si="9"/>
        <v>1000</v>
      </c>
      <c r="L260" s="28"/>
    </row>
    <row r="261" spans="1:12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8"/>
        <v>借</v>
      </c>
      <c r="K261" s="9">
        <f t="shared" si="9"/>
        <v>1000</v>
      </c>
      <c r="L261" s="28"/>
    </row>
    <row r="262" spans="1:12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8"/>
        <v>借</v>
      </c>
      <c r="K262" s="9">
        <f t="shared" si="9"/>
        <v>1000</v>
      </c>
      <c r="L262" s="28"/>
    </row>
    <row r="263" spans="1:12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si="9"/>
        <v>1000</v>
      </c>
      <c r="L263" s="28"/>
    </row>
    <row r="264" spans="1:12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1000</v>
      </c>
      <c r="L264" s="28"/>
    </row>
    <row r="265" spans="1:12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ref="J265:J328" si="10">IF((K264+H265-I265)&gt;0,"借","贷")</f>
        <v>借</v>
      </c>
      <c r="K265" s="9">
        <f t="shared" si="9"/>
        <v>1000</v>
      </c>
      <c r="L265" s="28"/>
    </row>
    <row r="266" spans="1:12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9"/>
        <v>1000</v>
      </c>
      <c r="L266" s="28"/>
    </row>
    <row r="267" spans="1:12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9"/>
        <v>1000</v>
      </c>
      <c r="L267" s="28"/>
    </row>
    <row r="268" spans="1:12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9"/>
        <v>1000</v>
      </c>
      <c r="L268" s="28"/>
    </row>
    <row r="269" spans="1:12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9"/>
        <v>1000</v>
      </c>
      <c r="L269" s="28"/>
    </row>
    <row r="270" spans="1:12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9"/>
        <v>1000</v>
      </c>
      <c r="L270" s="28"/>
    </row>
    <row r="271" spans="1:12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9"/>
        <v>1000</v>
      </c>
      <c r="L271" s="28"/>
    </row>
    <row r="272" spans="1:12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9"/>
        <v>1000</v>
      </c>
      <c r="L272" s="28"/>
    </row>
    <row r="273" spans="1:12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9"/>
        <v>1000</v>
      </c>
      <c r="L273" s="28"/>
    </row>
    <row r="274" spans="1:12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9"/>
        <v>1000</v>
      </c>
      <c r="L274" s="28"/>
    </row>
    <row r="275" spans="1:12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9"/>
        <v>1000</v>
      </c>
      <c r="L275" s="28"/>
    </row>
    <row r="276" spans="1:12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9"/>
        <v>1000</v>
      </c>
      <c r="L276" s="28"/>
    </row>
    <row r="277" spans="1:12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9"/>
        <v>1000</v>
      </c>
      <c r="L277" s="28"/>
    </row>
    <row r="278" spans="1:12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9"/>
        <v>1000</v>
      </c>
      <c r="L278" s="28"/>
    </row>
    <row r="279" spans="1:12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9"/>
        <v>1000</v>
      </c>
      <c r="L279" s="28"/>
    </row>
    <row r="280" spans="1:12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9"/>
        <v>1000</v>
      </c>
      <c r="L280" s="28"/>
    </row>
    <row r="281" spans="1:12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9"/>
        <v>1000</v>
      </c>
      <c r="L281" s="28"/>
    </row>
    <row r="282" spans="1:12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9"/>
        <v>1000</v>
      </c>
      <c r="L282" s="28"/>
    </row>
    <row r="283" spans="1:12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9"/>
        <v>1000</v>
      </c>
      <c r="L283" s="28"/>
    </row>
    <row r="284" spans="1:12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9"/>
        <v>1000</v>
      </c>
      <c r="L284" s="28"/>
    </row>
    <row r="285" spans="1:12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9"/>
        <v>1000</v>
      </c>
      <c r="L285" s="28"/>
    </row>
    <row r="286" spans="1:12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9"/>
        <v>1000</v>
      </c>
      <c r="L286" s="28"/>
    </row>
    <row r="287" spans="1:12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9"/>
        <v>1000</v>
      </c>
      <c r="L287" s="28"/>
    </row>
    <row r="288" spans="1:12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9"/>
        <v>1000</v>
      </c>
      <c r="L288" s="28"/>
    </row>
    <row r="289" spans="1:12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9"/>
        <v>1000</v>
      </c>
      <c r="L289" s="28"/>
    </row>
    <row r="290" spans="1:12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9"/>
        <v>1000</v>
      </c>
      <c r="L290" s="28"/>
    </row>
    <row r="291" spans="1:12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9"/>
        <v>1000</v>
      </c>
      <c r="L291" s="28"/>
    </row>
    <row r="292" spans="1:12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9"/>
        <v>1000</v>
      </c>
      <c r="L292" s="28"/>
    </row>
    <row r="293" spans="1:12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9"/>
        <v>1000</v>
      </c>
      <c r="L293" s="28"/>
    </row>
    <row r="294" spans="1:12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9"/>
        <v>1000</v>
      </c>
      <c r="L294" s="28"/>
    </row>
    <row r="295" spans="1:12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9"/>
        <v>1000</v>
      </c>
      <c r="L295" s="28"/>
    </row>
    <row r="296" spans="1:12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9"/>
        <v>1000</v>
      </c>
      <c r="L296" s="28"/>
    </row>
    <row r="297" spans="1:12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9"/>
        <v>1000</v>
      </c>
      <c r="L297" s="28"/>
    </row>
    <row r="298" spans="1:12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9"/>
        <v>1000</v>
      </c>
      <c r="L298" s="28"/>
    </row>
    <row r="299" spans="1:12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9"/>
        <v>1000</v>
      </c>
      <c r="L299" s="28"/>
    </row>
    <row r="300" spans="1:12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si="9"/>
        <v>1000</v>
      </c>
      <c r="L300" s="28"/>
    </row>
    <row r="301" spans="1:12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9"/>
        <v>1000</v>
      </c>
      <c r="L301" s="28"/>
    </row>
    <row r="302" spans="1:12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9"/>
        <v>1000</v>
      </c>
      <c r="L302" s="28"/>
    </row>
    <row r="303" spans="1:12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9"/>
        <v>1000</v>
      </c>
      <c r="L303" s="28"/>
    </row>
    <row r="304" spans="1:12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ref="K304:K367" si="11">_xlfn.IFS(J303="借",K303+H304-I304,J303="贷",H304-I304-K303)</f>
        <v>1000</v>
      </c>
      <c r="L304" s="28"/>
    </row>
    <row r="305" spans="1:12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1000</v>
      </c>
      <c r="L305" s="28"/>
    </row>
    <row r="306" spans="1:12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1000</v>
      </c>
      <c r="L306" s="28"/>
    </row>
    <row r="307" spans="1:12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1000</v>
      </c>
      <c r="L307" s="28"/>
    </row>
    <row r="308" spans="1:12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1000</v>
      </c>
      <c r="L308" s="28"/>
    </row>
    <row r="309" spans="1:12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1000</v>
      </c>
      <c r="L309" s="28"/>
    </row>
    <row r="310" spans="1:12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0"/>
        <v>借</v>
      </c>
      <c r="K310" s="9">
        <f t="shared" si="11"/>
        <v>1000</v>
      </c>
      <c r="L310" s="28"/>
    </row>
    <row r="311" spans="1:12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0"/>
        <v>借</v>
      </c>
      <c r="K311" s="9">
        <f t="shared" si="11"/>
        <v>1000</v>
      </c>
      <c r="L311" s="28"/>
    </row>
    <row r="312" spans="1:12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0"/>
        <v>借</v>
      </c>
      <c r="K312" s="9">
        <f t="shared" si="11"/>
        <v>1000</v>
      </c>
      <c r="L312" s="28"/>
    </row>
    <row r="313" spans="1:12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0"/>
        <v>借</v>
      </c>
      <c r="K313" s="9">
        <f t="shared" si="11"/>
        <v>1000</v>
      </c>
      <c r="L313" s="28"/>
    </row>
    <row r="314" spans="1:12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0"/>
        <v>借</v>
      </c>
      <c r="K314" s="9">
        <f t="shared" si="11"/>
        <v>1000</v>
      </c>
      <c r="L314" s="28"/>
    </row>
    <row r="315" spans="1:12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0"/>
        <v>借</v>
      </c>
      <c r="K315" s="9">
        <f t="shared" si="11"/>
        <v>1000</v>
      </c>
      <c r="L315" s="28"/>
    </row>
    <row r="316" spans="1:12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0"/>
        <v>借</v>
      </c>
      <c r="K316" s="9">
        <f t="shared" si="11"/>
        <v>1000</v>
      </c>
      <c r="L316" s="28"/>
    </row>
    <row r="317" spans="1:12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0"/>
        <v>借</v>
      </c>
      <c r="K317" s="9">
        <f t="shared" si="11"/>
        <v>1000</v>
      </c>
      <c r="L317" s="28"/>
    </row>
    <row r="318" spans="1:12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0"/>
        <v>借</v>
      </c>
      <c r="K318" s="9">
        <f t="shared" si="11"/>
        <v>1000</v>
      </c>
      <c r="L318" s="28"/>
    </row>
    <row r="319" spans="1:12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0"/>
        <v>借</v>
      </c>
      <c r="K319" s="9">
        <f t="shared" si="11"/>
        <v>1000</v>
      </c>
      <c r="L319" s="28"/>
    </row>
    <row r="320" spans="1:12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0"/>
        <v>借</v>
      </c>
      <c r="K320" s="9">
        <f t="shared" si="11"/>
        <v>1000</v>
      </c>
      <c r="L320" s="28"/>
    </row>
    <row r="321" spans="1:12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0"/>
        <v>借</v>
      </c>
      <c r="K321" s="9">
        <f t="shared" si="11"/>
        <v>1000</v>
      </c>
      <c r="L321" s="28"/>
    </row>
    <row r="322" spans="1:12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0"/>
        <v>借</v>
      </c>
      <c r="K322" s="9">
        <f t="shared" si="11"/>
        <v>1000</v>
      </c>
      <c r="L322" s="28"/>
    </row>
    <row r="323" spans="1:12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0"/>
        <v>借</v>
      </c>
      <c r="K323" s="9">
        <f t="shared" si="11"/>
        <v>1000</v>
      </c>
      <c r="L323" s="28"/>
    </row>
    <row r="324" spans="1:12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0"/>
        <v>借</v>
      </c>
      <c r="K324" s="9">
        <f t="shared" si="11"/>
        <v>1000</v>
      </c>
      <c r="L324" s="28"/>
    </row>
    <row r="325" spans="1:12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0"/>
        <v>借</v>
      </c>
      <c r="K325" s="9">
        <f t="shared" si="11"/>
        <v>1000</v>
      </c>
      <c r="L325" s="28"/>
    </row>
    <row r="326" spans="1:12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0"/>
        <v>借</v>
      </c>
      <c r="K326" s="9">
        <f t="shared" si="11"/>
        <v>1000</v>
      </c>
      <c r="L326" s="28"/>
    </row>
    <row r="327" spans="1:12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si="11"/>
        <v>1000</v>
      </c>
      <c r="L327" s="28"/>
    </row>
    <row r="328" spans="1:12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1000</v>
      </c>
      <c r="L328" s="28"/>
    </row>
    <row r="329" spans="1:12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ref="J329:J392" si="12">IF((K328+H329-I329)&gt;0,"借","贷")</f>
        <v>借</v>
      </c>
      <c r="K329" s="9">
        <f t="shared" si="11"/>
        <v>1000</v>
      </c>
      <c r="L329" s="28"/>
    </row>
    <row r="330" spans="1:12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1"/>
        <v>1000</v>
      </c>
      <c r="L330" s="28"/>
    </row>
    <row r="331" spans="1:12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1"/>
        <v>1000</v>
      </c>
      <c r="L331" s="28"/>
    </row>
    <row r="332" spans="1:12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1"/>
        <v>1000</v>
      </c>
      <c r="L332" s="28"/>
    </row>
    <row r="333" spans="1:12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1"/>
        <v>1000</v>
      </c>
      <c r="L333" s="28"/>
    </row>
    <row r="334" spans="1:12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1"/>
        <v>1000</v>
      </c>
      <c r="L334" s="28"/>
    </row>
    <row r="335" spans="1:12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1"/>
        <v>1000</v>
      </c>
      <c r="L335" s="28"/>
    </row>
    <row r="336" spans="1:12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1"/>
        <v>1000</v>
      </c>
      <c r="L336" s="28"/>
    </row>
    <row r="337" spans="1:12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1"/>
        <v>1000</v>
      </c>
      <c r="L337" s="28"/>
    </row>
    <row r="338" spans="1:12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1"/>
        <v>1000</v>
      </c>
      <c r="L338" s="28"/>
    </row>
    <row r="339" spans="1:12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1"/>
        <v>1000</v>
      </c>
      <c r="L339" s="28"/>
    </row>
    <row r="340" spans="1:12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1"/>
        <v>1000</v>
      </c>
      <c r="L340" s="28"/>
    </row>
    <row r="341" spans="1:12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1"/>
        <v>1000</v>
      </c>
      <c r="L341" s="28"/>
    </row>
    <row r="342" spans="1:12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1"/>
        <v>1000</v>
      </c>
      <c r="L342" s="28"/>
    </row>
    <row r="343" spans="1:12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1"/>
        <v>1000</v>
      </c>
      <c r="L343" s="28"/>
    </row>
    <row r="344" spans="1:12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1"/>
        <v>1000</v>
      </c>
      <c r="L344" s="28"/>
    </row>
    <row r="345" spans="1:12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1"/>
        <v>1000</v>
      </c>
      <c r="L345" s="28"/>
    </row>
    <row r="346" spans="1:12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1"/>
        <v>1000</v>
      </c>
      <c r="L346" s="28"/>
    </row>
    <row r="347" spans="1:12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1"/>
        <v>1000</v>
      </c>
      <c r="L347" s="28"/>
    </row>
    <row r="348" spans="1:12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1"/>
        <v>1000</v>
      </c>
      <c r="L348" s="28"/>
    </row>
    <row r="349" spans="1:12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1"/>
        <v>1000</v>
      </c>
      <c r="L349" s="28"/>
    </row>
    <row r="350" spans="1:12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1"/>
        <v>1000</v>
      </c>
      <c r="L350" s="28"/>
    </row>
    <row r="351" spans="1:12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1"/>
        <v>1000</v>
      </c>
      <c r="L351" s="28"/>
    </row>
    <row r="352" spans="1:12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1"/>
        <v>1000</v>
      </c>
      <c r="L352" s="28"/>
    </row>
    <row r="353" spans="1:12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1"/>
        <v>1000</v>
      </c>
      <c r="L353" s="28"/>
    </row>
    <row r="354" spans="1:12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1"/>
        <v>1000</v>
      </c>
      <c r="L354" s="28"/>
    </row>
    <row r="355" spans="1:12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1"/>
        <v>1000</v>
      </c>
      <c r="L355" s="28"/>
    </row>
    <row r="356" spans="1:12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1"/>
        <v>1000</v>
      </c>
      <c r="L356" s="28"/>
    </row>
    <row r="357" spans="1:12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1"/>
        <v>1000</v>
      </c>
      <c r="L357" s="28"/>
    </row>
    <row r="358" spans="1:12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1"/>
        <v>1000</v>
      </c>
      <c r="L358" s="28"/>
    </row>
    <row r="359" spans="1:12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1"/>
        <v>1000</v>
      </c>
      <c r="L359" s="28"/>
    </row>
    <row r="360" spans="1:12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1"/>
        <v>1000</v>
      </c>
      <c r="L360" s="28"/>
    </row>
    <row r="361" spans="1:12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1"/>
        <v>1000</v>
      </c>
      <c r="L361" s="28"/>
    </row>
    <row r="362" spans="1:12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1"/>
        <v>1000</v>
      </c>
      <c r="L362" s="28"/>
    </row>
    <row r="363" spans="1:12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1"/>
        <v>1000</v>
      </c>
      <c r="L363" s="28"/>
    </row>
    <row r="364" spans="1:12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si="11"/>
        <v>1000</v>
      </c>
      <c r="L364" s="28"/>
    </row>
    <row r="365" spans="1:12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1"/>
        <v>1000</v>
      </c>
      <c r="L365" s="28"/>
    </row>
    <row r="366" spans="1:12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1"/>
        <v>1000</v>
      </c>
      <c r="L366" s="28"/>
    </row>
    <row r="367" spans="1:12" ht="20.100000000000001" customHeight="1" x14ac:dyDescent="0.15">
      <c r="A367" s="10"/>
      <c r="B367" s="5"/>
      <c r="C367" s="10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1"/>
        <v>1000</v>
      </c>
      <c r="L367" s="28"/>
    </row>
    <row r="368" spans="1:12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ref="K368:K431" si="13">_xlfn.IFS(J367="借",K367+H368-I368,J367="贷",H368-I368-K367)</f>
        <v>1000</v>
      </c>
      <c r="L368" s="28"/>
    </row>
    <row r="369" spans="2:12" ht="20.100000000000001" customHeight="1" x14ac:dyDescent="0.15">
      <c r="B369" s="5"/>
      <c r="C369" s="10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1000</v>
      </c>
      <c r="L369" s="28"/>
    </row>
    <row r="370" spans="2:12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1000</v>
      </c>
      <c r="L370" s="28"/>
    </row>
    <row r="371" spans="2:12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1000</v>
      </c>
      <c r="L371" s="28"/>
    </row>
    <row r="372" spans="2:12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1000</v>
      </c>
      <c r="L372" s="28"/>
    </row>
    <row r="373" spans="2:12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1000</v>
      </c>
      <c r="L373" s="28"/>
    </row>
    <row r="374" spans="2:12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2"/>
        <v>借</v>
      </c>
      <c r="K374" s="9">
        <f t="shared" si="13"/>
        <v>1000</v>
      </c>
      <c r="L374" s="28"/>
    </row>
    <row r="375" spans="2:12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2"/>
        <v>借</v>
      </c>
      <c r="K375" s="9">
        <f t="shared" si="13"/>
        <v>1000</v>
      </c>
      <c r="L375" s="28"/>
    </row>
    <row r="376" spans="2:12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2"/>
        <v>借</v>
      </c>
      <c r="K376" s="9">
        <f t="shared" si="13"/>
        <v>1000</v>
      </c>
      <c r="L376" s="28"/>
    </row>
    <row r="377" spans="2:12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2"/>
        <v>借</v>
      </c>
      <c r="K377" s="9">
        <f t="shared" si="13"/>
        <v>1000</v>
      </c>
      <c r="L377" s="28"/>
    </row>
    <row r="378" spans="2:12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2"/>
        <v>借</v>
      </c>
      <c r="K378" s="9">
        <f t="shared" si="13"/>
        <v>1000</v>
      </c>
      <c r="L378" s="28"/>
    </row>
    <row r="379" spans="2:12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2"/>
        <v>借</v>
      </c>
      <c r="K379" s="9">
        <f t="shared" si="13"/>
        <v>1000</v>
      </c>
      <c r="L379" s="28"/>
    </row>
    <row r="380" spans="2:12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2"/>
        <v>借</v>
      </c>
      <c r="K380" s="9">
        <f t="shared" si="13"/>
        <v>1000</v>
      </c>
      <c r="L380" s="28"/>
    </row>
    <row r="381" spans="2:12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2"/>
        <v>借</v>
      </c>
      <c r="K381" s="9">
        <f t="shared" si="13"/>
        <v>1000</v>
      </c>
      <c r="L381" s="28"/>
    </row>
    <row r="382" spans="2:12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2"/>
        <v>借</v>
      </c>
      <c r="K382" s="9">
        <f t="shared" si="13"/>
        <v>1000</v>
      </c>
      <c r="L382" s="28"/>
    </row>
    <row r="383" spans="2:12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2"/>
        <v>借</v>
      </c>
      <c r="K383" s="9">
        <f t="shared" si="13"/>
        <v>1000</v>
      </c>
      <c r="L383" s="28"/>
    </row>
    <row r="384" spans="2:12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2"/>
        <v>借</v>
      </c>
      <c r="K384" s="9">
        <f t="shared" si="13"/>
        <v>1000</v>
      </c>
      <c r="L384" s="28"/>
    </row>
    <row r="385" spans="2:12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2"/>
        <v>借</v>
      </c>
      <c r="K385" s="9">
        <f t="shared" si="13"/>
        <v>1000</v>
      </c>
      <c r="L385" s="28"/>
    </row>
    <row r="386" spans="2:12" ht="20.100000000000001" customHeight="1" x14ac:dyDescent="0.15">
      <c r="B386" s="5"/>
      <c r="C386" s="7"/>
      <c r="D386" s="10"/>
      <c r="E386" s="10"/>
      <c r="F386" s="10"/>
      <c r="G386" s="10"/>
      <c r="H386" s="8"/>
      <c r="I386" s="8"/>
      <c r="J386" s="8" t="str">
        <f t="shared" si="12"/>
        <v>借</v>
      </c>
      <c r="K386" s="9">
        <f t="shared" si="13"/>
        <v>1000</v>
      </c>
      <c r="L386" s="28"/>
    </row>
    <row r="387" spans="2:12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2"/>
        <v>借</v>
      </c>
      <c r="K387" s="9">
        <f t="shared" si="13"/>
        <v>1000</v>
      </c>
      <c r="L387" s="28"/>
    </row>
    <row r="388" spans="2:12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2"/>
        <v>借</v>
      </c>
      <c r="K388" s="9">
        <f t="shared" si="13"/>
        <v>1000</v>
      </c>
      <c r="L388" s="28"/>
    </row>
    <row r="389" spans="2:12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2"/>
        <v>借</v>
      </c>
      <c r="K389" s="9">
        <f t="shared" si="13"/>
        <v>1000</v>
      </c>
      <c r="L389" s="28"/>
    </row>
    <row r="390" spans="2:12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2"/>
        <v>借</v>
      </c>
      <c r="K390" s="9">
        <f t="shared" si="13"/>
        <v>1000</v>
      </c>
      <c r="L390" s="28"/>
    </row>
    <row r="391" spans="2:12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si="13"/>
        <v>1000</v>
      </c>
      <c r="L391" s="28"/>
    </row>
    <row r="392" spans="2:12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1000</v>
      </c>
      <c r="L392" s="28"/>
    </row>
    <row r="393" spans="2:12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ref="J393:J456" si="14">IF((K392+H393-I393)&gt;0,"借","贷")</f>
        <v>借</v>
      </c>
      <c r="K393" s="9">
        <f t="shared" si="13"/>
        <v>1000</v>
      </c>
      <c r="L393" s="28"/>
    </row>
    <row r="394" spans="2:12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3"/>
        <v>1000</v>
      </c>
      <c r="L394" s="28"/>
    </row>
    <row r="395" spans="2:12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3"/>
        <v>1000</v>
      </c>
      <c r="L395" s="28"/>
    </row>
    <row r="396" spans="2:12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3"/>
        <v>1000</v>
      </c>
      <c r="L396" s="28"/>
    </row>
    <row r="397" spans="2:12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3"/>
        <v>1000</v>
      </c>
      <c r="L397" s="28"/>
    </row>
    <row r="398" spans="2:12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3"/>
        <v>1000</v>
      </c>
      <c r="L398" s="28"/>
    </row>
    <row r="399" spans="2:12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3"/>
        <v>1000</v>
      </c>
      <c r="L399" s="28"/>
    </row>
    <row r="400" spans="2:12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3"/>
        <v>1000</v>
      </c>
      <c r="L400" s="28"/>
    </row>
    <row r="401" spans="2:12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3"/>
        <v>1000</v>
      </c>
      <c r="L401" s="28"/>
    </row>
    <row r="402" spans="2:12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3"/>
        <v>1000</v>
      </c>
      <c r="L402" s="28"/>
    </row>
    <row r="403" spans="2:12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3"/>
        <v>1000</v>
      </c>
      <c r="L403" s="28"/>
    </row>
    <row r="404" spans="2:12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3"/>
        <v>1000</v>
      </c>
      <c r="L404" s="28"/>
    </row>
    <row r="405" spans="2:12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3"/>
        <v>1000</v>
      </c>
      <c r="L405" s="28"/>
    </row>
    <row r="406" spans="2:12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3"/>
        <v>1000</v>
      </c>
      <c r="L406" s="28"/>
    </row>
    <row r="407" spans="2:12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3"/>
        <v>1000</v>
      </c>
      <c r="L407" s="28"/>
    </row>
    <row r="408" spans="2:12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3"/>
        <v>1000</v>
      </c>
      <c r="L408" s="28"/>
    </row>
    <row r="409" spans="2:12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3"/>
        <v>1000</v>
      </c>
      <c r="L409" s="28"/>
    </row>
    <row r="410" spans="2:12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3"/>
        <v>1000</v>
      </c>
      <c r="L410" s="28"/>
    </row>
    <row r="411" spans="2:12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3"/>
        <v>1000</v>
      </c>
      <c r="L411" s="28"/>
    </row>
    <row r="412" spans="2:12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3"/>
        <v>1000</v>
      </c>
      <c r="L412" s="28"/>
    </row>
    <row r="413" spans="2:12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3"/>
        <v>1000</v>
      </c>
      <c r="L413" s="28"/>
    </row>
    <row r="414" spans="2:12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3"/>
        <v>1000</v>
      </c>
      <c r="L414" s="28"/>
    </row>
    <row r="415" spans="2:12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3"/>
        <v>1000</v>
      </c>
      <c r="L415" s="28"/>
    </row>
    <row r="416" spans="2:12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3"/>
        <v>1000</v>
      </c>
      <c r="L416" s="28"/>
    </row>
    <row r="417" spans="2:12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3"/>
        <v>1000</v>
      </c>
      <c r="L417" s="28"/>
    </row>
    <row r="418" spans="2:12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3"/>
        <v>1000</v>
      </c>
      <c r="L418" s="28"/>
    </row>
    <row r="419" spans="2:12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3"/>
        <v>1000</v>
      </c>
      <c r="L419" s="28"/>
    </row>
    <row r="420" spans="2:12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3"/>
        <v>1000</v>
      </c>
      <c r="L420" s="28"/>
    </row>
    <row r="421" spans="2:12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3"/>
        <v>1000</v>
      </c>
      <c r="L421" s="28"/>
    </row>
    <row r="422" spans="2:12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3"/>
        <v>1000</v>
      </c>
      <c r="L422" s="28"/>
    </row>
    <row r="423" spans="2:12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3"/>
        <v>1000</v>
      </c>
      <c r="L423" s="28"/>
    </row>
    <row r="424" spans="2:12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3"/>
        <v>1000</v>
      </c>
      <c r="L424" s="28"/>
    </row>
    <row r="425" spans="2:12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3"/>
        <v>1000</v>
      </c>
      <c r="L425" s="28"/>
    </row>
    <row r="426" spans="2:12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3"/>
        <v>1000</v>
      </c>
      <c r="L426" s="28"/>
    </row>
    <row r="427" spans="2:12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3"/>
        <v>1000</v>
      </c>
      <c r="L427" s="28"/>
    </row>
    <row r="428" spans="2:12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si="13"/>
        <v>1000</v>
      </c>
      <c r="L428" s="28"/>
    </row>
    <row r="429" spans="2:12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3"/>
        <v>1000</v>
      </c>
      <c r="L429" s="28"/>
    </row>
    <row r="430" spans="2:12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3"/>
        <v>1000</v>
      </c>
      <c r="L430" s="28"/>
    </row>
    <row r="431" spans="2:12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3"/>
        <v>1000</v>
      </c>
      <c r="L431" s="28"/>
    </row>
    <row r="432" spans="2:12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ref="K432:K495" si="15">_xlfn.IFS(J431="借",K431+H432-I432,J431="贷",H432-I432-K431)</f>
        <v>1000</v>
      </c>
      <c r="L432" s="28"/>
    </row>
    <row r="433" spans="2:12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1000</v>
      </c>
      <c r="L433" s="28"/>
    </row>
    <row r="434" spans="2:12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1000</v>
      </c>
      <c r="L434" s="28"/>
    </row>
    <row r="435" spans="2:12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1000</v>
      </c>
      <c r="L435" s="28"/>
    </row>
    <row r="436" spans="2:12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1000</v>
      </c>
      <c r="L436" s="28"/>
    </row>
    <row r="437" spans="2:12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1000</v>
      </c>
      <c r="L437" s="28"/>
    </row>
    <row r="438" spans="2:12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4"/>
        <v>借</v>
      </c>
      <c r="K438" s="9">
        <f t="shared" si="15"/>
        <v>1000</v>
      </c>
      <c r="L438" s="28"/>
    </row>
    <row r="439" spans="2:12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4"/>
        <v>借</v>
      </c>
      <c r="K439" s="9">
        <f t="shared" si="15"/>
        <v>1000</v>
      </c>
      <c r="L439" s="28"/>
    </row>
    <row r="440" spans="2:12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4"/>
        <v>借</v>
      </c>
      <c r="K440" s="9">
        <f t="shared" si="15"/>
        <v>1000</v>
      </c>
      <c r="L440" s="28"/>
    </row>
    <row r="441" spans="2:12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4"/>
        <v>借</v>
      </c>
      <c r="K441" s="9">
        <f t="shared" si="15"/>
        <v>1000</v>
      </c>
      <c r="L441" s="28"/>
    </row>
    <row r="442" spans="2:12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4"/>
        <v>借</v>
      </c>
      <c r="K442" s="9">
        <f t="shared" si="15"/>
        <v>1000</v>
      </c>
      <c r="L442" s="28"/>
    </row>
    <row r="443" spans="2:12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4"/>
        <v>借</v>
      </c>
      <c r="K443" s="9">
        <f t="shared" si="15"/>
        <v>1000</v>
      </c>
      <c r="L443" s="28"/>
    </row>
    <row r="444" spans="2:12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4"/>
        <v>借</v>
      </c>
      <c r="K444" s="9">
        <f t="shared" si="15"/>
        <v>1000</v>
      </c>
      <c r="L444" s="28"/>
    </row>
    <row r="445" spans="2:12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4"/>
        <v>借</v>
      </c>
      <c r="K445" s="9">
        <f t="shared" si="15"/>
        <v>1000</v>
      </c>
      <c r="L445" s="28"/>
    </row>
    <row r="446" spans="2:12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4"/>
        <v>借</v>
      </c>
      <c r="K446" s="9">
        <f t="shared" si="15"/>
        <v>1000</v>
      </c>
      <c r="L446" s="28"/>
    </row>
    <row r="447" spans="2:12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4"/>
        <v>借</v>
      </c>
      <c r="K447" s="9">
        <f t="shared" si="15"/>
        <v>1000</v>
      </c>
      <c r="L447" s="28"/>
    </row>
    <row r="448" spans="2:12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4"/>
        <v>借</v>
      </c>
      <c r="K448" s="9">
        <f t="shared" si="15"/>
        <v>1000</v>
      </c>
      <c r="L448" s="28"/>
    </row>
    <row r="449" spans="2:12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4"/>
        <v>借</v>
      </c>
      <c r="K449" s="9">
        <f t="shared" si="15"/>
        <v>1000</v>
      </c>
      <c r="L449" s="28"/>
    </row>
    <row r="450" spans="2:12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4"/>
        <v>借</v>
      </c>
      <c r="K450" s="9">
        <f t="shared" si="15"/>
        <v>1000</v>
      </c>
      <c r="L450" s="28"/>
    </row>
    <row r="451" spans="2:12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4"/>
        <v>借</v>
      </c>
      <c r="K451" s="9">
        <f t="shared" si="15"/>
        <v>1000</v>
      </c>
      <c r="L451" s="28"/>
    </row>
    <row r="452" spans="2:12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4"/>
        <v>借</v>
      </c>
      <c r="K452" s="9">
        <f t="shared" si="15"/>
        <v>1000</v>
      </c>
      <c r="L452" s="28"/>
    </row>
    <row r="453" spans="2:12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4"/>
        <v>借</v>
      </c>
      <c r="K453" s="9">
        <f t="shared" si="15"/>
        <v>1000</v>
      </c>
      <c r="L453" s="28"/>
    </row>
    <row r="454" spans="2:12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4"/>
        <v>借</v>
      </c>
      <c r="K454" s="9">
        <f t="shared" si="15"/>
        <v>1000</v>
      </c>
      <c r="L454" s="28"/>
    </row>
    <row r="455" spans="2:12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si="15"/>
        <v>1000</v>
      </c>
      <c r="L455" s="28"/>
    </row>
    <row r="456" spans="2:12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1000</v>
      </c>
      <c r="L456" s="28"/>
    </row>
    <row r="457" spans="2:12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ref="J457:J500" si="16">IF((K456+H457-I457)&gt;0,"借","贷")</f>
        <v>借</v>
      </c>
      <c r="K457" s="9">
        <f t="shared" si="15"/>
        <v>1000</v>
      </c>
      <c r="L457" s="28"/>
    </row>
    <row r="458" spans="2:12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5"/>
        <v>1000</v>
      </c>
      <c r="L458" s="28"/>
    </row>
    <row r="459" spans="2:12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5"/>
        <v>1000</v>
      </c>
      <c r="L459" s="28"/>
    </row>
    <row r="460" spans="2:12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5"/>
        <v>1000</v>
      </c>
      <c r="L460" s="28"/>
    </row>
    <row r="461" spans="2:12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5"/>
        <v>1000</v>
      </c>
      <c r="L461" s="28"/>
    </row>
    <row r="462" spans="2:12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5"/>
        <v>1000</v>
      </c>
      <c r="L462" s="28"/>
    </row>
    <row r="463" spans="2:12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5"/>
        <v>1000</v>
      </c>
      <c r="L463" s="28"/>
    </row>
    <row r="464" spans="2:12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5"/>
        <v>1000</v>
      </c>
      <c r="L464" s="28"/>
    </row>
    <row r="465" spans="2:12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5"/>
        <v>1000</v>
      </c>
      <c r="L465" s="28"/>
    </row>
    <row r="466" spans="2:12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5"/>
        <v>1000</v>
      </c>
      <c r="L466" s="28"/>
    </row>
    <row r="467" spans="2:12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5"/>
        <v>1000</v>
      </c>
      <c r="L467" s="28"/>
    </row>
    <row r="468" spans="2:12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5"/>
        <v>1000</v>
      </c>
      <c r="L468" s="28"/>
    </row>
    <row r="469" spans="2:12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5"/>
        <v>1000</v>
      </c>
      <c r="L469" s="28"/>
    </row>
    <row r="470" spans="2:12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5"/>
        <v>1000</v>
      </c>
      <c r="L470" s="28"/>
    </row>
    <row r="471" spans="2:12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5"/>
        <v>1000</v>
      </c>
      <c r="L471" s="28"/>
    </row>
    <row r="472" spans="2:12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5"/>
        <v>1000</v>
      </c>
      <c r="L472" s="28"/>
    </row>
    <row r="473" spans="2:12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5"/>
        <v>1000</v>
      </c>
      <c r="L473" s="28"/>
    </row>
    <row r="474" spans="2:12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5"/>
        <v>1000</v>
      </c>
      <c r="L474" s="28"/>
    </row>
    <row r="475" spans="2:12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5"/>
        <v>1000</v>
      </c>
      <c r="L475" s="28"/>
    </row>
    <row r="476" spans="2:12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5"/>
        <v>1000</v>
      </c>
      <c r="L476" s="28"/>
    </row>
    <row r="477" spans="2:12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5"/>
        <v>1000</v>
      </c>
      <c r="L477" s="28"/>
    </row>
    <row r="478" spans="2:12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5"/>
        <v>1000</v>
      </c>
      <c r="L478" s="28"/>
    </row>
    <row r="479" spans="2:12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5"/>
        <v>1000</v>
      </c>
      <c r="L479" s="28"/>
    </row>
    <row r="480" spans="2:12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5"/>
        <v>1000</v>
      </c>
      <c r="L480" s="28"/>
    </row>
    <row r="481" spans="2:12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5"/>
        <v>1000</v>
      </c>
      <c r="L481" s="28"/>
    </row>
    <row r="482" spans="2:12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5"/>
        <v>1000</v>
      </c>
      <c r="L482" s="28"/>
    </row>
    <row r="483" spans="2:12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5"/>
        <v>1000</v>
      </c>
      <c r="L483" s="28"/>
    </row>
    <row r="484" spans="2:12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5"/>
        <v>1000</v>
      </c>
      <c r="L484" s="28"/>
    </row>
    <row r="485" spans="2:12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5"/>
        <v>1000</v>
      </c>
      <c r="L485" s="28"/>
    </row>
    <row r="486" spans="2:12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5"/>
        <v>1000</v>
      </c>
      <c r="L486" s="28"/>
    </row>
    <row r="487" spans="2:12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5"/>
        <v>1000</v>
      </c>
      <c r="L487" s="28"/>
    </row>
    <row r="488" spans="2:12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5"/>
        <v>1000</v>
      </c>
      <c r="L488" s="28"/>
    </row>
    <row r="489" spans="2:12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5"/>
        <v>1000</v>
      </c>
      <c r="L489" s="28"/>
    </row>
    <row r="490" spans="2:12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5"/>
        <v>1000</v>
      </c>
      <c r="L490" s="28"/>
    </row>
    <row r="491" spans="2:12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5"/>
        <v>1000</v>
      </c>
      <c r="L491" s="28"/>
    </row>
    <row r="492" spans="2:12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si="15"/>
        <v>1000</v>
      </c>
      <c r="L492" s="28"/>
    </row>
    <row r="493" spans="2:12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5"/>
        <v>1000</v>
      </c>
      <c r="L493" s="28"/>
    </row>
    <row r="494" spans="2:12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5"/>
        <v>1000</v>
      </c>
      <c r="L494" s="28"/>
    </row>
    <row r="495" spans="2:12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5"/>
        <v>1000</v>
      </c>
      <c r="L495" s="28"/>
    </row>
    <row r="496" spans="2:12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ref="K496:K500" si="17">_xlfn.IFS(J495="借",K495+H496-I496,J495="贷",H496-I496-K495)</f>
        <v>1000</v>
      </c>
      <c r="L496" s="28"/>
    </row>
    <row r="497" spans="2:12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6"/>
        <v>借</v>
      </c>
      <c r="K497" s="9">
        <f t="shared" si="17"/>
        <v>1000</v>
      </c>
      <c r="L497" s="28"/>
    </row>
    <row r="498" spans="2:12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6"/>
        <v>借</v>
      </c>
      <c r="K498" s="9">
        <f t="shared" si="17"/>
        <v>1000</v>
      </c>
      <c r="L498" s="28"/>
    </row>
    <row r="499" spans="2:12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6"/>
        <v>借</v>
      </c>
      <c r="K499" s="9">
        <f t="shared" si="17"/>
        <v>1000</v>
      </c>
      <c r="L499" s="28"/>
    </row>
    <row r="500" spans="2:12" ht="20.100000000000001" customHeight="1" x14ac:dyDescent="0.15">
      <c r="B500" s="5"/>
      <c r="C500" s="10"/>
      <c r="D500" s="10"/>
      <c r="E500" s="10"/>
      <c r="F500" s="10"/>
      <c r="G500" s="10"/>
      <c r="H500" s="8"/>
      <c r="I500" s="8"/>
      <c r="J500" s="8" t="str">
        <f t="shared" si="16"/>
        <v>借</v>
      </c>
      <c r="K500" s="9">
        <f t="shared" si="17"/>
        <v>1000</v>
      </c>
      <c r="L500" s="28"/>
    </row>
  </sheetData>
  <autoFilter ref="A4:M500" xr:uid="{00000000-0009-0000-0000-000013000000}"/>
  <mergeCells count="34">
    <mergeCell ref="M203:M204"/>
    <mergeCell ref="M210:M211"/>
    <mergeCell ref="M212:M215"/>
    <mergeCell ref="M218:M219"/>
    <mergeCell ref="M170:M171"/>
    <mergeCell ref="M180:M183"/>
    <mergeCell ref="M185:M186"/>
    <mergeCell ref="M187:M188"/>
    <mergeCell ref="M196:M199"/>
    <mergeCell ref="M137:M142"/>
    <mergeCell ref="M145:M148"/>
    <mergeCell ref="M154:M159"/>
    <mergeCell ref="M161:M164"/>
    <mergeCell ref="M166:M167"/>
    <mergeCell ref="M92:M95"/>
    <mergeCell ref="M99:M100"/>
    <mergeCell ref="M101:M102"/>
    <mergeCell ref="M111:M114"/>
    <mergeCell ref="M118:M119"/>
    <mergeCell ref="M61:M62"/>
    <mergeCell ref="M69:M70"/>
    <mergeCell ref="M71:M74"/>
    <mergeCell ref="M80:M81"/>
    <mergeCell ref="M86:M87"/>
    <mergeCell ref="M30:M31"/>
    <mergeCell ref="M34:M37"/>
    <mergeCell ref="M39:M40"/>
    <mergeCell ref="M41:M42"/>
    <mergeCell ref="M53:M56"/>
    <mergeCell ref="A1:K1"/>
    <mergeCell ref="M9:M12"/>
    <mergeCell ref="M16:M17"/>
    <mergeCell ref="M20:M21"/>
    <mergeCell ref="M22:M25"/>
  </mergeCells>
  <phoneticPr fontId="22" type="noConversion"/>
  <dataValidations count="1">
    <dataValidation type="list" allowBlank="1" showInputMessage="1" showErrorMessage="1" sqref="G5:G8 G13:G21 G26:G33 G38:G211 G216:G1048576 G212:H215 A1:L1" xr:uid="{00000000-0002-0000-13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98"/>
  <sheetViews>
    <sheetView topLeftCell="E1" zoomScale="115" zoomScaleNormal="115" workbookViewId="0">
      <selection activeCell="G8" sqref="G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3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3" ht="20.100000000000001" customHeight="1" x14ac:dyDescent="0.15">
      <c r="D2" t="s">
        <v>77</v>
      </c>
      <c r="L2" t="s">
        <v>26</v>
      </c>
    </row>
    <row r="3" spans="1:13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SUM(H5:H190001)</f>
        <v>0</v>
      </c>
      <c r="I3" s="4">
        <f>SUM(I5:I190001)</f>
        <v>0</v>
      </c>
      <c r="J3" s="4"/>
      <c r="K3" s="3">
        <f>K5+H3-I3</f>
        <v>1000</v>
      </c>
    </row>
    <row r="4" spans="1:13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3" ht="20.100000000000001" customHeight="1" x14ac:dyDescent="0.15">
      <c r="A5" s="5"/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</row>
    <row r="6" spans="1:13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27" si="0">IF((K5+H6-I6)&gt;0,"借","贷")</f>
        <v>借</v>
      </c>
      <c r="K6" s="9">
        <f t="shared" ref="K6:K27" si="1">K5+H6-I6</f>
        <v>1000</v>
      </c>
    </row>
    <row r="7" spans="1:13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1000</v>
      </c>
    </row>
    <row r="8" spans="1:13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</row>
    <row r="9" spans="1:13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</row>
    <row r="10" spans="1:13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</row>
    <row r="11" spans="1:13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</row>
    <row r="12" spans="1:13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</row>
    <row r="13" spans="1:13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1000</v>
      </c>
      <c r="L13" s="8"/>
      <c r="M13" s="99"/>
    </row>
    <row r="14" spans="1:13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1000</v>
      </c>
      <c r="L14" s="8"/>
      <c r="M14" s="99"/>
    </row>
    <row r="15" spans="1:13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1000</v>
      </c>
    </row>
    <row r="16" spans="1:13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1000</v>
      </c>
    </row>
    <row r="17" spans="1:13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1000</v>
      </c>
    </row>
    <row r="18" spans="1:13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1000</v>
      </c>
    </row>
    <row r="19" spans="1:13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1000</v>
      </c>
    </row>
    <row r="20" spans="1:13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1000</v>
      </c>
      <c r="M20" s="99"/>
    </row>
    <row r="21" spans="1:13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1000</v>
      </c>
      <c r="M21" s="99"/>
    </row>
    <row r="22" spans="1:13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1000</v>
      </c>
    </row>
    <row r="23" spans="1:13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1000</v>
      </c>
    </row>
    <row r="24" spans="1:13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1000</v>
      </c>
    </row>
    <row r="25" spans="1:13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1000</v>
      </c>
    </row>
    <row r="26" spans="1:13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1000</v>
      </c>
    </row>
    <row r="27" spans="1:13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1000</v>
      </c>
    </row>
    <row r="28" spans="1:13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ref="J28:J69" si="2">IF((K27+H28-I28)&gt;0,"借","贷")</f>
        <v>借</v>
      </c>
      <c r="K28" s="9">
        <f t="shared" ref="K28:K69" si="3">K27+H28-I28</f>
        <v>1000</v>
      </c>
    </row>
    <row r="29" spans="1:13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2"/>
        <v>借</v>
      </c>
      <c r="K29" s="9">
        <f t="shared" si="3"/>
        <v>1000</v>
      </c>
    </row>
    <row r="30" spans="1:13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2"/>
        <v>借</v>
      </c>
      <c r="K30" s="9">
        <f t="shared" si="3"/>
        <v>1000</v>
      </c>
    </row>
    <row r="31" spans="1:13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1000</v>
      </c>
    </row>
    <row r="32" spans="1:13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1000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2"/>
        <v>借</v>
      </c>
      <c r="K33" s="9">
        <f t="shared" si="3"/>
        <v>1000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1000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1000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1000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1000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1000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1000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1000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1000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1000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1000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1000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1000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1000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1000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1000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1000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1000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1000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1000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1000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1000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1000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1000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1000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1000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1000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1000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1000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1000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1000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1000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1000</v>
      </c>
    </row>
    <row r="68" spans="1:11" ht="20.100000000000001" customHeight="1" x14ac:dyDescent="0.15">
      <c r="A68" s="10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1000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1000</v>
      </c>
    </row>
    <row r="70" spans="1:11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8"/>
      <c r="J70" s="8" t="str">
        <f t="shared" ref="J70:J78" si="4">IF((K69+H70-I70)&gt;0,"借","贷")</f>
        <v>借</v>
      </c>
      <c r="K70" s="9">
        <f t="shared" ref="K70:K78" si="5">K69+H70-I70</f>
        <v>1000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4"/>
        <v>借</v>
      </c>
      <c r="K71" s="9">
        <f t="shared" si="5"/>
        <v>1000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4"/>
        <v>借</v>
      </c>
      <c r="K72" s="9">
        <f t="shared" si="5"/>
        <v>1000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1000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4"/>
        <v>借</v>
      </c>
      <c r="K74" s="9">
        <f t="shared" si="5"/>
        <v>1000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4"/>
        <v>借</v>
      </c>
      <c r="K75" s="9">
        <f t="shared" si="5"/>
        <v>1000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1000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1000</v>
      </c>
    </row>
    <row r="78" spans="1:11" ht="20.100000000000001" customHeight="1" x14ac:dyDescent="0.15">
      <c r="A78" s="10"/>
      <c r="B78" s="5"/>
      <c r="C78" s="10"/>
      <c r="D78" s="10"/>
      <c r="E78" s="10"/>
      <c r="F78" s="10"/>
      <c r="G78" s="10"/>
      <c r="H78" s="8"/>
      <c r="I78" s="8"/>
      <c r="J78" s="8" t="str">
        <f t="shared" si="4"/>
        <v>借</v>
      </c>
      <c r="K78" s="9">
        <f t="shared" si="5"/>
        <v>1000</v>
      </c>
    </row>
    <row r="79" spans="1:11" ht="20.100000000000001" customHeight="1" x14ac:dyDescent="0.15">
      <c r="A79" s="10"/>
      <c r="B79" s="5"/>
      <c r="C79" s="5"/>
      <c r="D79" s="10"/>
      <c r="E79" s="10"/>
      <c r="F79" s="14"/>
      <c r="G79" s="14"/>
      <c r="H79" s="8"/>
      <c r="I79" s="8"/>
      <c r="J79" s="8" t="str">
        <f t="shared" ref="J79:J134" si="6">IF((K78+H79-I79)&gt;0,"借","贷")</f>
        <v>借</v>
      </c>
      <c r="K79" s="9">
        <f t="shared" ref="K79:K134" si="7">K78+H79-I79</f>
        <v>1000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8"/>
      <c r="J80" s="8" t="str">
        <f t="shared" si="6"/>
        <v>借</v>
      </c>
      <c r="K80" s="9">
        <f t="shared" si="7"/>
        <v>1000</v>
      </c>
    </row>
    <row r="81" spans="1:13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6"/>
        <v>借</v>
      </c>
      <c r="K81" s="9">
        <f t="shared" si="7"/>
        <v>1000</v>
      </c>
    </row>
    <row r="82" spans="1:13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6"/>
        <v>借</v>
      </c>
      <c r="K82" s="9">
        <f t="shared" si="7"/>
        <v>1000</v>
      </c>
    </row>
    <row r="83" spans="1:13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6"/>
        <v>借</v>
      </c>
      <c r="K83" s="9">
        <f t="shared" si="7"/>
        <v>1000</v>
      </c>
    </row>
    <row r="84" spans="1:13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6"/>
        <v>借</v>
      </c>
      <c r="K84" s="9">
        <f t="shared" si="7"/>
        <v>1000</v>
      </c>
    </row>
    <row r="85" spans="1:13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6"/>
        <v>借</v>
      </c>
      <c r="K85" s="9">
        <f t="shared" si="7"/>
        <v>1000</v>
      </c>
    </row>
    <row r="86" spans="1:13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6"/>
        <v>借</v>
      </c>
      <c r="K86" s="9">
        <f t="shared" si="7"/>
        <v>1000</v>
      </c>
    </row>
    <row r="87" spans="1:13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15"/>
      <c r="J87" s="8" t="str">
        <f t="shared" si="6"/>
        <v>借</v>
      </c>
      <c r="K87" s="9">
        <f t="shared" si="7"/>
        <v>1000</v>
      </c>
      <c r="M87" s="99"/>
    </row>
    <row r="88" spans="1:13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15"/>
      <c r="J88" s="8" t="str">
        <f t="shared" si="6"/>
        <v>借</v>
      </c>
      <c r="K88" s="9">
        <f t="shared" si="7"/>
        <v>1000</v>
      </c>
      <c r="M88" s="99"/>
    </row>
    <row r="89" spans="1:13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6"/>
        <v>借</v>
      </c>
      <c r="K89" s="9">
        <f t="shared" si="7"/>
        <v>1000</v>
      </c>
    </row>
    <row r="90" spans="1:13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6"/>
        <v>借</v>
      </c>
      <c r="K90" s="9">
        <f t="shared" si="7"/>
        <v>1000</v>
      </c>
    </row>
    <row r="91" spans="1:13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6"/>
        <v>借</v>
      </c>
      <c r="K91" s="9">
        <f t="shared" si="7"/>
        <v>1000</v>
      </c>
    </row>
    <row r="92" spans="1:13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6"/>
        <v>借</v>
      </c>
      <c r="K92" s="9">
        <f t="shared" si="7"/>
        <v>1000</v>
      </c>
    </row>
    <row r="93" spans="1:13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6"/>
        <v>借</v>
      </c>
      <c r="K93" s="9">
        <f t="shared" si="7"/>
        <v>1000</v>
      </c>
    </row>
    <row r="94" spans="1:13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6"/>
        <v>借</v>
      </c>
      <c r="K94" s="9">
        <f t="shared" si="7"/>
        <v>1000</v>
      </c>
    </row>
    <row r="95" spans="1:13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6"/>
        <v>借</v>
      </c>
      <c r="K95" s="9">
        <f t="shared" si="7"/>
        <v>1000</v>
      </c>
    </row>
    <row r="96" spans="1:13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6"/>
        <v>借</v>
      </c>
      <c r="K96" s="9">
        <f t="shared" si="7"/>
        <v>1000</v>
      </c>
    </row>
    <row r="97" spans="1:13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6"/>
        <v>借</v>
      </c>
      <c r="K97" s="9">
        <f t="shared" si="7"/>
        <v>1000</v>
      </c>
      <c r="M97" s="99"/>
    </row>
    <row r="98" spans="1:13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6"/>
        <v>借</v>
      </c>
      <c r="K98" s="9">
        <f t="shared" si="7"/>
        <v>1000</v>
      </c>
      <c r="M98" s="99"/>
    </row>
    <row r="99" spans="1:13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6"/>
        <v>借</v>
      </c>
      <c r="K99" s="9">
        <f t="shared" si="7"/>
        <v>1000</v>
      </c>
    </row>
    <row r="100" spans="1:13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6"/>
        <v>借</v>
      </c>
      <c r="K100" s="9">
        <f t="shared" si="7"/>
        <v>1000</v>
      </c>
    </row>
    <row r="101" spans="1:13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6"/>
        <v>借</v>
      </c>
      <c r="K101" s="9">
        <f t="shared" si="7"/>
        <v>1000</v>
      </c>
    </row>
    <row r="102" spans="1:13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6"/>
        <v>借</v>
      </c>
      <c r="K102" s="9">
        <f t="shared" si="7"/>
        <v>1000</v>
      </c>
    </row>
    <row r="103" spans="1:13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6"/>
        <v>借</v>
      </c>
      <c r="K103" s="9">
        <f t="shared" si="7"/>
        <v>1000</v>
      </c>
    </row>
    <row r="104" spans="1:13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6"/>
        <v>借</v>
      </c>
      <c r="K104" s="9">
        <f t="shared" si="7"/>
        <v>1000</v>
      </c>
      <c r="M104" s="99"/>
    </row>
    <row r="105" spans="1:13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6"/>
        <v>借</v>
      </c>
      <c r="K105" s="9">
        <f t="shared" si="7"/>
        <v>1000</v>
      </c>
      <c r="M105" s="99"/>
    </row>
    <row r="106" spans="1:13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6"/>
        <v>借</v>
      </c>
      <c r="K106" s="9">
        <f t="shared" si="7"/>
        <v>1000</v>
      </c>
    </row>
    <row r="107" spans="1:13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6"/>
        <v>借</v>
      </c>
      <c r="K107" s="9">
        <f t="shared" si="7"/>
        <v>1000</v>
      </c>
    </row>
    <row r="108" spans="1:13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6"/>
        <v>借</v>
      </c>
      <c r="K108" s="9">
        <f t="shared" si="7"/>
        <v>1000</v>
      </c>
    </row>
    <row r="109" spans="1:13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6"/>
        <v>借</v>
      </c>
      <c r="K109" s="9">
        <f t="shared" si="7"/>
        <v>1000</v>
      </c>
    </row>
    <row r="110" spans="1:13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6"/>
        <v>借</v>
      </c>
      <c r="K110" s="9">
        <f t="shared" si="7"/>
        <v>1000</v>
      </c>
    </row>
    <row r="111" spans="1:13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6"/>
        <v>借</v>
      </c>
      <c r="K111" s="9">
        <f t="shared" si="7"/>
        <v>1000</v>
      </c>
    </row>
    <row r="112" spans="1:13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6"/>
        <v>借</v>
      </c>
      <c r="K112" s="9">
        <f t="shared" si="7"/>
        <v>1000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6"/>
        <v>借</v>
      </c>
      <c r="K113" s="9">
        <f t="shared" si="7"/>
        <v>1000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6"/>
        <v>借</v>
      </c>
      <c r="K114" s="9">
        <f t="shared" si="7"/>
        <v>1000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6"/>
        <v>借</v>
      </c>
      <c r="K115" s="9">
        <f t="shared" si="7"/>
        <v>1000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6"/>
        <v>借</v>
      </c>
      <c r="K116" s="9">
        <f t="shared" si="7"/>
        <v>1000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6"/>
        <v>借</v>
      </c>
      <c r="K117" s="9">
        <f t="shared" si="7"/>
        <v>1000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6"/>
        <v>借</v>
      </c>
      <c r="K118" s="9">
        <f t="shared" si="7"/>
        <v>1000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6"/>
        <v>借</v>
      </c>
      <c r="K119" s="9">
        <f t="shared" si="7"/>
        <v>1000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6"/>
        <v>借</v>
      </c>
      <c r="K120" s="9">
        <f t="shared" si="7"/>
        <v>1000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6"/>
        <v>借</v>
      </c>
      <c r="K121" s="9">
        <f t="shared" si="7"/>
        <v>1000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6"/>
        <v>借</v>
      </c>
      <c r="K122" s="9">
        <f t="shared" si="7"/>
        <v>1000</v>
      </c>
    </row>
    <row r="123" spans="1:11" ht="20.100000000000001" customHeight="1" x14ac:dyDescent="0.15">
      <c r="A123" s="10"/>
      <c r="B123" s="5"/>
      <c r="C123" s="10"/>
      <c r="D123" s="10"/>
      <c r="E123" s="10"/>
      <c r="F123" s="10"/>
      <c r="G123" s="10"/>
      <c r="H123" s="8"/>
      <c r="I123" s="8"/>
      <c r="J123" s="8" t="str">
        <f t="shared" si="6"/>
        <v>借</v>
      </c>
      <c r="K123" s="9">
        <f t="shared" si="7"/>
        <v>1000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6"/>
        <v>借</v>
      </c>
      <c r="K124" s="9">
        <f t="shared" si="7"/>
        <v>1000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6"/>
        <v>借</v>
      </c>
      <c r="K125" s="9">
        <f t="shared" si="7"/>
        <v>1000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6"/>
        <v>借</v>
      </c>
      <c r="K126" s="9">
        <f t="shared" si="7"/>
        <v>1000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6"/>
        <v>借</v>
      </c>
      <c r="K127" s="9">
        <f t="shared" si="7"/>
        <v>1000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6"/>
        <v>借</v>
      </c>
      <c r="K128" s="9">
        <f t="shared" si="7"/>
        <v>1000</v>
      </c>
    </row>
    <row r="129" spans="1:11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6"/>
        <v>借</v>
      </c>
      <c r="K129" s="9">
        <f t="shared" si="7"/>
        <v>1000</v>
      </c>
    </row>
    <row r="130" spans="1:11" ht="20.100000000000001" customHeight="1" x14ac:dyDescent="0.15">
      <c r="A130" s="5"/>
      <c r="B130" s="5"/>
      <c r="C130" s="5"/>
      <c r="D130" s="10"/>
      <c r="E130" s="16"/>
      <c r="F130" s="10"/>
      <c r="G130" s="10"/>
      <c r="H130" s="8"/>
      <c r="I130" s="8"/>
      <c r="J130" s="8" t="str">
        <f t="shared" si="6"/>
        <v>借</v>
      </c>
      <c r="K130" s="9">
        <f t="shared" si="7"/>
        <v>1000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6"/>
        <v>借</v>
      </c>
      <c r="K131" s="9">
        <f t="shared" si="7"/>
        <v>1000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6"/>
        <v>借</v>
      </c>
      <c r="K132" s="9">
        <f t="shared" si="7"/>
        <v>1000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6"/>
        <v>借</v>
      </c>
      <c r="K133" s="9">
        <f t="shared" si="7"/>
        <v>1000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6"/>
        <v>借</v>
      </c>
      <c r="K134" s="9">
        <f t="shared" si="7"/>
        <v>1000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ref="J135:J198" si="8">IF((K134+H135-I135)&gt;0,"借","贷")</f>
        <v>借</v>
      </c>
      <c r="K135" s="9">
        <f t="shared" ref="K135:K173" si="9">K134+H135-I135</f>
        <v>1000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8"/>
        <v>借</v>
      </c>
      <c r="K136" s="9">
        <f t="shared" si="9"/>
        <v>1000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8"/>
        <v>借</v>
      </c>
      <c r="K137" s="9">
        <f t="shared" si="9"/>
        <v>1000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8"/>
        <v>借</v>
      </c>
      <c r="K138" s="9">
        <f t="shared" si="9"/>
        <v>1000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8"/>
        <v>借</v>
      </c>
      <c r="K139" s="9">
        <f t="shared" si="9"/>
        <v>1000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8"/>
        <v>借</v>
      </c>
      <c r="K140" s="9">
        <f t="shared" si="9"/>
        <v>1000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8"/>
        <v>借</v>
      </c>
      <c r="K141" s="9">
        <f t="shared" si="9"/>
        <v>1000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8"/>
        <v>借</v>
      </c>
      <c r="K142" s="9">
        <f t="shared" si="9"/>
        <v>1000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8"/>
        <v>借</v>
      </c>
      <c r="K143" s="9">
        <f t="shared" si="9"/>
        <v>1000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8"/>
        <v>借</v>
      </c>
      <c r="K144" s="9">
        <f t="shared" si="9"/>
        <v>1000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8"/>
        <v>借</v>
      </c>
      <c r="K145" s="9">
        <f t="shared" si="9"/>
        <v>1000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8"/>
        <v>借</v>
      </c>
      <c r="K146" s="9">
        <f t="shared" si="9"/>
        <v>1000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8"/>
        <v>借</v>
      </c>
      <c r="K147" s="9">
        <f t="shared" si="9"/>
        <v>1000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8"/>
        <v>借</v>
      </c>
      <c r="K148" s="9">
        <f t="shared" si="9"/>
        <v>1000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8"/>
        <v>借</v>
      </c>
      <c r="K149" s="9">
        <f t="shared" si="9"/>
        <v>1000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8"/>
        <v>借</v>
      </c>
      <c r="K150" s="9">
        <f t="shared" si="9"/>
        <v>1000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8"/>
        <v>借</v>
      </c>
      <c r="K151" s="9">
        <f t="shared" si="9"/>
        <v>1000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8"/>
        <v>借</v>
      </c>
      <c r="K152" s="9">
        <f t="shared" si="9"/>
        <v>1000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8"/>
        <v>借</v>
      </c>
      <c r="K153" s="9">
        <f t="shared" si="9"/>
        <v>1000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8"/>
        <v>借</v>
      </c>
      <c r="K154" s="9">
        <f t="shared" si="9"/>
        <v>1000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8"/>
        <v>借</v>
      </c>
      <c r="K155" s="9">
        <f t="shared" si="9"/>
        <v>1000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8"/>
        <v>借</v>
      </c>
      <c r="K156" s="9">
        <f t="shared" si="9"/>
        <v>1000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8"/>
        <v>借</v>
      </c>
      <c r="K157" s="9">
        <f t="shared" si="9"/>
        <v>1000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8"/>
        <v>借</v>
      </c>
      <c r="K158" s="9">
        <f t="shared" si="9"/>
        <v>1000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8"/>
        <v>借</v>
      </c>
      <c r="K159" s="9">
        <f t="shared" si="9"/>
        <v>1000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8"/>
        <v>借</v>
      </c>
      <c r="K160" s="9">
        <f t="shared" si="9"/>
        <v>1000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8"/>
        <v>借</v>
      </c>
      <c r="K161" s="9">
        <f t="shared" si="9"/>
        <v>1000</v>
      </c>
    </row>
    <row r="162" spans="1:11" ht="20.100000000000001" customHeight="1" x14ac:dyDescent="0.15">
      <c r="A162" s="10"/>
      <c r="B162" s="5"/>
      <c r="C162" s="5"/>
      <c r="D162" s="10"/>
      <c r="E162" s="18"/>
      <c r="F162" s="10"/>
      <c r="G162" s="10"/>
      <c r="H162" s="8"/>
      <c r="I162" s="8"/>
      <c r="J162" s="8" t="str">
        <f t="shared" si="8"/>
        <v>借</v>
      </c>
      <c r="K162" s="9">
        <f t="shared" si="9"/>
        <v>1000</v>
      </c>
    </row>
    <row r="163" spans="1:11" ht="20.100000000000001" customHeight="1" x14ac:dyDescent="0.15">
      <c r="A163" s="10"/>
      <c r="B163" s="5"/>
      <c r="C163" s="5"/>
      <c r="D163" s="10"/>
      <c r="E163" s="10"/>
      <c r="F163" s="10"/>
      <c r="G163" s="10"/>
      <c r="H163" s="8"/>
      <c r="I163" s="8"/>
      <c r="J163" s="8" t="str">
        <f t="shared" si="8"/>
        <v>借</v>
      </c>
      <c r="K163" s="9">
        <f t="shared" si="9"/>
        <v>1000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8"/>
        <v>借</v>
      </c>
      <c r="K164" s="9">
        <f t="shared" si="9"/>
        <v>1000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8"/>
        <v>借</v>
      </c>
      <c r="K165" s="9">
        <f t="shared" si="9"/>
        <v>1000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8"/>
        <v>借</v>
      </c>
      <c r="K166" s="9">
        <f t="shared" si="9"/>
        <v>1000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8"/>
        <v>借</v>
      </c>
      <c r="K167" s="9">
        <f t="shared" si="9"/>
        <v>1000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8"/>
        <v>借</v>
      </c>
      <c r="K168" s="9">
        <f t="shared" si="9"/>
        <v>1000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8"/>
        <v>借</v>
      </c>
      <c r="K169" s="9">
        <f t="shared" si="9"/>
        <v>1000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8"/>
        <v>借</v>
      </c>
      <c r="K170" s="9">
        <f t="shared" si="9"/>
        <v>1000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8"/>
        <v>借</v>
      </c>
      <c r="K171" s="9">
        <f t="shared" si="9"/>
        <v>1000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8"/>
        <v>借</v>
      </c>
      <c r="K172" s="9">
        <f t="shared" si="9"/>
        <v>1000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8"/>
        <v>借</v>
      </c>
      <c r="K173" s="9">
        <f t="shared" si="9"/>
        <v>1000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8"/>
        <v>借</v>
      </c>
      <c r="K174" s="9">
        <f t="shared" ref="K174:K237" si="10">_xlfn.IFS(J173="借",K173+H174-I174,J173="贷",H174-I174-K173)</f>
        <v>1000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8"/>
        <v>借</v>
      </c>
      <c r="K175" s="9">
        <f t="shared" si="10"/>
        <v>1000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8"/>
        <v>借</v>
      </c>
      <c r="K176" s="9">
        <f t="shared" si="10"/>
        <v>1000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8"/>
        <v>借</v>
      </c>
      <c r="K177" s="9">
        <f t="shared" si="10"/>
        <v>1000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8"/>
        <v>借</v>
      </c>
      <c r="K178" s="9">
        <f t="shared" si="10"/>
        <v>1000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8"/>
        <v>借</v>
      </c>
      <c r="K179" s="9">
        <f t="shared" si="10"/>
        <v>1000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8"/>
        <v>借</v>
      </c>
      <c r="K180" s="9">
        <f t="shared" si="10"/>
        <v>1000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8"/>
        <v>借</v>
      </c>
      <c r="K181" s="9">
        <f t="shared" si="10"/>
        <v>1000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8"/>
        <v>借</v>
      </c>
      <c r="K182" s="9">
        <f t="shared" si="10"/>
        <v>1000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10"/>
        <v>1000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10"/>
        <v>1000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10"/>
        <v>1000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10"/>
        <v>1000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10"/>
        <v>1000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8"/>
        <v>借</v>
      </c>
      <c r="K188" s="9">
        <f t="shared" si="10"/>
        <v>1000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10"/>
        <v>1000</v>
      </c>
    </row>
    <row r="190" spans="1:11" ht="20.100000000000001" customHeight="1" x14ac:dyDescent="0.15">
      <c r="A190" s="10"/>
      <c r="B190" s="5"/>
      <c r="C190" s="10"/>
      <c r="D190" s="10"/>
      <c r="E190" s="19"/>
      <c r="F190" s="10"/>
      <c r="G190" s="10"/>
      <c r="H190" s="8"/>
      <c r="I190" s="8"/>
      <c r="J190" s="8" t="str">
        <f t="shared" si="8"/>
        <v>借</v>
      </c>
      <c r="K190" s="9">
        <f t="shared" si="10"/>
        <v>1000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10"/>
        <v>1000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10"/>
        <v>1000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10"/>
        <v>1000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10"/>
        <v>1000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10"/>
        <v>1000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10"/>
        <v>1000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10"/>
        <v>1000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10"/>
        <v>1000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ref="J199:J262" si="11">IF((K198+H199-I199)&gt;0,"借","贷")</f>
        <v>借</v>
      </c>
      <c r="K199" s="9">
        <f t="shared" si="10"/>
        <v>1000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1000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1000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1000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1000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1000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11"/>
        <v>借</v>
      </c>
      <c r="K205" s="9">
        <f t="shared" si="10"/>
        <v>1000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1000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1000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1000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1000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1000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1000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1000</v>
      </c>
    </row>
    <row r="213" spans="1:11" ht="20.100000000000001" customHeight="1" x14ac:dyDescent="0.15">
      <c r="A213" s="10"/>
      <c r="B213" s="5"/>
      <c r="C213" s="10"/>
      <c r="D213" s="10"/>
      <c r="E213" s="20"/>
      <c r="F213" s="10"/>
      <c r="G213" s="10"/>
      <c r="H213" s="8"/>
      <c r="I213" s="8"/>
      <c r="J213" s="8" t="str">
        <f t="shared" si="11"/>
        <v>借</v>
      </c>
      <c r="K213" s="9">
        <f t="shared" si="10"/>
        <v>1000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1000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si="10"/>
        <v>1000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0"/>
        <v>1000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0"/>
        <v>1000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0"/>
        <v>1000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0"/>
        <v>1000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0"/>
        <v>1000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0"/>
        <v>1000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0"/>
        <v>1000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0"/>
        <v>1000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0"/>
        <v>1000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0"/>
        <v>1000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0"/>
        <v>1000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0"/>
        <v>1000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0"/>
        <v>1000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0"/>
        <v>1000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0"/>
        <v>1000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21">
        <f t="shared" si="10"/>
        <v>1000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0"/>
        <v>1000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0"/>
        <v>1000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0"/>
        <v>1000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11"/>
        <v>借</v>
      </c>
      <c r="K235" s="21">
        <f t="shared" si="10"/>
        <v>1000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11"/>
        <v>借</v>
      </c>
      <c r="K236" s="9">
        <f t="shared" si="10"/>
        <v>1000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11"/>
        <v>借</v>
      </c>
      <c r="K237" s="9">
        <f t="shared" si="10"/>
        <v>1000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11"/>
        <v>借</v>
      </c>
      <c r="K238" s="9">
        <f t="shared" ref="K238:K301" si="12">_xlfn.IFS(J237="借",K237+H238-I238,J237="贷",H238-I238-K237)</f>
        <v>1000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11"/>
        <v>借</v>
      </c>
      <c r="K239" s="9">
        <f t="shared" si="12"/>
        <v>1000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11"/>
        <v>借</v>
      </c>
      <c r="K240" s="9">
        <f t="shared" si="12"/>
        <v>1000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1"/>
        <v>借</v>
      </c>
      <c r="K241" s="9">
        <f t="shared" si="12"/>
        <v>1000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1"/>
        <v>借</v>
      </c>
      <c r="K242" s="9">
        <f t="shared" si="12"/>
        <v>1000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11"/>
        <v>借</v>
      </c>
      <c r="K243" s="9">
        <f t="shared" si="12"/>
        <v>1000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11"/>
        <v>借</v>
      </c>
      <c r="K244" s="9">
        <f t="shared" si="12"/>
        <v>1000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11"/>
        <v>借</v>
      </c>
      <c r="K245" s="9">
        <f t="shared" si="12"/>
        <v>1000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11"/>
        <v>借</v>
      </c>
      <c r="K246" s="9">
        <f t="shared" si="12"/>
        <v>1000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11"/>
        <v>借</v>
      </c>
      <c r="K247" s="9">
        <f t="shared" si="12"/>
        <v>1000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11"/>
        <v>借</v>
      </c>
      <c r="K248" s="9">
        <f t="shared" si="12"/>
        <v>1000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2"/>
        <v>1000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2"/>
        <v>1000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2"/>
        <v>1000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2"/>
        <v>1000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2"/>
        <v>1000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2"/>
        <v>1000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1"/>
        <v>借</v>
      </c>
      <c r="K255" s="9">
        <f t="shared" si="12"/>
        <v>1000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1"/>
        <v>借</v>
      </c>
      <c r="K256" s="9">
        <f t="shared" si="12"/>
        <v>1000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1"/>
        <v>借</v>
      </c>
      <c r="K257" s="9">
        <f t="shared" si="12"/>
        <v>1000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1"/>
        <v>借</v>
      </c>
      <c r="K258" s="9">
        <f t="shared" si="12"/>
        <v>1000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1"/>
        <v>借</v>
      </c>
      <c r="K259" s="9">
        <f t="shared" si="12"/>
        <v>1000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1"/>
        <v>借</v>
      </c>
      <c r="K260" s="9">
        <f t="shared" si="12"/>
        <v>1000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1"/>
        <v>借</v>
      </c>
      <c r="K261" s="9">
        <f t="shared" si="12"/>
        <v>1000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1"/>
        <v>借</v>
      </c>
      <c r="K262" s="9">
        <f t="shared" si="12"/>
        <v>1000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ref="J263:J326" si="13">IF((K262+H263-I263)&gt;0,"借","贷")</f>
        <v>借</v>
      </c>
      <c r="K263" s="9">
        <f t="shared" si="12"/>
        <v>1000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1000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1000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1000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1000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1000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1000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1000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1000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1000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1000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1000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1000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1000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1000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1000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si="12"/>
        <v>1000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2"/>
        <v>1000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2"/>
        <v>1000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2"/>
        <v>1000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2"/>
        <v>1000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2"/>
        <v>1000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2"/>
        <v>1000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2"/>
        <v>1000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2"/>
        <v>1000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2"/>
        <v>1000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2"/>
        <v>1000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2"/>
        <v>1000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2"/>
        <v>1000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2"/>
        <v>1000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2"/>
        <v>1000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2"/>
        <v>1000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2"/>
        <v>1000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2"/>
        <v>1000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2"/>
        <v>1000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2"/>
        <v>1000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2"/>
        <v>1000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2"/>
        <v>1000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2"/>
        <v>1000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ref="K302:K365" si="14">_xlfn.IFS(J301="借",K301+H302-I302,J301="贷",H302-I302-K301)</f>
        <v>1000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4"/>
        <v>1000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4"/>
        <v>1000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4"/>
        <v>1000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4"/>
        <v>1000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4"/>
        <v>1000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4"/>
        <v>1000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4"/>
        <v>1000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4"/>
        <v>1000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4"/>
        <v>1000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4"/>
        <v>1000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4"/>
        <v>1000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4"/>
        <v>1000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4"/>
        <v>1000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4"/>
        <v>1000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4"/>
        <v>1000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4"/>
        <v>1000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3"/>
        <v>借</v>
      </c>
      <c r="K319" s="9">
        <f t="shared" si="14"/>
        <v>1000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3"/>
        <v>借</v>
      </c>
      <c r="K320" s="9">
        <f t="shared" si="14"/>
        <v>1000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3"/>
        <v>借</v>
      </c>
      <c r="K321" s="9">
        <f t="shared" si="14"/>
        <v>1000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3"/>
        <v>借</v>
      </c>
      <c r="K322" s="9">
        <f t="shared" si="14"/>
        <v>1000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3"/>
        <v>借</v>
      </c>
      <c r="K323" s="9">
        <f t="shared" si="14"/>
        <v>1000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3"/>
        <v>借</v>
      </c>
      <c r="K324" s="9">
        <f t="shared" si="14"/>
        <v>1000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3"/>
        <v>借</v>
      </c>
      <c r="K325" s="9">
        <f t="shared" si="14"/>
        <v>1000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3"/>
        <v>借</v>
      </c>
      <c r="K326" s="9">
        <f t="shared" si="14"/>
        <v>1000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ref="J327:J390" si="15">IF((K326+H327-I327)&gt;0,"借","贷")</f>
        <v>借</v>
      </c>
      <c r="K327" s="9">
        <f t="shared" si="14"/>
        <v>1000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1000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1000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1000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1000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1000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1000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1000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1000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1000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1000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1000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1000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1000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1000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1000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si="14"/>
        <v>1000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4"/>
        <v>1000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4"/>
        <v>1000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4"/>
        <v>1000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4"/>
        <v>1000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4"/>
        <v>1000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4"/>
        <v>1000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4"/>
        <v>1000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4"/>
        <v>1000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4"/>
        <v>1000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4"/>
        <v>1000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4"/>
        <v>1000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4"/>
        <v>1000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4"/>
        <v>1000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4"/>
        <v>1000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4"/>
        <v>1000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4"/>
        <v>1000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4"/>
        <v>1000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4"/>
        <v>1000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4"/>
        <v>1000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4"/>
        <v>1000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4"/>
        <v>1000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4"/>
        <v>1000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ref="K366:K429" si="16">_xlfn.IFS(J365="借",K365+H366-I366,J365="贷",H366-I366-K365)</f>
        <v>1000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6"/>
        <v>1000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6"/>
        <v>1000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6"/>
        <v>1000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6"/>
        <v>1000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6"/>
        <v>1000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6"/>
        <v>1000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6"/>
        <v>1000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6"/>
        <v>1000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6"/>
        <v>1000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6"/>
        <v>1000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6"/>
        <v>1000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6"/>
        <v>1000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6"/>
        <v>1000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6"/>
        <v>1000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6"/>
        <v>1000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6"/>
        <v>1000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5"/>
        <v>借</v>
      </c>
      <c r="K383" s="9">
        <f t="shared" si="16"/>
        <v>1000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5"/>
        <v>借</v>
      </c>
      <c r="K384" s="9">
        <f t="shared" si="16"/>
        <v>1000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5"/>
        <v>借</v>
      </c>
      <c r="K385" s="9">
        <f t="shared" si="16"/>
        <v>1000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5"/>
        <v>借</v>
      </c>
      <c r="K386" s="9">
        <f t="shared" si="16"/>
        <v>1000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5"/>
        <v>借</v>
      </c>
      <c r="K387" s="9">
        <f t="shared" si="16"/>
        <v>1000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5"/>
        <v>借</v>
      </c>
      <c r="K388" s="9">
        <f t="shared" si="16"/>
        <v>1000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5"/>
        <v>借</v>
      </c>
      <c r="K389" s="9">
        <f t="shared" si="16"/>
        <v>1000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5"/>
        <v>借</v>
      </c>
      <c r="K390" s="9">
        <f t="shared" si="16"/>
        <v>1000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ref="J391:J454" si="17">IF((K390+H391-I391)&gt;0,"借","贷")</f>
        <v>借</v>
      </c>
      <c r="K391" s="9">
        <f t="shared" si="16"/>
        <v>1000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1000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1000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1000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1000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1000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1000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1000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1000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1000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1000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1000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1000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1000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1000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1000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si="16"/>
        <v>1000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6"/>
        <v>1000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6"/>
        <v>1000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6"/>
        <v>1000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6"/>
        <v>1000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6"/>
        <v>1000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6"/>
        <v>1000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6"/>
        <v>1000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6"/>
        <v>1000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6"/>
        <v>1000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6"/>
        <v>1000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6"/>
        <v>1000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6"/>
        <v>1000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6"/>
        <v>1000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6"/>
        <v>1000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6"/>
        <v>1000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6"/>
        <v>1000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6"/>
        <v>1000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6"/>
        <v>1000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6"/>
        <v>1000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6"/>
        <v>1000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6"/>
        <v>1000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6"/>
        <v>1000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ref="K430:K493" si="18">_xlfn.IFS(J429="借",K429+H430-I430,J429="贷",H430-I430-K429)</f>
        <v>1000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8"/>
        <v>1000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8"/>
        <v>1000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8"/>
        <v>1000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8"/>
        <v>1000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8"/>
        <v>1000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8"/>
        <v>1000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8"/>
        <v>1000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8"/>
        <v>1000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8"/>
        <v>1000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8"/>
        <v>1000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8"/>
        <v>1000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8"/>
        <v>1000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8"/>
        <v>1000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8"/>
        <v>1000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8"/>
        <v>1000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8"/>
        <v>1000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7"/>
        <v>借</v>
      </c>
      <c r="K447" s="9">
        <f t="shared" si="18"/>
        <v>1000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7"/>
        <v>借</v>
      </c>
      <c r="K448" s="9">
        <f t="shared" si="18"/>
        <v>1000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7"/>
        <v>借</v>
      </c>
      <c r="K449" s="9">
        <f t="shared" si="18"/>
        <v>1000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7"/>
        <v>借</v>
      </c>
      <c r="K450" s="9">
        <f t="shared" si="18"/>
        <v>1000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7"/>
        <v>借</v>
      </c>
      <c r="K451" s="9">
        <f t="shared" si="18"/>
        <v>1000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7"/>
        <v>借</v>
      </c>
      <c r="K452" s="9">
        <f t="shared" si="18"/>
        <v>1000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7"/>
        <v>借</v>
      </c>
      <c r="K453" s="9">
        <f t="shared" si="18"/>
        <v>1000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7"/>
        <v>借</v>
      </c>
      <c r="K454" s="9">
        <f t="shared" si="18"/>
        <v>1000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ref="J455:J498" si="19">IF((K454+H455-I455)&gt;0,"借","贷")</f>
        <v>借</v>
      </c>
      <c r="K455" s="9">
        <f t="shared" si="18"/>
        <v>1000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1000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1000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1000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1000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1000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1000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1000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1000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1000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1000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1000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1000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1000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1000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1000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si="18"/>
        <v>1000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18"/>
        <v>1000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18"/>
        <v>1000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18"/>
        <v>1000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18"/>
        <v>1000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18"/>
        <v>1000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18"/>
        <v>1000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18"/>
        <v>1000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18"/>
        <v>1000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18"/>
        <v>1000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18"/>
        <v>1000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18"/>
        <v>1000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18"/>
        <v>1000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18"/>
        <v>1000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18"/>
        <v>1000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18"/>
        <v>1000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18"/>
        <v>1000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18"/>
        <v>1000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18"/>
        <v>1000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18"/>
        <v>1000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9"/>
        <v>借</v>
      </c>
      <c r="K491" s="9">
        <f t="shared" si="18"/>
        <v>1000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9"/>
        <v>借</v>
      </c>
      <c r="K492" s="9">
        <f t="shared" si="18"/>
        <v>1000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9"/>
        <v>借</v>
      </c>
      <c r="K493" s="9">
        <f t="shared" si="18"/>
        <v>1000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9"/>
        <v>借</v>
      </c>
      <c r="K494" s="9">
        <f t="shared" ref="K494:K498" si="20">_xlfn.IFS(J493="借",K493+H494-I494,J493="贷",H494-I494-K493)</f>
        <v>1000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9"/>
        <v>借</v>
      </c>
      <c r="K495" s="9">
        <f t="shared" si="20"/>
        <v>1000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9"/>
        <v>借</v>
      </c>
      <c r="K496" s="9">
        <f t="shared" si="20"/>
        <v>1000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9"/>
        <v>借</v>
      </c>
      <c r="K497" s="9">
        <f t="shared" si="20"/>
        <v>1000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9"/>
        <v>借</v>
      </c>
      <c r="K498" s="9">
        <f t="shared" si="20"/>
        <v>1000</v>
      </c>
    </row>
  </sheetData>
  <autoFilter ref="A4:L498" xr:uid="{00000000-0009-0000-0000-000014000000}"/>
  <mergeCells count="6">
    <mergeCell ref="M104:M105"/>
    <mergeCell ref="A1:K1"/>
    <mergeCell ref="M13:M14"/>
    <mergeCell ref="M20:M21"/>
    <mergeCell ref="M87:M88"/>
    <mergeCell ref="M97:M98"/>
  </mergeCells>
  <phoneticPr fontId="22" type="noConversion"/>
  <dataValidations count="1">
    <dataValidation type="list" allowBlank="1" showInputMessage="1" showErrorMessage="1" sqref="G1:G2 G5:G1048576" xr:uid="{00000000-0002-0000-14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97"/>
  <sheetViews>
    <sheetView topLeftCell="B1" workbookViewId="0">
      <selection activeCell="G13" sqref="G13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78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SUM(H5:H190000)</f>
        <v>0</v>
      </c>
      <c r="I3" s="4">
        <f>SUM(I5:I190000)</f>
        <v>0</v>
      </c>
      <c r="J3" s="4"/>
      <c r="K3" s="3">
        <f>K5+H3-I3</f>
        <v>1000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</row>
    <row r="6" spans="1:12" ht="20.100000000000001" customHeight="1" x14ac:dyDescent="0.15">
      <c r="A6" s="5"/>
      <c r="B6" s="5"/>
      <c r="C6" s="10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1000</v>
      </c>
      <c r="L6" t="s">
        <v>79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1000</v>
      </c>
      <c r="L7" t="s">
        <v>79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  <c r="L9" t="s">
        <v>79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  <c r="L10" t="s">
        <v>79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  <c r="L11" t="s">
        <v>79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  <c r="L12" t="s">
        <v>79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1000</v>
      </c>
      <c r="L13" t="s">
        <v>80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1000</v>
      </c>
      <c r="L16" t="s">
        <v>79</v>
      </c>
    </row>
    <row r="17" spans="1:12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1000</v>
      </c>
    </row>
    <row r="18" spans="1:12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1000</v>
      </c>
      <c r="L18" t="s">
        <v>79</v>
      </c>
    </row>
    <row r="19" spans="1:12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1000</v>
      </c>
    </row>
    <row r="20" spans="1:12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1000</v>
      </c>
    </row>
    <row r="21" spans="1:12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1000</v>
      </c>
    </row>
    <row r="22" spans="1:12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1000</v>
      </c>
    </row>
    <row r="23" spans="1:12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1000</v>
      </c>
    </row>
    <row r="24" spans="1:12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1000</v>
      </c>
    </row>
    <row r="25" spans="1:12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1000</v>
      </c>
    </row>
    <row r="26" spans="1:12" ht="20.100000000000001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0"/>
        <v>借</v>
      </c>
      <c r="K26" s="9">
        <f t="shared" si="1"/>
        <v>1000</v>
      </c>
    </row>
    <row r="27" spans="1:12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1000</v>
      </c>
    </row>
    <row r="28" spans="1:12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1000</v>
      </c>
    </row>
    <row r="29" spans="1:12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1000</v>
      </c>
    </row>
    <row r="30" spans="1:12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1000</v>
      </c>
    </row>
    <row r="31" spans="1:12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1000</v>
      </c>
    </row>
    <row r="32" spans="1:12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A2:K2 G5:G1048576" xr:uid="{00000000-0002-0000-15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97"/>
  <sheetViews>
    <sheetView topLeftCell="D1" workbookViewId="0">
      <selection activeCell="G12" sqref="G12"/>
    </sheetView>
  </sheetViews>
  <sheetFormatPr defaultColWidth="9" defaultRowHeight="20.100000000000001" customHeight="1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81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SUM(H5:H190000)</f>
        <v>0</v>
      </c>
      <c r="I3" s="4">
        <f>SUM(I5:I190000)</f>
        <v>0</v>
      </c>
      <c r="J3" s="4"/>
      <c r="K3" s="3">
        <f>K5+H3-I3</f>
        <v>1000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69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>K5+H6-I6</f>
        <v>1000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ref="K7:K70" si="1">K6+H7-I7</f>
        <v>1000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1000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1000</v>
      </c>
    </row>
    <row r="29" spans="1:11" ht="20.100000000000001" customHeight="1" x14ac:dyDescent="0.15">
      <c r="A29" s="5"/>
      <c r="B29" s="5"/>
      <c r="C29" s="10"/>
      <c r="D29" s="10"/>
      <c r="E29" s="11"/>
      <c r="F29" s="10"/>
      <c r="G29" s="10"/>
      <c r="H29" s="8"/>
      <c r="I29" s="8"/>
      <c r="J29" s="8" t="str">
        <f t="shared" si="0"/>
        <v>借</v>
      </c>
      <c r="K29" s="9">
        <f t="shared" si="1"/>
        <v>1000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si="1"/>
        <v>1000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ref="K71:K134" si="3">K70+H71-I71</f>
        <v>1000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si="3"/>
        <v>1000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ref="K135:K198" si="5">K134+H135-I135</f>
        <v>1000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5"/>
        <v>1000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5"/>
        <v>1000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5"/>
        <v>1000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5"/>
        <v>1000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5"/>
        <v>1000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5"/>
        <v>1000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5"/>
        <v>1000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1000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1000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1000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1000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1000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1000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1000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5"/>
        <v>1000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5"/>
        <v>1000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1000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1000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1000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1000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1000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1000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1000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si="5"/>
        <v>1000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ref="K199:K262" si="7">K198+H199-I199</f>
        <v>1000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1000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1000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1000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1000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1000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1000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1000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1000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1000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1000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1000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1000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6"/>
        <v>借</v>
      </c>
      <c r="K212" s="9">
        <f t="shared" si="7"/>
        <v>1000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6"/>
        <v>借</v>
      </c>
      <c r="K213" s="9">
        <f t="shared" si="7"/>
        <v>1000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1000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1000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1000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1000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1000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1000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1000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1000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1000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1000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1000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1000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1000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1000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1000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1000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1000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1000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1000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1000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1000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1000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1000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1000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1000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1000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1000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1000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6"/>
        <v>借</v>
      </c>
      <c r="K242" s="9">
        <f t="shared" si="7"/>
        <v>1000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1000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1000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1000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1000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1000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6"/>
        <v>借</v>
      </c>
      <c r="K248" s="9">
        <f t="shared" si="7"/>
        <v>1000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1000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1000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1000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1000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1000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1000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1000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1000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1000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1000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1000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1000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1000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si="7"/>
        <v>1000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ref="K263:K326" si="9">K262+H263-I263</f>
        <v>1000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1000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1000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1000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1000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1000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1000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1000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1000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1000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1000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1000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1000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1000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1000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1000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1000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1000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1000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1000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1000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1000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1000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1000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1000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1000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1000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1000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1000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1000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1000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1000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1000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1000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1000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1000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1000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1000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1000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1000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1000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1000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1000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1000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1000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1000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1000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1000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1000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1000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1000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1000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1000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1000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1000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1000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1000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1000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1000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1000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1000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1000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si="9"/>
        <v>1000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ref="K327:K390" si="11">K326+H327-I327</f>
        <v>1000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1000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1000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1000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1000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1000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1000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1000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1000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1000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1000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1000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1000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1000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1000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1000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1000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1000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1000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1000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1000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1000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1000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1000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1000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1000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1000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1000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1000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1000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1000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1000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1000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1000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1000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1000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1000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1000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1000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1000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1000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1000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1000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1000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1000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1000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1000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1000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1000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1000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1000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1000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1000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1000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1000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1000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1000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1000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1000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1000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1000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1000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si="11"/>
        <v>1000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ref="K391:K454" si="13">K390+H391-I391</f>
        <v>1000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1000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1000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1000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1000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1000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1000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1000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1000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1000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1000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1000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1000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1000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1000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1000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1000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1000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1000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1000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1000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1000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1000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1000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1000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1000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1000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1000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1000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1000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1000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1000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1000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1000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1000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1000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1000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1000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1000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1000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1000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1000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1000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1000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1000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1000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1000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1000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1000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1000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1000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1000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1000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1000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1000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1000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1000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1000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1000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1000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1000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1000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7" si="14">IF((K453+H454-I454)&gt;0,"借","贷")</f>
        <v>借</v>
      </c>
      <c r="K454" s="9">
        <f t="shared" si="13"/>
        <v>1000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ref="K455:K497" si="15">K454+H455-I455</f>
        <v>1000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1000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1000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1000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1000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1000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1000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1000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1000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1000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1000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1000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1000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1000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1000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1000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1000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1000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1000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1000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1000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1000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1000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1000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1000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1000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1000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1000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1000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1000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1000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1000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1000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1000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1000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1000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1000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1000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1000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1000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1000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1000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A1:K2 G5:G1048576" xr:uid="{00000000-0002-0000-16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497"/>
  <sheetViews>
    <sheetView topLeftCell="F1" workbookViewId="0">
      <selection activeCell="G8" sqref="G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6" width="16.75" customWidth="1"/>
    <col min="7" max="7" width="19.875" style="1" customWidth="1"/>
    <col min="8" max="8" width="18.5" style="1" customWidth="1"/>
    <col min="9" max="9" width="6.375" style="1" customWidth="1"/>
    <col min="10" max="10" width="20" customWidth="1"/>
    <col min="11" max="11" width="15.75" customWidth="1"/>
  </cols>
  <sheetData>
    <row r="1" spans="1:11" ht="22.5" customHeight="1" x14ac:dyDescent="0.15">
      <c r="A1" s="100" t="s">
        <v>24</v>
      </c>
      <c r="B1" s="100"/>
      <c r="C1" s="100"/>
      <c r="D1" s="100"/>
      <c r="E1" s="100"/>
      <c r="F1" s="100"/>
      <c r="G1" s="101"/>
      <c r="H1" s="101"/>
      <c r="I1" s="101"/>
      <c r="J1" s="100"/>
    </row>
    <row r="2" spans="1:11" ht="20.100000000000001" customHeight="1" x14ac:dyDescent="0.15">
      <c r="A2" s="95" t="s">
        <v>82</v>
      </c>
      <c r="B2" s="95"/>
      <c r="C2" s="95"/>
      <c r="D2" s="95"/>
      <c r="E2" s="95"/>
      <c r="F2" s="95"/>
      <c r="G2" s="102"/>
      <c r="H2" s="102"/>
      <c r="I2" s="102"/>
      <c r="J2" s="95"/>
      <c r="K2" t="s">
        <v>26</v>
      </c>
    </row>
    <row r="3" spans="1:11" ht="20.100000000000001" customHeight="1" x14ac:dyDescent="0.15">
      <c r="A3" s="3"/>
      <c r="B3" s="3"/>
      <c r="C3" s="3"/>
      <c r="D3" s="3"/>
      <c r="E3" s="3"/>
      <c r="F3" s="3"/>
      <c r="G3" s="4">
        <f>SUM(G5:G190000)</f>
        <v>0</v>
      </c>
      <c r="H3" s="4">
        <f>SUM(H5:H190000)</f>
        <v>0</v>
      </c>
      <c r="I3" s="4"/>
      <c r="J3" s="3">
        <f>J5+G3-H3</f>
        <v>1000</v>
      </c>
    </row>
    <row r="4" spans="1:11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6" t="s">
        <v>34</v>
      </c>
      <c r="H4" s="6" t="s">
        <v>35</v>
      </c>
      <c r="I4" s="6" t="s">
        <v>36</v>
      </c>
      <c r="J4" s="5"/>
    </row>
    <row r="5" spans="1:11" ht="20.100000000000001" customHeight="1" x14ac:dyDescent="0.15">
      <c r="A5" s="5">
        <v>2026</v>
      </c>
      <c r="B5" s="5"/>
      <c r="C5" s="5"/>
      <c r="D5" s="7"/>
      <c r="E5" s="7"/>
      <c r="F5" s="7"/>
      <c r="G5" s="8"/>
      <c r="H5" s="8"/>
      <c r="I5" s="8" t="s">
        <v>39</v>
      </c>
      <c r="J5" s="9">
        <v>1000</v>
      </c>
    </row>
    <row r="6" spans="1:11" ht="20.100000000000001" customHeight="1" x14ac:dyDescent="0.15">
      <c r="A6" s="5"/>
      <c r="B6" s="5"/>
      <c r="C6" s="5"/>
      <c r="D6" s="10"/>
      <c r="E6" s="10"/>
      <c r="F6" s="10"/>
      <c r="G6" s="8"/>
      <c r="H6" s="8"/>
      <c r="I6" s="8" t="str">
        <f>IF((J5+G6-H6)&gt;0,"借","贷")</f>
        <v>借</v>
      </c>
      <c r="J6" s="9">
        <f>J5+G6-H6</f>
        <v>1000</v>
      </c>
    </row>
    <row r="7" spans="1:11" ht="20.100000000000001" customHeight="1" x14ac:dyDescent="0.15">
      <c r="A7" s="5"/>
      <c r="B7" s="5"/>
      <c r="C7" s="5"/>
      <c r="D7" s="10"/>
      <c r="E7" s="10"/>
      <c r="F7" s="10"/>
      <c r="G7" s="8"/>
      <c r="H7" s="8"/>
      <c r="I7" s="8" t="str">
        <f t="shared" ref="I7:I69" si="0">IF((J6+G7-H7)&gt;0,"借","贷")</f>
        <v>借</v>
      </c>
      <c r="J7" s="9">
        <f t="shared" ref="J7:J70" si="1">J6+G7-H7</f>
        <v>1000</v>
      </c>
    </row>
    <row r="8" spans="1:11" ht="20.100000000000001" customHeight="1" x14ac:dyDescent="0.15">
      <c r="A8" s="5"/>
      <c r="B8" s="5"/>
      <c r="C8" s="5"/>
      <c r="D8" s="10"/>
      <c r="E8" s="10"/>
      <c r="F8" s="10"/>
      <c r="G8" s="8"/>
      <c r="H8" s="8"/>
      <c r="I8" s="8" t="str">
        <f t="shared" si="0"/>
        <v>借</v>
      </c>
      <c r="J8" s="9">
        <f t="shared" si="1"/>
        <v>1000</v>
      </c>
    </row>
    <row r="9" spans="1:11" ht="20.100000000000001" customHeight="1" x14ac:dyDescent="0.15">
      <c r="A9" s="5"/>
      <c r="B9" s="5"/>
      <c r="C9" s="5"/>
      <c r="D9" s="10"/>
      <c r="E9" s="10"/>
      <c r="F9" s="10"/>
      <c r="G9" s="8"/>
      <c r="H9" s="8"/>
      <c r="I9" s="8" t="str">
        <f t="shared" si="0"/>
        <v>借</v>
      </c>
      <c r="J9" s="9">
        <f t="shared" si="1"/>
        <v>1000</v>
      </c>
    </row>
    <row r="10" spans="1:11" ht="20.100000000000001" customHeight="1" x14ac:dyDescent="0.15">
      <c r="A10" s="5"/>
      <c r="B10" s="5"/>
      <c r="C10" s="5"/>
      <c r="D10" s="10"/>
      <c r="E10" s="10"/>
      <c r="F10" s="10"/>
      <c r="G10" s="8"/>
      <c r="H10" s="8"/>
      <c r="I10" s="8" t="str">
        <f t="shared" si="0"/>
        <v>借</v>
      </c>
      <c r="J10" s="9">
        <f t="shared" si="1"/>
        <v>1000</v>
      </c>
    </row>
    <row r="11" spans="1:11" ht="20.100000000000001" customHeight="1" x14ac:dyDescent="0.15">
      <c r="A11" s="5"/>
      <c r="B11" s="5"/>
      <c r="C11" s="5"/>
      <c r="D11" s="10"/>
      <c r="E11" s="10"/>
      <c r="F11" s="10"/>
      <c r="G11" s="8"/>
      <c r="H11" s="8"/>
      <c r="I11" s="8" t="str">
        <f t="shared" si="0"/>
        <v>借</v>
      </c>
      <c r="J11" s="9">
        <f t="shared" si="1"/>
        <v>1000</v>
      </c>
    </row>
    <row r="12" spans="1:11" ht="20.100000000000001" customHeight="1" x14ac:dyDescent="0.15">
      <c r="A12" s="5"/>
      <c r="B12" s="5"/>
      <c r="C12" s="5"/>
      <c r="D12" s="10"/>
      <c r="E12" s="10"/>
      <c r="F12" s="10"/>
      <c r="G12" s="8"/>
      <c r="H12" s="8"/>
      <c r="I12" s="8" t="str">
        <f t="shared" si="0"/>
        <v>借</v>
      </c>
      <c r="J12" s="9">
        <f t="shared" si="1"/>
        <v>1000</v>
      </c>
    </row>
    <row r="13" spans="1:11" ht="20.100000000000001" customHeight="1" x14ac:dyDescent="0.15">
      <c r="A13" s="5"/>
      <c r="B13" s="5"/>
      <c r="C13" s="5"/>
      <c r="D13" s="10"/>
      <c r="E13" s="10"/>
      <c r="F13" s="10"/>
      <c r="G13" s="8"/>
      <c r="H13" s="8"/>
      <c r="I13" s="8" t="str">
        <f t="shared" si="0"/>
        <v>借</v>
      </c>
      <c r="J13" s="9">
        <f t="shared" si="1"/>
        <v>1000</v>
      </c>
    </row>
    <row r="14" spans="1:11" ht="20.100000000000001" customHeight="1" x14ac:dyDescent="0.15">
      <c r="A14" s="5"/>
      <c r="B14" s="5"/>
      <c r="C14" s="5"/>
      <c r="D14" s="10"/>
      <c r="E14" s="10"/>
      <c r="F14" s="10"/>
      <c r="G14" s="8"/>
      <c r="H14" s="8"/>
      <c r="I14" s="8" t="str">
        <f t="shared" si="0"/>
        <v>借</v>
      </c>
      <c r="J14" s="9">
        <f t="shared" si="1"/>
        <v>1000</v>
      </c>
    </row>
    <row r="15" spans="1:11" ht="20.100000000000001" customHeight="1" x14ac:dyDescent="0.15">
      <c r="A15" s="5"/>
      <c r="B15" s="5"/>
      <c r="C15" s="5"/>
      <c r="D15" s="10"/>
      <c r="E15" s="10"/>
      <c r="F15" s="10"/>
      <c r="G15" s="8"/>
      <c r="H15" s="8"/>
      <c r="I15" s="8" t="str">
        <f t="shared" si="0"/>
        <v>借</v>
      </c>
      <c r="J15" s="9">
        <f t="shared" si="1"/>
        <v>1000</v>
      </c>
    </row>
    <row r="16" spans="1:11" ht="20.100000000000001" customHeight="1" x14ac:dyDescent="0.15">
      <c r="A16" s="5"/>
      <c r="B16" s="5"/>
      <c r="C16" s="5"/>
      <c r="D16" s="10"/>
      <c r="E16" s="10"/>
      <c r="F16" s="10"/>
      <c r="G16" s="8"/>
      <c r="H16" s="8"/>
      <c r="I16" s="8" t="str">
        <f t="shared" si="0"/>
        <v>借</v>
      </c>
      <c r="J16" s="9">
        <f t="shared" si="1"/>
        <v>1000</v>
      </c>
    </row>
    <row r="17" spans="1:10" ht="20.100000000000001" customHeight="1" x14ac:dyDescent="0.15">
      <c r="A17" s="5"/>
      <c r="B17" s="5"/>
      <c r="C17" s="5"/>
      <c r="D17" s="10"/>
      <c r="E17" s="10"/>
      <c r="F17" s="10"/>
      <c r="G17" s="8"/>
      <c r="H17" s="8"/>
      <c r="I17" s="8" t="str">
        <f t="shared" si="0"/>
        <v>借</v>
      </c>
      <c r="J17" s="9">
        <f t="shared" si="1"/>
        <v>1000</v>
      </c>
    </row>
    <row r="18" spans="1:10" ht="20.100000000000001" customHeight="1" x14ac:dyDescent="0.15">
      <c r="A18" s="5"/>
      <c r="B18" s="5"/>
      <c r="C18" s="5"/>
      <c r="D18" s="10"/>
      <c r="E18" s="10"/>
      <c r="F18" s="10"/>
      <c r="G18" s="8"/>
      <c r="H18" s="8"/>
      <c r="I18" s="8" t="str">
        <f t="shared" si="0"/>
        <v>借</v>
      </c>
      <c r="J18" s="9">
        <f t="shared" si="1"/>
        <v>1000</v>
      </c>
    </row>
    <row r="19" spans="1:10" ht="20.100000000000001" customHeight="1" x14ac:dyDescent="0.15">
      <c r="A19" s="5"/>
      <c r="B19" s="5"/>
      <c r="C19" s="5"/>
      <c r="D19" s="10"/>
      <c r="E19" s="10"/>
      <c r="F19" s="10"/>
      <c r="G19" s="8"/>
      <c r="H19" s="8"/>
      <c r="I19" s="8" t="str">
        <f t="shared" si="0"/>
        <v>借</v>
      </c>
      <c r="J19" s="9">
        <f t="shared" si="1"/>
        <v>1000</v>
      </c>
    </row>
    <row r="20" spans="1:10" ht="20.100000000000001" customHeight="1" x14ac:dyDescent="0.15">
      <c r="A20" s="5"/>
      <c r="B20" s="5"/>
      <c r="C20" s="5"/>
      <c r="D20" s="10"/>
      <c r="E20" s="10"/>
      <c r="F20" s="10"/>
      <c r="G20" s="8"/>
      <c r="H20" s="8"/>
      <c r="I20" s="8" t="str">
        <f t="shared" si="0"/>
        <v>借</v>
      </c>
      <c r="J20" s="9">
        <f t="shared" si="1"/>
        <v>1000</v>
      </c>
    </row>
    <row r="21" spans="1:10" ht="20.100000000000001" customHeight="1" x14ac:dyDescent="0.15">
      <c r="A21" s="5"/>
      <c r="B21" s="5"/>
      <c r="C21" s="5"/>
      <c r="D21" s="10"/>
      <c r="E21" s="10"/>
      <c r="F21" s="10"/>
      <c r="G21" s="8"/>
      <c r="H21" s="8"/>
      <c r="I21" s="8" t="str">
        <f t="shared" si="0"/>
        <v>借</v>
      </c>
      <c r="J21" s="9">
        <f t="shared" si="1"/>
        <v>1000</v>
      </c>
    </row>
    <row r="22" spans="1:10" ht="20.100000000000001" customHeight="1" x14ac:dyDescent="0.15">
      <c r="A22" s="5"/>
      <c r="B22" s="5"/>
      <c r="C22" s="5"/>
      <c r="D22" s="10"/>
      <c r="E22" s="10"/>
      <c r="F22" s="10"/>
      <c r="G22" s="8"/>
      <c r="H22" s="8"/>
      <c r="I22" s="8" t="str">
        <f t="shared" si="0"/>
        <v>借</v>
      </c>
      <c r="J22" s="9">
        <f t="shared" si="1"/>
        <v>1000</v>
      </c>
    </row>
    <row r="23" spans="1:10" ht="20.100000000000001" customHeight="1" x14ac:dyDescent="0.15">
      <c r="A23" s="5"/>
      <c r="B23" s="5"/>
      <c r="C23" s="5"/>
      <c r="D23" s="10"/>
      <c r="E23" s="10"/>
      <c r="F23" s="10"/>
      <c r="G23" s="8"/>
      <c r="H23" s="8"/>
      <c r="I23" s="8" t="str">
        <f t="shared" si="0"/>
        <v>借</v>
      </c>
      <c r="J23" s="9">
        <f t="shared" si="1"/>
        <v>1000</v>
      </c>
    </row>
    <row r="24" spans="1:10" ht="20.100000000000001" customHeight="1" x14ac:dyDescent="0.15">
      <c r="A24" s="5"/>
      <c r="B24" s="5"/>
      <c r="C24" s="5"/>
      <c r="D24" s="10"/>
      <c r="E24" s="10"/>
      <c r="F24" s="10"/>
      <c r="G24" s="8"/>
      <c r="H24" s="8"/>
      <c r="I24" s="8" t="str">
        <f t="shared" si="0"/>
        <v>借</v>
      </c>
      <c r="J24" s="9">
        <f t="shared" si="1"/>
        <v>1000</v>
      </c>
    </row>
    <row r="25" spans="1:10" ht="20.100000000000001" customHeight="1" x14ac:dyDescent="0.15">
      <c r="A25" s="5"/>
      <c r="B25" s="5"/>
      <c r="C25" s="10"/>
      <c r="D25" s="10"/>
      <c r="E25" s="10"/>
      <c r="F25" s="10"/>
      <c r="G25" s="8"/>
      <c r="H25" s="8"/>
      <c r="I25" s="8" t="str">
        <f t="shared" si="0"/>
        <v>借</v>
      </c>
      <c r="J25" s="9">
        <f t="shared" si="1"/>
        <v>1000</v>
      </c>
    </row>
    <row r="26" spans="1:10" ht="20.100000000000001" customHeight="1" x14ac:dyDescent="0.15">
      <c r="A26" s="5"/>
      <c r="B26" s="5"/>
      <c r="C26" s="10"/>
      <c r="D26" s="10"/>
      <c r="E26" s="10"/>
      <c r="F26" s="10"/>
      <c r="G26" s="8"/>
      <c r="H26" s="8"/>
      <c r="I26" s="8" t="str">
        <f t="shared" si="0"/>
        <v>借</v>
      </c>
      <c r="J26" s="9">
        <f t="shared" si="1"/>
        <v>1000</v>
      </c>
    </row>
    <row r="27" spans="1:10" ht="20.100000000000001" customHeight="1" x14ac:dyDescent="0.15">
      <c r="A27" s="5"/>
      <c r="B27" s="5"/>
      <c r="C27" s="10"/>
      <c r="D27" s="10"/>
      <c r="E27" s="11"/>
      <c r="F27" s="10"/>
      <c r="G27" s="8"/>
      <c r="H27" s="8"/>
      <c r="I27" s="8" t="str">
        <f t="shared" si="0"/>
        <v>借</v>
      </c>
      <c r="J27" s="9">
        <f t="shared" si="1"/>
        <v>1000</v>
      </c>
    </row>
    <row r="28" spans="1:10" ht="20.100000000000001" customHeight="1" x14ac:dyDescent="0.15">
      <c r="A28" s="5"/>
      <c r="B28" s="5"/>
      <c r="C28" s="10"/>
      <c r="D28" s="10"/>
      <c r="E28" s="11"/>
      <c r="F28" s="10"/>
      <c r="G28" s="8"/>
      <c r="H28" s="8"/>
      <c r="I28" s="8" t="str">
        <f t="shared" si="0"/>
        <v>借</v>
      </c>
      <c r="J28" s="9">
        <f t="shared" si="1"/>
        <v>1000</v>
      </c>
    </row>
    <row r="29" spans="1:10" ht="20.100000000000001" customHeight="1" x14ac:dyDescent="0.15">
      <c r="A29" s="5"/>
      <c r="B29" s="5"/>
      <c r="C29" s="10"/>
      <c r="D29" s="10"/>
      <c r="E29" s="10"/>
      <c r="F29" s="10"/>
      <c r="G29" s="8"/>
      <c r="H29" s="8"/>
      <c r="I29" s="8" t="str">
        <f t="shared" si="0"/>
        <v>借</v>
      </c>
      <c r="J29" s="9">
        <f t="shared" si="1"/>
        <v>1000</v>
      </c>
    </row>
    <row r="30" spans="1:10" ht="20.100000000000001" customHeight="1" x14ac:dyDescent="0.15">
      <c r="A30" s="5"/>
      <c r="B30" s="5"/>
      <c r="C30" s="10"/>
      <c r="D30" s="10"/>
      <c r="E30" s="10"/>
      <c r="F30" s="10"/>
      <c r="G30" s="8"/>
      <c r="H30" s="8"/>
      <c r="I30" s="8" t="str">
        <f t="shared" si="0"/>
        <v>借</v>
      </c>
      <c r="J30" s="9">
        <f t="shared" si="1"/>
        <v>1000</v>
      </c>
    </row>
    <row r="31" spans="1:10" ht="20.100000000000001" customHeight="1" x14ac:dyDescent="0.15">
      <c r="A31" s="5"/>
      <c r="B31" s="5"/>
      <c r="C31" s="10"/>
      <c r="D31" s="10"/>
      <c r="E31" s="10"/>
      <c r="F31" s="10"/>
      <c r="G31" s="8"/>
      <c r="H31" s="8"/>
      <c r="I31" s="8" t="str">
        <f t="shared" si="0"/>
        <v>借</v>
      </c>
      <c r="J31" s="9">
        <f t="shared" si="1"/>
        <v>1000</v>
      </c>
    </row>
    <row r="32" spans="1:10" ht="20.100000000000001" customHeight="1" x14ac:dyDescent="0.15">
      <c r="A32" s="5"/>
      <c r="B32" s="5"/>
      <c r="C32" s="10"/>
      <c r="D32" s="10"/>
      <c r="E32" s="10"/>
      <c r="F32" s="10"/>
      <c r="G32" s="8"/>
      <c r="H32" s="8"/>
      <c r="I32" s="8" t="str">
        <f t="shared" si="0"/>
        <v>借</v>
      </c>
      <c r="J32" s="9">
        <f t="shared" si="1"/>
        <v>1000</v>
      </c>
    </row>
    <row r="33" spans="1:10" ht="20.100000000000001" customHeight="1" x14ac:dyDescent="0.15">
      <c r="A33" s="5"/>
      <c r="B33" s="5"/>
      <c r="C33" s="10"/>
      <c r="D33" s="10"/>
      <c r="E33" s="10"/>
      <c r="F33" s="10"/>
      <c r="G33" s="8"/>
      <c r="H33" s="8"/>
      <c r="I33" s="8" t="str">
        <f t="shared" si="0"/>
        <v>借</v>
      </c>
      <c r="J33" s="9">
        <f t="shared" si="1"/>
        <v>1000</v>
      </c>
    </row>
    <row r="34" spans="1:10" ht="20.100000000000001" customHeight="1" x14ac:dyDescent="0.15">
      <c r="A34" s="5"/>
      <c r="B34" s="5"/>
      <c r="C34" s="10"/>
      <c r="D34" s="10"/>
      <c r="E34" s="10"/>
      <c r="F34" s="10"/>
      <c r="G34" s="8"/>
      <c r="H34" s="8"/>
      <c r="I34" s="8" t="str">
        <f t="shared" si="0"/>
        <v>借</v>
      </c>
      <c r="J34" s="9">
        <f t="shared" si="1"/>
        <v>1000</v>
      </c>
    </row>
    <row r="35" spans="1:10" ht="20.100000000000001" customHeight="1" x14ac:dyDescent="0.15">
      <c r="A35" s="5"/>
      <c r="B35" s="5"/>
      <c r="C35" s="10"/>
      <c r="D35" s="10"/>
      <c r="E35" s="10"/>
      <c r="F35" s="10"/>
      <c r="G35" s="8"/>
      <c r="H35" s="8"/>
      <c r="I35" s="8" t="str">
        <f t="shared" si="0"/>
        <v>借</v>
      </c>
      <c r="J35" s="9">
        <f t="shared" si="1"/>
        <v>1000</v>
      </c>
    </row>
    <row r="36" spans="1:10" ht="20.100000000000001" customHeight="1" x14ac:dyDescent="0.15">
      <c r="A36" s="5"/>
      <c r="B36" s="5"/>
      <c r="C36" s="10"/>
      <c r="D36" s="10"/>
      <c r="E36" s="10"/>
      <c r="F36" s="10"/>
      <c r="G36" s="8"/>
      <c r="H36" s="8"/>
      <c r="I36" s="8" t="str">
        <f t="shared" si="0"/>
        <v>借</v>
      </c>
      <c r="J36" s="9">
        <f t="shared" si="1"/>
        <v>1000</v>
      </c>
    </row>
    <row r="37" spans="1:10" ht="20.100000000000001" customHeight="1" x14ac:dyDescent="0.15">
      <c r="A37" s="5"/>
      <c r="B37" s="5"/>
      <c r="C37" s="10"/>
      <c r="D37" s="10"/>
      <c r="E37" s="10"/>
      <c r="F37" s="10"/>
      <c r="G37" s="8"/>
      <c r="H37" s="8"/>
      <c r="I37" s="8" t="str">
        <f t="shared" si="0"/>
        <v>借</v>
      </c>
      <c r="J37" s="9">
        <f t="shared" si="1"/>
        <v>1000</v>
      </c>
    </row>
    <row r="38" spans="1:10" ht="20.100000000000001" customHeight="1" x14ac:dyDescent="0.15">
      <c r="A38" s="5"/>
      <c r="B38" s="5"/>
      <c r="C38" s="10"/>
      <c r="D38" s="10"/>
      <c r="E38" s="10"/>
      <c r="F38" s="10"/>
      <c r="G38" s="8"/>
      <c r="H38" s="8"/>
      <c r="I38" s="8" t="str">
        <f t="shared" si="0"/>
        <v>借</v>
      </c>
      <c r="J38" s="9">
        <f t="shared" si="1"/>
        <v>1000</v>
      </c>
    </row>
    <row r="39" spans="1:10" ht="20.100000000000001" customHeight="1" x14ac:dyDescent="0.15">
      <c r="A39" s="5"/>
      <c r="B39" s="5"/>
      <c r="C39" s="10"/>
      <c r="D39" s="10"/>
      <c r="E39" s="10"/>
      <c r="F39" s="10"/>
      <c r="G39" s="8"/>
      <c r="H39" s="8"/>
      <c r="I39" s="8" t="str">
        <f t="shared" si="0"/>
        <v>借</v>
      </c>
      <c r="J39" s="9">
        <f t="shared" si="1"/>
        <v>1000</v>
      </c>
    </row>
    <row r="40" spans="1:10" ht="20.100000000000001" customHeight="1" x14ac:dyDescent="0.15">
      <c r="A40" s="5"/>
      <c r="B40" s="5"/>
      <c r="C40" s="10"/>
      <c r="D40" s="10"/>
      <c r="E40" s="10"/>
      <c r="F40" s="10"/>
      <c r="G40" s="8"/>
      <c r="H40" s="8"/>
      <c r="I40" s="8" t="str">
        <f t="shared" si="0"/>
        <v>借</v>
      </c>
      <c r="J40" s="9">
        <f t="shared" si="1"/>
        <v>1000</v>
      </c>
    </row>
    <row r="41" spans="1:10" ht="20.100000000000001" customHeight="1" x14ac:dyDescent="0.15">
      <c r="A41" s="5"/>
      <c r="B41" s="5"/>
      <c r="C41" s="10"/>
      <c r="D41" s="10"/>
      <c r="E41" s="10"/>
      <c r="F41" s="10"/>
      <c r="G41" s="8"/>
      <c r="H41" s="8"/>
      <c r="I41" s="8" t="str">
        <f t="shared" si="0"/>
        <v>借</v>
      </c>
      <c r="J41" s="9">
        <f t="shared" si="1"/>
        <v>1000</v>
      </c>
    </row>
    <row r="42" spans="1:10" ht="20.100000000000001" customHeight="1" x14ac:dyDescent="0.15">
      <c r="A42" s="5"/>
      <c r="B42" s="5"/>
      <c r="C42" s="10"/>
      <c r="D42" s="10"/>
      <c r="E42" s="10"/>
      <c r="F42" s="10"/>
      <c r="G42" s="8"/>
      <c r="H42" s="8"/>
      <c r="I42" s="8" t="str">
        <f t="shared" si="0"/>
        <v>借</v>
      </c>
      <c r="J42" s="9">
        <f t="shared" si="1"/>
        <v>1000</v>
      </c>
    </row>
    <row r="43" spans="1:10" ht="20.100000000000001" customHeight="1" x14ac:dyDescent="0.15">
      <c r="A43" s="5"/>
      <c r="B43" s="5"/>
      <c r="C43" s="10"/>
      <c r="D43" s="10"/>
      <c r="E43" s="10"/>
      <c r="F43" s="10"/>
      <c r="G43" s="8"/>
      <c r="H43" s="8"/>
      <c r="I43" s="8" t="str">
        <f t="shared" si="0"/>
        <v>借</v>
      </c>
      <c r="J43" s="9">
        <f t="shared" si="1"/>
        <v>1000</v>
      </c>
    </row>
    <row r="44" spans="1:10" ht="20.100000000000001" customHeight="1" x14ac:dyDescent="0.15">
      <c r="A44" s="5"/>
      <c r="B44" s="5"/>
      <c r="C44" s="10"/>
      <c r="D44" s="10"/>
      <c r="E44" s="10"/>
      <c r="F44" s="10"/>
      <c r="G44" s="8"/>
      <c r="H44" s="8"/>
      <c r="I44" s="8" t="str">
        <f t="shared" si="0"/>
        <v>借</v>
      </c>
      <c r="J44" s="9">
        <f t="shared" si="1"/>
        <v>1000</v>
      </c>
    </row>
    <row r="45" spans="1:10" ht="20.100000000000001" customHeight="1" x14ac:dyDescent="0.15">
      <c r="A45" s="5"/>
      <c r="B45" s="5"/>
      <c r="C45" s="10"/>
      <c r="D45" s="10"/>
      <c r="E45" s="10"/>
      <c r="F45" s="10"/>
      <c r="G45" s="8"/>
      <c r="H45" s="8"/>
      <c r="I45" s="8" t="str">
        <f t="shared" si="0"/>
        <v>借</v>
      </c>
      <c r="J45" s="9">
        <f t="shared" si="1"/>
        <v>1000</v>
      </c>
    </row>
    <row r="46" spans="1:10" ht="20.100000000000001" customHeight="1" x14ac:dyDescent="0.15">
      <c r="A46" s="5"/>
      <c r="B46" s="5"/>
      <c r="C46" s="10"/>
      <c r="D46" s="10"/>
      <c r="E46" s="10"/>
      <c r="F46" s="10"/>
      <c r="G46" s="8"/>
      <c r="H46" s="8"/>
      <c r="I46" s="8" t="str">
        <f t="shared" si="0"/>
        <v>借</v>
      </c>
      <c r="J46" s="9">
        <f t="shared" si="1"/>
        <v>1000</v>
      </c>
    </row>
    <row r="47" spans="1:10" ht="20.100000000000001" customHeight="1" x14ac:dyDescent="0.15">
      <c r="A47" s="5"/>
      <c r="B47" s="5"/>
      <c r="C47" s="10"/>
      <c r="D47" s="10"/>
      <c r="E47" s="10"/>
      <c r="F47" s="10"/>
      <c r="G47" s="8"/>
      <c r="H47" s="8"/>
      <c r="I47" s="8" t="str">
        <f t="shared" si="0"/>
        <v>借</v>
      </c>
      <c r="J47" s="9">
        <f t="shared" si="1"/>
        <v>1000</v>
      </c>
    </row>
    <row r="48" spans="1:10" ht="20.100000000000001" customHeight="1" x14ac:dyDescent="0.15">
      <c r="A48" s="5"/>
      <c r="B48" s="5"/>
      <c r="C48" s="10"/>
      <c r="D48" s="10"/>
      <c r="E48" s="10"/>
      <c r="F48" s="10"/>
      <c r="G48" s="8"/>
      <c r="H48" s="8"/>
      <c r="I48" s="8" t="str">
        <f t="shared" si="0"/>
        <v>借</v>
      </c>
      <c r="J48" s="9">
        <f t="shared" si="1"/>
        <v>1000</v>
      </c>
    </row>
    <row r="49" spans="1:10" ht="20.100000000000001" customHeight="1" x14ac:dyDescent="0.15">
      <c r="A49" s="5"/>
      <c r="B49" s="5"/>
      <c r="C49" s="10"/>
      <c r="D49" s="10"/>
      <c r="E49" s="10"/>
      <c r="F49" s="10"/>
      <c r="G49" s="8"/>
      <c r="H49" s="8"/>
      <c r="I49" s="8" t="str">
        <f t="shared" si="0"/>
        <v>借</v>
      </c>
      <c r="J49" s="9">
        <f t="shared" si="1"/>
        <v>1000</v>
      </c>
    </row>
    <row r="50" spans="1:10" ht="20.100000000000001" customHeight="1" x14ac:dyDescent="0.15">
      <c r="A50" s="5"/>
      <c r="B50" s="5"/>
      <c r="C50" s="10"/>
      <c r="D50" s="10"/>
      <c r="E50" s="10"/>
      <c r="F50" s="10"/>
      <c r="G50" s="8"/>
      <c r="H50" s="8"/>
      <c r="I50" s="8" t="str">
        <f t="shared" si="0"/>
        <v>借</v>
      </c>
      <c r="J50" s="9">
        <f t="shared" si="1"/>
        <v>1000</v>
      </c>
    </row>
    <row r="51" spans="1:10" ht="20.100000000000001" customHeight="1" x14ac:dyDescent="0.15">
      <c r="A51" s="5"/>
      <c r="B51" s="5"/>
      <c r="C51" s="10"/>
      <c r="D51" s="10"/>
      <c r="E51" s="10"/>
      <c r="F51" s="10"/>
      <c r="G51" s="8"/>
      <c r="H51" s="8"/>
      <c r="I51" s="8" t="str">
        <f t="shared" si="0"/>
        <v>借</v>
      </c>
      <c r="J51" s="9">
        <f t="shared" si="1"/>
        <v>1000</v>
      </c>
    </row>
    <row r="52" spans="1:10" ht="20.100000000000001" customHeight="1" x14ac:dyDescent="0.15">
      <c r="A52" s="5"/>
      <c r="B52" s="5"/>
      <c r="C52" s="10"/>
      <c r="D52" s="10"/>
      <c r="E52" s="10"/>
      <c r="F52" s="10"/>
      <c r="G52" s="8"/>
      <c r="H52" s="8"/>
      <c r="I52" s="8" t="str">
        <f t="shared" si="0"/>
        <v>借</v>
      </c>
      <c r="J52" s="9">
        <f t="shared" si="1"/>
        <v>1000</v>
      </c>
    </row>
    <row r="53" spans="1:10" ht="20.100000000000001" customHeight="1" x14ac:dyDescent="0.15">
      <c r="A53" s="5"/>
      <c r="B53" s="5"/>
      <c r="C53" s="10"/>
      <c r="D53" s="10"/>
      <c r="E53" s="10"/>
      <c r="F53" s="10"/>
      <c r="G53" s="8"/>
      <c r="H53" s="8"/>
      <c r="I53" s="8" t="str">
        <f t="shared" si="0"/>
        <v>借</v>
      </c>
      <c r="J53" s="9">
        <f t="shared" si="1"/>
        <v>1000</v>
      </c>
    </row>
    <row r="54" spans="1:10" ht="20.100000000000001" customHeight="1" x14ac:dyDescent="0.15">
      <c r="A54" s="10"/>
      <c r="B54" s="5"/>
      <c r="C54" s="10"/>
      <c r="D54" s="10"/>
      <c r="E54" s="10"/>
      <c r="F54" s="10"/>
      <c r="G54" s="8"/>
      <c r="H54" s="8"/>
      <c r="I54" s="8" t="str">
        <f t="shared" si="0"/>
        <v>借</v>
      </c>
      <c r="J54" s="9">
        <f t="shared" si="1"/>
        <v>1000</v>
      </c>
    </row>
    <row r="55" spans="1:10" ht="20.100000000000001" customHeight="1" x14ac:dyDescent="0.15">
      <c r="A55" s="10"/>
      <c r="B55" s="5"/>
      <c r="C55" s="10"/>
      <c r="D55" s="10"/>
      <c r="E55" s="10"/>
      <c r="F55" s="10"/>
      <c r="G55" s="8"/>
      <c r="H55" s="8"/>
      <c r="I55" s="8" t="str">
        <f t="shared" si="0"/>
        <v>借</v>
      </c>
      <c r="J55" s="9">
        <f t="shared" si="1"/>
        <v>1000</v>
      </c>
    </row>
    <row r="56" spans="1:10" ht="20.100000000000001" customHeight="1" x14ac:dyDescent="0.15">
      <c r="A56" s="10"/>
      <c r="B56" s="5"/>
      <c r="C56" s="10"/>
      <c r="D56" s="10"/>
      <c r="E56" s="10"/>
      <c r="F56" s="10"/>
      <c r="G56" s="8"/>
      <c r="H56" s="8"/>
      <c r="I56" s="8" t="str">
        <f t="shared" si="0"/>
        <v>借</v>
      </c>
      <c r="J56" s="9">
        <f t="shared" si="1"/>
        <v>1000</v>
      </c>
    </row>
    <row r="57" spans="1:10" ht="20.100000000000001" customHeight="1" x14ac:dyDescent="0.15">
      <c r="A57" s="10"/>
      <c r="B57" s="5"/>
      <c r="C57" s="10"/>
      <c r="D57" s="13"/>
      <c r="E57" s="10"/>
      <c r="F57" s="10"/>
      <c r="G57" s="8"/>
      <c r="H57" s="8"/>
      <c r="I57" s="8" t="str">
        <f t="shared" si="0"/>
        <v>借</v>
      </c>
      <c r="J57" s="9">
        <f t="shared" si="1"/>
        <v>1000</v>
      </c>
    </row>
    <row r="58" spans="1:10" ht="20.100000000000001" customHeight="1" x14ac:dyDescent="0.15">
      <c r="A58" s="10"/>
      <c r="B58" s="5"/>
      <c r="C58" s="10"/>
      <c r="D58" s="10"/>
      <c r="E58" s="10"/>
      <c r="F58" s="10"/>
      <c r="G58" s="8"/>
      <c r="H58" s="8"/>
      <c r="I58" s="8" t="str">
        <f t="shared" si="0"/>
        <v>借</v>
      </c>
      <c r="J58" s="9">
        <f t="shared" si="1"/>
        <v>1000</v>
      </c>
    </row>
    <row r="59" spans="1:10" ht="20.100000000000001" customHeight="1" x14ac:dyDescent="0.15">
      <c r="A59" s="10"/>
      <c r="B59" s="5"/>
      <c r="C59" s="10"/>
      <c r="D59" s="10"/>
      <c r="E59" s="10"/>
      <c r="F59" s="10"/>
      <c r="G59" s="8"/>
      <c r="H59" s="8"/>
      <c r="I59" s="8" t="str">
        <f t="shared" si="0"/>
        <v>借</v>
      </c>
      <c r="J59" s="9">
        <f t="shared" si="1"/>
        <v>1000</v>
      </c>
    </row>
    <row r="60" spans="1:10" ht="20.100000000000001" customHeight="1" x14ac:dyDescent="0.15">
      <c r="A60" s="10"/>
      <c r="B60" s="5"/>
      <c r="C60" s="10"/>
      <c r="D60" s="10"/>
      <c r="E60" s="10"/>
      <c r="F60" s="10"/>
      <c r="G60" s="8"/>
      <c r="H60" s="8"/>
      <c r="I60" s="8" t="str">
        <f t="shared" si="0"/>
        <v>借</v>
      </c>
      <c r="J60" s="9">
        <f t="shared" si="1"/>
        <v>1000</v>
      </c>
    </row>
    <row r="61" spans="1:10" ht="20.100000000000001" customHeight="1" x14ac:dyDescent="0.15">
      <c r="A61" s="5"/>
      <c r="B61" s="5"/>
      <c r="C61" s="10"/>
      <c r="D61" s="10"/>
      <c r="E61" s="10"/>
      <c r="F61" s="10"/>
      <c r="G61" s="8"/>
      <c r="H61" s="8"/>
      <c r="I61" s="8" t="str">
        <f t="shared" si="0"/>
        <v>借</v>
      </c>
      <c r="J61" s="9">
        <f t="shared" si="1"/>
        <v>1000</v>
      </c>
    </row>
    <row r="62" spans="1:10" ht="20.100000000000001" customHeight="1" x14ac:dyDescent="0.15">
      <c r="A62" s="5"/>
      <c r="B62" s="5"/>
      <c r="C62" s="10"/>
      <c r="D62" s="10"/>
      <c r="E62" s="10"/>
      <c r="F62" s="10"/>
      <c r="G62" s="8"/>
      <c r="H62" s="8"/>
      <c r="I62" s="8" t="str">
        <f t="shared" si="0"/>
        <v>借</v>
      </c>
      <c r="J62" s="9">
        <f t="shared" si="1"/>
        <v>1000</v>
      </c>
    </row>
    <row r="63" spans="1:10" ht="20.100000000000001" customHeight="1" x14ac:dyDescent="0.15">
      <c r="A63" s="5"/>
      <c r="B63" s="5"/>
      <c r="C63" s="10"/>
      <c r="D63" s="10"/>
      <c r="E63" s="10"/>
      <c r="F63" s="10"/>
      <c r="G63" s="8"/>
      <c r="H63" s="8"/>
      <c r="I63" s="8" t="str">
        <f t="shared" si="0"/>
        <v>借</v>
      </c>
      <c r="J63" s="9">
        <f t="shared" si="1"/>
        <v>1000</v>
      </c>
    </row>
    <row r="64" spans="1:10" ht="20.100000000000001" customHeight="1" x14ac:dyDescent="0.15">
      <c r="A64" s="5"/>
      <c r="B64" s="5"/>
      <c r="C64" s="10"/>
      <c r="D64" s="10"/>
      <c r="E64" s="10"/>
      <c r="F64" s="10"/>
      <c r="G64" s="8"/>
      <c r="H64" s="8"/>
      <c r="I64" s="8" t="str">
        <f t="shared" si="0"/>
        <v>借</v>
      </c>
      <c r="J64" s="9">
        <f t="shared" si="1"/>
        <v>1000</v>
      </c>
    </row>
    <row r="65" spans="1:10" ht="20.100000000000001" customHeight="1" x14ac:dyDescent="0.15">
      <c r="A65" s="5"/>
      <c r="B65" s="5"/>
      <c r="C65" s="10"/>
      <c r="D65" s="10"/>
      <c r="E65" s="10"/>
      <c r="F65" s="10"/>
      <c r="G65" s="8"/>
      <c r="H65" s="8"/>
      <c r="I65" s="8" t="str">
        <f t="shared" si="0"/>
        <v>借</v>
      </c>
      <c r="J65" s="9">
        <f t="shared" si="1"/>
        <v>1000</v>
      </c>
    </row>
    <row r="66" spans="1:10" ht="20.100000000000001" customHeight="1" x14ac:dyDescent="0.15">
      <c r="A66" s="5"/>
      <c r="B66" s="5"/>
      <c r="C66" s="10"/>
      <c r="D66" s="10"/>
      <c r="E66" s="10"/>
      <c r="F66" s="10"/>
      <c r="G66" s="8"/>
      <c r="H66" s="8"/>
      <c r="I66" s="8" t="str">
        <f t="shared" si="0"/>
        <v>借</v>
      </c>
      <c r="J66" s="9">
        <f t="shared" si="1"/>
        <v>1000</v>
      </c>
    </row>
    <row r="67" spans="1:10" ht="20.100000000000001" customHeight="1" x14ac:dyDescent="0.15">
      <c r="A67" s="10"/>
      <c r="B67" s="5"/>
      <c r="C67" s="10"/>
      <c r="D67" s="10"/>
      <c r="E67" s="10"/>
      <c r="F67" s="10"/>
      <c r="G67" s="8"/>
      <c r="H67" s="8"/>
      <c r="I67" s="8" t="str">
        <f t="shared" si="0"/>
        <v>借</v>
      </c>
      <c r="J67" s="9">
        <f t="shared" si="1"/>
        <v>1000</v>
      </c>
    </row>
    <row r="68" spans="1:10" ht="20.100000000000001" customHeight="1" x14ac:dyDescent="0.15">
      <c r="A68" s="10"/>
      <c r="B68" s="5"/>
      <c r="C68" s="10"/>
      <c r="D68" s="10"/>
      <c r="E68" s="10"/>
      <c r="F68" s="14"/>
      <c r="G68" s="8"/>
      <c r="H68" s="8"/>
      <c r="I68" s="8" t="str">
        <f t="shared" si="0"/>
        <v>借</v>
      </c>
      <c r="J68" s="9">
        <f t="shared" si="1"/>
        <v>1000</v>
      </c>
    </row>
    <row r="69" spans="1:10" ht="20.100000000000001" customHeight="1" x14ac:dyDescent="0.15">
      <c r="A69" s="5"/>
      <c r="B69" s="5"/>
      <c r="C69" s="10"/>
      <c r="D69" s="10"/>
      <c r="E69" s="10"/>
      <c r="F69" s="10"/>
      <c r="G69" s="8"/>
      <c r="H69" s="8"/>
      <c r="I69" s="8" t="str">
        <f t="shared" si="0"/>
        <v>借</v>
      </c>
      <c r="J69" s="9">
        <f t="shared" si="1"/>
        <v>1000</v>
      </c>
    </row>
    <row r="70" spans="1:10" ht="20.100000000000001" customHeight="1" x14ac:dyDescent="0.15">
      <c r="A70" s="5"/>
      <c r="B70" s="5"/>
      <c r="C70" s="10"/>
      <c r="D70" s="10"/>
      <c r="E70" s="10"/>
      <c r="F70" s="14"/>
      <c r="G70" s="8"/>
      <c r="H70" s="15"/>
      <c r="I70" s="8" t="str">
        <f t="shared" ref="I70:I133" si="2">IF((J69+G70-H70)&gt;0,"借","贷")</f>
        <v>借</v>
      </c>
      <c r="J70" s="9">
        <f t="shared" si="1"/>
        <v>1000</v>
      </c>
    </row>
    <row r="71" spans="1:10" ht="20.100000000000001" customHeight="1" x14ac:dyDescent="0.15">
      <c r="A71" s="5"/>
      <c r="B71" s="5"/>
      <c r="C71" s="10"/>
      <c r="D71" s="10"/>
      <c r="E71" s="10"/>
      <c r="F71" s="10"/>
      <c r="G71" s="8"/>
      <c r="H71" s="15"/>
      <c r="I71" s="8" t="str">
        <f t="shared" si="2"/>
        <v>借</v>
      </c>
      <c r="J71" s="9">
        <f t="shared" ref="J71:J134" si="3">J70+G71-H71</f>
        <v>1000</v>
      </c>
    </row>
    <row r="72" spans="1:10" ht="20.100000000000001" customHeight="1" x14ac:dyDescent="0.15">
      <c r="A72" s="5"/>
      <c r="B72" s="5"/>
      <c r="C72" s="10"/>
      <c r="D72" s="10"/>
      <c r="E72" s="10"/>
      <c r="F72" s="10"/>
      <c r="G72" s="8"/>
      <c r="H72" s="15"/>
      <c r="I72" s="8" t="str">
        <f t="shared" si="2"/>
        <v>借</v>
      </c>
      <c r="J72" s="9">
        <f t="shared" si="3"/>
        <v>1000</v>
      </c>
    </row>
    <row r="73" spans="1:10" ht="20.100000000000001" customHeight="1" x14ac:dyDescent="0.15">
      <c r="A73" s="5"/>
      <c r="B73" s="5"/>
      <c r="C73" s="10"/>
      <c r="D73" s="10"/>
      <c r="E73" s="10"/>
      <c r="F73" s="10"/>
      <c r="G73" s="8"/>
      <c r="H73" s="15"/>
      <c r="I73" s="8" t="str">
        <f t="shared" si="2"/>
        <v>借</v>
      </c>
      <c r="J73" s="9">
        <f t="shared" si="3"/>
        <v>1000</v>
      </c>
    </row>
    <row r="74" spans="1:10" ht="20.100000000000001" customHeight="1" x14ac:dyDescent="0.15">
      <c r="A74" s="5"/>
      <c r="B74" s="5"/>
      <c r="C74" s="10"/>
      <c r="D74" s="10"/>
      <c r="E74" s="10"/>
      <c r="F74" s="10"/>
      <c r="G74" s="8"/>
      <c r="H74" s="8"/>
      <c r="I74" s="8" t="str">
        <f t="shared" si="2"/>
        <v>借</v>
      </c>
      <c r="J74" s="9">
        <f t="shared" si="3"/>
        <v>1000</v>
      </c>
    </row>
    <row r="75" spans="1:10" ht="20.100000000000001" customHeight="1" x14ac:dyDescent="0.15">
      <c r="A75" s="5"/>
      <c r="B75" s="5"/>
      <c r="C75" s="10"/>
      <c r="D75" s="10"/>
      <c r="E75" s="10"/>
      <c r="F75" s="10"/>
      <c r="G75" s="8"/>
      <c r="H75" s="8"/>
      <c r="I75" s="8" t="str">
        <f t="shared" si="2"/>
        <v>借</v>
      </c>
      <c r="J75" s="9">
        <f t="shared" si="3"/>
        <v>1000</v>
      </c>
    </row>
    <row r="76" spans="1:10" ht="20.100000000000001" customHeight="1" x14ac:dyDescent="0.15">
      <c r="A76" s="5"/>
      <c r="B76" s="5"/>
      <c r="C76" s="10"/>
      <c r="D76" s="10"/>
      <c r="E76" s="10"/>
      <c r="F76" s="14"/>
      <c r="G76" s="8"/>
      <c r="H76" s="8"/>
      <c r="I76" s="8" t="str">
        <f t="shared" si="2"/>
        <v>借</v>
      </c>
      <c r="J76" s="9">
        <f t="shared" si="3"/>
        <v>1000</v>
      </c>
    </row>
    <row r="77" spans="1:10" ht="20.100000000000001" customHeight="1" x14ac:dyDescent="0.15">
      <c r="A77" s="10"/>
      <c r="B77" s="5"/>
      <c r="C77" s="10"/>
      <c r="D77" s="10"/>
      <c r="E77" s="10"/>
      <c r="F77" s="10"/>
      <c r="G77" s="8"/>
      <c r="H77" s="8"/>
      <c r="I77" s="8" t="str">
        <f t="shared" si="2"/>
        <v>借</v>
      </c>
      <c r="J77" s="9">
        <f t="shared" si="3"/>
        <v>1000</v>
      </c>
    </row>
    <row r="78" spans="1:10" ht="20.100000000000001" customHeight="1" x14ac:dyDescent="0.15">
      <c r="A78" s="10"/>
      <c r="B78" s="5"/>
      <c r="C78" s="5"/>
      <c r="D78" s="10"/>
      <c r="E78" s="10"/>
      <c r="F78" s="14"/>
      <c r="G78" s="8"/>
      <c r="H78" s="8"/>
      <c r="I78" s="8" t="str">
        <f t="shared" si="2"/>
        <v>借</v>
      </c>
      <c r="J78" s="9">
        <f t="shared" si="3"/>
        <v>1000</v>
      </c>
    </row>
    <row r="79" spans="1:10" ht="20.100000000000001" customHeight="1" x14ac:dyDescent="0.15">
      <c r="A79" s="5"/>
      <c r="B79" s="5"/>
      <c r="C79" s="5"/>
      <c r="D79" s="10"/>
      <c r="E79" s="10"/>
      <c r="F79" s="10"/>
      <c r="G79" s="8"/>
      <c r="H79" s="15"/>
      <c r="I79" s="8" t="str">
        <f t="shared" si="2"/>
        <v>借</v>
      </c>
      <c r="J79" s="9">
        <f t="shared" si="3"/>
        <v>1000</v>
      </c>
    </row>
    <row r="80" spans="1:10" ht="20.100000000000001" customHeight="1" x14ac:dyDescent="0.15">
      <c r="A80" s="5"/>
      <c r="B80" s="5"/>
      <c r="C80" s="5"/>
      <c r="D80" s="10"/>
      <c r="E80" s="10"/>
      <c r="F80" s="10"/>
      <c r="G80" s="8"/>
      <c r="H80" s="15"/>
      <c r="I80" s="8" t="str">
        <f t="shared" si="2"/>
        <v>借</v>
      </c>
      <c r="J80" s="9">
        <f t="shared" si="3"/>
        <v>1000</v>
      </c>
    </row>
    <row r="81" spans="1:10" ht="20.100000000000001" customHeight="1" x14ac:dyDescent="0.15">
      <c r="A81" s="5"/>
      <c r="B81" s="5"/>
      <c r="C81" s="5"/>
      <c r="D81" s="10"/>
      <c r="E81" s="10"/>
      <c r="F81" s="10"/>
      <c r="G81" s="8"/>
      <c r="H81" s="15"/>
      <c r="I81" s="8" t="str">
        <f t="shared" si="2"/>
        <v>借</v>
      </c>
      <c r="J81" s="9">
        <f t="shared" si="3"/>
        <v>1000</v>
      </c>
    </row>
    <row r="82" spans="1:10" ht="20.100000000000001" customHeight="1" x14ac:dyDescent="0.15">
      <c r="A82" s="5"/>
      <c r="B82" s="5"/>
      <c r="C82" s="5"/>
      <c r="D82" s="10"/>
      <c r="E82" s="10"/>
      <c r="F82" s="10"/>
      <c r="G82" s="8"/>
      <c r="H82" s="8"/>
      <c r="I82" s="8" t="str">
        <f t="shared" si="2"/>
        <v>借</v>
      </c>
      <c r="J82" s="9">
        <f t="shared" si="3"/>
        <v>1000</v>
      </c>
    </row>
    <row r="83" spans="1:10" ht="20.100000000000001" customHeight="1" x14ac:dyDescent="0.15">
      <c r="A83" s="5"/>
      <c r="B83" s="5"/>
      <c r="C83" s="5"/>
      <c r="D83" s="10"/>
      <c r="E83" s="10"/>
      <c r="F83" s="10"/>
      <c r="G83" s="8"/>
      <c r="H83" s="8"/>
      <c r="I83" s="8" t="str">
        <f t="shared" si="2"/>
        <v>借</v>
      </c>
      <c r="J83" s="9">
        <f t="shared" si="3"/>
        <v>1000</v>
      </c>
    </row>
    <row r="84" spans="1:10" ht="20.100000000000001" customHeight="1" x14ac:dyDescent="0.15">
      <c r="A84" s="5"/>
      <c r="B84" s="5"/>
      <c r="C84" s="5"/>
      <c r="D84" s="10"/>
      <c r="E84" s="10"/>
      <c r="F84" s="10"/>
      <c r="G84" s="8"/>
      <c r="H84" s="8"/>
      <c r="I84" s="8" t="str">
        <f t="shared" si="2"/>
        <v>借</v>
      </c>
      <c r="J84" s="9">
        <f t="shared" si="3"/>
        <v>1000</v>
      </c>
    </row>
    <row r="85" spans="1:10" ht="20.100000000000001" customHeight="1" x14ac:dyDescent="0.15">
      <c r="A85" s="5"/>
      <c r="B85" s="5"/>
      <c r="C85" s="5"/>
      <c r="D85" s="10"/>
      <c r="E85" s="10"/>
      <c r="F85" s="10"/>
      <c r="G85" s="8"/>
      <c r="H85" s="8"/>
      <c r="I85" s="8" t="str">
        <f t="shared" si="2"/>
        <v>借</v>
      </c>
      <c r="J85" s="9">
        <f t="shared" si="3"/>
        <v>1000</v>
      </c>
    </row>
    <row r="86" spans="1:10" ht="20.100000000000001" customHeight="1" x14ac:dyDescent="0.15">
      <c r="A86" s="10"/>
      <c r="B86" s="5"/>
      <c r="C86" s="5"/>
      <c r="D86" s="10"/>
      <c r="E86" s="10"/>
      <c r="F86" s="10"/>
      <c r="G86" s="8"/>
      <c r="H86" s="8"/>
      <c r="I86" s="8" t="str">
        <f t="shared" si="2"/>
        <v>借</v>
      </c>
      <c r="J86" s="9">
        <f t="shared" si="3"/>
        <v>1000</v>
      </c>
    </row>
    <row r="87" spans="1:10" ht="20.100000000000001" customHeight="1" x14ac:dyDescent="0.15">
      <c r="A87" s="10"/>
      <c r="B87" s="5"/>
      <c r="C87" s="5"/>
      <c r="D87" s="10"/>
      <c r="E87" s="10"/>
      <c r="F87" s="10"/>
      <c r="G87" s="8"/>
      <c r="H87" s="8"/>
      <c r="I87" s="8" t="str">
        <f t="shared" si="2"/>
        <v>借</v>
      </c>
      <c r="J87" s="9">
        <f t="shared" si="3"/>
        <v>1000</v>
      </c>
    </row>
    <row r="88" spans="1:10" ht="20.100000000000001" customHeight="1" x14ac:dyDescent="0.15">
      <c r="A88" s="5"/>
      <c r="B88" s="5"/>
      <c r="C88" s="5"/>
      <c r="D88" s="10"/>
      <c r="E88" s="10"/>
      <c r="F88" s="10"/>
      <c r="G88" s="8"/>
      <c r="H88" s="8"/>
      <c r="I88" s="8" t="str">
        <f t="shared" si="2"/>
        <v>借</v>
      </c>
      <c r="J88" s="9">
        <f t="shared" si="3"/>
        <v>1000</v>
      </c>
    </row>
    <row r="89" spans="1:10" ht="20.100000000000001" customHeight="1" x14ac:dyDescent="0.15">
      <c r="A89" s="5"/>
      <c r="B89" s="5"/>
      <c r="C89" s="5"/>
      <c r="D89" s="10"/>
      <c r="E89" s="10"/>
      <c r="F89" s="10"/>
      <c r="G89" s="8"/>
      <c r="H89" s="8"/>
      <c r="I89" s="8" t="str">
        <f t="shared" si="2"/>
        <v>借</v>
      </c>
      <c r="J89" s="9">
        <f t="shared" si="3"/>
        <v>1000</v>
      </c>
    </row>
    <row r="90" spans="1:10" ht="20.100000000000001" customHeight="1" x14ac:dyDescent="0.15">
      <c r="A90" s="5"/>
      <c r="B90" s="5"/>
      <c r="C90" s="5"/>
      <c r="D90" s="10"/>
      <c r="E90" s="10"/>
      <c r="F90" s="10"/>
      <c r="G90" s="8"/>
      <c r="H90" s="8"/>
      <c r="I90" s="8" t="str">
        <f t="shared" si="2"/>
        <v>借</v>
      </c>
      <c r="J90" s="9">
        <f t="shared" si="3"/>
        <v>1000</v>
      </c>
    </row>
    <row r="91" spans="1:10" ht="20.100000000000001" customHeight="1" x14ac:dyDescent="0.15">
      <c r="A91" s="5"/>
      <c r="B91" s="5"/>
      <c r="C91" s="5"/>
      <c r="D91" s="10"/>
      <c r="E91" s="10"/>
      <c r="F91" s="10"/>
      <c r="G91" s="8"/>
      <c r="H91" s="8"/>
      <c r="I91" s="8" t="str">
        <f t="shared" si="2"/>
        <v>借</v>
      </c>
      <c r="J91" s="9">
        <f t="shared" si="3"/>
        <v>1000</v>
      </c>
    </row>
    <row r="92" spans="1:10" ht="20.100000000000001" customHeight="1" x14ac:dyDescent="0.15">
      <c r="A92" s="5"/>
      <c r="B92" s="5"/>
      <c r="C92" s="5"/>
      <c r="D92" s="10"/>
      <c r="E92" s="10"/>
      <c r="F92" s="10"/>
      <c r="G92" s="8"/>
      <c r="H92" s="8"/>
      <c r="I92" s="8" t="str">
        <f t="shared" si="2"/>
        <v>借</v>
      </c>
      <c r="J92" s="9">
        <f t="shared" si="3"/>
        <v>1000</v>
      </c>
    </row>
    <row r="93" spans="1:10" ht="20.100000000000001" customHeight="1" x14ac:dyDescent="0.15">
      <c r="A93" s="5"/>
      <c r="B93" s="5"/>
      <c r="C93" s="5"/>
      <c r="D93" s="10"/>
      <c r="E93" s="10"/>
      <c r="F93" s="10"/>
      <c r="G93" s="8"/>
      <c r="H93" s="8"/>
      <c r="I93" s="8" t="str">
        <f t="shared" si="2"/>
        <v>借</v>
      </c>
      <c r="J93" s="9">
        <f t="shared" si="3"/>
        <v>1000</v>
      </c>
    </row>
    <row r="94" spans="1:10" ht="20.100000000000001" customHeight="1" x14ac:dyDescent="0.15">
      <c r="A94" s="10"/>
      <c r="B94" s="5"/>
      <c r="C94" s="5"/>
      <c r="D94" s="10"/>
      <c r="E94" s="10"/>
      <c r="F94" s="10"/>
      <c r="G94" s="8"/>
      <c r="H94" s="8"/>
      <c r="I94" s="8" t="str">
        <f t="shared" si="2"/>
        <v>借</v>
      </c>
      <c r="J94" s="9">
        <f t="shared" si="3"/>
        <v>1000</v>
      </c>
    </row>
    <row r="95" spans="1:10" ht="20.100000000000001" customHeight="1" x14ac:dyDescent="0.15">
      <c r="A95" s="10"/>
      <c r="B95" s="5"/>
      <c r="C95" s="5"/>
      <c r="D95" s="10"/>
      <c r="E95" s="10"/>
      <c r="F95" s="10"/>
      <c r="G95" s="8"/>
      <c r="H95" s="8"/>
      <c r="I95" s="8" t="str">
        <f t="shared" si="2"/>
        <v>借</v>
      </c>
      <c r="J95" s="9">
        <f t="shared" si="3"/>
        <v>1000</v>
      </c>
    </row>
    <row r="96" spans="1:10" ht="20.100000000000001" customHeight="1" x14ac:dyDescent="0.15">
      <c r="A96" s="10"/>
      <c r="B96" s="5"/>
      <c r="C96" s="5"/>
      <c r="D96" s="10"/>
      <c r="E96" s="10"/>
      <c r="F96" s="10"/>
      <c r="G96" s="8"/>
      <c r="H96" s="8"/>
      <c r="I96" s="8" t="str">
        <f t="shared" si="2"/>
        <v>借</v>
      </c>
      <c r="J96" s="9">
        <f t="shared" si="3"/>
        <v>1000</v>
      </c>
    </row>
    <row r="97" spans="1:10" ht="20.100000000000001" customHeight="1" x14ac:dyDescent="0.15">
      <c r="A97" s="5"/>
      <c r="B97" s="5"/>
      <c r="C97" s="5"/>
      <c r="D97" s="10"/>
      <c r="E97" s="10"/>
      <c r="F97" s="10"/>
      <c r="G97" s="8"/>
      <c r="H97" s="8"/>
      <c r="I97" s="8" t="str">
        <f t="shared" si="2"/>
        <v>借</v>
      </c>
      <c r="J97" s="9">
        <f t="shared" si="3"/>
        <v>1000</v>
      </c>
    </row>
    <row r="98" spans="1:10" ht="20.100000000000001" customHeight="1" x14ac:dyDescent="0.15">
      <c r="A98" s="5"/>
      <c r="B98" s="5"/>
      <c r="C98" s="5"/>
      <c r="D98" s="10"/>
      <c r="E98" s="10"/>
      <c r="F98" s="10"/>
      <c r="G98" s="8"/>
      <c r="H98" s="8"/>
      <c r="I98" s="8" t="str">
        <f t="shared" si="2"/>
        <v>借</v>
      </c>
      <c r="J98" s="9">
        <f t="shared" si="3"/>
        <v>1000</v>
      </c>
    </row>
    <row r="99" spans="1:10" ht="20.100000000000001" customHeight="1" x14ac:dyDescent="0.15">
      <c r="A99" s="5"/>
      <c r="B99" s="5"/>
      <c r="C99" s="5"/>
      <c r="D99" s="10"/>
      <c r="E99" s="10"/>
      <c r="F99" s="10"/>
      <c r="G99" s="8"/>
      <c r="H99" s="8"/>
      <c r="I99" s="8" t="str">
        <f t="shared" si="2"/>
        <v>借</v>
      </c>
      <c r="J99" s="9">
        <f t="shared" si="3"/>
        <v>1000</v>
      </c>
    </row>
    <row r="100" spans="1:10" ht="20.100000000000001" customHeight="1" x14ac:dyDescent="0.15">
      <c r="A100" s="5"/>
      <c r="B100" s="5"/>
      <c r="C100" s="5"/>
      <c r="D100" s="10"/>
      <c r="E100" s="10"/>
      <c r="F100" s="10"/>
      <c r="G100" s="8"/>
      <c r="H100" s="8"/>
      <c r="I100" s="8" t="str">
        <f t="shared" si="2"/>
        <v>借</v>
      </c>
      <c r="J100" s="9">
        <f t="shared" si="3"/>
        <v>1000</v>
      </c>
    </row>
    <row r="101" spans="1:10" ht="20.100000000000001" customHeight="1" x14ac:dyDescent="0.15">
      <c r="A101" s="5"/>
      <c r="B101" s="5"/>
      <c r="C101" s="5"/>
      <c r="D101" s="10"/>
      <c r="E101" s="10"/>
      <c r="F101" s="10"/>
      <c r="G101" s="8"/>
      <c r="H101" s="8"/>
      <c r="I101" s="8" t="str">
        <f t="shared" si="2"/>
        <v>借</v>
      </c>
      <c r="J101" s="9">
        <f t="shared" si="3"/>
        <v>1000</v>
      </c>
    </row>
    <row r="102" spans="1:10" ht="20.100000000000001" customHeight="1" x14ac:dyDescent="0.15">
      <c r="A102" s="5"/>
      <c r="B102" s="5"/>
      <c r="C102" s="5"/>
      <c r="D102" s="10"/>
      <c r="E102" s="10"/>
      <c r="F102" s="10"/>
      <c r="G102" s="8"/>
      <c r="H102" s="8"/>
      <c r="I102" s="8" t="str">
        <f t="shared" si="2"/>
        <v>借</v>
      </c>
      <c r="J102" s="9">
        <f t="shared" si="3"/>
        <v>1000</v>
      </c>
    </row>
    <row r="103" spans="1:10" ht="20.100000000000001" customHeight="1" x14ac:dyDescent="0.15">
      <c r="A103" s="5"/>
      <c r="B103" s="5"/>
      <c r="C103" s="5"/>
      <c r="D103" s="10"/>
      <c r="E103" s="10"/>
      <c r="F103" s="10"/>
      <c r="G103" s="8"/>
      <c r="H103" s="8"/>
      <c r="I103" s="8" t="str">
        <f t="shared" si="2"/>
        <v>借</v>
      </c>
      <c r="J103" s="9">
        <f t="shared" si="3"/>
        <v>1000</v>
      </c>
    </row>
    <row r="104" spans="1:10" ht="20.100000000000001" customHeight="1" x14ac:dyDescent="0.15">
      <c r="A104" s="10"/>
      <c r="B104" s="5"/>
      <c r="C104" s="5"/>
      <c r="D104" s="10"/>
      <c r="E104" s="10"/>
      <c r="F104" s="10"/>
      <c r="G104" s="8"/>
      <c r="H104" s="8"/>
      <c r="I104" s="8" t="str">
        <f t="shared" si="2"/>
        <v>借</v>
      </c>
      <c r="J104" s="9">
        <f t="shared" si="3"/>
        <v>1000</v>
      </c>
    </row>
    <row r="105" spans="1:10" ht="20.100000000000001" customHeight="1" x14ac:dyDescent="0.15">
      <c r="A105" s="10"/>
      <c r="B105" s="5"/>
      <c r="C105" s="5"/>
      <c r="D105" s="10"/>
      <c r="E105" s="10"/>
      <c r="F105" s="10"/>
      <c r="G105" s="8"/>
      <c r="H105" s="8"/>
      <c r="I105" s="8" t="str">
        <f t="shared" si="2"/>
        <v>借</v>
      </c>
      <c r="J105" s="9">
        <f t="shared" si="3"/>
        <v>1000</v>
      </c>
    </row>
    <row r="106" spans="1:10" ht="20.100000000000001" customHeight="1" x14ac:dyDescent="0.15">
      <c r="A106" s="5"/>
      <c r="B106" s="5"/>
      <c r="C106" s="5"/>
      <c r="D106" s="10"/>
      <c r="E106" s="16"/>
      <c r="F106" s="10"/>
      <c r="G106" s="8"/>
      <c r="H106" s="8"/>
      <c r="I106" s="8" t="str">
        <f t="shared" si="2"/>
        <v>借</v>
      </c>
      <c r="J106" s="9">
        <f t="shared" si="3"/>
        <v>1000</v>
      </c>
    </row>
    <row r="107" spans="1:10" ht="20.100000000000001" customHeight="1" x14ac:dyDescent="0.15">
      <c r="A107" s="5"/>
      <c r="B107" s="5"/>
      <c r="C107" s="5"/>
      <c r="D107" s="10"/>
      <c r="E107" s="10"/>
      <c r="F107" s="10"/>
      <c r="G107" s="8"/>
      <c r="H107" s="8"/>
      <c r="I107" s="8" t="str">
        <f t="shared" si="2"/>
        <v>借</v>
      </c>
      <c r="J107" s="9">
        <f t="shared" si="3"/>
        <v>1000</v>
      </c>
    </row>
    <row r="108" spans="1:10" ht="20.100000000000001" customHeight="1" x14ac:dyDescent="0.15">
      <c r="A108" s="5"/>
      <c r="B108" s="5"/>
      <c r="C108" s="5"/>
      <c r="D108" s="10"/>
      <c r="E108" s="10"/>
      <c r="F108" s="10"/>
      <c r="G108" s="8"/>
      <c r="H108" s="8"/>
      <c r="I108" s="8" t="str">
        <f t="shared" si="2"/>
        <v>借</v>
      </c>
      <c r="J108" s="9">
        <f t="shared" si="3"/>
        <v>1000</v>
      </c>
    </row>
    <row r="109" spans="1:10" ht="20.100000000000001" customHeight="1" x14ac:dyDescent="0.15">
      <c r="A109" s="5"/>
      <c r="B109" s="5"/>
      <c r="C109" s="5"/>
      <c r="D109" s="10"/>
      <c r="E109" s="10"/>
      <c r="F109" s="10"/>
      <c r="G109" s="8"/>
      <c r="H109" s="8"/>
      <c r="I109" s="8" t="str">
        <f t="shared" si="2"/>
        <v>借</v>
      </c>
      <c r="J109" s="9">
        <f t="shared" si="3"/>
        <v>1000</v>
      </c>
    </row>
    <row r="110" spans="1:10" ht="20.100000000000001" customHeight="1" x14ac:dyDescent="0.15">
      <c r="A110" s="5"/>
      <c r="B110" s="5"/>
      <c r="C110" s="5"/>
      <c r="D110" s="10"/>
      <c r="E110" s="10"/>
      <c r="F110" s="10"/>
      <c r="G110" s="8"/>
      <c r="H110" s="8"/>
      <c r="I110" s="8" t="str">
        <f t="shared" si="2"/>
        <v>借</v>
      </c>
      <c r="J110" s="9">
        <f t="shared" si="3"/>
        <v>1000</v>
      </c>
    </row>
    <row r="111" spans="1:10" ht="20.100000000000001" customHeight="1" x14ac:dyDescent="0.15">
      <c r="A111" s="5"/>
      <c r="B111" s="5"/>
      <c r="C111" s="5"/>
      <c r="D111" s="10"/>
      <c r="E111" s="10"/>
      <c r="F111" s="10"/>
      <c r="G111" s="8"/>
      <c r="H111" s="8"/>
      <c r="I111" s="8" t="str">
        <f t="shared" si="2"/>
        <v>借</v>
      </c>
      <c r="J111" s="9">
        <f t="shared" si="3"/>
        <v>1000</v>
      </c>
    </row>
    <row r="112" spans="1:10" ht="20.100000000000001" customHeight="1" x14ac:dyDescent="0.15">
      <c r="A112" s="10"/>
      <c r="B112" s="5"/>
      <c r="C112" s="5"/>
      <c r="D112" s="10"/>
      <c r="E112" s="10"/>
      <c r="F112" s="10"/>
      <c r="G112" s="8"/>
      <c r="H112" s="8"/>
      <c r="I112" s="8" t="str">
        <f t="shared" si="2"/>
        <v>借</v>
      </c>
      <c r="J112" s="9">
        <f t="shared" si="3"/>
        <v>1000</v>
      </c>
    </row>
    <row r="113" spans="1:10" ht="20.100000000000001" customHeight="1" x14ac:dyDescent="0.15">
      <c r="A113" s="10"/>
      <c r="B113" s="5"/>
      <c r="C113" s="5"/>
      <c r="D113" s="10"/>
      <c r="E113" s="10"/>
      <c r="F113" s="10"/>
      <c r="G113" s="8"/>
      <c r="H113" s="8"/>
      <c r="I113" s="8" t="str">
        <f t="shared" si="2"/>
        <v>借</v>
      </c>
      <c r="J113" s="9">
        <f t="shared" si="3"/>
        <v>1000</v>
      </c>
    </row>
    <row r="114" spans="1:10" ht="20.100000000000001" customHeight="1" x14ac:dyDescent="0.15">
      <c r="A114" s="5"/>
      <c r="B114" s="5"/>
      <c r="C114" s="5"/>
      <c r="D114" s="10"/>
      <c r="E114" s="10"/>
      <c r="F114" s="10"/>
      <c r="G114" s="8"/>
      <c r="H114" s="8"/>
      <c r="I114" s="8" t="str">
        <f t="shared" si="2"/>
        <v>借</v>
      </c>
      <c r="J114" s="9">
        <f t="shared" si="3"/>
        <v>1000</v>
      </c>
    </row>
    <row r="115" spans="1:10" ht="20.100000000000001" customHeight="1" x14ac:dyDescent="0.15">
      <c r="A115" s="5"/>
      <c r="B115" s="5"/>
      <c r="C115" s="5"/>
      <c r="D115" s="10"/>
      <c r="E115" s="10"/>
      <c r="F115" s="10"/>
      <c r="G115" s="8"/>
      <c r="H115" s="8"/>
      <c r="I115" s="8" t="str">
        <f t="shared" si="2"/>
        <v>借</v>
      </c>
      <c r="J115" s="9">
        <f t="shared" si="3"/>
        <v>1000</v>
      </c>
    </row>
    <row r="116" spans="1:10" ht="20.100000000000001" customHeight="1" x14ac:dyDescent="0.15">
      <c r="A116" s="5"/>
      <c r="B116" s="5"/>
      <c r="C116" s="5"/>
      <c r="D116" s="10"/>
      <c r="E116" s="10"/>
      <c r="F116" s="10"/>
      <c r="G116" s="8"/>
      <c r="H116" s="8"/>
      <c r="I116" s="8" t="str">
        <f t="shared" si="2"/>
        <v>借</v>
      </c>
      <c r="J116" s="9">
        <f t="shared" si="3"/>
        <v>1000</v>
      </c>
    </row>
    <row r="117" spans="1:10" ht="20.100000000000001" customHeight="1" x14ac:dyDescent="0.15">
      <c r="A117" s="5"/>
      <c r="B117" s="5"/>
      <c r="C117" s="5"/>
      <c r="D117" s="10"/>
      <c r="E117" s="10"/>
      <c r="F117" s="10"/>
      <c r="G117" s="8"/>
      <c r="H117" s="8"/>
      <c r="I117" s="8" t="str">
        <f t="shared" si="2"/>
        <v>借</v>
      </c>
      <c r="J117" s="9">
        <f t="shared" si="3"/>
        <v>1000</v>
      </c>
    </row>
    <row r="118" spans="1:10" ht="20.100000000000001" customHeight="1" x14ac:dyDescent="0.15">
      <c r="A118" s="5"/>
      <c r="B118" s="5"/>
      <c r="C118" s="5"/>
      <c r="D118" s="10"/>
      <c r="E118" s="10"/>
      <c r="F118" s="10"/>
      <c r="G118" s="8"/>
      <c r="H118" s="8"/>
      <c r="I118" s="8" t="str">
        <f t="shared" si="2"/>
        <v>借</v>
      </c>
      <c r="J118" s="9">
        <f t="shared" si="3"/>
        <v>1000</v>
      </c>
    </row>
    <row r="119" spans="1:10" ht="20.100000000000001" customHeight="1" x14ac:dyDescent="0.15">
      <c r="A119" s="5"/>
      <c r="B119" s="5"/>
      <c r="C119" s="5"/>
      <c r="D119" s="10"/>
      <c r="E119" s="10"/>
      <c r="F119" s="10"/>
      <c r="G119" s="8"/>
      <c r="H119" s="8"/>
      <c r="I119" s="8" t="str">
        <f t="shared" si="2"/>
        <v>借</v>
      </c>
      <c r="J119" s="9">
        <f t="shared" si="3"/>
        <v>1000</v>
      </c>
    </row>
    <row r="120" spans="1:10" ht="20.100000000000001" customHeight="1" x14ac:dyDescent="0.15">
      <c r="A120" s="10"/>
      <c r="B120" s="5"/>
      <c r="C120" s="5"/>
      <c r="D120" s="10"/>
      <c r="E120" s="10"/>
      <c r="F120" s="10"/>
      <c r="G120" s="8"/>
      <c r="H120" s="8"/>
      <c r="I120" s="8" t="str">
        <f t="shared" si="2"/>
        <v>借</v>
      </c>
      <c r="J120" s="9">
        <f t="shared" si="3"/>
        <v>1000</v>
      </c>
    </row>
    <row r="121" spans="1:10" ht="20.100000000000001" customHeight="1" x14ac:dyDescent="0.15">
      <c r="A121" s="10"/>
      <c r="B121" s="5"/>
      <c r="C121" s="5"/>
      <c r="D121" s="10"/>
      <c r="E121" s="10"/>
      <c r="F121" s="10"/>
      <c r="G121" s="8"/>
      <c r="H121" s="8"/>
      <c r="I121" s="8" t="str">
        <f t="shared" si="2"/>
        <v>借</v>
      </c>
      <c r="J121" s="9">
        <f t="shared" si="3"/>
        <v>1000</v>
      </c>
    </row>
    <row r="122" spans="1:10" ht="20.100000000000001" customHeight="1" x14ac:dyDescent="0.15">
      <c r="A122" s="10"/>
      <c r="B122" s="5"/>
      <c r="C122" s="10"/>
      <c r="D122" s="10"/>
      <c r="E122" s="10"/>
      <c r="F122" s="10"/>
      <c r="G122" s="8"/>
      <c r="H122" s="8"/>
      <c r="I122" s="8" t="str">
        <f t="shared" si="2"/>
        <v>借</v>
      </c>
      <c r="J122" s="9">
        <f t="shared" si="3"/>
        <v>1000</v>
      </c>
    </row>
    <row r="123" spans="1:10" ht="20.100000000000001" customHeight="1" x14ac:dyDescent="0.15">
      <c r="A123" s="10"/>
      <c r="B123" s="5"/>
      <c r="C123" s="10"/>
      <c r="D123" s="10"/>
      <c r="E123" s="17"/>
      <c r="F123" s="10"/>
      <c r="G123" s="8"/>
      <c r="H123" s="8"/>
      <c r="I123" s="8" t="str">
        <f t="shared" si="2"/>
        <v>借</v>
      </c>
      <c r="J123" s="9">
        <f t="shared" si="3"/>
        <v>1000</v>
      </c>
    </row>
    <row r="124" spans="1:10" ht="20.100000000000001" customHeight="1" x14ac:dyDescent="0.15">
      <c r="A124" s="5"/>
      <c r="B124" s="5"/>
      <c r="C124" s="10"/>
      <c r="D124" s="10"/>
      <c r="E124" s="10"/>
      <c r="F124" s="10"/>
      <c r="G124" s="8"/>
      <c r="H124" s="8"/>
      <c r="I124" s="8" t="str">
        <f t="shared" si="2"/>
        <v>借</v>
      </c>
      <c r="J124" s="9">
        <f t="shared" si="3"/>
        <v>1000</v>
      </c>
    </row>
    <row r="125" spans="1:10" ht="20.100000000000001" customHeight="1" x14ac:dyDescent="0.15">
      <c r="A125" s="5"/>
      <c r="B125" s="5"/>
      <c r="C125" s="10"/>
      <c r="D125" s="10"/>
      <c r="E125" s="10"/>
      <c r="F125" s="10"/>
      <c r="G125" s="8"/>
      <c r="H125" s="8"/>
      <c r="I125" s="8" t="str">
        <f t="shared" si="2"/>
        <v>借</v>
      </c>
      <c r="J125" s="9">
        <f t="shared" si="3"/>
        <v>1000</v>
      </c>
    </row>
    <row r="126" spans="1:10" ht="20.100000000000001" customHeight="1" x14ac:dyDescent="0.15">
      <c r="A126" s="5"/>
      <c r="B126" s="5"/>
      <c r="C126" s="10"/>
      <c r="D126" s="10"/>
      <c r="E126" s="10"/>
      <c r="F126" s="10"/>
      <c r="G126" s="8"/>
      <c r="H126" s="8"/>
      <c r="I126" s="8" t="str">
        <f t="shared" si="2"/>
        <v>借</v>
      </c>
      <c r="J126" s="9">
        <f t="shared" si="3"/>
        <v>1000</v>
      </c>
    </row>
    <row r="127" spans="1:10" ht="20.100000000000001" customHeight="1" x14ac:dyDescent="0.15">
      <c r="A127" s="5"/>
      <c r="B127" s="5"/>
      <c r="C127" s="10"/>
      <c r="D127" s="10"/>
      <c r="E127" s="10"/>
      <c r="F127" s="10"/>
      <c r="G127" s="8"/>
      <c r="H127" s="8"/>
      <c r="I127" s="8" t="str">
        <f t="shared" si="2"/>
        <v>借</v>
      </c>
      <c r="J127" s="9">
        <f t="shared" si="3"/>
        <v>1000</v>
      </c>
    </row>
    <row r="128" spans="1:10" ht="20.100000000000001" customHeight="1" x14ac:dyDescent="0.15">
      <c r="A128" s="5"/>
      <c r="B128" s="5"/>
      <c r="C128" s="5"/>
      <c r="D128" s="10"/>
      <c r="E128" s="10"/>
      <c r="F128" s="10"/>
      <c r="G128" s="8"/>
      <c r="H128" s="8"/>
      <c r="I128" s="8" t="str">
        <f t="shared" si="2"/>
        <v>借</v>
      </c>
      <c r="J128" s="9">
        <f t="shared" si="3"/>
        <v>1000</v>
      </c>
    </row>
    <row r="129" spans="1:10" ht="20.100000000000001" customHeight="1" x14ac:dyDescent="0.15">
      <c r="A129" s="5"/>
      <c r="B129" s="5"/>
      <c r="C129" s="5"/>
      <c r="D129" s="10"/>
      <c r="E129" s="16"/>
      <c r="F129" s="10"/>
      <c r="G129" s="8"/>
      <c r="H129" s="8"/>
      <c r="I129" s="8" t="str">
        <f t="shared" si="2"/>
        <v>借</v>
      </c>
      <c r="J129" s="9">
        <f t="shared" si="3"/>
        <v>1000</v>
      </c>
    </row>
    <row r="130" spans="1:10" ht="20.100000000000001" customHeight="1" x14ac:dyDescent="0.15">
      <c r="A130" s="10"/>
      <c r="B130" s="5"/>
      <c r="C130" s="5"/>
      <c r="D130" s="10"/>
      <c r="E130" s="16"/>
      <c r="F130" s="10"/>
      <c r="G130" s="8"/>
      <c r="H130" s="8"/>
      <c r="I130" s="8" t="str">
        <f t="shared" si="2"/>
        <v>借</v>
      </c>
      <c r="J130" s="9">
        <f t="shared" si="3"/>
        <v>1000</v>
      </c>
    </row>
    <row r="131" spans="1:10" ht="20.100000000000001" customHeight="1" x14ac:dyDescent="0.15">
      <c r="A131" s="10"/>
      <c r="B131" s="5"/>
      <c r="C131" s="5"/>
      <c r="D131" s="10"/>
      <c r="E131" s="16"/>
      <c r="F131" s="10"/>
      <c r="G131" s="8"/>
      <c r="H131" s="8"/>
      <c r="I131" s="8" t="str">
        <f t="shared" si="2"/>
        <v>借</v>
      </c>
      <c r="J131" s="9">
        <f t="shared" si="3"/>
        <v>1000</v>
      </c>
    </row>
    <row r="132" spans="1:10" ht="20.100000000000001" customHeight="1" x14ac:dyDescent="0.15">
      <c r="A132" s="5"/>
      <c r="B132" s="5"/>
      <c r="C132" s="5"/>
      <c r="D132" s="10"/>
      <c r="E132" s="16"/>
      <c r="F132" s="10"/>
      <c r="G132" s="8"/>
      <c r="H132" s="8"/>
      <c r="I132" s="8" t="str">
        <f t="shared" si="2"/>
        <v>借</v>
      </c>
      <c r="J132" s="9">
        <f t="shared" si="3"/>
        <v>1000</v>
      </c>
    </row>
    <row r="133" spans="1:10" ht="20.100000000000001" customHeight="1" x14ac:dyDescent="0.15">
      <c r="A133" s="5"/>
      <c r="B133" s="5"/>
      <c r="C133" s="5"/>
      <c r="D133" s="10"/>
      <c r="E133" s="16"/>
      <c r="F133" s="10"/>
      <c r="G133" s="8"/>
      <c r="H133" s="8"/>
      <c r="I133" s="8" t="str">
        <f t="shared" si="2"/>
        <v>借</v>
      </c>
      <c r="J133" s="9">
        <f t="shared" si="3"/>
        <v>1000</v>
      </c>
    </row>
    <row r="134" spans="1:10" ht="20.100000000000001" customHeight="1" x14ac:dyDescent="0.15">
      <c r="A134" s="5"/>
      <c r="B134" s="5"/>
      <c r="C134" s="5"/>
      <c r="D134" s="10"/>
      <c r="E134" s="16"/>
      <c r="F134" s="10"/>
      <c r="G134" s="8"/>
      <c r="H134" s="8"/>
      <c r="I134" s="8" t="str">
        <f t="shared" ref="I134:I197" si="4">IF((J133+G134-H134)&gt;0,"借","贷")</f>
        <v>借</v>
      </c>
      <c r="J134" s="9">
        <f t="shared" si="3"/>
        <v>1000</v>
      </c>
    </row>
    <row r="135" spans="1:10" ht="20.100000000000001" customHeight="1" x14ac:dyDescent="0.15">
      <c r="A135" s="5"/>
      <c r="B135" s="5"/>
      <c r="C135" s="5"/>
      <c r="D135" s="10"/>
      <c r="E135" s="16"/>
      <c r="F135" s="10"/>
      <c r="G135" s="8"/>
      <c r="H135" s="8"/>
      <c r="I135" s="8" t="str">
        <f t="shared" si="4"/>
        <v>借</v>
      </c>
      <c r="J135" s="9">
        <f t="shared" ref="J135:J198" si="5">J134+G135-H135</f>
        <v>1000</v>
      </c>
    </row>
    <row r="136" spans="1:10" ht="20.100000000000001" customHeight="1" x14ac:dyDescent="0.15">
      <c r="A136" s="5"/>
      <c r="B136" s="5"/>
      <c r="C136" s="5"/>
      <c r="D136" s="10"/>
      <c r="E136" s="10"/>
      <c r="F136" s="10"/>
      <c r="G136" s="8"/>
      <c r="H136" s="8"/>
      <c r="I136" s="8" t="str">
        <f t="shared" si="4"/>
        <v>借</v>
      </c>
      <c r="J136" s="9">
        <f t="shared" si="5"/>
        <v>1000</v>
      </c>
    </row>
    <row r="137" spans="1:10" ht="20.100000000000001" customHeight="1" x14ac:dyDescent="0.15">
      <c r="A137" s="5"/>
      <c r="B137" s="5"/>
      <c r="C137" s="5"/>
      <c r="D137" s="10"/>
      <c r="E137" s="10"/>
      <c r="F137" s="10"/>
      <c r="G137" s="8"/>
      <c r="H137" s="8"/>
      <c r="I137" s="8" t="str">
        <f t="shared" si="4"/>
        <v>借</v>
      </c>
      <c r="J137" s="9">
        <f t="shared" si="5"/>
        <v>1000</v>
      </c>
    </row>
    <row r="138" spans="1:10" ht="20.100000000000001" customHeight="1" x14ac:dyDescent="0.15">
      <c r="A138" s="10"/>
      <c r="B138" s="5"/>
      <c r="C138" s="5"/>
      <c r="D138" s="10"/>
      <c r="E138" s="10"/>
      <c r="F138" s="10"/>
      <c r="G138" s="8"/>
      <c r="H138" s="8"/>
      <c r="I138" s="8" t="str">
        <f t="shared" si="4"/>
        <v>借</v>
      </c>
      <c r="J138" s="9">
        <f t="shared" si="5"/>
        <v>1000</v>
      </c>
    </row>
    <row r="139" spans="1:10" ht="20.100000000000001" customHeight="1" x14ac:dyDescent="0.15">
      <c r="A139" s="10"/>
      <c r="B139" s="5"/>
      <c r="C139" s="5"/>
      <c r="D139" s="10"/>
      <c r="E139" s="10"/>
      <c r="F139" s="10"/>
      <c r="G139" s="8"/>
      <c r="H139" s="8"/>
      <c r="I139" s="8" t="str">
        <f t="shared" si="4"/>
        <v>借</v>
      </c>
      <c r="J139" s="9">
        <f t="shared" si="5"/>
        <v>1000</v>
      </c>
    </row>
    <row r="140" spans="1:10" ht="20.100000000000001" customHeight="1" x14ac:dyDescent="0.15">
      <c r="A140" s="5"/>
      <c r="B140" s="5"/>
      <c r="C140" s="5"/>
      <c r="D140" s="10"/>
      <c r="E140" s="10"/>
      <c r="F140" s="10"/>
      <c r="G140" s="8"/>
      <c r="H140" s="8"/>
      <c r="I140" s="8" t="str">
        <f t="shared" si="4"/>
        <v>借</v>
      </c>
      <c r="J140" s="9">
        <f t="shared" si="5"/>
        <v>1000</v>
      </c>
    </row>
    <row r="141" spans="1:10" ht="20.100000000000001" customHeight="1" x14ac:dyDescent="0.15">
      <c r="A141" s="5"/>
      <c r="B141" s="5"/>
      <c r="C141" s="5"/>
      <c r="D141" s="10"/>
      <c r="E141" s="10"/>
      <c r="F141" s="10"/>
      <c r="G141" s="8"/>
      <c r="H141" s="8"/>
      <c r="I141" s="8" t="str">
        <f t="shared" si="4"/>
        <v>借</v>
      </c>
      <c r="J141" s="9">
        <f t="shared" si="5"/>
        <v>1000</v>
      </c>
    </row>
    <row r="142" spans="1:10" ht="20.100000000000001" customHeight="1" x14ac:dyDescent="0.15">
      <c r="A142" s="5"/>
      <c r="B142" s="5"/>
      <c r="C142" s="5"/>
      <c r="D142" s="10"/>
      <c r="E142" s="10"/>
      <c r="F142" s="10"/>
      <c r="G142" s="8"/>
      <c r="H142" s="8"/>
      <c r="I142" s="8" t="str">
        <f t="shared" si="4"/>
        <v>借</v>
      </c>
      <c r="J142" s="9">
        <f t="shared" si="5"/>
        <v>1000</v>
      </c>
    </row>
    <row r="143" spans="1:10" ht="20.100000000000001" customHeight="1" x14ac:dyDescent="0.15">
      <c r="A143" s="5"/>
      <c r="B143" s="5"/>
      <c r="C143" s="5"/>
      <c r="D143" s="10"/>
      <c r="E143" s="10"/>
      <c r="F143" s="10"/>
      <c r="G143" s="8"/>
      <c r="H143" s="8"/>
      <c r="I143" s="8" t="str">
        <f t="shared" si="4"/>
        <v>借</v>
      </c>
      <c r="J143" s="9">
        <f t="shared" si="5"/>
        <v>1000</v>
      </c>
    </row>
    <row r="144" spans="1:10" ht="20.100000000000001" customHeight="1" x14ac:dyDescent="0.15">
      <c r="A144" s="5"/>
      <c r="B144" s="5"/>
      <c r="C144" s="5"/>
      <c r="D144" s="10"/>
      <c r="E144" s="10"/>
      <c r="F144" s="10"/>
      <c r="G144" s="8"/>
      <c r="H144" s="8"/>
      <c r="I144" s="8" t="str">
        <f t="shared" si="4"/>
        <v>借</v>
      </c>
      <c r="J144" s="9">
        <f t="shared" si="5"/>
        <v>1000</v>
      </c>
    </row>
    <row r="145" spans="1:10" ht="20.100000000000001" customHeight="1" x14ac:dyDescent="0.15">
      <c r="A145" s="5"/>
      <c r="B145" s="5"/>
      <c r="C145" s="5"/>
      <c r="D145" s="10"/>
      <c r="E145" s="10"/>
      <c r="F145" s="10"/>
      <c r="G145" s="8"/>
      <c r="H145" s="8"/>
      <c r="I145" s="8" t="str">
        <f t="shared" si="4"/>
        <v>借</v>
      </c>
      <c r="J145" s="9">
        <f t="shared" si="5"/>
        <v>1000</v>
      </c>
    </row>
    <row r="146" spans="1:10" ht="20.100000000000001" customHeight="1" x14ac:dyDescent="0.15">
      <c r="A146" s="5"/>
      <c r="B146" s="5"/>
      <c r="C146" s="5"/>
      <c r="D146" s="10"/>
      <c r="E146" s="10"/>
      <c r="F146" s="10"/>
      <c r="G146" s="8"/>
      <c r="H146" s="8"/>
      <c r="I146" s="8" t="str">
        <f t="shared" si="4"/>
        <v>借</v>
      </c>
      <c r="J146" s="9">
        <f t="shared" si="5"/>
        <v>1000</v>
      </c>
    </row>
    <row r="147" spans="1:10" ht="20.100000000000001" customHeight="1" x14ac:dyDescent="0.15">
      <c r="A147" s="5"/>
      <c r="B147" s="5"/>
      <c r="C147" s="5"/>
      <c r="D147" s="10"/>
      <c r="E147" s="10"/>
      <c r="F147" s="10"/>
      <c r="G147" s="8"/>
      <c r="H147" s="8"/>
      <c r="I147" s="8" t="str">
        <f t="shared" si="4"/>
        <v>借</v>
      </c>
      <c r="J147" s="9">
        <f t="shared" si="5"/>
        <v>1000</v>
      </c>
    </row>
    <row r="148" spans="1:10" ht="20.100000000000001" customHeight="1" x14ac:dyDescent="0.15">
      <c r="A148" s="10"/>
      <c r="B148" s="5"/>
      <c r="C148" s="5"/>
      <c r="D148" s="10"/>
      <c r="E148" s="10"/>
      <c r="F148" s="10"/>
      <c r="G148" s="8"/>
      <c r="H148" s="8"/>
      <c r="I148" s="8" t="str">
        <f t="shared" si="4"/>
        <v>借</v>
      </c>
      <c r="J148" s="9">
        <f t="shared" si="5"/>
        <v>1000</v>
      </c>
    </row>
    <row r="149" spans="1:10" ht="20.100000000000001" customHeight="1" x14ac:dyDescent="0.15">
      <c r="A149" s="10"/>
      <c r="B149" s="5"/>
      <c r="C149" s="5"/>
      <c r="D149" s="10"/>
      <c r="E149" s="10"/>
      <c r="F149" s="10"/>
      <c r="G149" s="8"/>
      <c r="H149" s="8"/>
      <c r="I149" s="8" t="str">
        <f t="shared" si="4"/>
        <v>借</v>
      </c>
      <c r="J149" s="9">
        <f t="shared" si="5"/>
        <v>1000</v>
      </c>
    </row>
    <row r="150" spans="1:10" ht="20.100000000000001" customHeight="1" x14ac:dyDescent="0.15">
      <c r="A150" s="5"/>
      <c r="B150" s="5"/>
      <c r="C150" s="5"/>
      <c r="D150" s="10"/>
      <c r="E150" s="10"/>
      <c r="F150" s="10"/>
      <c r="G150" s="8"/>
      <c r="H150" s="8"/>
      <c r="I150" s="8" t="str">
        <f t="shared" si="4"/>
        <v>借</v>
      </c>
      <c r="J150" s="9">
        <f t="shared" si="5"/>
        <v>1000</v>
      </c>
    </row>
    <row r="151" spans="1:10" ht="20.100000000000001" customHeight="1" x14ac:dyDescent="0.15">
      <c r="A151" s="5"/>
      <c r="B151" s="5"/>
      <c r="C151" s="5"/>
      <c r="D151" s="10"/>
      <c r="E151" s="10"/>
      <c r="F151" s="10"/>
      <c r="G151" s="8"/>
      <c r="H151" s="8"/>
      <c r="I151" s="8" t="str">
        <f t="shared" si="4"/>
        <v>借</v>
      </c>
      <c r="J151" s="9">
        <f t="shared" si="5"/>
        <v>1000</v>
      </c>
    </row>
    <row r="152" spans="1:10" ht="20.100000000000001" customHeight="1" x14ac:dyDescent="0.15">
      <c r="A152" s="5"/>
      <c r="B152" s="5"/>
      <c r="C152" s="5"/>
      <c r="D152" s="10"/>
      <c r="E152" s="10"/>
      <c r="F152" s="10"/>
      <c r="G152" s="8"/>
      <c r="H152" s="8"/>
      <c r="I152" s="8" t="str">
        <f t="shared" si="4"/>
        <v>借</v>
      </c>
      <c r="J152" s="9">
        <f t="shared" si="5"/>
        <v>1000</v>
      </c>
    </row>
    <row r="153" spans="1:10" ht="20.100000000000001" customHeight="1" x14ac:dyDescent="0.15">
      <c r="A153" s="5"/>
      <c r="B153" s="5"/>
      <c r="C153" s="5"/>
      <c r="D153" s="10"/>
      <c r="E153" s="10"/>
      <c r="F153" s="10"/>
      <c r="G153" s="8"/>
      <c r="H153" s="8"/>
      <c r="I153" s="8" t="str">
        <f t="shared" si="4"/>
        <v>借</v>
      </c>
      <c r="J153" s="9">
        <f t="shared" si="5"/>
        <v>1000</v>
      </c>
    </row>
    <row r="154" spans="1:10" ht="20.100000000000001" customHeight="1" x14ac:dyDescent="0.15">
      <c r="A154" s="5"/>
      <c r="B154" s="5"/>
      <c r="C154" s="5"/>
      <c r="D154" s="10"/>
      <c r="E154" s="10"/>
      <c r="F154" s="10"/>
      <c r="G154" s="8"/>
      <c r="H154" s="8"/>
      <c r="I154" s="8" t="str">
        <f t="shared" si="4"/>
        <v>借</v>
      </c>
      <c r="J154" s="9">
        <f t="shared" si="5"/>
        <v>1000</v>
      </c>
    </row>
    <row r="155" spans="1:10" ht="20.100000000000001" customHeight="1" x14ac:dyDescent="0.15">
      <c r="A155" s="5"/>
      <c r="B155" s="5"/>
      <c r="C155" s="5"/>
      <c r="D155" s="10"/>
      <c r="E155" s="10"/>
      <c r="F155" s="10"/>
      <c r="G155" s="8"/>
      <c r="H155" s="8"/>
      <c r="I155" s="8" t="str">
        <f t="shared" si="4"/>
        <v>借</v>
      </c>
      <c r="J155" s="9">
        <f t="shared" si="5"/>
        <v>1000</v>
      </c>
    </row>
    <row r="156" spans="1:10" ht="20.100000000000001" customHeight="1" x14ac:dyDescent="0.15">
      <c r="A156" s="5"/>
      <c r="B156" s="5"/>
      <c r="C156" s="5"/>
      <c r="D156" s="10"/>
      <c r="E156" s="10"/>
      <c r="F156" s="10"/>
      <c r="G156" s="8"/>
      <c r="H156" s="8"/>
      <c r="I156" s="8" t="str">
        <f t="shared" si="4"/>
        <v>借</v>
      </c>
      <c r="J156" s="9">
        <f t="shared" si="5"/>
        <v>1000</v>
      </c>
    </row>
    <row r="157" spans="1:10" ht="20.100000000000001" customHeight="1" x14ac:dyDescent="0.15">
      <c r="A157" s="5"/>
      <c r="B157" s="5"/>
      <c r="C157" s="5"/>
      <c r="D157" s="10"/>
      <c r="E157" s="10"/>
      <c r="F157" s="10"/>
      <c r="G157" s="8"/>
      <c r="H157" s="8"/>
      <c r="I157" s="8" t="str">
        <f t="shared" si="4"/>
        <v>借</v>
      </c>
      <c r="J157" s="9">
        <f t="shared" si="5"/>
        <v>1000</v>
      </c>
    </row>
    <row r="158" spans="1:10" ht="20.100000000000001" customHeight="1" x14ac:dyDescent="0.15">
      <c r="A158" s="5"/>
      <c r="B158" s="5"/>
      <c r="C158" s="5"/>
      <c r="D158" s="10"/>
      <c r="E158" s="10"/>
      <c r="F158" s="10"/>
      <c r="G158" s="8"/>
      <c r="H158" s="8"/>
      <c r="I158" s="8" t="str">
        <f t="shared" si="4"/>
        <v>借</v>
      </c>
      <c r="J158" s="9">
        <f t="shared" si="5"/>
        <v>1000</v>
      </c>
    </row>
    <row r="159" spans="1:10" ht="20.100000000000001" customHeight="1" x14ac:dyDescent="0.15">
      <c r="A159" s="10"/>
      <c r="B159" s="5"/>
      <c r="C159" s="5"/>
      <c r="D159" s="10"/>
      <c r="E159" s="10"/>
      <c r="F159" s="10"/>
      <c r="G159" s="8"/>
      <c r="H159" s="8"/>
      <c r="I159" s="8" t="str">
        <f t="shared" si="4"/>
        <v>借</v>
      </c>
      <c r="J159" s="9">
        <f t="shared" si="5"/>
        <v>1000</v>
      </c>
    </row>
    <row r="160" spans="1:10" ht="20.100000000000001" customHeight="1" x14ac:dyDescent="0.15">
      <c r="A160" s="10"/>
      <c r="B160" s="5"/>
      <c r="C160" s="5"/>
      <c r="D160" s="10"/>
      <c r="E160" s="10"/>
      <c r="F160" s="10"/>
      <c r="G160" s="8"/>
      <c r="H160" s="8"/>
      <c r="I160" s="8" t="str">
        <f t="shared" si="4"/>
        <v>借</v>
      </c>
      <c r="J160" s="9">
        <f t="shared" si="5"/>
        <v>1000</v>
      </c>
    </row>
    <row r="161" spans="1:10" ht="20.100000000000001" customHeight="1" x14ac:dyDescent="0.15">
      <c r="A161" s="10"/>
      <c r="B161" s="5"/>
      <c r="C161" s="5"/>
      <c r="D161" s="10"/>
      <c r="E161" s="18"/>
      <c r="F161" s="10"/>
      <c r="G161" s="8"/>
      <c r="H161" s="8"/>
      <c r="I161" s="8" t="str">
        <f t="shared" si="4"/>
        <v>借</v>
      </c>
      <c r="J161" s="9">
        <f t="shared" si="5"/>
        <v>1000</v>
      </c>
    </row>
    <row r="162" spans="1:10" ht="20.100000000000001" customHeight="1" x14ac:dyDescent="0.15">
      <c r="A162" s="10"/>
      <c r="B162" s="5"/>
      <c r="C162" s="5"/>
      <c r="D162" s="10"/>
      <c r="E162" s="10"/>
      <c r="F162" s="10"/>
      <c r="G162" s="8"/>
      <c r="H162" s="8"/>
      <c r="I162" s="8" t="str">
        <f t="shared" si="4"/>
        <v>借</v>
      </c>
      <c r="J162" s="9">
        <f t="shared" si="5"/>
        <v>1000</v>
      </c>
    </row>
    <row r="163" spans="1:10" ht="20.100000000000001" customHeight="1" x14ac:dyDescent="0.15">
      <c r="A163" s="10"/>
      <c r="B163" s="5"/>
      <c r="C163" s="10"/>
      <c r="D163" s="10"/>
      <c r="E163" s="10"/>
      <c r="F163" s="10"/>
      <c r="G163" s="8"/>
      <c r="H163" s="8"/>
      <c r="I163" s="8" t="str">
        <f t="shared" si="4"/>
        <v>借</v>
      </c>
      <c r="J163" s="9">
        <f t="shared" si="5"/>
        <v>1000</v>
      </c>
    </row>
    <row r="164" spans="1:10" ht="20.100000000000001" customHeight="1" x14ac:dyDescent="0.15">
      <c r="A164" s="10"/>
      <c r="B164" s="5"/>
      <c r="C164" s="10"/>
      <c r="D164" s="10"/>
      <c r="E164" s="10"/>
      <c r="F164" s="10"/>
      <c r="G164" s="8"/>
      <c r="H164" s="8"/>
      <c r="I164" s="8" t="str">
        <f t="shared" si="4"/>
        <v>借</v>
      </c>
      <c r="J164" s="9">
        <f t="shared" si="5"/>
        <v>1000</v>
      </c>
    </row>
    <row r="165" spans="1:10" ht="20.100000000000001" customHeight="1" x14ac:dyDescent="0.15">
      <c r="A165" s="10"/>
      <c r="B165" s="5"/>
      <c r="C165" s="10"/>
      <c r="D165" s="10"/>
      <c r="E165" s="10"/>
      <c r="F165" s="10"/>
      <c r="G165" s="8"/>
      <c r="H165" s="8"/>
      <c r="I165" s="8" t="str">
        <f t="shared" si="4"/>
        <v>借</v>
      </c>
      <c r="J165" s="9">
        <f t="shared" si="5"/>
        <v>1000</v>
      </c>
    </row>
    <row r="166" spans="1:10" ht="20.100000000000001" customHeight="1" x14ac:dyDescent="0.15">
      <c r="A166" s="10"/>
      <c r="B166" s="5"/>
      <c r="C166" s="10"/>
      <c r="D166" s="10"/>
      <c r="E166" s="10"/>
      <c r="F166" s="10"/>
      <c r="G166" s="8"/>
      <c r="H166" s="8"/>
      <c r="I166" s="8" t="str">
        <f t="shared" si="4"/>
        <v>借</v>
      </c>
      <c r="J166" s="9">
        <f t="shared" si="5"/>
        <v>1000</v>
      </c>
    </row>
    <row r="167" spans="1:10" ht="20.100000000000001" customHeight="1" x14ac:dyDescent="0.15">
      <c r="A167" s="10"/>
      <c r="B167" s="5"/>
      <c r="C167" s="10"/>
      <c r="D167" s="10"/>
      <c r="E167" s="10"/>
      <c r="F167" s="10"/>
      <c r="G167" s="8"/>
      <c r="H167" s="8"/>
      <c r="I167" s="8" t="str">
        <f t="shared" si="4"/>
        <v>借</v>
      </c>
      <c r="J167" s="9">
        <f t="shared" si="5"/>
        <v>1000</v>
      </c>
    </row>
    <row r="168" spans="1:10" ht="20.100000000000001" customHeight="1" x14ac:dyDescent="0.15">
      <c r="A168" s="10"/>
      <c r="B168" s="5"/>
      <c r="C168" s="10"/>
      <c r="D168" s="10"/>
      <c r="E168" s="10"/>
      <c r="F168" s="10"/>
      <c r="G168" s="8"/>
      <c r="H168" s="8"/>
      <c r="I168" s="8" t="str">
        <f t="shared" si="4"/>
        <v>借</v>
      </c>
      <c r="J168" s="9">
        <f t="shared" si="5"/>
        <v>1000</v>
      </c>
    </row>
    <row r="169" spans="1:10" ht="20.100000000000001" customHeight="1" x14ac:dyDescent="0.15">
      <c r="A169" s="10"/>
      <c r="B169" s="5"/>
      <c r="C169" s="10"/>
      <c r="D169" s="10"/>
      <c r="E169" s="10"/>
      <c r="F169" s="10"/>
      <c r="G169" s="8"/>
      <c r="H169" s="8"/>
      <c r="I169" s="8" t="str">
        <f t="shared" si="4"/>
        <v>借</v>
      </c>
      <c r="J169" s="9">
        <f t="shared" si="5"/>
        <v>1000</v>
      </c>
    </row>
    <row r="170" spans="1:10" ht="20.100000000000001" customHeight="1" x14ac:dyDescent="0.15">
      <c r="A170" s="10"/>
      <c r="B170" s="5"/>
      <c r="C170" s="10"/>
      <c r="D170" s="10"/>
      <c r="E170" s="10"/>
      <c r="F170" s="10"/>
      <c r="G170" s="8"/>
      <c r="H170" s="8"/>
      <c r="I170" s="8" t="str">
        <f t="shared" si="4"/>
        <v>借</v>
      </c>
      <c r="J170" s="9">
        <f t="shared" si="5"/>
        <v>1000</v>
      </c>
    </row>
    <row r="171" spans="1:10" ht="20.100000000000001" customHeight="1" x14ac:dyDescent="0.15">
      <c r="A171" s="10"/>
      <c r="B171" s="5"/>
      <c r="C171" s="10"/>
      <c r="D171" s="10"/>
      <c r="E171" s="10"/>
      <c r="F171" s="10"/>
      <c r="G171" s="8"/>
      <c r="H171" s="8"/>
      <c r="I171" s="8" t="str">
        <f t="shared" si="4"/>
        <v>借</v>
      </c>
      <c r="J171" s="9">
        <f t="shared" si="5"/>
        <v>1000</v>
      </c>
    </row>
    <row r="172" spans="1:10" ht="20.100000000000001" customHeight="1" x14ac:dyDescent="0.15">
      <c r="A172" s="10"/>
      <c r="B172" s="5"/>
      <c r="C172" s="10"/>
      <c r="D172" s="10"/>
      <c r="E172" s="10"/>
      <c r="F172" s="10"/>
      <c r="G172" s="8"/>
      <c r="H172" s="8"/>
      <c r="I172" s="8" t="str">
        <f t="shared" si="4"/>
        <v>借</v>
      </c>
      <c r="J172" s="9">
        <f t="shared" si="5"/>
        <v>1000</v>
      </c>
    </row>
    <row r="173" spans="1:10" ht="20.100000000000001" customHeight="1" x14ac:dyDescent="0.15">
      <c r="A173" s="10"/>
      <c r="B173" s="5"/>
      <c r="C173" s="10"/>
      <c r="D173" s="10"/>
      <c r="E173" s="10"/>
      <c r="F173" s="10"/>
      <c r="G173" s="8"/>
      <c r="H173" s="8"/>
      <c r="I173" s="8" t="str">
        <f t="shared" si="4"/>
        <v>借</v>
      </c>
      <c r="J173" s="9">
        <f t="shared" si="5"/>
        <v>1000</v>
      </c>
    </row>
    <row r="174" spans="1:10" ht="20.100000000000001" customHeight="1" x14ac:dyDescent="0.15">
      <c r="A174" s="10"/>
      <c r="B174" s="5"/>
      <c r="C174" s="10"/>
      <c r="D174" s="10"/>
      <c r="E174" s="10"/>
      <c r="F174" s="10"/>
      <c r="G174" s="8"/>
      <c r="H174" s="8"/>
      <c r="I174" s="8" t="str">
        <f t="shared" si="4"/>
        <v>借</v>
      </c>
      <c r="J174" s="9">
        <f t="shared" si="5"/>
        <v>1000</v>
      </c>
    </row>
    <row r="175" spans="1:10" ht="20.100000000000001" customHeight="1" x14ac:dyDescent="0.15">
      <c r="A175" s="10"/>
      <c r="B175" s="5"/>
      <c r="C175" s="10"/>
      <c r="D175" s="10"/>
      <c r="E175" s="10"/>
      <c r="F175" s="10"/>
      <c r="G175" s="8"/>
      <c r="H175" s="8"/>
      <c r="I175" s="8" t="str">
        <f t="shared" si="4"/>
        <v>借</v>
      </c>
      <c r="J175" s="9">
        <f t="shared" si="5"/>
        <v>1000</v>
      </c>
    </row>
    <row r="176" spans="1:10" ht="20.100000000000001" customHeight="1" x14ac:dyDescent="0.15">
      <c r="A176" s="10"/>
      <c r="B176" s="5"/>
      <c r="C176" s="10"/>
      <c r="D176" s="10"/>
      <c r="E176" s="10"/>
      <c r="F176" s="10"/>
      <c r="G176" s="8"/>
      <c r="H176" s="8"/>
      <c r="I176" s="8" t="str">
        <f t="shared" si="4"/>
        <v>借</v>
      </c>
      <c r="J176" s="9">
        <f t="shared" si="5"/>
        <v>1000</v>
      </c>
    </row>
    <row r="177" spans="1:10" ht="20.100000000000001" customHeight="1" x14ac:dyDescent="0.15">
      <c r="A177" s="10"/>
      <c r="B177" s="5"/>
      <c r="C177" s="10"/>
      <c r="D177" s="10"/>
      <c r="E177" s="10"/>
      <c r="F177" s="10"/>
      <c r="G177" s="8"/>
      <c r="H177" s="8"/>
      <c r="I177" s="8" t="str">
        <f t="shared" si="4"/>
        <v>借</v>
      </c>
      <c r="J177" s="9">
        <f t="shared" si="5"/>
        <v>1000</v>
      </c>
    </row>
    <row r="178" spans="1:10" ht="20.100000000000001" customHeight="1" x14ac:dyDescent="0.15">
      <c r="A178" s="10"/>
      <c r="B178" s="5"/>
      <c r="C178" s="10"/>
      <c r="D178" s="10"/>
      <c r="E178" s="10"/>
      <c r="F178" s="10"/>
      <c r="G178" s="8"/>
      <c r="H178" s="8"/>
      <c r="I178" s="8" t="str">
        <f t="shared" si="4"/>
        <v>借</v>
      </c>
      <c r="J178" s="9">
        <f t="shared" si="5"/>
        <v>1000</v>
      </c>
    </row>
    <row r="179" spans="1:10" ht="20.100000000000001" customHeight="1" x14ac:dyDescent="0.15">
      <c r="A179" s="10"/>
      <c r="B179" s="5"/>
      <c r="C179" s="10"/>
      <c r="D179" s="10"/>
      <c r="E179" s="10"/>
      <c r="F179" s="10"/>
      <c r="G179" s="8"/>
      <c r="H179" s="8"/>
      <c r="I179" s="8" t="str">
        <f t="shared" si="4"/>
        <v>借</v>
      </c>
      <c r="J179" s="9">
        <f t="shared" si="5"/>
        <v>1000</v>
      </c>
    </row>
    <row r="180" spans="1:10" ht="20.100000000000001" customHeight="1" x14ac:dyDescent="0.15">
      <c r="A180" s="10"/>
      <c r="B180" s="5"/>
      <c r="C180" s="10"/>
      <c r="D180" s="10"/>
      <c r="E180" s="10"/>
      <c r="F180" s="10"/>
      <c r="G180" s="8"/>
      <c r="H180" s="8"/>
      <c r="I180" s="8" t="str">
        <f t="shared" si="4"/>
        <v>借</v>
      </c>
      <c r="J180" s="9">
        <f t="shared" si="5"/>
        <v>1000</v>
      </c>
    </row>
    <row r="181" spans="1:10" ht="20.100000000000001" customHeight="1" x14ac:dyDescent="0.15">
      <c r="A181" s="10"/>
      <c r="B181" s="5"/>
      <c r="C181" s="10"/>
      <c r="D181" s="10"/>
      <c r="E181" s="10"/>
      <c r="F181" s="10"/>
      <c r="G181" s="8"/>
      <c r="H181" s="8"/>
      <c r="I181" s="8" t="str">
        <f t="shared" si="4"/>
        <v>借</v>
      </c>
      <c r="J181" s="9">
        <f t="shared" si="5"/>
        <v>1000</v>
      </c>
    </row>
    <row r="182" spans="1:10" ht="20.100000000000001" customHeight="1" x14ac:dyDescent="0.15">
      <c r="A182" s="10"/>
      <c r="B182" s="5"/>
      <c r="C182" s="10"/>
      <c r="D182" s="10"/>
      <c r="E182" s="10"/>
      <c r="F182" s="10"/>
      <c r="G182" s="8"/>
      <c r="H182" s="8"/>
      <c r="I182" s="8" t="str">
        <f t="shared" si="4"/>
        <v>借</v>
      </c>
      <c r="J182" s="9">
        <f t="shared" si="5"/>
        <v>1000</v>
      </c>
    </row>
    <row r="183" spans="1:10" ht="20.100000000000001" customHeight="1" x14ac:dyDescent="0.15">
      <c r="A183" s="10"/>
      <c r="B183" s="5"/>
      <c r="C183" s="10"/>
      <c r="D183" s="10"/>
      <c r="E183" s="10"/>
      <c r="F183" s="10"/>
      <c r="G183" s="8"/>
      <c r="H183" s="8"/>
      <c r="I183" s="8" t="str">
        <f t="shared" si="4"/>
        <v>借</v>
      </c>
      <c r="J183" s="9">
        <f t="shared" si="5"/>
        <v>1000</v>
      </c>
    </row>
    <row r="184" spans="1:10" ht="20.100000000000001" customHeight="1" x14ac:dyDescent="0.15">
      <c r="A184" s="10"/>
      <c r="B184" s="5"/>
      <c r="C184" s="10"/>
      <c r="D184" s="10"/>
      <c r="E184" s="10"/>
      <c r="F184" s="10"/>
      <c r="G184" s="8"/>
      <c r="H184" s="8"/>
      <c r="I184" s="8" t="str">
        <f t="shared" si="4"/>
        <v>借</v>
      </c>
      <c r="J184" s="9">
        <f t="shared" si="5"/>
        <v>1000</v>
      </c>
    </row>
    <row r="185" spans="1:10" ht="20.100000000000001" customHeight="1" x14ac:dyDescent="0.15">
      <c r="A185" s="10"/>
      <c r="B185" s="5"/>
      <c r="C185" s="10"/>
      <c r="D185" s="10"/>
      <c r="E185" s="10"/>
      <c r="F185" s="10"/>
      <c r="G185" s="8"/>
      <c r="H185" s="8"/>
      <c r="I185" s="8" t="str">
        <f t="shared" si="4"/>
        <v>借</v>
      </c>
      <c r="J185" s="9">
        <f t="shared" si="5"/>
        <v>1000</v>
      </c>
    </row>
    <row r="186" spans="1:10" ht="20.100000000000001" customHeight="1" x14ac:dyDescent="0.15">
      <c r="A186" s="10"/>
      <c r="B186" s="5"/>
      <c r="C186" s="10"/>
      <c r="D186" s="10"/>
      <c r="E186" s="10"/>
      <c r="F186" s="10"/>
      <c r="G186" s="8"/>
      <c r="H186" s="8"/>
      <c r="I186" s="8" t="str">
        <f t="shared" si="4"/>
        <v>借</v>
      </c>
      <c r="J186" s="9">
        <f t="shared" si="5"/>
        <v>1000</v>
      </c>
    </row>
    <row r="187" spans="1:10" ht="20.100000000000001" customHeight="1" x14ac:dyDescent="0.15">
      <c r="A187" s="10"/>
      <c r="B187" s="5"/>
      <c r="C187" s="10"/>
      <c r="D187" s="10"/>
      <c r="E187" s="10"/>
      <c r="F187" s="10"/>
      <c r="G187" s="8"/>
      <c r="H187" s="8"/>
      <c r="I187" s="8" t="str">
        <f t="shared" si="4"/>
        <v>借</v>
      </c>
      <c r="J187" s="9">
        <f t="shared" si="5"/>
        <v>1000</v>
      </c>
    </row>
    <row r="188" spans="1:10" ht="20.100000000000001" customHeight="1" x14ac:dyDescent="0.15">
      <c r="A188" s="10"/>
      <c r="B188" s="5"/>
      <c r="C188" s="10"/>
      <c r="D188" s="10"/>
      <c r="E188" s="10"/>
      <c r="F188" s="10"/>
      <c r="G188" s="8"/>
      <c r="H188" s="8"/>
      <c r="I188" s="8" t="str">
        <f t="shared" si="4"/>
        <v>借</v>
      </c>
      <c r="J188" s="9">
        <f t="shared" si="5"/>
        <v>1000</v>
      </c>
    </row>
    <row r="189" spans="1:10" ht="20.100000000000001" customHeight="1" x14ac:dyDescent="0.15">
      <c r="A189" s="10"/>
      <c r="B189" s="5"/>
      <c r="C189" s="10"/>
      <c r="D189" s="10"/>
      <c r="E189" s="19"/>
      <c r="F189" s="10"/>
      <c r="G189" s="8"/>
      <c r="H189" s="8"/>
      <c r="I189" s="8" t="str">
        <f t="shared" si="4"/>
        <v>借</v>
      </c>
      <c r="J189" s="9">
        <f t="shared" si="5"/>
        <v>1000</v>
      </c>
    </row>
    <row r="190" spans="1:10" ht="20.100000000000001" customHeight="1" x14ac:dyDescent="0.15">
      <c r="A190" s="10"/>
      <c r="B190" s="5"/>
      <c r="C190" s="10"/>
      <c r="D190" s="10"/>
      <c r="E190" s="10"/>
      <c r="F190" s="10"/>
      <c r="G190" s="8"/>
      <c r="H190" s="8"/>
      <c r="I190" s="8" t="str">
        <f t="shared" si="4"/>
        <v>借</v>
      </c>
      <c r="J190" s="9">
        <f t="shared" si="5"/>
        <v>1000</v>
      </c>
    </row>
    <row r="191" spans="1:10" ht="20.100000000000001" customHeight="1" x14ac:dyDescent="0.15">
      <c r="A191" s="10"/>
      <c r="B191" s="5"/>
      <c r="C191" s="10"/>
      <c r="D191" s="10"/>
      <c r="E191" s="10"/>
      <c r="F191" s="10"/>
      <c r="G191" s="8"/>
      <c r="H191" s="8"/>
      <c r="I191" s="8" t="str">
        <f t="shared" si="4"/>
        <v>借</v>
      </c>
      <c r="J191" s="9">
        <f t="shared" si="5"/>
        <v>1000</v>
      </c>
    </row>
    <row r="192" spans="1:10" ht="20.100000000000001" customHeight="1" x14ac:dyDescent="0.15">
      <c r="A192" s="10"/>
      <c r="B192" s="5"/>
      <c r="C192" s="10"/>
      <c r="D192" s="10"/>
      <c r="E192" s="10"/>
      <c r="F192" s="10"/>
      <c r="G192" s="8"/>
      <c r="H192" s="8"/>
      <c r="I192" s="8" t="str">
        <f t="shared" si="4"/>
        <v>借</v>
      </c>
      <c r="J192" s="9">
        <f t="shared" si="5"/>
        <v>1000</v>
      </c>
    </row>
    <row r="193" spans="1:10" ht="20.100000000000001" customHeight="1" x14ac:dyDescent="0.15">
      <c r="A193" s="10"/>
      <c r="B193" s="5"/>
      <c r="C193" s="10"/>
      <c r="D193" s="10"/>
      <c r="E193" s="10"/>
      <c r="F193" s="10"/>
      <c r="G193" s="8"/>
      <c r="H193" s="8"/>
      <c r="I193" s="8" t="str">
        <f t="shared" si="4"/>
        <v>借</v>
      </c>
      <c r="J193" s="9">
        <f t="shared" si="5"/>
        <v>1000</v>
      </c>
    </row>
    <row r="194" spans="1:10" ht="20.100000000000001" customHeight="1" x14ac:dyDescent="0.15">
      <c r="A194" s="10"/>
      <c r="B194" s="5"/>
      <c r="C194" s="10"/>
      <c r="D194" s="10"/>
      <c r="E194" s="10"/>
      <c r="F194" s="10"/>
      <c r="G194" s="8"/>
      <c r="H194" s="8"/>
      <c r="I194" s="8" t="str">
        <f t="shared" si="4"/>
        <v>借</v>
      </c>
      <c r="J194" s="9">
        <f t="shared" si="5"/>
        <v>1000</v>
      </c>
    </row>
    <row r="195" spans="1:10" ht="20.100000000000001" customHeight="1" x14ac:dyDescent="0.15">
      <c r="A195" s="10"/>
      <c r="B195" s="5"/>
      <c r="C195" s="10"/>
      <c r="D195" s="10"/>
      <c r="E195" s="10"/>
      <c r="F195" s="10"/>
      <c r="G195" s="8"/>
      <c r="H195" s="8"/>
      <c r="I195" s="8" t="str">
        <f t="shared" si="4"/>
        <v>借</v>
      </c>
      <c r="J195" s="9">
        <f t="shared" si="5"/>
        <v>1000</v>
      </c>
    </row>
    <row r="196" spans="1:10" ht="20.100000000000001" customHeight="1" x14ac:dyDescent="0.15">
      <c r="A196" s="10"/>
      <c r="B196" s="5"/>
      <c r="C196" s="10"/>
      <c r="D196" s="10"/>
      <c r="E196" s="10"/>
      <c r="F196" s="10"/>
      <c r="G196" s="8"/>
      <c r="H196" s="8"/>
      <c r="I196" s="8" t="str">
        <f t="shared" si="4"/>
        <v>借</v>
      </c>
      <c r="J196" s="9">
        <f t="shared" si="5"/>
        <v>1000</v>
      </c>
    </row>
    <row r="197" spans="1:10" ht="20.100000000000001" customHeight="1" x14ac:dyDescent="0.15">
      <c r="A197" s="10"/>
      <c r="B197" s="5"/>
      <c r="C197" s="10"/>
      <c r="D197" s="10"/>
      <c r="E197" s="10"/>
      <c r="F197" s="10"/>
      <c r="G197" s="8"/>
      <c r="H197" s="8"/>
      <c r="I197" s="8" t="str">
        <f t="shared" si="4"/>
        <v>借</v>
      </c>
      <c r="J197" s="9">
        <f t="shared" si="5"/>
        <v>1000</v>
      </c>
    </row>
    <row r="198" spans="1:10" ht="20.100000000000001" customHeight="1" x14ac:dyDescent="0.15">
      <c r="A198" s="10"/>
      <c r="B198" s="5"/>
      <c r="C198" s="10"/>
      <c r="D198" s="10"/>
      <c r="E198" s="10"/>
      <c r="F198" s="10"/>
      <c r="G198" s="8"/>
      <c r="H198" s="8"/>
      <c r="I198" s="8" t="str">
        <f t="shared" ref="I198:I261" si="6">IF((J197+G198-H198)&gt;0,"借","贷")</f>
        <v>借</v>
      </c>
      <c r="J198" s="9">
        <f t="shared" si="5"/>
        <v>1000</v>
      </c>
    </row>
    <row r="199" spans="1:10" ht="20.100000000000001" customHeight="1" x14ac:dyDescent="0.15">
      <c r="A199" s="10"/>
      <c r="B199" s="5"/>
      <c r="C199" s="10"/>
      <c r="D199" s="10"/>
      <c r="E199" s="10"/>
      <c r="F199" s="10"/>
      <c r="G199" s="8"/>
      <c r="H199" s="8"/>
      <c r="I199" s="8" t="str">
        <f t="shared" si="6"/>
        <v>借</v>
      </c>
      <c r="J199" s="9">
        <f t="shared" ref="J199:J262" si="7">J198+G199-H199</f>
        <v>1000</v>
      </c>
    </row>
    <row r="200" spans="1:10" ht="20.100000000000001" customHeight="1" x14ac:dyDescent="0.15">
      <c r="A200" s="10"/>
      <c r="B200" s="5"/>
      <c r="C200" s="10"/>
      <c r="D200" s="10"/>
      <c r="E200" s="10"/>
      <c r="F200" s="10"/>
      <c r="G200" s="8"/>
      <c r="H200" s="8"/>
      <c r="I200" s="8" t="str">
        <f t="shared" si="6"/>
        <v>借</v>
      </c>
      <c r="J200" s="9">
        <f t="shared" si="7"/>
        <v>1000</v>
      </c>
    </row>
    <row r="201" spans="1:10" ht="20.100000000000001" customHeight="1" x14ac:dyDescent="0.15">
      <c r="A201" s="10"/>
      <c r="B201" s="5"/>
      <c r="C201" s="10"/>
      <c r="D201" s="10"/>
      <c r="E201" s="10"/>
      <c r="F201" s="10"/>
      <c r="G201" s="8"/>
      <c r="H201" s="8"/>
      <c r="I201" s="8" t="str">
        <f t="shared" si="6"/>
        <v>借</v>
      </c>
      <c r="J201" s="9">
        <f t="shared" si="7"/>
        <v>1000</v>
      </c>
    </row>
    <row r="202" spans="1:10" ht="20.100000000000001" customHeight="1" x14ac:dyDescent="0.15">
      <c r="A202" s="10"/>
      <c r="B202" s="5"/>
      <c r="C202" s="10"/>
      <c r="D202" s="10"/>
      <c r="E202" s="10"/>
      <c r="F202" s="10"/>
      <c r="G202" s="8"/>
      <c r="H202" s="8"/>
      <c r="I202" s="8" t="str">
        <f t="shared" si="6"/>
        <v>借</v>
      </c>
      <c r="J202" s="9">
        <f t="shared" si="7"/>
        <v>1000</v>
      </c>
    </row>
    <row r="203" spans="1:10" ht="20.100000000000001" customHeight="1" x14ac:dyDescent="0.15">
      <c r="A203" s="10"/>
      <c r="B203" s="5"/>
      <c r="C203" s="10"/>
      <c r="D203" s="10"/>
      <c r="E203" s="10"/>
      <c r="F203" s="10"/>
      <c r="G203" s="8"/>
      <c r="H203" s="8"/>
      <c r="I203" s="8" t="str">
        <f t="shared" si="6"/>
        <v>借</v>
      </c>
      <c r="J203" s="9">
        <f t="shared" si="7"/>
        <v>1000</v>
      </c>
    </row>
    <row r="204" spans="1:10" ht="20.100000000000001" customHeight="1" x14ac:dyDescent="0.15">
      <c r="A204" s="10"/>
      <c r="B204" s="5"/>
      <c r="C204" s="10"/>
      <c r="D204" s="10"/>
      <c r="E204" s="10"/>
      <c r="F204" s="10"/>
      <c r="G204" s="8"/>
      <c r="H204" s="8"/>
      <c r="I204" s="8" t="str">
        <f t="shared" si="6"/>
        <v>借</v>
      </c>
      <c r="J204" s="9">
        <f t="shared" si="7"/>
        <v>1000</v>
      </c>
    </row>
    <row r="205" spans="1:10" ht="20.100000000000001" customHeight="1" x14ac:dyDescent="0.15">
      <c r="A205" s="10"/>
      <c r="B205" s="5"/>
      <c r="C205" s="10"/>
      <c r="D205" s="10"/>
      <c r="E205" s="10"/>
      <c r="F205" s="10"/>
      <c r="G205" s="8"/>
      <c r="H205" s="8"/>
      <c r="I205" s="8" t="str">
        <f t="shared" si="6"/>
        <v>借</v>
      </c>
      <c r="J205" s="9">
        <f t="shared" si="7"/>
        <v>1000</v>
      </c>
    </row>
    <row r="206" spans="1:10" ht="20.100000000000001" customHeight="1" x14ac:dyDescent="0.15">
      <c r="A206" s="10"/>
      <c r="B206" s="5"/>
      <c r="C206" s="10"/>
      <c r="D206" s="10"/>
      <c r="E206" s="10"/>
      <c r="F206" s="10"/>
      <c r="G206" s="8"/>
      <c r="H206" s="8"/>
      <c r="I206" s="8" t="str">
        <f t="shared" si="6"/>
        <v>借</v>
      </c>
      <c r="J206" s="9">
        <f t="shared" si="7"/>
        <v>1000</v>
      </c>
    </row>
    <row r="207" spans="1:10" ht="20.100000000000001" customHeight="1" x14ac:dyDescent="0.15">
      <c r="A207" s="10"/>
      <c r="B207" s="5"/>
      <c r="C207" s="10"/>
      <c r="D207" s="10"/>
      <c r="E207" s="10"/>
      <c r="F207" s="10"/>
      <c r="G207" s="8"/>
      <c r="H207" s="8"/>
      <c r="I207" s="8" t="str">
        <f t="shared" si="6"/>
        <v>借</v>
      </c>
      <c r="J207" s="9">
        <f t="shared" si="7"/>
        <v>1000</v>
      </c>
    </row>
    <row r="208" spans="1:10" ht="20.100000000000001" customHeight="1" x14ac:dyDescent="0.15">
      <c r="A208" s="10"/>
      <c r="B208" s="5"/>
      <c r="C208" s="10"/>
      <c r="D208" s="10"/>
      <c r="E208" s="10"/>
      <c r="F208" s="10"/>
      <c r="G208" s="8"/>
      <c r="H208" s="8"/>
      <c r="I208" s="8" t="str">
        <f t="shared" si="6"/>
        <v>借</v>
      </c>
      <c r="J208" s="9">
        <f t="shared" si="7"/>
        <v>1000</v>
      </c>
    </row>
    <row r="209" spans="1:10" ht="20.100000000000001" customHeight="1" x14ac:dyDescent="0.15">
      <c r="A209" s="10"/>
      <c r="B209" s="5"/>
      <c r="C209" s="10"/>
      <c r="D209" s="10"/>
      <c r="E209" s="10"/>
      <c r="F209" s="10"/>
      <c r="G209" s="8"/>
      <c r="H209" s="8"/>
      <c r="I209" s="8" t="str">
        <f t="shared" si="6"/>
        <v>借</v>
      </c>
      <c r="J209" s="9">
        <f t="shared" si="7"/>
        <v>1000</v>
      </c>
    </row>
    <row r="210" spans="1:10" ht="20.100000000000001" customHeight="1" x14ac:dyDescent="0.15">
      <c r="A210" s="10"/>
      <c r="B210" s="5"/>
      <c r="C210" s="10"/>
      <c r="D210" s="10"/>
      <c r="E210" s="10"/>
      <c r="F210" s="10"/>
      <c r="G210" s="8"/>
      <c r="H210" s="8"/>
      <c r="I210" s="8" t="str">
        <f t="shared" si="6"/>
        <v>借</v>
      </c>
      <c r="J210" s="9">
        <f t="shared" si="7"/>
        <v>1000</v>
      </c>
    </row>
    <row r="211" spans="1:10" ht="20.100000000000001" customHeight="1" x14ac:dyDescent="0.15">
      <c r="A211" s="10"/>
      <c r="B211" s="5"/>
      <c r="C211" s="10"/>
      <c r="D211" s="10"/>
      <c r="E211" s="10"/>
      <c r="F211" s="10"/>
      <c r="G211" s="8"/>
      <c r="H211" s="8"/>
      <c r="I211" s="8" t="str">
        <f t="shared" si="6"/>
        <v>借</v>
      </c>
      <c r="J211" s="9">
        <f t="shared" si="7"/>
        <v>1000</v>
      </c>
    </row>
    <row r="212" spans="1:10" ht="20.100000000000001" customHeight="1" x14ac:dyDescent="0.15">
      <c r="A212" s="10"/>
      <c r="B212" s="5"/>
      <c r="C212" s="10"/>
      <c r="D212" s="10"/>
      <c r="E212" s="20"/>
      <c r="F212" s="10"/>
      <c r="G212" s="8"/>
      <c r="H212" s="8"/>
      <c r="I212" s="8" t="str">
        <f t="shared" si="6"/>
        <v>借</v>
      </c>
      <c r="J212" s="9">
        <f t="shared" si="7"/>
        <v>1000</v>
      </c>
    </row>
    <row r="213" spans="1:10" ht="20.100000000000001" customHeight="1" x14ac:dyDescent="0.15">
      <c r="A213" s="10"/>
      <c r="B213" s="5"/>
      <c r="C213" s="10"/>
      <c r="D213" s="10"/>
      <c r="E213" s="10"/>
      <c r="F213" s="10"/>
      <c r="G213" s="8"/>
      <c r="H213" s="8"/>
      <c r="I213" s="8" t="str">
        <f t="shared" si="6"/>
        <v>借</v>
      </c>
      <c r="J213" s="9">
        <f t="shared" si="7"/>
        <v>1000</v>
      </c>
    </row>
    <row r="214" spans="1:10" ht="20.100000000000001" customHeight="1" x14ac:dyDescent="0.15">
      <c r="A214" s="10"/>
      <c r="B214" s="5"/>
      <c r="C214" s="10"/>
      <c r="D214" s="10"/>
      <c r="E214" s="10"/>
      <c r="F214" s="10"/>
      <c r="G214" s="8"/>
      <c r="H214" s="8"/>
      <c r="I214" s="8" t="str">
        <f t="shared" si="6"/>
        <v>借</v>
      </c>
      <c r="J214" s="9">
        <f t="shared" si="7"/>
        <v>1000</v>
      </c>
    </row>
    <row r="215" spans="1:10" ht="20.100000000000001" customHeight="1" x14ac:dyDescent="0.15">
      <c r="A215" s="10"/>
      <c r="B215" s="5"/>
      <c r="C215" s="10"/>
      <c r="D215" s="10"/>
      <c r="E215" s="10"/>
      <c r="F215" s="10"/>
      <c r="G215" s="8"/>
      <c r="H215" s="8"/>
      <c r="I215" s="8" t="str">
        <f t="shared" si="6"/>
        <v>借</v>
      </c>
      <c r="J215" s="9">
        <f t="shared" si="7"/>
        <v>1000</v>
      </c>
    </row>
    <row r="216" spans="1:10" ht="20.100000000000001" customHeight="1" x14ac:dyDescent="0.15">
      <c r="A216" s="10"/>
      <c r="B216" s="5"/>
      <c r="C216" s="10"/>
      <c r="D216" s="10"/>
      <c r="E216" s="10"/>
      <c r="F216" s="10"/>
      <c r="G216" s="8"/>
      <c r="H216" s="8"/>
      <c r="I216" s="8" t="str">
        <f t="shared" si="6"/>
        <v>借</v>
      </c>
      <c r="J216" s="9">
        <f t="shared" si="7"/>
        <v>1000</v>
      </c>
    </row>
    <row r="217" spans="1:10" ht="20.100000000000001" customHeight="1" x14ac:dyDescent="0.15">
      <c r="A217" s="10"/>
      <c r="B217" s="5"/>
      <c r="C217" s="10"/>
      <c r="D217" s="10"/>
      <c r="E217" s="10"/>
      <c r="F217" s="10"/>
      <c r="G217" s="8"/>
      <c r="H217" s="8"/>
      <c r="I217" s="8" t="str">
        <f t="shared" si="6"/>
        <v>借</v>
      </c>
      <c r="J217" s="9">
        <f t="shared" si="7"/>
        <v>1000</v>
      </c>
    </row>
    <row r="218" spans="1:10" ht="20.100000000000001" customHeight="1" x14ac:dyDescent="0.15">
      <c r="A218" s="10"/>
      <c r="B218" s="5"/>
      <c r="C218" s="10"/>
      <c r="D218" s="10"/>
      <c r="E218" s="10"/>
      <c r="F218" s="10"/>
      <c r="G218" s="8"/>
      <c r="H218" s="8"/>
      <c r="I218" s="8" t="str">
        <f t="shared" si="6"/>
        <v>借</v>
      </c>
      <c r="J218" s="9">
        <f t="shared" si="7"/>
        <v>1000</v>
      </c>
    </row>
    <row r="219" spans="1:10" ht="20.100000000000001" customHeight="1" x14ac:dyDescent="0.15">
      <c r="A219" s="10"/>
      <c r="B219" s="5"/>
      <c r="C219" s="10"/>
      <c r="D219" s="10"/>
      <c r="E219" s="10"/>
      <c r="F219" s="10"/>
      <c r="G219" s="8"/>
      <c r="H219" s="8"/>
      <c r="I219" s="8" t="str">
        <f t="shared" si="6"/>
        <v>借</v>
      </c>
      <c r="J219" s="9">
        <f t="shared" si="7"/>
        <v>1000</v>
      </c>
    </row>
    <row r="220" spans="1:10" ht="20.100000000000001" customHeight="1" x14ac:dyDescent="0.15">
      <c r="A220" s="10"/>
      <c r="B220" s="5"/>
      <c r="C220" s="10"/>
      <c r="D220" s="10"/>
      <c r="E220" s="10"/>
      <c r="F220" s="10"/>
      <c r="G220" s="8"/>
      <c r="H220" s="8"/>
      <c r="I220" s="8" t="str">
        <f t="shared" si="6"/>
        <v>借</v>
      </c>
      <c r="J220" s="9">
        <f t="shared" si="7"/>
        <v>1000</v>
      </c>
    </row>
    <row r="221" spans="1:10" ht="20.100000000000001" customHeight="1" x14ac:dyDescent="0.15">
      <c r="A221" s="10"/>
      <c r="B221" s="5"/>
      <c r="C221" s="10"/>
      <c r="D221" s="10"/>
      <c r="E221" s="10"/>
      <c r="F221" s="10"/>
      <c r="G221" s="8"/>
      <c r="H221" s="8"/>
      <c r="I221" s="8" t="str">
        <f t="shared" si="6"/>
        <v>借</v>
      </c>
      <c r="J221" s="9">
        <f t="shared" si="7"/>
        <v>1000</v>
      </c>
    </row>
    <row r="222" spans="1:10" ht="20.100000000000001" customHeight="1" x14ac:dyDescent="0.15">
      <c r="A222" s="10"/>
      <c r="B222" s="5"/>
      <c r="C222" s="10"/>
      <c r="D222" s="10"/>
      <c r="E222" s="10"/>
      <c r="F222" s="10"/>
      <c r="G222" s="8"/>
      <c r="H222" s="8"/>
      <c r="I222" s="8" t="str">
        <f t="shared" si="6"/>
        <v>借</v>
      </c>
      <c r="J222" s="9">
        <f t="shared" si="7"/>
        <v>1000</v>
      </c>
    </row>
    <row r="223" spans="1:10" ht="20.100000000000001" customHeight="1" x14ac:dyDescent="0.15">
      <c r="A223" s="10"/>
      <c r="B223" s="5"/>
      <c r="C223" s="10"/>
      <c r="D223" s="10"/>
      <c r="E223" s="10"/>
      <c r="F223" s="10"/>
      <c r="G223" s="8"/>
      <c r="H223" s="8"/>
      <c r="I223" s="8" t="str">
        <f t="shared" si="6"/>
        <v>借</v>
      </c>
      <c r="J223" s="9">
        <f t="shared" si="7"/>
        <v>1000</v>
      </c>
    </row>
    <row r="224" spans="1:10" ht="20.100000000000001" customHeight="1" x14ac:dyDescent="0.15">
      <c r="A224" s="10"/>
      <c r="B224" s="5"/>
      <c r="C224" s="10"/>
      <c r="D224" s="10"/>
      <c r="E224" s="10"/>
      <c r="F224" s="10"/>
      <c r="G224" s="8"/>
      <c r="H224" s="8"/>
      <c r="I224" s="8" t="str">
        <f t="shared" si="6"/>
        <v>借</v>
      </c>
      <c r="J224" s="9">
        <f t="shared" si="7"/>
        <v>1000</v>
      </c>
    </row>
    <row r="225" spans="1:10" ht="20.100000000000001" customHeight="1" x14ac:dyDescent="0.15">
      <c r="A225" s="10"/>
      <c r="B225" s="5"/>
      <c r="C225" s="10"/>
      <c r="D225" s="10"/>
      <c r="E225" s="10"/>
      <c r="F225" s="10"/>
      <c r="G225" s="8"/>
      <c r="H225" s="8"/>
      <c r="I225" s="8" t="str">
        <f t="shared" si="6"/>
        <v>借</v>
      </c>
      <c r="J225" s="9">
        <f t="shared" si="7"/>
        <v>1000</v>
      </c>
    </row>
    <row r="226" spans="1:10" ht="20.100000000000001" customHeight="1" x14ac:dyDescent="0.15">
      <c r="A226" s="10"/>
      <c r="B226" s="5"/>
      <c r="C226" s="10"/>
      <c r="D226" s="10"/>
      <c r="E226" s="10"/>
      <c r="F226" s="10"/>
      <c r="G226" s="8"/>
      <c r="H226" s="8"/>
      <c r="I226" s="8" t="str">
        <f t="shared" si="6"/>
        <v>借</v>
      </c>
      <c r="J226" s="9">
        <f t="shared" si="7"/>
        <v>1000</v>
      </c>
    </row>
    <row r="227" spans="1:10" ht="20.100000000000001" customHeight="1" x14ac:dyDescent="0.15">
      <c r="A227" s="10"/>
      <c r="B227" s="5"/>
      <c r="C227" s="10"/>
      <c r="D227" s="10"/>
      <c r="E227" s="10"/>
      <c r="F227" s="10"/>
      <c r="G227" s="8"/>
      <c r="H227" s="8"/>
      <c r="I227" s="8" t="str">
        <f t="shared" si="6"/>
        <v>借</v>
      </c>
      <c r="J227" s="9">
        <f t="shared" si="7"/>
        <v>1000</v>
      </c>
    </row>
    <row r="228" spans="1:10" ht="20.100000000000001" customHeight="1" x14ac:dyDescent="0.15">
      <c r="A228" s="10"/>
      <c r="B228" s="5"/>
      <c r="C228" s="10"/>
      <c r="D228" s="10"/>
      <c r="E228" s="10"/>
      <c r="F228" s="10"/>
      <c r="G228" s="8"/>
      <c r="H228" s="8"/>
      <c r="I228" s="8" t="str">
        <f t="shared" si="6"/>
        <v>借</v>
      </c>
      <c r="J228" s="9">
        <f t="shared" si="7"/>
        <v>1000</v>
      </c>
    </row>
    <row r="229" spans="1:10" ht="20.100000000000001" customHeight="1" x14ac:dyDescent="0.15">
      <c r="A229" s="10"/>
      <c r="B229" s="5"/>
      <c r="C229" s="10"/>
      <c r="D229" s="10"/>
      <c r="E229" s="10"/>
      <c r="F229" s="10"/>
      <c r="G229" s="8"/>
      <c r="H229" s="8"/>
      <c r="I229" s="8" t="str">
        <f t="shared" si="6"/>
        <v>借</v>
      </c>
      <c r="J229" s="9">
        <f t="shared" si="7"/>
        <v>1000</v>
      </c>
    </row>
    <row r="230" spans="1:10" ht="20.100000000000001" customHeight="1" x14ac:dyDescent="0.15">
      <c r="A230" s="10"/>
      <c r="B230" s="5"/>
      <c r="C230" s="10"/>
      <c r="D230" s="10"/>
      <c r="E230" s="10"/>
      <c r="F230" s="10"/>
      <c r="G230" s="8"/>
      <c r="H230" s="8"/>
      <c r="I230" s="8" t="str">
        <f t="shared" si="6"/>
        <v>借</v>
      </c>
      <c r="J230" s="9">
        <f t="shared" si="7"/>
        <v>1000</v>
      </c>
    </row>
    <row r="231" spans="1:10" ht="20.100000000000001" customHeight="1" x14ac:dyDescent="0.15">
      <c r="A231" s="10"/>
      <c r="B231" s="5"/>
      <c r="C231" s="10"/>
      <c r="D231" s="10"/>
      <c r="E231" s="10"/>
      <c r="F231" s="10"/>
      <c r="G231" s="8"/>
      <c r="H231" s="8"/>
      <c r="I231" s="8" t="str">
        <f t="shared" si="6"/>
        <v>借</v>
      </c>
      <c r="J231" s="9">
        <f t="shared" si="7"/>
        <v>1000</v>
      </c>
    </row>
    <row r="232" spans="1:10" ht="20.100000000000001" customHeight="1" x14ac:dyDescent="0.15">
      <c r="A232" s="10"/>
      <c r="B232" s="5"/>
      <c r="C232" s="10"/>
      <c r="D232" s="10"/>
      <c r="E232" s="10"/>
      <c r="F232" s="10"/>
      <c r="G232" s="8"/>
      <c r="H232" s="8"/>
      <c r="I232" s="8" t="str">
        <f t="shared" si="6"/>
        <v>借</v>
      </c>
      <c r="J232" s="9">
        <f t="shared" si="7"/>
        <v>1000</v>
      </c>
    </row>
    <row r="233" spans="1:10" ht="20.100000000000001" customHeight="1" x14ac:dyDescent="0.15">
      <c r="A233" s="10"/>
      <c r="B233" s="5"/>
      <c r="C233" s="10"/>
      <c r="D233" s="10"/>
      <c r="E233" s="10"/>
      <c r="F233" s="10"/>
      <c r="G233" s="8"/>
      <c r="H233" s="8"/>
      <c r="I233" s="8" t="str">
        <f t="shared" si="6"/>
        <v>借</v>
      </c>
      <c r="J233" s="9">
        <f t="shared" si="7"/>
        <v>1000</v>
      </c>
    </row>
    <row r="234" spans="1:10" ht="20.100000000000001" customHeight="1" x14ac:dyDescent="0.15">
      <c r="A234" s="10"/>
      <c r="B234" s="5"/>
      <c r="C234" s="10"/>
      <c r="D234" s="10"/>
      <c r="E234" s="10"/>
      <c r="F234" s="10"/>
      <c r="G234" s="8"/>
      <c r="H234" s="8"/>
      <c r="I234" s="8" t="str">
        <f t="shared" si="6"/>
        <v>借</v>
      </c>
      <c r="J234" s="9">
        <f t="shared" si="7"/>
        <v>1000</v>
      </c>
    </row>
    <row r="235" spans="1:10" ht="20.100000000000001" customHeight="1" x14ac:dyDescent="0.15">
      <c r="A235" s="10"/>
      <c r="B235" s="5"/>
      <c r="C235" s="10"/>
      <c r="D235" s="10"/>
      <c r="E235" s="10"/>
      <c r="F235" s="10"/>
      <c r="G235" s="8"/>
      <c r="H235" s="8"/>
      <c r="I235" s="8" t="str">
        <f t="shared" si="6"/>
        <v>借</v>
      </c>
      <c r="J235" s="9">
        <f t="shared" si="7"/>
        <v>1000</v>
      </c>
    </row>
    <row r="236" spans="1:10" ht="20.100000000000001" customHeight="1" x14ac:dyDescent="0.15">
      <c r="A236" s="10"/>
      <c r="B236" s="5"/>
      <c r="C236" s="10"/>
      <c r="D236" s="10"/>
      <c r="E236" s="10"/>
      <c r="F236" s="10"/>
      <c r="G236" s="8"/>
      <c r="H236" s="8"/>
      <c r="I236" s="8" t="str">
        <f t="shared" si="6"/>
        <v>借</v>
      </c>
      <c r="J236" s="9">
        <f t="shared" si="7"/>
        <v>1000</v>
      </c>
    </row>
    <row r="237" spans="1:10" ht="20.100000000000001" customHeight="1" x14ac:dyDescent="0.15">
      <c r="A237" s="10"/>
      <c r="B237" s="5"/>
      <c r="C237" s="10"/>
      <c r="D237" s="10"/>
      <c r="E237" s="10"/>
      <c r="F237" s="10"/>
      <c r="G237" s="8"/>
      <c r="H237" s="8"/>
      <c r="I237" s="8" t="str">
        <f t="shared" si="6"/>
        <v>借</v>
      </c>
      <c r="J237" s="9">
        <f t="shared" si="7"/>
        <v>1000</v>
      </c>
    </row>
    <row r="238" spans="1:10" ht="20.100000000000001" customHeight="1" x14ac:dyDescent="0.15">
      <c r="A238" s="10"/>
      <c r="B238" s="5"/>
      <c r="C238" s="10"/>
      <c r="D238" s="10"/>
      <c r="E238" s="10"/>
      <c r="F238" s="10"/>
      <c r="G238" s="8"/>
      <c r="H238" s="8"/>
      <c r="I238" s="8" t="str">
        <f t="shared" si="6"/>
        <v>借</v>
      </c>
      <c r="J238" s="9">
        <f t="shared" si="7"/>
        <v>1000</v>
      </c>
    </row>
    <row r="239" spans="1:10" ht="20.100000000000001" customHeight="1" x14ac:dyDescent="0.15">
      <c r="A239" s="10"/>
      <c r="B239" s="5"/>
      <c r="C239" s="10"/>
      <c r="D239" s="10"/>
      <c r="E239" s="10"/>
      <c r="F239" s="10"/>
      <c r="G239" s="8"/>
      <c r="H239" s="8"/>
      <c r="I239" s="8" t="str">
        <f t="shared" si="6"/>
        <v>借</v>
      </c>
      <c r="J239" s="9">
        <f t="shared" si="7"/>
        <v>1000</v>
      </c>
    </row>
    <row r="240" spans="1:10" ht="20.100000000000001" customHeight="1" x14ac:dyDescent="0.15">
      <c r="A240" s="10"/>
      <c r="B240" s="5"/>
      <c r="C240" s="10"/>
      <c r="D240" s="10"/>
      <c r="E240" s="10"/>
      <c r="F240" s="10"/>
      <c r="G240" s="8"/>
      <c r="H240" s="8"/>
      <c r="I240" s="8" t="str">
        <f t="shared" si="6"/>
        <v>借</v>
      </c>
      <c r="J240" s="9">
        <f t="shared" si="7"/>
        <v>1000</v>
      </c>
    </row>
    <row r="241" spans="1:10" ht="20.100000000000001" customHeight="1" x14ac:dyDescent="0.15">
      <c r="A241" s="10"/>
      <c r="B241" s="5"/>
      <c r="C241" s="10"/>
      <c r="D241" s="10"/>
      <c r="E241" s="10"/>
      <c r="F241" s="10"/>
      <c r="G241" s="8"/>
      <c r="H241" s="8"/>
      <c r="I241" s="8" t="str">
        <f t="shared" si="6"/>
        <v>借</v>
      </c>
      <c r="J241" s="9">
        <f t="shared" si="7"/>
        <v>1000</v>
      </c>
    </row>
    <row r="242" spans="1:10" ht="20.100000000000001" customHeight="1" x14ac:dyDescent="0.15">
      <c r="A242" s="10"/>
      <c r="B242" s="5"/>
      <c r="C242" s="10"/>
      <c r="D242" s="10"/>
      <c r="E242" s="10"/>
      <c r="F242" s="10"/>
      <c r="G242" s="8"/>
      <c r="H242" s="8"/>
      <c r="I242" s="23" t="str">
        <f t="shared" si="6"/>
        <v>借</v>
      </c>
      <c r="J242" s="9">
        <f t="shared" si="7"/>
        <v>1000</v>
      </c>
    </row>
    <row r="243" spans="1:10" ht="20.100000000000001" customHeight="1" x14ac:dyDescent="0.15">
      <c r="A243" s="10"/>
      <c r="B243" s="5"/>
      <c r="C243" s="10"/>
      <c r="D243" s="10"/>
      <c r="E243" s="10"/>
      <c r="F243" s="10"/>
      <c r="G243" s="8"/>
      <c r="H243" s="8"/>
      <c r="I243" s="23" t="str">
        <f t="shared" si="6"/>
        <v>借</v>
      </c>
      <c r="J243" s="9">
        <f t="shared" si="7"/>
        <v>1000</v>
      </c>
    </row>
    <row r="244" spans="1:10" ht="20.100000000000001" customHeight="1" x14ac:dyDescent="0.15">
      <c r="A244" s="10"/>
      <c r="B244" s="5"/>
      <c r="C244" s="10"/>
      <c r="D244" s="10"/>
      <c r="E244" s="10"/>
      <c r="F244" s="10"/>
      <c r="G244" s="8"/>
      <c r="H244" s="8"/>
      <c r="I244" s="23" t="str">
        <f t="shared" si="6"/>
        <v>借</v>
      </c>
      <c r="J244" s="9">
        <f t="shared" si="7"/>
        <v>1000</v>
      </c>
    </row>
    <row r="245" spans="1:10" ht="20.100000000000001" customHeight="1" x14ac:dyDescent="0.15">
      <c r="A245" s="10"/>
      <c r="B245" s="5"/>
      <c r="C245" s="10"/>
      <c r="D245" s="10"/>
      <c r="E245" s="10"/>
      <c r="F245" s="10"/>
      <c r="G245" s="8"/>
      <c r="H245" s="8"/>
      <c r="I245" s="23" t="str">
        <f t="shared" si="6"/>
        <v>借</v>
      </c>
      <c r="J245" s="9">
        <f t="shared" si="7"/>
        <v>1000</v>
      </c>
    </row>
    <row r="246" spans="1:10" ht="20.100000000000001" customHeight="1" x14ac:dyDescent="0.15">
      <c r="A246" s="10"/>
      <c r="B246" s="5"/>
      <c r="C246" s="10"/>
      <c r="D246" s="10"/>
      <c r="E246" s="10"/>
      <c r="F246" s="10"/>
      <c r="G246" s="8"/>
      <c r="H246" s="8"/>
      <c r="I246" s="23" t="str">
        <f t="shared" si="6"/>
        <v>借</v>
      </c>
      <c r="J246" s="9">
        <f t="shared" si="7"/>
        <v>1000</v>
      </c>
    </row>
    <row r="247" spans="1:10" ht="20.100000000000001" customHeight="1" x14ac:dyDescent="0.15">
      <c r="A247" s="10"/>
      <c r="B247" s="5"/>
      <c r="C247" s="10"/>
      <c r="D247" s="10"/>
      <c r="E247" s="10"/>
      <c r="F247" s="10"/>
      <c r="G247" s="8"/>
      <c r="H247" s="8"/>
      <c r="I247" s="23" t="str">
        <f t="shared" si="6"/>
        <v>借</v>
      </c>
      <c r="J247" s="9">
        <f t="shared" si="7"/>
        <v>1000</v>
      </c>
    </row>
    <row r="248" spans="1:10" ht="20.100000000000001" customHeight="1" x14ac:dyDescent="0.15">
      <c r="A248" s="10"/>
      <c r="B248" s="5"/>
      <c r="C248" s="10"/>
      <c r="D248" s="10"/>
      <c r="E248" s="10"/>
      <c r="F248" s="10"/>
      <c r="G248" s="8"/>
      <c r="H248" s="8"/>
      <c r="I248" s="8" t="str">
        <f t="shared" si="6"/>
        <v>借</v>
      </c>
      <c r="J248" s="9">
        <f t="shared" si="7"/>
        <v>1000</v>
      </c>
    </row>
    <row r="249" spans="1:10" ht="20.100000000000001" customHeight="1" x14ac:dyDescent="0.15">
      <c r="A249" s="10"/>
      <c r="B249" s="5"/>
      <c r="C249" s="10"/>
      <c r="D249" s="10"/>
      <c r="E249" s="10"/>
      <c r="F249" s="10"/>
      <c r="G249" s="8"/>
      <c r="H249" s="8"/>
      <c r="I249" s="8" t="str">
        <f t="shared" si="6"/>
        <v>借</v>
      </c>
      <c r="J249" s="9">
        <f t="shared" si="7"/>
        <v>1000</v>
      </c>
    </row>
    <row r="250" spans="1:10" ht="20.100000000000001" customHeight="1" x14ac:dyDescent="0.15">
      <c r="A250" s="10"/>
      <c r="B250" s="5"/>
      <c r="C250" s="10"/>
      <c r="D250" s="10"/>
      <c r="E250" s="10"/>
      <c r="F250" s="10"/>
      <c r="G250" s="8"/>
      <c r="H250" s="8"/>
      <c r="I250" s="8" t="str">
        <f t="shared" si="6"/>
        <v>借</v>
      </c>
      <c r="J250" s="9">
        <f t="shared" si="7"/>
        <v>1000</v>
      </c>
    </row>
    <row r="251" spans="1:10" ht="20.100000000000001" customHeight="1" x14ac:dyDescent="0.15">
      <c r="A251" s="10"/>
      <c r="B251" s="5"/>
      <c r="C251" s="10"/>
      <c r="D251" s="10"/>
      <c r="E251" s="10"/>
      <c r="F251" s="10"/>
      <c r="G251" s="8"/>
      <c r="H251" s="8"/>
      <c r="I251" s="8" t="str">
        <f t="shared" si="6"/>
        <v>借</v>
      </c>
      <c r="J251" s="9">
        <f t="shared" si="7"/>
        <v>1000</v>
      </c>
    </row>
    <row r="252" spans="1:10" ht="20.100000000000001" customHeight="1" x14ac:dyDescent="0.15">
      <c r="A252" s="10"/>
      <c r="B252" s="5"/>
      <c r="C252" s="10"/>
      <c r="D252" s="10"/>
      <c r="E252" s="10"/>
      <c r="F252" s="10"/>
      <c r="G252" s="8"/>
      <c r="H252" s="8"/>
      <c r="I252" s="8" t="str">
        <f t="shared" si="6"/>
        <v>借</v>
      </c>
      <c r="J252" s="9">
        <f t="shared" si="7"/>
        <v>1000</v>
      </c>
    </row>
    <row r="253" spans="1:10" ht="20.100000000000001" customHeight="1" x14ac:dyDescent="0.15">
      <c r="A253" s="10"/>
      <c r="B253" s="5"/>
      <c r="C253" s="10"/>
      <c r="D253" s="10"/>
      <c r="E253" s="10"/>
      <c r="F253" s="10"/>
      <c r="G253" s="8"/>
      <c r="H253" s="8"/>
      <c r="I253" s="8" t="str">
        <f t="shared" si="6"/>
        <v>借</v>
      </c>
      <c r="J253" s="9">
        <f t="shared" si="7"/>
        <v>1000</v>
      </c>
    </row>
    <row r="254" spans="1:10" ht="20.100000000000001" customHeight="1" x14ac:dyDescent="0.15">
      <c r="A254" s="10"/>
      <c r="B254" s="5"/>
      <c r="C254" s="10"/>
      <c r="D254" s="10"/>
      <c r="E254" s="10"/>
      <c r="F254" s="10"/>
      <c r="G254" s="8"/>
      <c r="H254" s="8"/>
      <c r="I254" s="8" t="str">
        <f t="shared" si="6"/>
        <v>借</v>
      </c>
      <c r="J254" s="9">
        <f t="shared" si="7"/>
        <v>1000</v>
      </c>
    </row>
    <row r="255" spans="1:10" ht="20.100000000000001" customHeight="1" x14ac:dyDescent="0.15">
      <c r="A255" s="10"/>
      <c r="B255" s="5"/>
      <c r="C255" s="10"/>
      <c r="D255" s="10"/>
      <c r="E255" s="10"/>
      <c r="F255" s="10"/>
      <c r="G255" s="8"/>
      <c r="H255" s="8"/>
      <c r="I255" s="8" t="str">
        <f t="shared" si="6"/>
        <v>借</v>
      </c>
      <c r="J255" s="9">
        <f t="shared" si="7"/>
        <v>1000</v>
      </c>
    </row>
    <row r="256" spans="1:10" ht="20.100000000000001" customHeight="1" x14ac:dyDescent="0.15">
      <c r="A256" s="10"/>
      <c r="B256" s="5"/>
      <c r="C256" s="10"/>
      <c r="D256" s="10"/>
      <c r="E256" s="10"/>
      <c r="F256" s="10"/>
      <c r="G256" s="8"/>
      <c r="H256" s="8"/>
      <c r="I256" s="8" t="str">
        <f t="shared" si="6"/>
        <v>借</v>
      </c>
      <c r="J256" s="9">
        <f t="shared" si="7"/>
        <v>1000</v>
      </c>
    </row>
    <row r="257" spans="1:10" ht="20.100000000000001" customHeight="1" x14ac:dyDescent="0.15">
      <c r="A257" s="10"/>
      <c r="B257" s="5"/>
      <c r="C257" s="10"/>
      <c r="D257" s="10"/>
      <c r="E257" s="10"/>
      <c r="F257" s="10"/>
      <c r="G257" s="8"/>
      <c r="H257" s="8"/>
      <c r="I257" s="8" t="str">
        <f t="shared" si="6"/>
        <v>借</v>
      </c>
      <c r="J257" s="9">
        <f t="shared" si="7"/>
        <v>1000</v>
      </c>
    </row>
    <row r="258" spans="1:10" ht="20.100000000000001" customHeight="1" x14ac:dyDescent="0.15">
      <c r="A258" s="10"/>
      <c r="B258" s="5"/>
      <c r="C258" s="10"/>
      <c r="D258" s="10"/>
      <c r="E258" s="10"/>
      <c r="F258" s="10"/>
      <c r="G258" s="8"/>
      <c r="H258" s="8"/>
      <c r="I258" s="8" t="str">
        <f t="shared" si="6"/>
        <v>借</v>
      </c>
      <c r="J258" s="9">
        <f t="shared" si="7"/>
        <v>1000</v>
      </c>
    </row>
    <row r="259" spans="1:10" ht="20.100000000000001" customHeight="1" x14ac:dyDescent="0.15">
      <c r="A259" s="10"/>
      <c r="B259" s="5"/>
      <c r="C259" s="10"/>
      <c r="D259" s="10"/>
      <c r="E259" s="10"/>
      <c r="F259" s="10"/>
      <c r="G259" s="8"/>
      <c r="H259" s="8"/>
      <c r="I259" s="8" t="str">
        <f t="shared" si="6"/>
        <v>借</v>
      </c>
      <c r="J259" s="9">
        <f t="shared" si="7"/>
        <v>1000</v>
      </c>
    </row>
    <row r="260" spans="1:10" ht="20.100000000000001" customHeight="1" x14ac:dyDescent="0.15">
      <c r="A260" s="10"/>
      <c r="B260" s="5"/>
      <c r="C260" s="10"/>
      <c r="D260" s="10"/>
      <c r="E260" s="10"/>
      <c r="F260" s="10"/>
      <c r="G260" s="8"/>
      <c r="H260" s="8"/>
      <c r="I260" s="8" t="str">
        <f t="shared" si="6"/>
        <v>借</v>
      </c>
      <c r="J260" s="9">
        <f t="shared" si="7"/>
        <v>1000</v>
      </c>
    </row>
    <row r="261" spans="1:10" ht="20.100000000000001" customHeight="1" x14ac:dyDescent="0.15">
      <c r="A261" s="10"/>
      <c r="B261" s="5"/>
      <c r="C261" s="10"/>
      <c r="D261" s="10"/>
      <c r="E261" s="10"/>
      <c r="F261" s="10"/>
      <c r="G261" s="8"/>
      <c r="H261" s="8"/>
      <c r="I261" s="8" t="str">
        <f t="shared" si="6"/>
        <v>借</v>
      </c>
      <c r="J261" s="9">
        <f t="shared" si="7"/>
        <v>1000</v>
      </c>
    </row>
    <row r="262" spans="1:10" ht="20.100000000000001" customHeight="1" x14ac:dyDescent="0.15">
      <c r="A262" s="10"/>
      <c r="B262" s="5"/>
      <c r="C262" s="10"/>
      <c r="D262" s="10"/>
      <c r="E262" s="10"/>
      <c r="F262" s="10"/>
      <c r="G262" s="8"/>
      <c r="H262" s="8"/>
      <c r="I262" s="8" t="str">
        <f t="shared" ref="I262:I325" si="8">IF((J261+G262-H262)&gt;0,"借","贷")</f>
        <v>借</v>
      </c>
      <c r="J262" s="9">
        <f t="shared" si="7"/>
        <v>1000</v>
      </c>
    </row>
    <row r="263" spans="1:10" ht="20.100000000000001" customHeight="1" x14ac:dyDescent="0.15">
      <c r="A263" s="10"/>
      <c r="B263" s="5"/>
      <c r="C263" s="10"/>
      <c r="D263" s="10"/>
      <c r="E263" s="10"/>
      <c r="F263" s="10"/>
      <c r="G263" s="8"/>
      <c r="H263" s="8"/>
      <c r="I263" s="8" t="str">
        <f t="shared" si="8"/>
        <v>借</v>
      </c>
      <c r="J263" s="9">
        <f t="shared" ref="J263:J326" si="9">J262+G263-H263</f>
        <v>1000</v>
      </c>
    </row>
    <row r="264" spans="1:10" ht="20.100000000000001" customHeight="1" x14ac:dyDescent="0.15">
      <c r="A264" s="10"/>
      <c r="B264" s="5"/>
      <c r="C264" s="10"/>
      <c r="D264" s="10"/>
      <c r="E264" s="10"/>
      <c r="F264" s="10"/>
      <c r="G264" s="8"/>
      <c r="H264" s="8"/>
      <c r="I264" s="8" t="str">
        <f t="shared" si="8"/>
        <v>借</v>
      </c>
      <c r="J264" s="9">
        <f t="shared" si="9"/>
        <v>1000</v>
      </c>
    </row>
    <row r="265" spans="1:10" ht="20.100000000000001" customHeight="1" x14ac:dyDescent="0.15">
      <c r="A265" s="10"/>
      <c r="B265" s="5"/>
      <c r="C265" s="10"/>
      <c r="D265" s="10"/>
      <c r="E265" s="10"/>
      <c r="F265" s="10"/>
      <c r="G265" s="8"/>
      <c r="H265" s="8"/>
      <c r="I265" s="8" t="str">
        <f t="shared" si="8"/>
        <v>借</v>
      </c>
      <c r="J265" s="9">
        <f t="shared" si="9"/>
        <v>1000</v>
      </c>
    </row>
    <row r="266" spans="1:10" ht="20.100000000000001" customHeight="1" x14ac:dyDescent="0.15">
      <c r="A266" s="10"/>
      <c r="B266" s="5"/>
      <c r="C266" s="10"/>
      <c r="D266" s="10"/>
      <c r="E266" s="10"/>
      <c r="F266" s="10"/>
      <c r="G266" s="8"/>
      <c r="H266" s="8"/>
      <c r="I266" s="8" t="str">
        <f t="shared" si="8"/>
        <v>借</v>
      </c>
      <c r="J266" s="9">
        <f t="shared" si="9"/>
        <v>1000</v>
      </c>
    </row>
    <row r="267" spans="1:10" ht="20.100000000000001" customHeight="1" x14ac:dyDescent="0.15">
      <c r="A267" s="10"/>
      <c r="B267" s="5"/>
      <c r="C267" s="10"/>
      <c r="D267" s="10"/>
      <c r="E267" s="10"/>
      <c r="F267" s="10"/>
      <c r="G267" s="8"/>
      <c r="H267" s="8"/>
      <c r="I267" s="8" t="str">
        <f t="shared" si="8"/>
        <v>借</v>
      </c>
      <c r="J267" s="9">
        <f t="shared" si="9"/>
        <v>1000</v>
      </c>
    </row>
    <row r="268" spans="1:10" ht="20.100000000000001" customHeight="1" x14ac:dyDescent="0.15">
      <c r="A268" s="10"/>
      <c r="B268" s="5"/>
      <c r="C268" s="10"/>
      <c r="D268" s="10"/>
      <c r="E268" s="10"/>
      <c r="F268" s="10"/>
      <c r="G268" s="8"/>
      <c r="H268" s="8"/>
      <c r="I268" s="8" t="str">
        <f t="shared" si="8"/>
        <v>借</v>
      </c>
      <c r="J268" s="9">
        <f t="shared" si="9"/>
        <v>1000</v>
      </c>
    </row>
    <row r="269" spans="1:10" ht="20.100000000000001" customHeight="1" x14ac:dyDescent="0.15">
      <c r="A269" s="10"/>
      <c r="B269" s="5"/>
      <c r="C269" s="10"/>
      <c r="D269" s="10"/>
      <c r="E269" s="10"/>
      <c r="F269" s="10"/>
      <c r="G269" s="8"/>
      <c r="H269" s="8"/>
      <c r="I269" s="8" t="str">
        <f t="shared" si="8"/>
        <v>借</v>
      </c>
      <c r="J269" s="9">
        <f t="shared" si="9"/>
        <v>1000</v>
      </c>
    </row>
    <row r="270" spans="1:10" ht="20.100000000000001" customHeight="1" x14ac:dyDescent="0.15">
      <c r="A270" s="10"/>
      <c r="B270" s="5"/>
      <c r="C270" s="10"/>
      <c r="D270" s="10"/>
      <c r="E270" s="10"/>
      <c r="F270" s="10"/>
      <c r="G270" s="8"/>
      <c r="H270" s="8"/>
      <c r="I270" s="8" t="str">
        <f t="shared" si="8"/>
        <v>借</v>
      </c>
      <c r="J270" s="9">
        <f t="shared" si="9"/>
        <v>1000</v>
      </c>
    </row>
    <row r="271" spans="1:10" ht="20.100000000000001" customHeight="1" x14ac:dyDescent="0.15">
      <c r="A271" s="10"/>
      <c r="B271" s="5"/>
      <c r="C271" s="10"/>
      <c r="D271" s="10"/>
      <c r="E271" s="10"/>
      <c r="F271" s="10"/>
      <c r="G271" s="8"/>
      <c r="H271" s="8"/>
      <c r="I271" s="8" t="str">
        <f t="shared" si="8"/>
        <v>借</v>
      </c>
      <c r="J271" s="9">
        <f t="shared" si="9"/>
        <v>1000</v>
      </c>
    </row>
    <row r="272" spans="1:10" ht="20.100000000000001" customHeight="1" x14ac:dyDescent="0.15">
      <c r="A272" s="10"/>
      <c r="B272" s="5"/>
      <c r="C272" s="10"/>
      <c r="D272" s="10"/>
      <c r="E272" s="10"/>
      <c r="F272" s="10"/>
      <c r="G272" s="8"/>
      <c r="H272" s="8"/>
      <c r="I272" s="8" t="str">
        <f t="shared" si="8"/>
        <v>借</v>
      </c>
      <c r="J272" s="9">
        <f t="shared" si="9"/>
        <v>1000</v>
      </c>
    </row>
    <row r="273" spans="1:10" ht="20.100000000000001" customHeight="1" x14ac:dyDescent="0.15">
      <c r="A273" s="10"/>
      <c r="B273" s="5"/>
      <c r="C273" s="10"/>
      <c r="D273" s="10"/>
      <c r="E273" s="10"/>
      <c r="F273" s="10"/>
      <c r="G273" s="8"/>
      <c r="H273" s="8"/>
      <c r="I273" s="8" t="str">
        <f t="shared" si="8"/>
        <v>借</v>
      </c>
      <c r="J273" s="9">
        <f t="shared" si="9"/>
        <v>1000</v>
      </c>
    </row>
    <row r="274" spans="1:10" ht="20.100000000000001" customHeight="1" x14ac:dyDescent="0.15">
      <c r="A274" s="10"/>
      <c r="B274" s="5"/>
      <c r="C274" s="10"/>
      <c r="D274" s="10"/>
      <c r="E274" s="10"/>
      <c r="F274" s="10"/>
      <c r="G274" s="8"/>
      <c r="H274" s="8"/>
      <c r="I274" s="8" t="str">
        <f t="shared" si="8"/>
        <v>借</v>
      </c>
      <c r="J274" s="9">
        <f t="shared" si="9"/>
        <v>1000</v>
      </c>
    </row>
    <row r="275" spans="1:10" ht="20.100000000000001" customHeight="1" x14ac:dyDescent="0.15">
      <c r="A275" s="10"/>
      <c r="B275" s="5"/>
      <c r="C275" s="10"/>
      <c r="D275" s="10"/>
      <c r="E275" s="10"/>
      <c r="F275" s="10"/>
      <c r="G275" s="8"/>
      <c r="H275" s="8"/>
      <c r="I275" s="8" t="str">
        <f t="shared" si="8"/>
        <v>借</v>
      </c>
      <c r="J275" s="9">
        <f t="shared" si="9"/>
        <v>1000</v>
      </c>
    </row>
    <row r="276" spans="1:10" ht="20.100000000000001" customHeight="1" x14ac:dyDescent="0.15">
      <c r="A276" s="10"/>
      <c r="B276" s="5"/>
      <c r="C276" s="10"/>
      <c r="D276" s="10"/>
      <c r="E276" s="10"/>
      <c r="F276" s="10"/>
      <c r="G276" s="8"/>
      <c r="H276" s="8"/>
      <c r="I276" s="8" t="str">
        <f t="shared" si="8"/>
        <v>借</v>
      </c>
      <c r="J276" s="9">
        <f t="shared" si="9"/>
        <v>1000</v>
      </c>
    </row>
    <row r="277" spans="1:10" ht="20.100000000000001" customHeight="1" x14ac:dyDescent="0.15">
      <c r="A277" s="10"/>
      <c r="B277" s="5"/>
      <c r="C277" s="10"/>
      <c r="D277" s="10"/>
      <c r="E277" s="10"/>
      <c r="F277" s="10"/>
      <c r="G277" s="8"/>
      <c r="H277" s="8"/>
      <c r="I277" s="8" t="str">
        <f t="shared" si="8"/>
        <v>借</v>
      </c>
      <c r="J277" s="9">
        <f t="shared" si="9"/>
        <v>1000</v>
      </c>
    </row>
    <row r="278" spans="1:10" ht="20.100000000000001" customHeight="1" x14ac:dyDescent="0.15">
      <c r="A278" s="10"/>
      <c r="B278" s="5"/>
      <c r="C278" s="10"/>
      <c r="D278" s="10"/>
      <c r="E278" s="10"/>
      <c r="F278" s="10"/>
      <c r="G278" s="8"/>
      <c r="H278" s="8"/>
      <c r="I278" s="8" t="str">
        <f t="shared" si="8"/>
        <v>借</v>
      </c>
      <c r="J278" s="9">
        <f t="shared" si="9"/>
        <v>1000</v>
      </c>
    </row>
    <row r="279" spans="1:10" ht="20.100000000000001" customHeight="1" x14ac:dyDescent="0.15">
      <c r="A279" s="10"/>
      <c r="B279" s="5"/>
      <c r="C279" s="10"/>
      <c r="D279" s="10"/>
      <c r="E279" s="10"/>
      <c r="F279" s="10"/>
      <c r="G279" s="8"/>
      <c r="H279" s="8"/>
      <c r="I279" s="8" t="str">
        <f t="shared" si="8"/>
        <v>借</v>
      </c>
      <c r="J279" s="9">
        <f t="shared" si="9"/>
        <v>1000</v>
      </c>
    </row>
    <row r="280" spans="1:10" ht="20.100000000000001" customHeight="1" x14ac:dyDescent="0.15">
      <c r="A280" s="10"/>
      <c r="B280" s="5"/>
      <c r="C280" s="10"/>
      <c r="D280" s="10"/>
      <c r="E280" s="10"/>
      <c r="F280" s="10"/>
      <c r="G280" s="8"/>
      <c r="H280" s="8"/>
      <c r="I280" s="8" t="str">
        <f t="shared" si="8"/>
        <v>借</v>
      </c>
      <c r="J280" s="9">
        <f t="shared" si="9"/>
        <v>1000</v>
      </c>
    </row>
    <row r="281" spans="1:10" ht="20.100000000000001" customHeight="1" x14ac:dyDescent="0.15">
      <c r="A281" s="10"/>
      <c r="B281" s="5"/>
      <c r="C281" s="10"/>
      <c r="D281" s="10"/>
      <c r="E281" s="10"/>
      <c r="F281" s="10"/>
      <c r="G281" s="8"/>
      <c r="H281" s="8"/>
      <c r="I281" s="8" t="str">
        <f t="shared" si="8"/>
        <v>借</v>
      </c>
      <c r="J281" s="9">
        <f t="shared" si="9"/>
        <v>1000</v>
      </c>
    </row>
    <row r="282" spans="1:10" ht="20.100000000000001" customHeight="1" x14ac:dyDescent="0.15">
      <c r="A282" s="10"/>
      <c r="B282" s="5"/>
      <c r="C282" s="10"/>
      <c r="D282" s="10"/>
      <c r="E282" s="10"/>
      <c r="F282" s="10"/>
      <c r="G282" s="8"/>
      <c r="H282" s="8"/>
      <c r="I282" s="8" t="str">
        <f t="shared" si="8"/>
        <v>借</v>
      </c>
      <c r="J282" s="9">
        <f t="shared" si="9"/>
        <v>1000</v>
      </c>
    </row>
    <row r="283" spans="1:10" ht="20.100000000000001" customHeight="1" x14ac:dyDescent="0.15">
      <c r="A283" s="10"/>
      <c r="B283" s="5"/>
      <c r="C283" s="10"/>
      <c r="D283" s="10"/>
      <c r="E283" s="10"/>
      <c r="F283" s="10"/>
      <c r="G283" s="8"/>
      <c r="H283" s="8"/>
      <c r="I283" s="8" t="str">
        <f t="shared" si="8"/>
        <v>借</v>
      </c>
      <c r="J283" s="9">
        <f t="shared" si="9"/>
        <v>1000</v>
      </c>
    </row>
    <row r="284" spans="1:10" ht="20.100000000000001" customHeight="1" x14ac:dyDescent="0.15">
      <c r="A284" s="10"/>
      <c r="B284" s="5"/>
      <c r="C284" s="10"/>
      <c r="D284" s="10"/>
      <c r="E284" s="10"/>
      <c r="F284" s="10"/>
      <c r="G284" s="8"/>
      <c r="H284" s="8"/>
      <c r="I284" s="8" t="str">
        <f t="shared" si="8"/>
        <v>借</v>
      </c>
      <c r="J284" s="9">
        <f t="shared" si="9"/>
        <v>1000</v>
      </c>
    </row>
    <row r="285" spans="1:10" ht="20.100000000000001" customHeight="1" x14ac:dyDescent="0.15">
      <c r="A285" s="10"/>
      <c r="B285" s="5"/>
      <c r="C285" s="10"/>
      <c r="D285" s="10"/>
      <c r="E285" s="10"/>
      <c r="F285" s="10"/>
      <c r="G285" s="8"/>
      <c r="H285" s="8"/>
      <c r="I285" s="8" t="str">
        <f t="shared" si="8"/>
        <v>借</v>
      </c>
      <c r="J285" s="9">
        <f t="shared" si="9"/>
        <v>1000</v>
      </c>
    </row>
    <row r="286" spans="1:10" ht="20.100000000000001" customHeight="1" x14ac:dyDescent="0.15">
      <c r="A286" s="10"/>
      <c r="B286" s="5"/>
      <c r="C286" s="10"/>
      <c r="D286" s="10"/>
      <c r="E286" s="10"/>
      <c r="F286" s="10"/>
      <c r="G286" s="8"/>
      <c r="H286" s="8"/>
      <c r="I286" s="8" t="str">
        <f t="shared" si="8"/>
        <v>借</v>
      </c>
      <c r="J286" s="9">
        <f t="shared" si="9"/>
        <v>1000</v>
      </c>
    </row>
    <row r="287" spans="1:10" ht="20.100000000000001" customHeight="1" x14ac:dyDescent="0.15">
      <c r="A287" s="10"/>
      <c r="B287" s="5"/>
      <c r="C287" s="10"/>
      <c r="D287" s="10"/>
      <c r="E287" s="10"/>
      <c r="F287" s="10"/>
      <c r="G287" s="8"/>
      <c r="H287" s="8"/>
      <c r="I287" s="8" t="str">
        <f t="shared" si="8"/>
        <v>借</v>
      </c>
      <c r="J287" s="9">
        <f t="shared" si="9"/>
        <v>1000</v>
      </c>
    </row>
    <row r="288" spans="1:10" ht="20.100000000000001" customHeight="1" x14ac:dyDescent="0.15">
      <c r="A288" s="10"/>
      <c r="B288" s="5"/>
      <c r="C288" s="10"/>
      <c r="D288" s="10"/>
      <c r="E288" s="10"/>
      <c r="F288" s="10"/>
      <c r="G288" s="8"/>
      <c r="H288" s="8"/>
      <c r="I288" s="8" t="str">
        <f t="shared" si="8"/>
        <v>借</v>
      </c>
      <c r="J288" s="9">
        <f t="shared" si="9"/>
        <v>1000</v>
      </c>
    </row>
    <row r="289" spans="1:10" ht="20.100000000000001" customHeight="1" x14ac:dyDescent="0.15">
      <c r="A289" s="10"/>
      <c r="B289" s="5"/>
      <c r="C289" s="10"/>
      <c r="D289" s="10"/>
      <c r="E289" s="10"/>
      <c r="F289" s="10"/>
      <c r="G289" s="8"/>
      <c r="H289" s="8"/>
      <c r="I289" s="8" t="str">
        <f t="shared" si="8"/>
        <v>借</v>
      </c>
      <c r="J289" s="9">
        <f t="shared" si="9"/>
        <v>1000</v>
      </c>
    </row>
    <row r="290" spans="1:10" ht="20.100000000000001" customHeight="1" x14ac:dyDescent="0.15">
      <c r="A290" s="10"/>
      <c r="B290" s="5"/>
      <c r="C290" s="10"/>
      <c r="D290" s="10"/>
      <c r="E290" s="10"/>
      <c r="F290" s="10"/>
      <c r="G290" s="8"/>
      <c r="H290" s="8"/>
      <c r="I290" s="8" t="str">
        <f t="shared" si="8"/>
        <v>借</v>
      </c>
      <c r="J290" s="9">
        <f t="shared" si="9"/>
        <v>1000</v>
      </c>
    </row>
    <row r="291" spans="1:10" ht="20.100000000000001" customHeight="1" x14ac:dyDescent="0.15">
      <c r="A291" s="10"/>
      <c r="B291" s="5"/>
      <c r="C291" s="10"/>
      <c r="D291" s="10"/>
      <c r="E291" s="10"/>
      <c r="F291" s="10"/>
      <c r="G291" s="8"/>
      <c r="H291" s="8"/>
      <c r="I291" s="8" t="str">
        <f t="shared" si="8"/>
        <v>借</v>
      </c>
      <c r="J291" s="9">
        <f t="shared" si="9"/>
        <v>1000</v>
      </c>
    </row>
    <row r="292" spans="1:10" ht="20.100000000000001" customHeight="1" x14ac:dyDescent="0.15">
      <c r="A292" s="10"/>
      <c r="B292" s="5"/>
      <c r="C292" s="10"/>
      <c r="D292" s="10"/>
      <c r="E292" s="10"/>
      <c r="F292" s="10"/>
      <c r="G292" s="8"/>
      <c r="H292" s="8"/>
      <c r="I292" s="8" t="str">
        <f t="shared" si="8"/>
        <v>借</v>
      </c>
      <c r="J292" s="9">
        <f t="shared" si="9"/>
        <v>1000</v>
      </c>
    </row>
    <row r="293" spans="1:10" ht="20.100000000000001" customHeight="1" x14ac:dyDescent="0.15">
      <c r="A293" s="10"/>
      <c r="B293" s="5"/>
      <c r="C293" s="10"/>
      <c r="D293" s="10"/>
      <c r="E293" s="10"/>
      <c r="F293" s="10"/>
      <c r="G293" s="8"/>
      <c r="H293" s="8"/>
      <c r="I293" s="8" t="str">
        <f t="shared" si="8"/>
        <v>借</v>
      </c>
      <c r="J293" s="9">
        <f t="shared" si="9"/>
        <v>1000</v>
      </c>
    </row>
    <row r="294" spans="1:10" ht="20.100000000000001" customHeight="1" x14ac:dyDescent="0.15">
      <c r="A294" s="10"/>
      <c r="B294" s="5"/>
      <c r="C294" s="10"/>
      <c r="D294" s="10"/>
      <c r="E294" s="10"/>
      <c r="F294" s="10"/>
      <c r="G294" s="8"/>
      <c r="H294" s="8"/>
      <c r="I294" s="8" t="str">
        <f t="shared" si="8"/>
        <v>借</v>
      </c>
      <c r="J294" s="9">
        <f t="shared" si="9"/>
        <v>1000</v>
      </c>
    </row>
    <row r="295" spans="1:10" ht="20.100000000000001" customHeight="1" x14ac:dyDescent="0.15">
      <c r="A295" s="10"/>
      <c r="B295" s="5"/>
      <c r="C295" s="10"/>
      <c r="D295" s="10"/>
      <c r="E295" s="10"/>
      <c r="F295" s="10"/>
      <c r="G295" s="8"/>
      <c r="H295" s="8"/>
      <c r="I295" s="8" t="str">
        <f t="shared" si="8"/>
        <v>借</v>
      </c>
      <c r="J295" s="9">
        <f t="shared" si="9"/>
        <v>1000</v>
      </c>
    </row>
    <row r="296" spans="1:10" ht="20.100000000000001" customHeight="1" x14ac:dyDescent="0.15">
      <c r="A296" s="10"/>
      <c r="B296" s="5"/>
      <c r="C296" s="10"/>
      <c r="D296" s="10"/>
      <c r="E296" s="10"/>
      <c r="F296" s="10"/>
      <c r="G296" s="8"/>
      <c r="H296" s="8"/>
      <c r="I296" s="8" t="str">
        <f t="shared" si="8"/>
        <v>借</v>
      </c>
      <c r="J296" s="9">
        <f t="shared" si="9"/>
        <v>1000</v>
      </c>
    </row>
    <row r="297" spans="1:10" ht="20.100000000000001" customHeight="1" x14ac:dyDescent="0.15">
      <c r="A297" s="10"/>
      <c r="B297" s="5"/>
      <c r="C297" s="10"/>
      <c r="D297" s="10"/>
      <c r="E297" s="10"/>
      <c r="F297" s="10"/>
      <c r="G297" s="8"/>
      <c r="H297" s="8"/>
      <c r="I297" s="8" t="str">
        <f t="shared" si="8"/>
        <v>借</v>
      </c>
      <c r="J297" s="9">
        <f t="shared" si="9"/>
        <v>1000</v>
      </c>
    </row>
    <row r="298" spans="1:10" ht="20.100000000000001" customHeight="1" x14ac:dyDescent="0.15">
      <c r="A298" s="10"/>
      <c r="B298" s="5"/>
      <c r="C298" s="10"/>
      <c r="D298" s="10"/>
      <c r="E298" s="10"/>
      <c r="F298" s="10"/>
      <c r="G298" s="8"/>
      <c r="H298" s="8"/>
      <c r="I298" s="8" t="str">
        <f t="shared" si="8"/>
        <v>借</v>
      </c>
      <c r="J298" s="9">
        <f t="shared" si="9"/>
        <v>1000</v>
      </c>
    </row>
    <row r="299" spans="1:10" ht="20.100000000000001" customHeight="1" x14ac:dyDescent="0.15">
      <c r="A299" s="10"/>
      <c r="B299" s="5"/>
      <c r="C299" s="10"/>
      <c r="D299" s="10"/>
      <c r="E299" s="10"/>
      <c r="F299" s="10"/>
      <c r="G299" s="8"/>
      <c r="H299" s="8"/>
      <c r="I299" s="8" t="str">
        <f t="shared" si="8"/>
        <v>借</v>
      </c>
      <c r="J299" s="9">
        <f t="shared" si="9"/>
        <v>1000</v>
      </c>
    </row>
    <row r="300" spans="1:10" ht="20.100000000000001" customHeight="1" x14ac:dyDescent="0.15">
      <c r="A300" s="10"/>
      <c r="B300" s="5"/>
      <c r="C300" s="10"/>
      <c r="D300" s="10"/>
      <c r="E300" s="10"/>
      <c r="F300" s="10"/>
      <c r="G300" s="8"/>
      <c r="H300" s="8"/>
      <c r="I300" s="8" t="str">
        <f t="shared" si="8"/>
        <v>借</v>
      </c>
      <c r="J300" s="9">
        <f t="shared" si="9"/>
        <v>1000</v>
      </c>
    </row>
    <row r="301" spans="1:10" ht="20.100000000000001" customHeight="1" x14ac:dyDescent="0.15">
      <c r="A301" s="10"/>
      <c r="B301" s="5"/>
      <c r="C301" s="10"/>
      <c r="D301" s="10"/>
      <c r="E301" s="10"/>
      <c r="F301" s="10"/>
      <c r="G301" s="8"/>
      <c r="H301" s="8"/>
      <c r="I301" s="8" t="str">
        <f t="shared" si="8"/>
        <v>借</v>
      </c>
      <c r="J301" s="9">
        <f t="shared" si="9"/>
        <v>1000</v>
      </c>
    </row>
    <row r="302" spans="1:10" ht="20.100000000000001" customHeight="1" x14ac:dyDescent="0.15">
      <c r="A302" s="10"/>
      <c r="B302" s="5"/>
      <c r="C302" s="10"/>
      <c r="D302" s="10"/>
      <c r="E302" s="10"/>
      <c r="F302" s="10"/>
      <c r="G302" s="8"/>
      <c r="H302" s="8"/>
      <c r="I302" s="8" t="str">
        <f t="shared" si="8"/>
        <v>借</v>
      </c>
      <c r="J302" s="9">
        <f t="shared" si="9"/>
        <v>1000</v>
      </c>
    </row>
    <row r="303" spans="1:10" ht="20.100000000000001" customHeight="1" x14ac:dyDescent="0.15">
      <c r="A303" s="10"/>
      <c r="B303" s="5"/>
      <c r="C303" s="10"/>
      <c r="D303" s="10"/>
      <c r="E303" s="10"/>
      <c r="F303" s="10"/>
      <c r="G303" s="8"/>
      <c r="H303" s="8"/>
      <c r="I303" s="8" t="str">
        <f t="shared" si="8"/>
        <v>借</v>
      </c>
      <c r="J303" s="9">
        <f t="shared" si="9"/>
        <v>1000</v>
      </c>
    </row>
    <row r="304" spans="1:10" ht="20.100000000000001" customHeight="1" x14ac:dyDescent="0.15">
      <c r="A304" s="10"/>
      <c r="B304" s="5"/>
      <c r="C304" s="10"/>
      <c r="D304" s="10"/>
      <c r="E304" s="10"/>
      <c r="F304" s="10"/>
      <c r="G304" s="8"/>
      <c r="H304" s="8"/>
      <c r="I304" s="8" t="str">
        <f t="shared" si="8"/>
        <v>借</v>
      </c>
      <c r="J304" s="9">
        <f t="shared" si="9"/>
        <v>1000</v>
      </c>
    </row>
    <row r="305" spans="1:10" ht="20.100000000000001" customHeight="1" x14ac:dyDescent="0.15">
      <c r="A305" s="10"/>
      <c r="B305" s="5"/>
      <c r="C305" s="10"/>
      <c r="D305" s="10"/>
      <c r="E305" s="10"/>
      <c r="F305" s="10"/>
      <c r="G305" s="8"/>
      <c r="H305" s="8"/>
      <c r="I305" s="8" t="str">
        <f t="shared" si="8"/>
        <v>借</v>
      </c>
      <c r="J305" s="9">
        <f t="shared" si="9"/>
        <v>1000</v>
      </c>
    </row>
    <row r="306" spans="1:10" ht="20.100000000000001" customHeight="1" x14ac:dyDescent="0.15">
      <c r="A306" s="10"/>
      <c r="B306" s="5"/>
      <c r="C306" s="10"/>
      <c r="D306" s="10"/>
      <c r="E306" s="10"/>
      <c r="F306" s="10"/>
      <c r="G306" s="8"/>
      <c r="H306" s="8"/>
      <c r="I306" s="8" t="str">
        <f t="shared" si="8"/>
        <v>借</v>
      </c>
      <c r="J306" s="9">
        <f t="shared" si="9"/>
        <v>1000</v>
      </c>
    </row>
    <row r="307" spans="1:10" ht="20.100000000000001" customHeight="1" x14ac:dyDescent="0.15">
      <c r="A307" s="10"/>
      <c r="B307" s="5"/>
      <c r="C307" s="10"/>
      <c r="D307" s="10"/>
      <c r="E307" s="10"/>
      <c r="F307" s="10"/>
      <c r="G307" s="8"/>
      <c r="H307" s="8"/>
      <c r="I307" s="8" t="str">
        <f t="shared" si="8"/>
        <v>借</v>
      </c>
      <c r="J307" s="9">
        <f t="shared" si="9"/>
        <v>1000</v>
      </c>
    </row>
    <row r="308" spans="1:10" ht="20.100000000000001" customHeight="1" x14ac:dyDescent="0.15">
      <c r="A308" s="10"/>
      <c r="B308" s="5"/>
      <c r="C308" s="10"/>
      <c r="D308" s="10"/>
      <c r="E308" s="10"/>
      <c r="F308" s="10"/>
      <c r="G308" s="8"/>
      <c r="H308" s="8"/>
      <c r="I308" s="8" t="str">
        <f t="shared" si="8"/>
        <v>借</v>
      </c>
      <c r="J308" s="9">
        <f t="shared" si="9"/>
        <v>1000</v>
      </c>
    </row>
    <row r="309" spans="1:10" ht="20.100000000000001" customHeight="1" x14ac:dyDescent="0.15">
      <c r="A309" s="10"/>
      <c r="B309" s="5"/>
      <c r="C309" s="10"/>
      <c r="D309" s="10"/>
      <c r="E309" s="10"/>
      <c r="F309" s="10"/>
      <c r="G309" s="8"/>
      <c r="H309" s="8"/>
      <c r="I309" s="8" t="str">
        <f t="shared" si="8"/>
        <v>借</v>
      </c>
      <c r="J309" s="9">
        <f t="shared" si="9"/>
        <v>1000</v>
      </c>
    </row>
    <row r="310" spans="1:10" ht="20.100000000000001" customHeight="1" x14ac:dyDescent="0.15">
      <c r="A310" s="10"/>
      <c r="B310" s="5"/>
      <c r="C310" s="10"/>
      <c r="D310" s="10"/>
      <c r="E310" s="10"/>
      <c r="F310" s="10"/>
      <c r="G310" s="8"/>
      <c r="H310" s="8"/>
      <c r="I310" s="8" t="str">
        <f t="shared" si="8"/>
        <v>借</v>
      </c>
      <c r="J310" s="9">
        <f t="shared" si="9"/>
        <v>1000</v>
      </c>
    </row>
    <row r="311" spans="1:10" ht="20.100000000000001" customHeight="1" x14ac:dyDescent="0.15">
      <c r="A311" s="10"/>
      <c r="B311" s="5"/>
      <c r="C311" s="10"/>
      <c r="D311" s="10"/>
      <c r="E311" s="10"/>
      <c r="F311" s="10"/>
      <c r="G311" s="8"/>
      <c r="H311" s="8"/>
      <c r="I311" s="8" t="str">
        <f t="shared" si="8"/>
        <v>借</v>
      </c>
      <c r="J311" s="9">
        <f t="shared" si="9"/>
        <v>1000</v>
      </c>
    </row>
    <row r="312" spans="1:10" ht="20.100000000000001" customHeight="1" x14ac:dyDescent="0.15">
      <c r="A312" s="10"/>
      <c r="B312" s="5"/>
      <c r="C312" s="10"/>
      <c r="D312" s="10"/>
      <c r="E312" s="10"/>
      <c r="F312" s="10"/>
      <c r="G312" s="8"/>
      <c r="H312" s="8"/>
      <c r="I312" s="8" t="str">
        <f t="shared" si="8"/>
        <v>借</v>
      </c>
      <c r="J312" s="9">
        <f t="shared" si="9"/>
        <v>1000</v>
      </c>
    </row>
    <row r="313" spans="1:10" ht="20.100000000000001" customHeight="1" x14ac:dyDescent="0.15">
      <c r="A313" s="10"/>
      <c r="B313" s="5"/>
      <c r="C313" s="10"/>
      <c r="D313" s="10"/>
      <c r="E313" s="10"/>
      <c r="F313" s="10"/>
      <c r="G313" s="8"/>
      <c r="H313" s="8"/>
      <c r="I313" s="8" t="str">
        <f t="shared" si="8"/>
        <v>借</v>
      </c>
      <c r="J313" s="9">
        <f t="shared" si="9"/>
        <v>1000</v>
      </c>
    </row>
    <row r="314" spans="1:10" ht="20.100000000000001" customHeight="1" x14ac:dyDescent="0.15">
      <c r="A314" s="10"/>
      <c r="B314" s="5"/>
      <c r="C314" s="10"/>
      <c r="D314" s="10"/>
      <c r="E314" s="10"/>
      <c r="F314" s="10"/>
      <c r="G314" s="8"/>
      <c r="H314" s="8"/>
      <c r="I314" s="8" t="str">
        <f t="shared" si="8"/>
        <v>借</v>
      </c>
      <c r="J314" s="9">
        <f t="shared" si="9"/>
        <v>1000</v>
      </c>
    </row>
    <row r="315" spans="1:10" ht="20.100000000000001" customHeight="1" x14ac:dyDescent="0.15">
      <c r="A315" s="10"/>
      <c r="B315" s="5"/>
      <c r="C315" s="10"/>
      <c r="D315" s="10"/>
      <c r="E315" s="10"/>
      <c r="F315" s="10"/>
      <c r="G315" s="8"/>
      <c r="H315" s="8"/>
      <c r="I315" s="8" t="str">
        <f t="shared" si="8"/>
        <v>借</v>
      </c>
      <c r="J315" s="9">
        <f t="shared" si="9"/>
        <v>1000</v>
      </c>
    </row>
    <row r="316" spans="1:10" ht="20.100000000000001" customHeight="1" x14ac:dyDescent="0.15">
      <c r="A316" s="10"/>
      <c r="B316" s="5"/>
      <c r="C316" s="10"/>
      <c r="D316" s="10"/>
      <c r="E316" s="10"/>
      <c r="F316" s="10"/>
      <c r="G316" s="8"/>
      <c r="H316" s="8"/>
      <c r="I316" s="8" t="str">
        <f t="shared" si="8"/>
        <v>借</v>
      </c>
      <c r="J316" s="9">
        <f t="shared" si="9"/>
        <v>1000</v>
      </c>
    </row>
    <row r="317" spans="1:10" ht="20.100000000000001" customHeight="1" x14ac:dyDescent="0.15">
      <c r="A317" s="10"/>
      <c r="B317" s="5"/>
      <c r="C317" s="10"/>
      <c r="D317" s="10"/>
      <c r="E317" s="10"/>
      <c r="F317" s="10"/>
      <c r="G317" s="8"/>
      <c r="H317" s="8"/>
      <c r="I317" s="8" t="str">
        <f t="shared" si="8"/>
        <v>借</v>
      </c>
      <c r="J317" s="9">
        <f t="shared" si="9"/>
        <v>1000</v>
      </c>
    </row>
    <row r="318" spans="1:10" ht="20.100000000000001" customHeight="1" x14ac:dyDescent="0.15">
      <c r="A318" s="10"/>
      <c r="B318" s="5"/>
      <c r="C318" s="10"/>
      <c r="D318" s="10"/>
      <c r="E318" s="10"/>
      <c r="F318" s="10"/>
      <c r="G318" s="8"/>
      <c r="H318" s="8"/>
      <c r="I318" s="8" t="str">
        <f t="shared" si="8"/>
        <v>借</v>
      </c>
      <c r="J318" s="9">
        <f t="shared" si="9"/>
        <v>1000</v>
      </c>
    </row>
    <row r="319" spans="1:10" ht="20.100000000000001" customHeight="1" x14ac:dyDescent="0.15">
      <c r="A319" s="10"/>
      <c r="B319" s="5"/>
      <c r="C319" s="10"/>
      <c r="D319" s="10"/>
      <c r="E319" s="10"/>
      <c r="F319" s="10"/>
      <c r="G319" s="8"/>
      <c r="H319" s="8"/>
      <c r="I319" s="8" t="str">
        <f t="shared" si="8"/>
        <v>借</v>
      </c>
      <c r="J319" s="9">
        <f t="shared" si="9"/>
        <v>1000</v>
      </c>
    </row>
    <row r="320" spans="1:10" ht="20.100000000000001" customHeight="1" x14ac:dyDescent="0.15">
      <c r="A320" s="10"/>
      <c r="B320" s="5"/>
      <c r="C320" s="10"/>
      <c r="D320" s="10"/>
      <c r="E320" s="10"/>
      <c r="F320" s="10"/>
      <c r="G320" s="8"/>
      <c r="H320" s="8"/>
      <c r="I320" s="8" t="str">
        <f t="shared" si="8"/>
        <v>借</v>
      </c>
      <c r="J320" s="9">
        <f t="shared" si="9"/>
        <v>1000</v>
      </c>
    </row>
    <row r="321" spans="1:10" ht="20.100000000000001" customHeight="1" x14ac:dyDescent="0.15">
      <c r="A321" s="10"/>
      <c r="B321" s="5"/>
      <c r="C321" s="10"/>
      <c r="D321" s="10"/>
      <c r="E321" s="10"/>
      <c r="F321" s="10"/>
      <c r="G321" s="8"/>
      <c r="H321" s="8"/>
      <c r="I321" s="8" t="str">
        <f t="shared" si="8"/>
        <v>借</v>
      </c>
      <c r="J321" s="9">
        <f t="shared" si="9"/>
        <v>1000</v>
      </c>
    </row>
    <row r="322" spans="1:10" ht="20.100000000000001" customHeight="1" x14ac:dyDescent="0.15">
      <c r="A322" s="10"/>
      <c r="B322" s="5"/>
      <c r="C322" s="10"/>
      <c r="D322" s="10"/>
      <c r="E322" s="10"/>
      <c r="F322" s="10"/>
      <c r="G322" s="8"/>
      <c r="H322" s="8"/>
      <c r="I322" s="8" t="str">
        <f t="shared" si="8"/>
        <v>借</v>
      </c>
      <c r="J322" s="9">
        <f t="shared" si="9"/>
        <v>1000</v>
      </c>
    </row>
    <row r="323" spans="1:10" ht="20.100000000000001" customHeight="1" x14ac:dyDescent="0.15">
      <c r="A323" s="10"/>
      <c r="B323" s="5"/>
      <c r="C323" s="10"/>
      <c r="D323" s="10"/>
      <c r="E323" s="10"/>
      <c r="F323" s="10"/>
      <c r="G323" s="8"/>
      <c r="H323" s="8"/>
      <c r="I323" s="8" t="str">
        <f t="shared" si="8"/>
        <v>借</v>
      </c>
      <c r="J323" s="9">
        <f t="shared" si="9"/>
        <v>1000</v>
      </c>
    </row>
    <row r="324" spans="1:10" ht="20.100000000000001" customHeight="1" x14ac:dyDescent="0.15">
      <c r="A324" s="10"/>
      <c r="B324" s="5"/>
      <c r="C324" s="10"/>
      <c r="D324" s="10"/>
      <c r="E324" s="10"/>
      <c r="F324" s="10"/>
      <c r="G324" s="8"/>
      <c r="H324" s="8"/>
      <c r="I324" s="8" t="str">
        <f t="shared" si="8"/>
        <v>借</v>
      </c>
      <c r="J324" s="9">
        <f t="shared" si="9"/>
        <v>1000</v>
      </c>
    </row>
    <row r="325" spans="1:10" ht="20.100000000000001" customHeight="1" x14ac:dyDescent="0.15">
      <c r="A325" s="10"/>
      <c r="B325" s="5"/>
      <c r="C325" s="10"/>
      <c r="D325" s="10"/>
      <c r="E325" s="10"/>
      <c r="F325" s="10"/>
      <c r="G325" s="8"/>
      <c r="H325" s="8"/>
      <c r="I325" s="8" t="str">
        <f t="shared" si="8"/>
        <v>借</v>
      </c>
      <c r="J325" s="9">
        <f t="shared" si="9"/>
        <v>1000</v>
      </c>
    </row>
    <row r="326" spans="1:10" ht="20.100000000000001" customHeight="1" x14ac:dyDescent="0.15">
      <c r="A326" s="10"/>
      <c r="B326" s="5"/>
      <c r="C326" s="10"/>
      <c r="D326" s="10"/>
      <c r="E326" s="10"/>
      <c r="F326" s="10"/>
      <c r="G326" s="8"/>
      <c r="H326" s="8"/>
      <c r="I326" s="8" t="str">
        <f t="shared" ref="I326:I389" si="10">IF((J325+G326-H326)&gt;0,"借","贷")</f>
        <v>借</v>
      </c>
      <c r="J326" s="9">
        <f t="shared" si="9"/>
        <v>1000</v>
      </c>
    </row>
    <row r="327" spans="1:10" ht="20.100000000000001" customHeight="1" x14ac:dyDescent="0.15">
      <c r="A327" s="10"/>
      <c r="B327" s="5"/>
      <c r="C327" s="10"/>
      <c r="D327" s="10"/>
      <c r="E327" s="10"/>
      <c r="F327" s="10"/>
      <c r="G327" s="8"/>
      <c r="H327" s="8"/>
      <c r="I327" s="8" t="str">
        <f t="shared" si="10"/>
        <v>借</v>
      </c>
      <c r="J327" s="9">
        <f t="shared" ref="J327:J390" si="11">J326+G327-H327</f>
        <v>1000</v>
      </c>
    </row>
    <row r="328" spans="1:10" ht="20.100000000000001" customHeight="1" x14ac:dyDescent="0.15">
      <c r="A328" s="10"/>
      <c r="B328" s="5"/>
      <c r="C328" s="10"/>
      <c r="D328" s="10"/>
      <c r="E328" s="10"/>
      <c r="F328" s="10"/>
      <c r="G328" s="8"/>
      <c r="H328" s="8"/>
      <c r="I328" s="8" t="str">
        <f t="shared" si="10"/>
        <v>借</v>
      </c>
      <c r="J328" s="9">
        <f t="shared" si="11"/>
        <v>1000</v>
      </c>
    </row>
    <row r="329" spans="1:10" ht="20.100000000000001" customHeight="1" x14ac:dyDescent="0.15">
      <c r="A329" s="10"/>
      <c r="B329" s="5"/>
      <c r="C329" s="10"/>
      <c r="D329" s="10"/>
      <c r="E329" s="10"/>
      <c r="F329" s="10"/>
      <c r="G329" s="8"/>
      <c r="H329" s="8"/>
      <c r="I329" s="8" t="str">
        <f t="shared" si="10"/>
        <v>借</v>
      </c>
      <c r="J329" s="9">
        <f t="shared" si="11"/>
        <v>1000</v>
      </c>
    </row>
    <row r="330" spans="1:10" ht="20.100000000000001" customHeight="1" x14ac:dyDescent="0.15">
      <c r="A330" s="10"/>
      <c r="B330" s="5"/>
      <c r="C330" s="10"/>
      <c r="D330" s="10"/>
      <c r="E330" s="10"/>
      <c r="F330" s="10"/>
      <c r="G330" s="8"/>
      <c r="H330" s="8"/>
      <c r="I330" s="8" t="str">
        <f t="shared" si="10"/>
        <v>借</v>
      </c>
      <c r="J330" s="9">
        <f t="shared" si="11"/>
        <v>1000</v>
      </c>
    </row>
    <row r="331" spans="1:10" ht="20.100000000000001" customHeight="1" x14ac:dyDescent="0.15">
      <c r="A331" s="10"/>
      <c r="B331" s="5"/>
      <c r="C331" s="10"/>
      <c r="D331" s="10"/>
      <c r="E331" s="10"/>
      <c r="F331" s="10"/>
      <c r="G331" s="8"/>
      <c r="H331" s="8"/>
      <c r="I331" s="8" t="str">
        <f t="shared" si="10"/>
        <v>借</v>
      </c>
      <c r="J331" s="9">
        <f t="shared" si="11"/>
        <v>1000</v>
      </c>
    </row>
    <row r="332" spans="1:10" ht="20.100000000000001" customHeight="1" x14ac:dyDescent="0.15">
      <c r="A332" s="10"/>
      <c r="B332" s="5"/>
      <c r="C332" s="10"/>
      <c r="D332" s="10"/>
      <c r="E332" s="10"/>
      <c r="F332" s="10"/>
      <c r="G332" s="8"/>
      <c r="H332" s="8"/>
      <c r="I332" s="8" t="str">
        <f t="shared" si="10"/>
        <v>借</v>
      </c>
      <c r="J332" s="9">
        <f t="shared" si="11"/>
        <v>1000</v>
      </c>
    </row>
    <row r="333" spans="1:10" ht="20.100000000000001" customHeight="1" x14ac:dyDescent="0.15">
      <c r="A333" s="10"/>
      <c r="B333" s="5"/>
      <c r="C333" s="10"/>
      <c r="D333" s="10"/>
      <c r="E333" s="10"/>
      <c r="F333" s="10"/>
      <c r="G333" s="8"/>
      <c r="H333" s="8"/>
      <c r="I333" s="8" t="str">
        <f t="shared" si="10"/>
        <v>借</v>
      </c>
      <c r="J333" s="9">
        <f t="shared" si="11"/>
        <v>1000</v>
      </c>
    </row>
    <row r="334" spans="1:10" ht="20.100000000000001" customHeight="1" x14ac:dyDescent="0.15">
      <c r="A334" s="10"/>
      <c r="B334" s="5"/>
      <c r="C334" s="10"/>
      <c r="D334" s="10"/>
      <c r="E334" s="10"/>
      <c r="F334" s="10"/>
      <c r="G334" s="8"/>
      <c r="H334" s="8"/>
      <c r="I334" s="8" t="str">
        <f t="shared" si="10"/>
        <v>借</v>
      </c>
      <c r="J334" s="9">
        <f t="shared" si="11"/>
        <v>1000</v>
      </c>
    </row>
    <row r="335" spans="1:10" ht="20.100000000000001" customHeight="1" x14ac:dyDescent="0.15">
      <c r="A335" s="10"/>
      <c r="B335" s="5"/>
      <c r="C335" s="10"/>
      <c r="D335" s="10"/>
      <c r="E335" s="10"/>
      <c r="F335" s="10"/>
      <c r="G335" s="8"/>
      <c r="H335" s="8"/>
      <c r="I335" s="8" t="str">
        <f t="shared" si="10"/>
        <v>借</v>
      </c>
      <c r="J335" s="9">
        <f t="shared" si="11"/>
        <v>1000</v>
      </c>
    </row>
    <row r="336" spans="1:10" ht="20.100000000000001" customHeight="1" x14ac:dyDescent="0.15">
      <c r="A336" s="10"/>
      <c r="B336" s="5"/>
      <c r="C336" s="10"/>
      <c r="D336" s="10"/>
      <c r="E336" s="10"/>
      <c r="F336" s="10"/>
      <c r="G336" s="8"/>
      <c r="H336" s="8"/>
      <c r="I336" s="8" t="str">
        <f t="shared" si="10"/>
        <v>借</v>
      </c>
      <c r="J336" s="9">
        <f t="shared" si="11"/>
        <v>1000</v>
      </c>
    </row>
    <row r="337" spans="1:10" ht="20.100000000000001" customHeight="1" x14ac:dyDescent="0.15">
      <c r="A337" s="10"/>
      <c r="B337" s="5"/>
      <c r="C337" s="10"/>
      <c r="D337" s="10"/>
      <c r="E337" s="10"/>
      <c r="F337" s="10"/>
      <c r="G337" s="8"/>
      <c r="H337" s="8"/>
      <c r="I337" s="8" t="str">
        <f t="shared" si="10"/>
        <v>借</v>
      </c>
      <c r="J337" s="9">
        <f t="shared" si="11"/>
        <v>1000</v>
      </c>
    </row>
    <row r="338" spans="1:10" ht="20.100000000000001" customHeight="1" x14ac:dyDescent="0.15">
      <c r="A338" s="10"/>
      <c r="B338" s="5"/>
      <c r="C338" s="10"/>
      <c r="D338" s="10"/>
      <c r="E338" s="10"/>
      <c r="F338" s="10"/>
      <c r="G338" s="8"/>
      <c r="H338" s="8"/>
      <c r="I338" s="8" t="str">
        <f t="shared" si="10"/>
        <v>借</v>
      </c>
      <c r="J338" s="9">
        <f t="shared" si="11"/>
        <v>1000</v>
      </c>
    </row>
    <row r="339" spans="1:10" ht="20.100000000000001" customHeight="1" x14ac:dyDescent="0.15">
      <c r="A339" s="10"/>
      <c r="B339" s="5"/>
      <c r="C339" s="10"/>
      <c r="D339" s="10"/>
      <c r="E339" s="10"/>
      <c r="F339" s="10"/>
      <c r="G339" s="8"/>
      <c r="H339" s="8"/>
      <c r="I339" s="8" t="str">
        <f t="shared" si="10"/>
        <v>借</v>
      </c>
      <c r="J339" s="9">
        <f t="shared" si="11"/>
        <v>1000</v>
      </c>
    </row>
    <row r="340" spans="1:10" ht="20.100000000000001" customHeight="1" x14ac:dyDescent="0.15">
      <c r="A340" s="10"/>
      <c r="B340" s="5"/>
      <c r="C340" s="10"/>
      <c r="D340" s="10"/>
      <c r="E340" s="10"/>
      <c r="F340" s="10"/>
      <c r="G340" s="8"/>
      <c r="H340" s="8"/>
      <c r="I340" s="8" t="str">
        <f t="shared" si="10"/>
        <v>借</v>
      </c>
      <c r="J340" s="9">
        <f t="shared" si="11"/>
        <v>1000</v>
      </c>
    </row>
    <row r="341" spans="1:10" ht="20.100000000000001" customHeight="1" x14ac:dyDescent="0.15">
      <c r="A341" s="10"/>
      <c r="B341" s="5"/>
      <c r="C341" s="10"/>
      <c r="D341" s="10"/>
      <c r="E341" s="10"/>
      <c r="F341" s="10"/>
      <c r="G341" s="8"/>
      <c r="H341" s="8"/>
      <c r="I341" s="8" t="str">
        <f t="shared" si="10"/>
        <v>借</v>
      </c>
      <c r="J341" s="9">
        <f t="shared" si="11"/>
        <v>1000</v>
      </c>
    </row>
    <row r="342" spans="1:10" ht="20.100000000000001" customHeight="1" x14ac:dyDescent="0.15">
      <c r="A342" s="10"/>
      <c r="B342" s="5"/>
      <c r="C342" s="10"/>
      <c r="D342" s="10"/>
      <c r="E342" s="10"/>
      <c r="F342" s="10"/>
      <c r="G342" s="8"/>
      <c r="H342" s="8"/>
      <c r="I342" s="8" t="str">
        <f t="shared" si="10"/>
        <v>借</v>
      </c>
      <c r="J342" s="9">
        <f t="shared" si="11"/>
        <v>1000</v>
      </c>
    </row>
    <row r="343" spans="1:10" ht="20.100000000000001" customHeight="1" x14ac:dyDescent="0.15">
      <c r="A343" s="10"/>
      <c r="B343" s="5"/>
      <c r="C343" s="10"/>
      <c r="D343" s="10"/>
      <c r="E343" s="10"/>
      <c r="F343" s="10"/>
      <c r="G343" s="8"/>
      <c r="H343" s="8"/>
      <c r="I343" s="8" t="str">
        <f t="shared" si="10"/>
        <v>借</v>
      </c>
      <c r="J343" s="9">
        <f t="shared" si="11"/>
        <v>1000</v>
      </c>
    </row>
    <row r="344" spans="1:10" ht="20.100000000000001" customHeight="1" x14ac:dyDescent="0.15">
      <c r="A344" s="10"/>
      <c r="B344" s="5"/>
      <c r="C344" s="10"/>
      <c r="D344" s="10"/>
      <c r="E344" s="10"/>
      <c r="F344" s="10"/>
      <c r="G344" s="8"/>
      <c r="H344" s="8"/>
      <c r="I344" s="8" t="str">
        <f t="shared" si="10"/>
        <v>借</v>
      </c>
      <c r="J344" s="9">
        <f t="shared" si="11"/>
        <v>1000</v>
      </c>
    </row>
    <row r="345" spans="1:10" ht="20.100000000000001" customHeight="1" x14ac:dyDescent="0.15">
      <c r="A345" s="10"/>
      <c r="B345" s="5"/>
      <c r="C345" s="10"/>
      <c r="D345" s="10"/>
      <c r="E345" s="10"/>
      <c r="F345" s="10"/>
      <c r="G345" s="8"/>
      <c r="H345" s="8"/>
      <c r="I345" s="8" t="str">
        <f t="shared" si="10"/>
        <v>借</v>
      </c>
      <c r="J345" s="9">
        <f t="shared" si="11"/>
        <v>1000</v>
      </c>
    </row>
    <row r="346" spans="1:10" ht="20.100000000000001" customHeight="1" x14ac:dyDescent="0.15">
      <c r="A346" s="10"/>
      <c r="B346" s="5"/>
      <c r="C346" s="10"/>
      <c r="D346" s="10"/>
      <c r="E346" s="10"/>
      <c r="F346" s="10"/>
      <c r="G346" s="8"/>
      <c r="H346" s="8"/>
      <c r="I346" s="8" t="str">
        <f t="shared" si="10"/>
        <v>借</v>
      </c>
      <c r="J346" s="9">
        <f t="shared" si="11"/>
        <v>1000</v>
      </c>
    </row>
    <row r="347" spans="1:10" ht="20.100000000000001" customHeight="1" x14ac:dyDescent="0.15">
      <c r="A347" s="10"/>
      <c r="B347" s="5"/>
      <c r="C347" s="10"/>
      <c r="D347" s="10"/>
      <c r="E347" s="10"/>
      <c r="F347" s="10"/>
      <c r="G347" s="8"/>
      <c r="H347" s="8"/>
      <c r="I347" s="8" t="str">
        <f t="shared" si="10"/>
        <v>借</v>
      </c>
      <c r="J347" s="9">
        <f t="shared" si="11"/>
        <v>1000</v>
      </c>
    </row>
    <row r="348" spans="1:10" ht="20.100000000000001" customHeight="1" x14ac:dyDescent="0.15">
      <c r="A348" s="10"/>
      <c r="B348" s="5"/>
      <c r="C348" s="10"/>
      <c r="D348" s="10"/>
      <c r="E348" s="10"/>
      <c r="F348" s="10"/>
      <c r="G348" s="8"/>
      <c r="H348" s="8"/>
      <c r="I348" s="8" t="str">
        <f t="shared" si="10"/>
        <v>借</v>
      </c>
      <c r="J348" s="9">
        <f t="shared" si="11"/>
        <v>1000</v>
      </c>
    </row>
    <row r="349" spans="1:10" ht="20.100000000000001" customHeight="1" x14ac:dyDescent="0.15">
      <c r="A349" s="10"/>
      <c r="B349" s="5"/>
      <c r="C349" s="10"/>
      <c r="D349" s="10"/>
      <c r="E349" s="10"/>
      <c r="F349" s="10"/>
      <c r="G349" s="8"/>
      <c r="H349" s="8"/>
      <c r="I349" s="8" t="str">
        <f t="shared" si="10"/>
        <v>借</v>
      </c>
      <c r="J349" s="9">
        <f t="shared" si="11"/>
        <v>1000</v>
      </c>
    </row>
    <row r="350" spans="1:10" ht="20.100000000000001" customHeight="1" x14ac:dyDescent="0.15">
      <c r="A350" s="10"/>
      <c r="B350" s="5"/>
      <c r="C350" s="10"/>
      <c r="D350" s="10"/>
      <c r="E350" s="10"/>
      <c r="F350" s="10"/>
      <c r="G350" s="8"/>
      <c r="H350" s="8"/>
      <c r="I350" s="8" t="str">
        <f t="shared" si="10"/>
        <v>借</v>
      </c>
      <c r="J350" s="9">
        <f t="shared" si="11"/>
        <v>1000</v>
      </c>
    </row>
    <row r="351" spans="1:10" ht="20.100000000000001" customHeight="1" x14ac:dyDescent="0.15">
      <c r="A351" s="10"/>
      <c r="B351" s="5"/>
      <c r="C351" s="10"/>
      <c r="D351" s="10"/>
      <c r="E351" s="10"/>
      <c r="F351" s="10"/>
      <c r="G351" s="8"/>
      <c r="H351" s="8"/>
      <c r="I351" s="8" t="str">
        <f t="shared" si="10"/>
        <v>借</v>
      </c>
      <c r="J351" s="9">
        <f t="shared" si="11"/>
        <v>1000</v>
      </c>
    </row>
    <row r="352" spans="1:10" ht="20.100000000000001" customHeight="1" x14ac:dyDescent="0.15">
      <c r="A352" s="10"/>
      <c r="B352" s="5"/>
      <c r="C352" s="10"/>
      <c r="D352" s="10"/>
      <c r="E352" s="10"/>
      <c r="F352" s="10"/>
      <c r="G352" s="8"/>
      <c r="H352" s="8"/>
      <c r="I352" s="8" t="str">
        <f t="shared" si="10"/>
        <v>借</v>
      </c>
      <c r="J352" s="9">
        <f t="shared" si="11"/>
        <v>1000</v>
      </c>
    </row>
    <row r="353" spans="1:10" ht="20.100000000000001" customHeight="1" x14ac:dyDescent="0.15">
      <c r="A353" s="10"/>
      <c r="B353" s="5"/>
      <c r="C353" s="10"/>
      <c r="D353" s="10"/>
      <c r="E353" s="10"/>
      <c r="F353" s="10"/>
      <c r="G353" s="8"/>
      <c r="H353" s="8"/>
      <c r="I353" s="8" t="str">
        <f t="shared" si="10"/>
        <v>借</v>
      </c>
      <c r="J353" s="9">
        <f t="shared" si="11"/>
        <v>1000</v>
      </c>
    </row>
    <row r="354" spans="1:10" ht="20.100000000000001" customHeight="1" x14ac:dyDescent="0.15">
      <c r="A354" s="10"/>
      <c r="B354" s="5"/>
      <c r="C354" s="10"/>
      <c r="D354" s="10"/>
      <c r="E354" s="10"/>
      <c r="F354" s="10"/>
      <c r="G354" s="8"/>
      <c r="H354" s="8"/>
      <c r="I354" s="8" t="str">
        <f t="shared" si="10"/>
        <v>借</v>
      </c>
      <c r="J354" s="9">
        <f t="shared" si="11"/>
        <v>1000</v>
      </c>
    </row>
    <row r="355" spans="1:10" ht="20.100000000000001" customHeight="1" x14ac:dyDescent="0.15">
      <c r="A355" s="10"/>
      <c r="B355" s="5"/>
      <c r="C355" s="10"/>
      <c r="D355" s="10"/>
      <c r="E355" s="10"/>
      <c r="F355" s="10"/>
      <c r="G355" s="8"/>
      <c r="H355" s="8"/>
      <c r="I355" s="8" t="str">
        <f t="shared" si="10"/>
        <v>借</v>
      </c>
      <c r="J355" s="9">
        <f t="shared" si="11"/>
        <v>1000</v>
      </c>
    </row>
    <row r="356" spans="1:10" ht="20.100000000000001" customHeight="1" x14ac:dyDescent="0.15">
      <c r="A356" s="10"/>
      <c r="B356" s="5"/>
      <c r="C356" s="10"/>
      <c r="D356" s="10"/>
      <c r="E356" s="10"/>
      <c r="F356" s="10"/>
      <c r="G356" s="8"/>
      <c r="H356" s="8"/>
      <c r="I356" s="8" t="str">
        <f t="shared" si="10"/>
        <v>借</v>
      </c>
      <c r="J356" s="9">
        <f t="shared" si="11"/>
        <v>1000</v>
      </c>
    </row>
    <row r="357" spans="1:10" ht="20.100000000000001" customHeight="1" x14ac:dyDescent="0.15">
      <c r="A357" s="10"/>
      <c r="B357" s="5"/>
      <c r="C357" s="10"/>
      <c r="D357" s="10"/>
      <c r="E357" s="10"/>
      <c r="F357" s="10"/>
      <c r="G357" s="8"/>
      <c r="H357" s="8"/>
      <c r="I357" s="8" t="str">
        <f t="shared" si="10"/>
        <v>借</v>
      </c>
      <c r="J357" s="9">
        <f t="shared" si="11"/>
        <v>1000</v>
      </c>
    </row>
    <row r="358" spans="1:10" ht="20.100000000000001" customHeight="1" x14ac:dyDescent="0.15">
      <c r="A358" s="10"/>
      <c r="B358" s="5"/>
      <c r="C358" s="10"/>
      <c r="D358" s="10"/>
      <c r="E358" s="10"/>
      <c r="F358" s="10"/>
      <c r="G358" s="8"/>
      <c r="H358" s="8"/>
      <c r="I358" s="8" t="str">
        <f t="shared" si="10"/>
        <v>借</v>
      </c>
      <c r="J358" s="9">
        <f t="shared" si="11"/>
        <v>1000</v>
      </c>
    </row>
    <row r="359" spans="1:10" ht="20.100000000000001" customHeight="1" x14ac:dyDescent="0.15">
      <c r="A359" s="10"/>
      <c r="B359" s="5"/>
      <c r="C359" s="10"/>
      <c r="D359" s="10"/>
      <c r="E359" s="10"/>
      <c r="F359" s="10"/>
      <c r="G359" s="8"/>
      <c r="H359" s="8"/>
      <c r="I359" s="8" t="str">
        <f t="shared" si="10"/>
        <v>借</v>
      </c>
      <c r="J359" s="9">
        <f t="shared" si="11"/>
        <v>1000</v>
      </c>
    </row>
    <row r="360" spans="1:10" ht="20.100000000000001" customHeight="1" x14ac:dyDescent="0.15">
      <c r="A360" s="10"/>
      <c r="B360" s="5"/>
      <c r="C360" s="10"/>
      <c r="D360" s="10"/>
      <c r="E360" s="10"/>
      <c r="F360" s="10"/>
      <c r="G360" s="8"/>
      <c r="H360" s="8"/>
      <c r="I360" s="8" t="str">
        <f t="shared" si="10"/>
        <v>借</v>
      </c>
      <c r="J360" s="9">
        <f t="shared" si="11"/>
        <v>1000</v>
      </c>
    </row>
    <row r="361" spans="1:10" ht="20.100000000000001" customHeight="1" x14ac:dyDescent="0.15">
      <c r="A361" s="10"/>
      <c r="B361" s="5"/>
      <c r="C361" s="10"/>
      <c r="D361" s="10"/>
      <c r="E361" s="10"/>
      <c r="F361" s="10"/>
      <c r="G361" s="8"/>
      <c r="H361" s="8"/>
      <c r="I361" s="8" t="str">
        <f t="shared" si="10"/>
        <v>借</v>
      </c>
      <c r="J361" s="9">
        <f t="shared" si="11"/>
        <v>1000</v>
      </c>
    </row>
    <row r="362" spans="1:10" ht="20.100000000000001" customHeight="1" x14ac:dyDescent="0.15">
      <c r="A362" s="10"/>
      <c r="B362" s="5"/>
      <c r="C362" s="10"/>
      <c r="D362" s="10"/>
      <c r="E362" s="10"/>
      <c r="F362" s="10"/>
      <c r="G362" s="8"/>
      <c r="H362" s="8"/>
      <c r="I362" s="8" t="str">
        <f t="shared" si="10"/>
        <v>借</v>
      </c>
      <c r="J362" s="9">
        <f t="shared" si="11"/>
        <v>1000</v>
      </c>
    </row>
    <row r="363" spans="1:10" ht="20.100000000000001" customHeight="1" x14ac:dyDescent="0.15">
      <c r="A363" s="10"/>
      <c r="B363" s="5"/>
      <c r="C363" s="10"/>
      <c r="D363" s="10"/>
      <c r="E363" s="10"/>
      <c r="F363" s="10"/>
      <c r="G363" s="8"/>
      <c r="H363" s="8"/>
      <c r="I363" s="8" t="str">
        <f t="shared" si="10"/>
        <v>借</v>
      </c>
      <c r="J363" s="9">
        <f t="shared" si="11"/>
        <v>1000</v>
      </c>
    </row>
    <row r="364" spans="1:10" ht="20.100000000000001" customHeight="1" x14ac:dyDescent="0.15">
      <c r="A364" s="10"/>
      <c r="B364" s="5"/>
      <c r="C364" s="10"/>
      <c r="D364" s="10"/>
      <c r="E364" s="10"/>
      <c r="F364" s="10"/>
      <c r="G364" s="8"/>
      <c r="H364" s="8"/>
      <c r="I364" s="8" t="str">
        <f t="shared" si="10"/>
        <v>借</v>
      </c>
      <c r="J364" s="9">
        <f t="shared" si="11"/>
        <v>1000</v>
      </c>
    </row>
    <row r="365" spans="1:10" ht="20.100000000000001" customHeight="1" x14ac:dyDescent="0.15">
      <c r="B365" s="5"/>
      <c r="C365" s="10"/>
      <c r="D365" s="10"/>
      <c r="E365" s="10"/>
      <c r="F365" s="10"/>
      <c r="G365" s="8"/>
      <c r="H365" s="8"/>
      <c r="I365" s="8" t="str">
        <f t="shared" si="10"/>
        <v>借</v>
      </c>
      <c r="J365" s="9">
        <f t="shared" si="11"/>
        <v>1000</v>
      </c>
    </row>
    <row r="366" spans="1:10" ht="20.100000000000001" customHeight="1" x14ac:dyDescent="0.15">
      <c r="B366" s="5"/>
      <c r="C366" s="10"/>
      <c r="D366" s="10"/>
      <c r="E366" s="10"/>
      <c r="F366" s="10"/>
      <c r="G366" s="8"/>
      <c r="H366" s="8"/>
      <c r="I366" s="8" t="str">
        <f t="shared" si="10"/>
        <v>借</v>
      </c>
      <c r="J366" s="9">
        <f t="shared" si="11"/>
        <v>1000</v>
      </c>
    </row>
    <row r="367" spans="1:10" ht="20.100000000000001" customHeight="1" x14ac:dyDescent="0.15">
      <c r="B367" s="5"/>
      <c r="C367" s="7"/>
      <c r="D367" s="10"/>
      <c r="E367" s="10"/>
      <c r="F367" s="10"/>
      <c r="G367" s="8"/>
      <c r="H367" s="8"/>
      <c r="I367" s="8" t="str">
        <f t="shared" si="10"/>
        <v>借</v>
      </c>
      <c r="J367" s="9">
        <f t="shared" si="11"/>
        <v>1000</v>
      </c>
    </row>
    <row r="368" spans="1:10" ht="20.100000000000001" customHeight="1" x14ac:dyDescent="0.15">
      <c r="B368" s="5"/>
      <c r="C368" s="7"/>
      <c r="D368" s="10"/>
      <c r="E368" s="10"/>
      <c r="F368" s="10"/>
      <c r="G368" s="8"/>
      <c r="H368" s="8"/>
      <c r="I368" s="8" t="str">
        <f t="shared" si="10"/>
        <v>借</v>
      </c>
      <c r="J368" s="9">
        <f t="shared" si="11"/>
        <v>1000</v>
      </c>
    </row>
    <row r="369" spans="2:10" ht="20.100000000000001" customHeight="1" x14ac:dyDescent="0.15">
      <c r="B369" s="5"/>
      <c r="C369" s="7"/>
      <c r="D369" s="10"/>
      <c r="E369" s="10"/>
      <c r="F369" s="10"/>
      <c r="G369" s="8"/>
      <c r="H369" s="8"/>
      <c r="I369" s="8" t="str">
        <f t="shared" si="10"/>
        <v>借</v>
      </c>
      <c r="J369" s="9">
        <f t="shared" si="11"/>
        <v>1000</v>
      </c>
    </row>
    <row r="370" spans="2:10" ht="20.100000000000001" customHeight="1" x14ac:dyDescent="0.15">
      <c r="B370" s="5"/>
      <c r="C370" s="7"/>
      <c r="D370" s="10"/>
      <c r="E370" s="10"/>
      <c r="F370" s="10"/>
      <c r="G370" s="8"/>
      <c r="H370" s="8"/>
      <c r="I370" s="8" t="str">
        <f t="shared" si="10"/>
        <v>借</v>
      </c>
      <c r="J370" s="9">
        <f t="shared" si="11"/>
        <v>1000</v>
      </c>
    </row>
    <row r="371" spans="2:10" ht="20.100000000000001" customHeight="1" x14ac:dyDescent="0.15">
      <c r="B371" s="5"/>
      <c r="C371" s="7"/>
      <c r="D371" s="10"/>
      <c r="E371" s="10"/>
      <c r="F371" s="10"/>
      <c r="G371" s="8"/>
      <c r="H371" s="8"/>
      <c r="I371" s="8" t="str">
        <f t="shared" si="10"/>
        <v>借</v>
      </c>
      <c r="J371" s="9">
        <f t="shared" si="11"/>
        <v>1000</v>
      </c>
    </row>
    <row r="372" spans="2:10" ht="20.100000000000001" customHeight="1" x14ac:dyDescent="0.15">
      <c r="B372" s="5"/>
      <c r="C372" s="7"/>
      <c r="D372" s="10"/>
      <c r="E372" s="10"/>
      <c r="F372" s="10"/>
      <c r="G372" s="8"/>
      <c r="H372" s="8"/>
      <c r="I372" s="8" t="str">
        <f t="shared" si="10"/>
        <v>借</v>
      </c>
      <c r="J372" s="9">
        <f t="shared" si="11"/>
        <v>1000</v>
      </c>
    </row>
    <row r="373" spans="2:10" ht="20.100000000000001" customHeight="1" x14ac:dyDescent="0.15">
      <c r="B373" s="5"/>
      <c r="C373" s="7"/>
      <c r="D373" s="10"/>
      <c r="E373" s="10"/>
      <c r="F373" s="10"/>
      <c r="G373" s="8"/>
      <c r="H373" s="8"/>
      <c r="I373" s="8" t="str">
        <f t="shared" si="10"/>
        <v>借</v>
      </c>
      <c r="J373" s="9">
        <f t="shared" si="11"/>
        <v>1000</v>
      </c>
    </row>
    <row r="374" spans="2:10" ht="20.100000000000001" customHeight="1" x14ac:dyDescent="0.15">
      <c r="B374" s="5"/>
      <c r="C374" s="7"/>
      <c r="D374" s="10"/>
      <c r="E374" s="10"/>
      <c r="F374" s="10"/>
      <c r="G374" s="8"/>
      <c r="H374" s="8"/>
      <c r="I374" s="8" t="str">
        <f t="shared" si="10"/>
        <v>借</v>
      </c>
      <c r="J374" s="9">
        <f t="shared" si="11"/>
        <v>1000</v>
      </c>
    </row>
    <row r="375" spans="2:10" ht="20.100000000000001" customHeight="1" x14ac:dyDescent="0.15">
      <c r="B375" s="5"/>
      <c r="C375" s="7"/>
      <c r="D375" s="10"/>
      <c r="E375" s="10"/>
      <c r="F375" s="10"/>
      <c r="G375" s="8"/>
      <c r="H375" s="8"/>
      <c r="I375" s="8" t="str">
        <f t="shared" si="10"/>
        <v>借</v>
      </c>
      <c r="J375" s="9">
        <f t="shared" si="11"/>
        <v>1000</v>
      </c>
    </row>
    <row r="376" spans="2:10" ht="20.100000000000001" customHeight="1" x14ac:dyDescent="0.15">
      <c r="B376" s="5"/>
      <c r="C376" s="7"/>
      <c r="D376" s="10"/>
      <c r="E376" s="10"/>
      <c r="F376" s="10"/>
      <c r="G376" s="8"/>
      <c r="H376" s="8"/>
      <c r="I376" s="8" t="str">
        <f t="shared" si="10"/>
        <v>借</v>
      </c>
      <c r="J376" s="9">
        <f t="shared" si="11"/>
        <v>1000</v>
      </c>
    </row>
    <row r="377" spans="2:10" ht="20.100000000000001" customHeight="1" x14ac:dyDescent="0.15">
      <c r="B377" s="5"/>
      <c r="C377" s="7"/>
      <c r="D377" s="10"/>
      <c r="E377" s="10"/>
      <c r="F377" s="10"/>
      <c r="G377" s="8"/>
      <c r="H377" s="8"/>
      <c r="I377" s="8" t="str">
        <f t="shared" si="10"/>
        <v>借</v>
      </c>
      <c r="J377" s="9">
        <f t="shared" si="11"/>
        <v>1000</v>
      </c>
    </row>
    <row r="378" spans="2:10" ht="20.100000000000001" customHeight="1" x14ac:dyDescent="0.15">
      <c r="B378" s="5"/>
      <c r="C378" s="7"/>
      <c r="D378" s="10"/>
      <c r="E378" s="10"/>
      <c r="F378" s="10"/>
      <c r="G378" s="8"/>
      <c r="H378" s="8"/>
      <c r="I378" s="8" t="str">
        <f t="shared" si="10"/>
        <v>借</v>
      </c>
      <c r="J378" s="9">
        <f t="shared" si="11"/>
        <v>1000</v>
      </c>
    </row>
    <row r="379" spans="2:10" ht="20.100000000000001" customHeight="1" x14ac:dyDescent="0.15">
      <c r="B379" s="5"/>
      <c r="C379" s="7"/>
      <c r="D379" s="10"/>
      <c r="E379" s="10"/>
      <c r="F379" s="10"/>
      <c r="G379" s="8"/>
      <c r="H379" s="8"/>
      <c r="I379" s="8" t="str">
        <f t="shared" si="10"/>
        <v>借</v>
      </c>
      <c r="J379" s="9">
        <f t="shared" si="11"/>
        <v>1000</v>
      </c>
    </row>
    <row r="380" spans="2:10" ht="20.100000000000001" customHeight="1" x14ac:dyDescent="0.15">
      <c r="B380" s="5"/>
      <c r="C380" s="7"/>
      <c r="D380" s="10"/>
      <c r="E380" s="10"/>
      <c r="F380" s="10"/>
      <c r="G380" s="8"/>
      <c r="H380" s="8"/>
      <c r="I380" s="8" t="str">
        <f t="shared" si="10"/>
        <v>借</v>
      </c>
      <c r="J380" s="9">
        <f t="shared" si="11"/>
        <v>1000</v>
      </c>
    </row>
    <row r="381" spans="2:10" ht="20.100000000000001" customHeight="1" x14ac:dyDescent="0.15">
      <c r="B381" s="5"/>
      <c r="C381" s="7"/>
      <c r="D381" s="10"/>
      <c r="E381" s="10"/>
      <c r="F381" s="10"/>
      <c r="G381" s="8"/>
      <c r="H381" s="8"/>
      <c r="I381" s="8" t="str">
        <f t="shared" si="10"/>
        <v>借</v>
      </c>
      <c r="J381" s="9">
        <f t="shared" si="11"/>
        <v>1000</v>
      </c>
    </row>
    <row r="382" spans="2:10" ht="20.100000000000001" customHeight="1" x14ac:dyDescent="0.15">
      <c r="B382" s="5"/>
      <c r="C382" s="7"/>
      <c r="D382" s="10"/>
      <c r="E382" s="10"/>
      <c r="F382" s="10"/>
      <c r="G382" s="8"/>
      <c r="H382" s="8"/>
      <c r="I382" s="8" t="str">
        <f t="shared" si="10"/>
        <v>借</v>
      </c>
      <c r="J382" s="9">
        <f t="shared" si="11"/>
        <v>1000</v>
      </c>
    </row>
    <row r="383" spans="2:10" ht="20.100000000000001" customHeight="1" x14ac:dyDescent="0.15">
      <c r="B383" s="5"/>
      <c r="C383" s="7"/>
      <c r="D383" s="10"/>
      <c r="E383" s="10"/>
      <c r="F383" s="10"/>
      <c r="G383" s="8"/>
      <c r="H383" s="8"/>
      <c r="I383" s="8" t="str">
        <f t="shared" si="10"/>
        <v>借</v>
      </c>
      <c r="J383" s="9">
        <f t="shared" si="11"/>
        <v>1000</v>
      </c>
    </row>
    <row r="384" spans="2:10" ht="20.100000000000001" customHeight="1" x14ac:dyDescent="0.15">
      <c r="B384" s="5"/>
      <c r="C384" s="10"/>
      <c r="D384" s="10"/>
      <c r="E384" s="10"/>
      <c r="F384" s="10"/>
      <c r="G384" s="8"/>
      <c r="H384" s="8"/>
      <c r="I384" s="8" t="str">
        <f t="shared" si="10"/>
        <v>借</v>
      </c>
      <c r="J384" s="9">
        <f t="shared" si="11"/>
        <v>1000</v>
      </c>
    </row>
    <row r="385" spans="2:10" ht="20.100000000000001" customHeight="1" x14ac:dyDescent="0.15">
      <c r="B385" s="5"/>
      <c r="C385" s="10"/>
      <c r="D385" s="10"/>
      <c r="E385" s="10"/>
      <c r="F385" s="10"/>
      <c r="G385" s="8"/>
      <c r="H385" s="8"/>
      <c r="I385" s="8" t="str">
        <f t="shared" si="10"/>
        <v>借</v>
      </c>
      <c r="J385" s="9">
        <f t="shared" si="11"/>
        <v>1000</v>
      </c>
    </row>
    <row r="386" spans="2:10" ht="20.100000000000001" customHeight="1" x14ac:dyDescent="0.15">
      <c r="B386" s="5"/>
      <c r="C386" s="10"/>
      <c r="D386" s="10"/>
      <c r="E386" s="10"/>
      <c r="F386" s="10"/>
      <c r="G386" s="8"/>
      <c r="H386" s="8"/>
      <c r="I386" s="8" t="str">
        <f t="shared" si="10"/>
        <v>借</v>
      </c>
      <c r="J386" s="9">
        <f t="shared" si="11"/>
        <v>1000</v>
      </c>
    </row>
    <row r="387" spans="2:10" ht="20.100000000000001" customHeight="1" x14ac:dyDescent="0.15">
      <c r="B387" s="5"/>
      <c r="C387" s="10"/>
      <c r="D387" s="10"/>
      <c r="E387" s="10"/>
      <c r="F387" s="10"/>
      <c r="G387" s="8"/>
      <c r="H387" s="8"/>
      <c r="I387" s="8" t="str">
        <f t="shared" si="10"/>
        <v>借</v>
      </c>
      <c r="J387" s="9">
        <f t="shared" si="11"/>
        <v>1000</v>
      </c>
    </row>
    <row r="388" spans="2:10" ht="20.100000000000001" customHeight="1" x14ac:dyDescent="0.15">
      <c r="B388" s="5"/>
      <c r="C388" s="10"/>
      <c r="D388" s="10"/>
      <c r="E388" s="10"/>
      <c r="F388" s="10"/>
      <c r="G388" s="8"/>
      <c r="H388" s="8"/>
      <c r="I388" s="8" t="str">
        <f t="shared" si="10"/>
        <v>借</v>
      </c>
      <c r="J388" s="9">
        <f t="shared" si="11"/>
        <v>1000</v>
      </c>
    </row>
    <row r="389" spans="2:10" ht="20.100000000000001" customHeight="1" x14ac:dyDescent="0.15">
      <c r="B389" s="5"/>
      <c r="C389" s="10"/>
      <c r="D389" s="10"/>
      <c r="E389" s="10"/>
      <c r="F389" s="10"/>
      <c r="G389" s="8"/>
      <c r="H389" s="8"/>
      <c r="I389" s="8" t="str">
        <f t="shared" si="10"/>
        <v>借</v>
      </c>
      <c r="J389" s="9">
        <f t="shared" si="11"/>
        <v>1000</v>
      </c>
    </row>
    <row r="390" spans="2:10" ht="20.100000000000001" customHeight="1" x14ac:dyDescent="0.15">
      <c r="B390" s="5"/>
      <c r="C390" s="10"/>
      <c r="D390" s="10"/>
      <c r="E390" s="10"/>
      <c r="F390" s="10"/>
      <c r="G390" s="8"/>
      <c r="H390" s="8"/>
      <c r="I390" s="8" t="str">
        <f t="shared" ref="I390:I453" si="12">IF((J389+G390-H390)&gt;0,"借","贷")</f>
        <v>借</v>
      </c>
      <c r="J390" s="9">
        <f t="shared" si="11"/>
        <v>1000</v>
      </c>
    </row>
    <row r="391" spans="2:10" ht="20.100000000000001" customHeight="1" x14ac:dyDescent="0.15">
      <c r="B391" s="5"/>
      <c r="C391" s="10"/>
      <c r="D391" s="10"/>
      <c r="E391" s="10"/>
      <c r="F391" s="10"/>
      <c r="G391" s="8"/>
      <c r="H391" s="8"/>
      <c r="I391" s="8" t="str">
        <f t="shared" si="12"/>
        <v>借</v>
      </c>
      <c r="J391" s="9">
        <f t="shared" ref="J391:J454" si="13">J390+G391-H391</f>
        <v>1000</v>
      </c>
    </row>
    <row r="392" spans="2:10" ht="20.100000000000001" customHeight="1" x14ac:dyDescent="0.15">
      <c r="B392" s="5"/>
      <c r="C392" s="10"/>
      <c r="D392" s="10"/>
      <c r="E392" s="10"/>
      <c r="F392" s="10"/>
      <c r="G392" s="8"/>
      <c r="H392" s="8"/>
      <c r="I392" s="8" t="str">
        <f t="shared" si="12"/>
        <v>借</v>
      </c>
      <c r="J392" s="9">
        <f t="shared" si="13"/>
        <v>1000</v>
      </c>
    </row>
    <row r="393" spans="2:10" ht="20.100000000000001" customHeight="1" x14ac:dyDescent="0.15">
      <c r="B393" s="5"/>
      <c r="C393" s="10"/>
      <c r="D393" s="10"/>
      <c r="E393" s="10"/>
      <c r="F393" s="10"/>
      <c r="G393" s="8"/>
      <c r="H393" s="8"/>
      <c r="I393" s="8" t="str">
        <f t="shared" si="12"/>
        <v>借</v>
      </c>
      <c r="J393" s="9">
        <f t="shared" si="13"/>
        <v>1000</v>
      </c>
    </row>
    <row r="394" spans="2:10" ht="20.100000000000001" customHeight="1" x14ac:dyDescent="0.15">
      <c r="B394" s="5"/>
      <c r="C394" s="10"/>
      <c r="D394" s="10"/>
      <c r="E394" s="10"/>
      <c r="F394" s="10"/>
      <c r="G394" s="8"/>
      <c r="H394" s="8"/>
      <c r="I394" s="8" t="str">
        <f t="shared" si="12"/>
        <v>借</v>
      </c>
      <c r="J394" s="9">
        <f t="shared" si="13"/>
        <v>1000</v>
      </c>
    </row>
    <row r="395" spans="2:10" ht="20.100000000000001" customHeight="1" x14ac:dyDescent="0.15">
      <c r="B395" s="5"/>
      <c r="C395" s="10"/>
      <c r="D395" s="10"/>
      <c r="E395" s="10"/>
      <c r="F395" s="10"/>
      <c r="G395" s="8"/>
      <c r="H395" s="8"/>
      <c r="I395" s="8" t="str">
        <f t="shared" si="12"/>
        <v>借</v>
      </c>
      <c r="J395" s="9">
        <f t="shared" si="13"/>
        <v>1000</v>
      </c>
    </row>
    <row r="396" spans="2:10" ht="20.100000000000001" customHeight="1" x14ac:dyDescent="0.15">
      <c r="B396" s="5"/>
      <c r="C396" s="10"/>
      <c r="D396" s="10"/>
      <c r="E396" s="10"/>
      <c r="F396" s="10"/>
      <c r="G396" s="8"/>
      <c r="H396" s="8"/>
      <c r="I396" s="8" t="str">
        <f t="shared" si="12"/>
        <v>借</v>
      </c>
      <c r="J396" s="9">
        <f t="shared" si="13"/>
        <v>1000</v>
      </c>
    </row>
    <row r="397" spans="2:10" ht="20.100000000000001" customHeight="1" x14ac:dyDescent="0.15">
      <c r="B397" s="5"/>
      <c r="C397" s="10"/>
      <c r="D397" s="10"/>
      <c r="E397" s="10"/>
      <c r="F397" s="10"/>
      <c r="G397" s="8"/>
      <c r="H397" s="8"/>
      <c r="I397" s="8" t="str">
        <f t="shared" si="12"/>
        <v>借</v>
      </c>
      <c r="J397" s="9">
        <f t="shared" si="13"/>
        <v>1000</v>
      </c>
    </row>
    <row r="398" spans="2:10" ht="20.100000000000001" customHeight="1" x14ac:dyDescent="0.15">
      <c r="B398" s="5"/>
      <c r="C398" s="10"/>
      <c r="D398" s="10"/>
      <c r="E398" s="10"/>
      <c r="F398" s="10"/>
      <c r="G398" s="8"/>
      <c r="H398" s="8"/>
      <c r="I398" s="8" t="str">
        <f t="shared" si="12"/>
        <v>借</v>
      </c>
      <c r="J398" s="9">
        <f t="shared" si="13"/>
        <v>1000</v>
      </c>
    </row>
    <row r="399" spans="2:10" ht="20.100000000000001" customHeight="1" x14ac:dyDescent="0.15">
      <c r="B399" s="5"/>
      <c r="C399" s="10"/>
      <c r="D399" s="10"/>
      <c r="E399" s="10"/>
      <c r="F399" s="10"/>
      <c r="G399" s="8"/>
      <c r="H399" s="8"/>
      <c r="I399" s="8" t="str">
        <f t="shared" si="12"/>
        <v>借</v>
      </c>
      <c r="J399" s="9">
        <f t="shared" si="13"/>
        <v>1000</v>
      </c>
    </row>
    <row r="400" spans="2:10" ht="20.100000000000001" customHeight="1" x14ac:dyDescent="0.15">
      <c r="B400" s="5"/>
      <c r="C400" s="10"/>
      <c r="D400" s="10"/>
      <c r="E400" s="10"/>
      <c r="F400" s="10"/>
      <c r="G400" s="8"/>
      <c r="H400" s="8"/>
      <c r="I400" s="8" t="str">
        <f t="shared" si="12"/>
        <v>借</v>
      </c>
      <c r="J400" s="9">
        <f t="shared" si="13"/>
        <v>1000</v>
      </c>
    </row>
    <row r="401" spans="2:10" ht="20.100000000000001" customHeight="1" x14ac:dyDescent="0.15">
      <c r="B401" s="5"/>
      <c r="C401" s="10"/>
      <c r="D401" s="10"/>
      <c r="E401" s="10"/>
      <c r="F401" s="10"/>
      <c r="G401" s="8"/>
      <c r="H401" s="8"/>
      <c r="I401" s="8" t="str">
        <f t="shared" si="12"/>
        <v>借</v>
      </c>
      <c r="J401" s="9">
        <f t="shared" si="13"/>
        <v>1000</v>
      </c>
    </row>
    <row r="402" spans="2:10" ht="20.100000000000001" customHeight="1" x14ac:dyDescent="0.15">
      <c r="B402" s="5"/>
      <c r="C402" s="10"/>
      <c r="D402" s="10"/>
      <c r="E402" s="10"/>
      <c r="F402" s="10"/>
      <c r="G402" s="8"/>
      <c r="H402" s="8"/>
      <c r="I402" s="8" t="str">
        <f t="shared" si="12"/>
        <v>借</v>
      </c>
      <c r="J402" s="9">
        <f t="shared" si="13"/>
        <v>1000</v>
      </c>
    </row>
    <row r="403" spans="2:10" ht="20.100000000000001" customHeight="1" x14ac:dyDescent="0.15">
      <c r="B403" s="5"/>
      <c r="C403" s="10"/>
      <c r="D403" s="10"/>
      <c r="E403" s="10"/>
      <c r="F403" s="10"/>
      <c r="G403" s="8"/>
      <c r="H403" s="8"/>
      <c r="I403" s="8" t="str">
        <f t="shared" si="12"/>
        <v>借</v>
      </c>
      <c r="J403" s="9">
        <f t="shared" si="13"/>
        <v>1000</v>
      </c>
    </row>
    <row r="404" spans="2:10" ht="20.100000000000001" customHeight="1" x14ac:dyDescent="0.15">
      <c r="B404" s="5"/>
      <c r="C404" s="10"/>
      <c r="D404" s="10"/>
      <c r="E404" s="10"/>
      <c r="F404" s="10"/>
      <c r="G404" s="8"/>
      <c r="H404" s="8"/>
      <c r="I404" s="8" t="str">
        <f t="shared" si="12"/>
        <v>借</v>
      </c>
      <c r="J404" s="9">
        <f t="shared" si="13"/>
        <v>1000</v>
      </c>
    </row>
    <row r="405" spans="2:10" ht="20.100000000000001" customHeight="1" x14ac:dyDescent="0.15">
      <c r="B405" s="5"/>
      <c r="C405" s="10"/>
      <c r="D405" s="10"/>
      <c r="E405" s="10"/>
      <c r="F405" s="10"/>
      <c r="G405" s="8"/>
      <c r="H405" s="8"/>
      <c r="I405" s="8" t="str">
        <f t="shared" si="12"/>
        <v>借</v>
      </c>
      <c r="J405" s="9">
        <f t="shared" si="13"/>
        <v>1000</v>
      </c>
    </row>
    <row r="406" spans="2:10" ht="20.100000000000001" customHeight="1" x14ac:dyDescent="0.15">
      <c r="B406" s="5"/>
      <c r="C406" s="10"/>
      <c r="D406" s="10"/>
      <c r="E406" s="10"/>
      <c r="F406" s="10"/>
      <c r="G406" s="8"/>
      <c r="H406" s="8"/>
      <c r="I406" s="8" t="str">
        <f t="shared" si="12"/>
        <v>借</v>
      </c>
      <c r="J406" s="9">
        <f t="shared" si="13"/>
        <v>1000</v>
      </c>
    </row>
    <row r="407" spans="2:10" ht="20.100000000000001" customHeight="1" x14ac:dyDescent="0.15">
      <c r="B407" s="5"/>
      <c r="C407" s="10"/>
      <c r="D407" s="10"/>
      <c r="E407" s="10"/>
      <c r="F407" s="10"/>
      <c r="G407" s="8"/>
      <c r="H407" s="8"/>
      <c r="I407" s="8" t="str">
        <f t="shared" si="12"/>
        <v>借</v>
      </c>
      <c r="J407" s="9">
        <f t="shared" si="13"/>
        <v>1000</v>
      </c>
    </row>
    <row r="408" spans="2:10" ht="20.100000000000001" customHeight="1" x14ac:dyDescent="0.15">
      <c r="B408" s="5"/>
      <c r="C408" s="10"/>
      <c r="D408" s="10"/>
      <c r="E408" s="10"/>
      <c r="F408" s="10"/>
      <c r="G408" s="8"/>
      <c r="H408" s="8"/>
      <c r="I408" s="8" t="str">
        <f t="shared" si="12"/>
        <v>借</v>
      </c>
      <c r="J408" s="9">
        <f t="shared" si="13"/>
        <v>1000</v>
      </c>
    </row>
    <row r="409" spans="2:10" ht="20.100000000000001" customHeight="1" x14ac:dyDescent="0.15">
      <c r="B409" s="5"/>
      <c r="C409" s="10"/>
      <c r="D409" s="10"/>
      <c r="E409" s="10"/>
      <c r="F409" s="10"/>
      <c r="G409" s="8"/>
      <c r="H409" s="8"/>
      <c r="I409" s="8" t="str">
        <f t="shared" si="12"/>
        <v>借</v>
      </c>
      <c r="J409" s="9">
        <f t="shared" si="13"/>
        <v>1000</v>
      </c>
    </row>
    <row r="410" spans="2:10" ht="20.100000000000001" customHeight="1" x14ac:dyDescent="0.15">
      <c r="B410" s="5"/>
      <c r="C410" s="10"/>
      <c r="D410" s="10"/>
      <c r="E410" s="10"/>
      <c r="F410" s="10"/>
      <c r="G410" s="8"/>
      <c r="H410" s="8"/>
      <c r="I410" s="8" t="str">
        <f t="shared" si="12"/>
        <v>借</v>
      </c>
      <c r="J410" s="9">
        <f t="shared" si="13"/>
        <v>1000</v>
      </c>
    </row>
    <row r="411" spans="2:10" ht="20.100000000000001" customHeight="1" x14ac:dyDescent="0.15">
      <c r="B411" s="5"/>
      <c r="C411" s="10"/>
      <c r="D411" s="10"/>
      <c r="E411" s="10"/>
      <c r="F411" s="10"/>
      <c r="G411" s="8"/>
      <c r="H411" s="8"/>
      <c r="I411" s="8" t="str">
        <f t="shared" si="12"/>
        <v>借</v>
      </c>
      <c r="J411" s="9">
        <f t="shared" si="13"/>
        <v>1000</v>
      </c>
    </row>
    <row r="412" spans="2:10" ht="20.100000000000001" customHeight="1" x14ac:dyDescent="0.15">
      <c r="B412" s="5"/>
      <c r="C412" s="10"/>
      <c r="D412" s="10"/>
      <c r="E412" s="10"/>
      <c r="F412" s="10"/>
      <c r="G412" s="8"/>
      <c r="H412" s="8"/>
      <c r="I412" s="8" t="str">
        <f t="shared" si="12"/>
        <v>借</v>
      </c>
      <c r="J412" s="9">
        <f t="shared" si="13"/>
        <v>1000</v>
      </c>
    </row>
    <row r="413" spans="2:10" ht="20.100000000000001" customHeight="1" x14ac:dyDescent="0.15">
      <c r="B413" s="5"/>
      <c r="C413" s="10"/>
      <c r="D413" s="10"/>
      <c r="E413" s="10"/>
      <c r="F413" s="10"/>
      <c r="G413" s="8"/>
      <c r="H413" s="8"/>
      <c r="I413" s="8" t="str">
        <f t="shared" si="12"/>
        <v>借</v>
      </c>
      <c r="J413" s="9">
        <f t="shared" si="13"/>
        <v>1000</v>
      </c>
    </row>
    <row r="414" spans="2:10" ht="20.100000000000001" customHeight="1" x14ac:dyDescent="0.15">
      <c r="B414" s="5"/>
      <c r="C414" s="10"/>
      <c r="D414" s="10"/>
      <c r="E414" s="10"/>
      <c r="F414" s="10"/>
      <c r="G414" s="8"/>
      <c r="H414" s="8"/>
      <c r="I414" s="8" t="str">
        <f t="shared" si="12"/>
        <v>借</v>
      </c>
      <c r="J414" s="9">
        <f t="shared" si="13"/>
        <v>1000</v>
      </c>
    </row>
    <row r="415" spans="2:10" ht="20.100000000000001" customHeight="1" x14ac:dyDescent="0.15">
      <c r="B415" s="5"/>
      <c r="C415" s="10"/>
      <c r="D415" s="10"/>
      <c r="E415" s="10"/>
      <c r="F415" s="10"/>
      <c r="G415" s="8"/>
      <c r="H415" s="8"/>
      <c r="I415" s="8" t="str">
        <f t="shared" si="12"/>
        <v>借</v>
      </c>
      <c r="J415" s="9">
        <f t="shared" si="13"/>
        <v>1000</v>
      </c>
    </row>
    <row r="416" spans="2:10" ht="20.100000000000001" customHeight="1" x14ac:dyDescent="0.15">
      <c r="B416" s="5"/>
      <c r="C416" s="10"/>
      <c r="D416" s="10"/>
      <c r="E416" s="10"/>
      <c r="F416" s="10"/>
      <c r="G416" s="8"/>
      <c r="H416" s="8"/>
      <c r="I416" s="8" t="str">
        <f t="shared" si="12"/>
        <v>借</v>
      </c>
      <c r="J416" s="9">
        <f t="shared" si="13"/>
        <v>1000</v>
      </c>
    </row>
    <row r="417" spans="2:10" ht="20.100000000000001" customHeight="1" x14ac:dyDescent="0.15">
      <c r="B417" s="5"/>
      <c r="C417" s="10"/>
      <c r="D417" s="10"/>
      <c r="E417" s="10"/>
      <c r="F417" s="10"/>
      <c r="G417" s="8"/>
      <c r="H417" s="8"/>
      <c r="I417" s="8" t="str">
        <f t="shared" si="12"/>
        <v>借</v>
      </c>
      <c r="J417" s="9">
        <f t="shared" si="13"/>
        <v>1000</v>
      </c>
    </row>
    <row r="418" spans="2:10" ht="20.100000000000001" customHeight="1" x14ac:dyDescent="0.15">
      <c r="B418" s="5"/>
      <c r="C418" s="10"/>
      <c r="D418" s="10"/>
      <c r="E418" s="10"/>
      <c r="F418" s="10"/>
      <c r="G418" s="8"/>
      <c r="H418" s="8"/>
      <c r="I418" s="8" t="str">
        <f t="shared" si="12"/>
        <v>借</v>
      </c>
      <c r="J418" s="9">
        <f t="shared" si="13"/>
        <v>1000</v>
      </c>
    </row>
    <row r="419" spans="2:10" ht="20.100000000000001" customHeight="1" x14ac:dyDescent="0.15">
      <c r="B419" s="5"/>
      <c r="C419" s="10"/>
      <c r="D419" s="10"/>
      <c r="E419" s="10"/>
      <c r="F419" s="10"/>
      <c r="G419" s="8"/>
      <c r="H419" s="8"/>
      <c r="I419" s="8" t="str">
        <f t="shared" si="12"/>
        <v>借</v>
      </c>
      <c r="J419" s="9">
        <f t="shared" si="13"/>
        <v>1000</v>
      </c>
    </row>
    <row r="420" spans="2:10" ht="20.100000000000001" customHeight="1" x14ac:dyDescent="0.15">
      <c r="B420" s="5"/>
      <c r="C420" s="10"/>
      <c r="D420" s="10"/>
      <c r="E420" s="10"/>
      <c r="F420" s="10"/>
      <c r="G420" s="8"/>
      <c r="H420" s="8"/>
      <c r="I420" s="8" t="str">
        <f t="shared" si="12"/>
        <v>借</v>
      </c>
      <c r="J420" s="9">
        <f t="shared" si="13"/>
        <v>1000</v>
      </c>
    </row>
    <row r="421" spans="2:10" ht="20.100000000000001" customHeight="1" x14ac:dyDescent="0.15">
      <c r="B421" s="5"/>
      <c r="C421" s="10"/>
      <c r="D421" s="10"/>
      <c r="E421" s="10"/>
      <c r="F421" s="10"/>
      <c r="G421" s="8"/>
      <c r="H421" s="8"/>
      <c r="I421" s="8" t="str">
        <f t="shared" si="12"/>
        <v>借</v>
      </c>
      <c r="J421" s="9">
        <f t="shared" si="13"/>
        <v>1000</v>
      </c>
    </row>
    <row r="422" spans="2:10" ht="20.100000000000001" customHeight="1" x14ac:dyDescent="0.15">
      <c r="B422" s="5"/>
      <c r="C422" s="10"/>
      <c r="D422" s="10"/>
      <c r="E422" s="10"/>
      <c r="F422" s="10"/>
      <c r="G422" s="8"/>
      <c r="H422" s="8"/>
      <c r="I422" s="8" t="str">
        <f t="shared" si="12"/>
        <v>借</v>
      </c>
      <c r="J422" s="9">
        <f t="shared" si="13"/>
        <v>1000</v>
      </c>
    </row>
    <row r="423" spans="2:10" ht="20.100000000000001" customHeight="1" x14ac:dyDescent="0.15">
      <c r="B423" s="5"/>
      <c r="C423" s="10"/>
      <c r="D423" s="10"/>
      <c r="E423" s="10"/>
      <c r="F423" s="10"/>
      <c r="G423" s="8"/>
      <c r="H423" s="8"/>
      <c r="I423" s="8" t="str">
        <f t="shared" si="12"/>
        <v>借</v>
      </c>
      <c r="J423" s="9">
        <f t="shared" si="13"/>
        <v>1000</v>
      </c>
    </row>
    <row r="424" spans="2:10" ht="20.100000000000001" customHeight="1" x14ac:dyDescent="0.15">
      <c r="B424" s="5"/>
      <c r="C424" s="10"/>
      <c r="D424" s="10"/>
      <c r="E424" s="10"/>
      <c r="F424" s="10"/>
      <c r="G424" s="8"/>
      <c r="H424" s="8"/>
      <c r="I424" s="8" t="str">
        <f t="shared" si="12"/>
        <v>借</v>
      </c>
      <c r="J424" s="9">
        <f t="shared" si="13"/>
        <v>1000</v>
      </c>
    </row>
    <row r="425" spans="2:10" ht="20.100000000000001" customHeight="1" x14ac:dyDescent="0.15">
      <c r="B425" s="5"/>
      <c r="C425" s="10"/>
      <c r="D425" s="10"/>
      <c r="E425" s="10"/>
      <c r="F425" s="10"/>
      <c r="G425" s="8"/>
      <c r="H425" s="8"/>
      <c r="I425" s="8" t="str">
        <f t="shared" si="12"/>
        <v>借</v>
      </c>
      <c r="J425" s="9">
        <f t="shared" si="13"/>
        <v>1000</v>
      </c>
    </row>
    <row r="426" spans="2:10" ht="20.100000000000001" customHeight="1" x14ac:dyDescent="0.15">
      <c r="B426" s="5"/>
      <c r="C426" s="10"/>
      <c r="D426" s="10"/>
      <c r="E426" s="10"/>
      <c r="F426" s="10"/>
      <c r="G426" s="8"/>
      <c r="H426" s="8"/>
      <c r="I426" s="8" t="str">
        <f t="shared" si="12"/>
        <v>借</v>
      </c>
      <c r="J426" s="9">
        <f t="shared" si="13"/>
        <v>1000</v>
      </c>
    </row>
    <row r="427" spans="2:10" ht="20.100000000000001" customHeight="1" x14ac:dyDescent="0.15">
      <c r="B427" s="5"/>
      <c r="C427" s="10"/>
      <c r="D427" s="10"/>
      <c r="E427" s="10"/>
      <c r="F427" s="10"/>
      <c r="G427" s="8"/>
      <c r="H427" s="8"/>
      <c r="I427" s="8" t="str">
        <f t="shared" si="12"/>
        <v>借</v>
      </c>
      <c r="J427" s="9">
        <f t="shared" si="13"/>
        <v>1000</v>
      </c>
    </row>
    <row r="428" spans="2:10" ht="20.100000000000001" customHeight="1" x14ac:dyDescent="0.15">
      <c r="B428" s="5"/>
      <c r="C428" s="10"/>
      <c r="D428" s="10"/>
      <c r="E428" s="10"/>
      <c r="F428" s="10"/>
      <c r="G428" s="8"/>
      <c r="H428" s="8"/>
      <c r="I428" s="8" t="str">
        <f t="shared" si="12"/>
        <v>借</v>
      </c>
      <c r="J428" s="9">
        <f t="shared" si="13"/>
        <v>1000</v>
      </c>
    </row>
    <row r="429" spans="2:10" ht="20.100000000000001" customHeight="1" x14ac:dyDescent="0.15">
      <c r="B429" s="5"/>
      <c r="C429" s="10"/>
      <c r="D429" s="10"/>
      <c r="E429" s="10"/>
      <c r="F429" s="10"/>
      <c r="G429" s="8"/>
      <c r="H429" s="8"/>
      <c r="I429" s="8" t="str">
        <f t="shared" si="12"/>
        <v>借</v>
      </c>
      <c r="J429" s="9">
        <f t="shared" si="13"/>
        <v>1000</v>
      </c>
    </row>
    <row r="430" spans="2:10" ht="20.100000000000001" customHeight="1" x14ac:dyDescent="0.15">
      <c r="B430" s="5"/>
      <c r="C430" s="10"/>
      <c r="D430" s="10"/>
      <c r="E430" s="10"/>
      <c r="F430" s="10"/>
      <c r="G430" s="8"/>
      <c r="H430" s="8"/>
      <c r="I430" s="8" t="str">
        <f t="shared" si="12"/>
        <v>借</v>
      </c>
      <c r="J430" s="9">
        <f t="shared" si="13"/>
        <v>1000</v>
      </c>
    </row>
    <row r="431" spans="2:10" ht="20.100000000000001" customHeight="1" x14ac:dyDescent="0.15">
      <c r="B431" s="5"/>
      <c r="C431" s="10"/>
      <c r="D431" s="10"/>
      <c r="E431" s="10"/>
      <c r="F431" s="10"/>
      <c r="G431" s="8"/>
      <c r="H431" s="8"/>
      <c r="I431" s="8" t="str">
        <f t="shared" si="12"/>
        <v>借</v>
      </c>
      <c r="J431" s="9">
        <f t="shared" si="13"/>
        <v>1000</v>
      </c>
    </row>
    <row r="432" spans="2:10" ht="20.100000000000001" customHeight="1" x14ac:dyDescent="0.15">
      <c r="B432" s="5"/>
      <c r="C432" s="10"/>
      <c r="D432" s="10"/>
      <c r="E432" s="10"/>
      <c r="F432" s="10"/>
      <c r="G432" s="8"/>
      <c r="H432" s="8"/>
      <c r="I432" s="8" t="str">
        <f t="shared" si="12"/>
        <v>借</v>
      </c>
      <c r="J432" s="9">
        <f t="shared" si="13"/>
        <v>1000</v>
      </c>
    </row>
    <row r="433" spans="2:10" ht="20.100000000000001" customHeight="1" x14ac:dyDescent="0.15">
      <c r="B433" s="5"/>
      <c r="C433" s="10"/>
      <c r="D433" s="10"/>
      <c r="E433" s="10"/>
      <c r="F433" s="10"/>
      <c r="G433" s="8"/>
      <c r="H433" s="8"/>
      <c r="I433" s="8" t="str">
        <f t="shared" si="12"/>
        <v>借</v>
      </c>
      <c r="J433" s="9">
        <f t="shared" si="13"/>
        <v>1000</v>
      </c>
    </row>
    <row r="434" spans="2:10" ht="20.100000000000001" customHeight="1" x14ac:dyDescent="0.15">
      <c r="B434" s="5"/>
      <c r="C434" s="10"/>
      <c r="D434" s="10"/>
      <c r="E434" s="10"/>
      <c r="F434" s="10"/>
      <c r="G434" s="8"/>
      <c r="H434" s="8"/>
      <c r="I434" s="8" t="str">
        <f t="shared" si="12"/>
        <v>借</v>
      </c>
      <c r="J434" s="9">
        <f t="shared" si="13"/>
        <v>1000</v>
      </c>
    </row>
    <row r="435" spans="2:10" ht="20.100000000000001" customHeight="1" x14ac:dyDescent="0.15">
      <c r="B435" s="5"/>
      <c r="C435" s="10"/>
      <c r="D435" s="10"/>
      <c r="E435" s="10"/>
      <c r="F435" s="10"/>
      <c r="G435" s="8"/>
      <c r="H435" s="8"/>
      <c r="I435" s="8" t="str">
        <f t="shared" si="12"/>
        <v>借</v>
      </c>
      <c r="J435" s="9">
        <f t="shared" si="13"/>
        <v>1000</v>
      </c>
    </row>
    <row r="436" spans="2:10" ht="20.100000000000001" customHeight="1" x14ac:dyDescent="0.15">
      <c r="B436" s="5"/>
      <c r="C436" s="10"/>
      <c r="D436" s="10"/>
      <c r="E436" s="10"/>
      <c r="F436" s="10"/>
      <c r="G436" s="8"/>
      <c r="H436" s="8"/>
      <c r="I436" s="8" t="str">
        <f t="shared" si="12"/>
        <v>借</v>
      </c>
      <c r="J436" s="9">
        <f t="shared" si="13"/>
        <v>1000</v>
      </c>
    </row>
    <row r="437" spans="2:10" ht="20.100000000000001" customHeight="1" x14ac:dyDescent="0.15">
      <c r="B437" s="5"/>
      <c r="C437" s="10"/>
      <c r="D437" s="10"/>
      <c r="E437" s="10"/>
      <c r="F437" s="10"/>
      <c r="G437" s="8"/>
      <c r="H437" s="8"/>
      <c r="I437" s="8" t="str">
        <f t="shared" si="12"/>
        <v>借</v>
      </c>
      <c r="J437" s="9">
        <f t="shared" si="13"/>
        <v>1000</v>
      </c>
    </row>
    <row r="438" spans="2:10" ht="20.100000000000001" customHeight="1" x14ac:dyDescent="0.15">
      <c r="B438" s="5"/>
      <c r="C438" s="10"/>
      <c r="D438" s="10"/>
      <c r="E438" s="10"/>
      <c r="F438" s="10"/>
      <c r="G438" s="8"/>
      <c r="H438" s="8"/>
      <c r="I438" s="8" t="str">
        <f t="shared" si="12"/>
        <v>借</v>
      </c>
      <c r="J438" s="9">
        <f t="shared" si="13"/>
        <v>1000</v>
      </c>
    </row>
    <row r="439" spans="2:10" ht="20.100000000000001" customHeight="1" x14ac:dyDescent="0.15">
      <c r="B439" s="5"/>
      <c r="C439" s="10"/>
      <c r="D439" s="10"/>
      <c r="E439" s="10"/>
      <c r="F439" s="10"/>
      <c r="G439" s="8"/>
      <c r="H439" s="8"/>
      <c r="I439" s="8" t="str">
        <f t="shared" si="12"/>
        <v>借</v>
      </c>
      <c r="J439" s="9">
        <f t="shared" si="13"/>
        <v>1000</v>
      </c>
    </row>
    <row r="440" spans="2:10" ht="20.100000000000001" customHeight="1" x14ac:dyDescent="0.15">
      <c r="B440" s="5"/>
      <c r="C440" s="10"/>
      <c r="D440" s="10"/>
      <c r="E440" s="10"/>
      <c r="F440" s="10"/>
      <c r="G440" s="8"/>
      <c r="H440" s="8"/>
      <c r="I440" s="8" t="str">
        <f t="shared" si="12"/>
        <v>借</v>
      </c>
      <c r="J440" s="9">
        <f t="shared" si="13"/>
        <v>1000</v>
      </c>
    </row>
    <row r="441" spans="2:10" ht="20.100000000000001" customHeight="1" x14ac:dyDescent="0.15">
      <c r="B441" s="5"/>
      <c r="C441" s="10"/>
      <c r="D441" s="10"/>
      <c r="E441" s="10"/>
      <c r="F441" s="10"/>
      <c r="G441" s="8"/>
      <c r="H441" s="8"/>
      <c r="I441" s="8" t="str">
        <f t="shared" si="12"/>
        <v>借</v>
      </c>
      <c r="J441" s="9">
        <f t="shared" si="13"/>
        <v>1000</v>
      </c>
    </row>
    <row r="442" spans="2:10" ht="20.100000000000001" customHeight="1" x14ac:dyDescent="0.15">
      <c r="B442" s="5"/>
      <c r="C442" s="10"/>
      <c r="D442" s="10"/>
      <c r="E442" s="10"/>
      <c r="F442" s="10"/>
      <c r="G442" s="8"/>
      <c r="H442" s="8"/>
      <c r="I442" s="8" t="str">
        <f t="shared" si="12"/>
        <v>借</v>
      </c>
      <c r="J442" s="9">
        <f t="shared" si="13"/>
        <v>1000</v>
      </c>
    </row>
    <row r="443" spans="2:10" ht="20.100000000000001" customHeight="1" x14ac:dyDescent="0.15">
      <c r="B443" s="5"/>
      <c r="C443" s="10"/>
      <c r="D443" s="10"/>
      <c r="E443" s="10"/>
      <c r="F443" s="10"/>
      <c r="G443" s="8"/>
      <c r="H443" s="8"/>
      <c r="I443" s="8" t="str">
        <f t="shared" si="12"/>
        <v>借</v>
      </c>
      <c r="J443" s="9">
        <f t="shared" si="13"/>
        <v>1000</v>
      </c>
    </row>
    <row r="444" spans="2:10" ht="20.100000000000001" customHeight="1" x14ac:dyDescent="0.15">
      <c r="B444" s="5"/>
      <c r="C444" s="10"/>
      <c r="D444" s="10"/>
      <c r="E444" s="10"/>
      <c r="F444" s="10"/>
      <c r="G444" s="8"/>
      <c r="H444" s="8"/>
      <c r="I444" s="8" t="str">
        <f t="shared" si="12"/>
        <v>借</v>
      </c>
      <c r="J444" s="9">
        <f t="shared" si="13"/>
        <v>1000</v>
      </c>
    </row>
    <row r="445" spans="2:10" ht="20.100000000000001" customHeight="1" x14ac:dyDescent="0.15">
      <c r="B445" s="5"/>
      <c r="C445" s="10"/>
      <c r="D445" s="10"/>
      <c r="E445" s="10"/>
      <c r="F445" s="10"/>
      <c r="G445" s="8"/>
      <c r="H445" s="8"/>
      <c r="I445" s="8" t="str">
        <f t="shared" si="12"/>
        <v>借</v>
      </c>
      <c r="J445" s="9">
        <f t="shared" si="13"/>
        <v>1000</v>
      </c>
    </row>
    <row r="446" spans="2:10" ht="20.100000000000001" customHeight="1" x14ac:dyDescent="0.15">
      <c r="B446" s="5"/>
      <c r="C446" s="10"/>
      <c r="D446" s="10"/>
      <c r="E446" s="10"/>
      <c r="F446" s="10"/>
      <c r="G446" s="8"/>
      <c r="H446" s="8"/>
      <c r="I446" s="8" t="str">
        <f t="shared" si="12"/>
        <v>借</v>
      </c>
      <c r="J446" s="9">
        <f t="shared" si="13"/>
        <v>1000</v>
      </c>
    </row>
    <row r="447" spans="2:10" ht="20.100000000000001" customHeight="1" x14ac:dyDescent="0.15">
      <c r="B447" s="5"/>
      <c r="C447" s="10"/>
      <c r="D447" s="10"/>
      <c r="E447" s="10"/>
      <c r="F447" s="10"/>
      <c r="G447" s="8"/>
      <c r="H447" s="8"/>
      <c r="I447" s="8" t="str">
        <f t="shared" si="12"/>
        <v>借</v>
      </c>
      <c r="J447" s="9">
        <f t="shared" si="13"/>
        <v>1000</v>
      </c>
    </row>
    <row r="448" spans="2:10" ht="20.100000000000001" customHeight="1" x14ac:dyDescent="0.15">
      <c r="B448" s="5"/>
      <c r="C448" s="10"/>
      <c r="D448" s="10"/>
      <c r="E448" s="10"/>
      <c r="F448" s="10"/>
      <c r="G448" s="8"/>
      <c r="H448" s="8"/>
      <c r="I448" s="8" t="str">
        <f t="shared" si="12"/>
        <v>借</v>
      </c>
      <c r="J448" s="9">
        <f t="shared" si="13"/>
        <v>1000</v>
      </c>
    </row>
    <row r="449" spans="2:10" ht="20.100000000000001" customHeight="1" x14ac:dyDescent="0.15">
      <c r="B449" s="5"/>
      <c r="C449" s="10"/>
      <c r="D449" s="10"/>
      <c r="E449" s="10"/>
      <c r="F449" s="10"/>
      <c r="G449" s="8"/>
      <c r="H449" s="8"/>
      <c r="I449" s="8" t="str">
        <f t="shared" si="12"/>
        <v>借</v>
      </c>
      <c r="J449" s="9">
        <f t="shared" si="13"/>
        <v>1000</v>
      </c>
    </row>
    <row r="450" spans="2:10" ht="20.100000000000001" customHeight="1" x14ac:dyDescent="0.15">
      <c r="B450" s="5"/>
      <c r="C450" s="10"/>
      <c r="D450" s="10"/>
      <c r="E450" s="10"/>
      <c r="F450" s="10"/>
      <c r="G450" s="8"/>
      <c r="H450" s="8"/>
      <c r="I450" s="8" t="str">
        <f t="shared" si="12"/>
        <v>借</v>
      </c>
      <c r="J450" s="9">
        <f t="shared" si="13"/>
        <v>1000</v>
      </c>
    </row>
    <row r="451" spans="2:10" ht="20.100000000000001" customHeight="1" x14ac:dyDescent="0.15">
      <c r="B451" s="5"/>
      <c r="C451" s="10"/>
      <c r="D451" s="10"/>
      <c r="E451" s="10"/>
      <c r="F451" s="10"/>
      <c r="G451" s="8"/>
      <c r="H451" s="8"/>
      <c r="I451" s="8" t="str">
        <f t="shared" si="12"/>
        <v>借</v>
      </c>
      <c r="J451" s="9">
        <f t="shared" si="13"/>
        <v>1000</v>
      </c>
    </row>
    <row r="452" spans="2:10" ht="20.100000000000001" customHeight="1" x14ac:dyDescent="0.15">
      <c r="B452" s="5"/>
      <c r="C452" s="10"/>
      <c r="D452" s="10"/>
      <c r="E452" s="10"/>
      <c r="F452" s="10"/>
      <c r="G452" s="8"/>
      <c r="H452" s="8"/>
      <c r="I452" s="8" t="str">
        <f t="shared" si="12"/>
        <v>借</v>
      </c>
      <c r="J452" s="9">
        <f t="shared" si="13"/>
        <v>1000</v>
      </c>
    </row>
    <row r="453" spans="2:10" ht="20.100000000000001" customHeight="1" x14ac:dyDescent="0.15">
      <c r="B453" s="5"/>
      <c r="C453" s="10"/>
      <c r="D453" s="10"/>
      <c r="E453" s="10"/>
      <c r="F453" s="10"/>
      <c r="G453" s="8"/>
      <c r="H453" s="8"/>
      <c r="I453" s="8" t="str">
        <f t="shared" si="12"/>
        <v>借</v>
      </c>
      <c r="J453" s="9">
        <f t="shared" si="13"/>
        <v>1000</v>
      </c>
    </row>
    <row r="454" spans="2:10" ht="20.100000000000001" customHeight="1" x14ac:dyDescent="0.15">
      <c r="B454" s="5"/>
      <c r="C454" s="10"/>
      <c r="D454" s="10"/>
      <c r="E454" s="10"/>
      <c r="F454" s="10"/>
      <c r="G454" s="8"/>
      <c r="H454" s="8"/>
      <c r="I454" s="8" t="str">
        <f t="shared" ref="I454:I497" si="14">IF((J453+G454-H454)&gt;0,"借","贷")</f>
        <v>借</v>
      </c>
      <c r="J454" s="9">
        <f t="shared" si="13"/>
        <v>1000</v>
      </c>
    </row>
    <row r="455" spans="2:10" ht="20.100000000000001" customHeight="1" x14ac:dyDescent="0.15">
      <c r="B455" s="5"/>
      <c r="C455" s="10"/>
      <c r="D455" s="10"/>
      <c r="E455" s="10"/>
      <c r="F455" s="10"/>
      <c r="G455" s="8"/>
      <c r="H455" s="8"/>
      <c r="I455" s="8" t="str">
        <f t="shared" si="14"/>
        <v>借</v>
      </c>
      <c r="J455" s="9">
        <f t="shared" ref="J455:J497" si="15">J454+G455-H455</f>
        <v>1000</v>
      </c>
    </row>
    <row r="456" spans="2:10" ht="20.100000000000001" customHeight="1" x14ac:dyDescent="0.15">
      <c r="B456" s="5"/>
      <c r="C456" s="10"/>
      <c r="D456" s="10"/>
      <c r="E456" s="10"/>
      <c r="F456" s="10"/>
      <c r="G456" s="8"/>
      <c r="H456" s="8"/>
      <c r="I456" s="8" t="str">
        <f t="shared" si="14"/>
        <v>借</v>
      </c>
      <c r="J456" s="9">
        <f t="shared" si="15"/>
        <v>1000</v>
      </c>
    </row>
    <row r="457" spans="2:10" ht="20.100000000000001" customHeight="1" x14ac:dyDescent="0.15">
      <c r="B457" s="5"/>
      <c r="C457" s="10"/>
      <c r="D457" s="10"/>
      <c r="E457" s="10"/>
      <c r="F457" s="10"/>
      <c r="G457" s="8"/>
      <c r="H457" s="8"/>
      <c r="I457" s="8" t="str">
        <f t="shared" si="14"/>
        <v>借</v>
      </c>
      <c r="J457" s="9">
        <f t="shared" si="15"/>
        <v>1000</v>
      </c>
    </row>
    <row r="458" spans="2:10" ht="20.100000000000001" customHeight="1" x14ac:dyDescent="0.15">
      <c r="B458" s="5"/>
      <c r="C458" s="10"/>
      <c r="D458" s="10"/>
      <c r="E458" s="10"/>
      <c r="F458" s="10"/>
      <c r="G458" s="8"/>
      <c r="H458" s="8"/>
      <c r="I458" s="8" t="str">
        <f t="shared" si="14"/>
        <v>借</v>
      </c>
      <c r="J458" s="9">
        <f t="shared" si="15"/>
        <v>1000</v>
      </c>
    </row>
    <row r="459" spans="2:10" ht="20.100000000000001" customHeight="1" x14ac:dyDescent="0.15">
      <c r="B459" s="5"/>
      <c r="C459" s="10"/>
      <c r="D459" s="10"/>
      <c r="E459" s="10"/>
      <c r="F459" s="10"/>
      <c r="G459" s="8"/>
      <c r="H459" s="8"/>
      <c r="I459" s="8" t="str">
        <f t="shared" si="14"/>
        <v>借</v>
      </c>
      <c r="J459" s="9">
        <f t="shared" si="15"/>
        <v>1000</v>
      </c>
    </row>
    <row r="460" spans="2:10" ht="20.100000000000001" customHeight="1" x14ac:dyDescent="0.15">
      <c r="B460" s="5"/>
      <c r="C460" s="10"/>
      <c r="D460" s="10"/>
      <c r="E460" s="10"/>
      <c r="F460" s="10"/>
      <c r="G460" s="8"/>
      <c r="H460" s="8"/>
      <c r="I460" s="8" t="str">
        <f t="shared" si="14"/>
        <v>借</v>
      </c>
      <c r="J460" s="9">
        <f t="shared" si="15"/>
        <v>1000</v>
      </c>
    </row>
    <row r="461" spans="2:10" ht="20.100000000000001" customHeight="1" x14ac:dyDescent="0.15">
      <c r="B461" s="5"/>
      <c r="C461" s="10"/>
      <c r="D461" s="10"/>
      <c r="E461" s="10"/>
      <c r="F461" s="10"/>
      <c r="G461" s="8"/>
      <c r="H461" s="8"/>
      <c r="I461" s="8" t="str">
        <f t="shared" si="14"/>
        <v>借</v>
      </c>
      <c r="J461" s="9">
        <f t="shared" si="15"/>
        <v>1000</v>
      </c>
    </row>
    <row r="462" spans="2:10" ht="20.100000000000001" customHeight="1" x14ac:dyDescent="0.15">
      <c r="B462" s="5"/>
      <c r="C462" s="10"/>
      <c r="D462" s="10"/>
      <c r="E462" s="10"/>
      <c r="F462" s="10"/>
      <c r="G462" s="8"/>
      <c r="H462" s="8"/>
      <c r="I462" s="8" t="str">
        <f t="shared" si="14"/>
        <v>借</v>
      </c>
      <c r="J462" s="9">
        <f t="shared" si="15"/>
        <v>1000</v>
      </c>
    </row>
    <row r="463" spans="2:10" ht="20.100000000000001" customHeight="1" x14ac:dyDescent="0.15">
      <c r="B463" s="5"/>
      <c r="C463" s="10"/>
      <c r="D463" s="10"/>
      <c r="E463" s="10"/>
      <c r="F463" s="10"/>
      <c r="G463" s="8"/>
      <c r="H463" s="8"/>
      <c r="I463" s="8" t="str">
        <f t="shared" si="14"/>
        <v>借</v>
      </c>
      <c r="J463" s="9">
        <f t="shared" si="15"/>
        <v>1000</v>
      </c>
    </row>
    <row r="464" spans="2:10" ht="20.100000000000001" customHeight="1" x14ac:dyDescent="0.15">
      <c r="B464" s="5"/>
      <c r="C464" s="10"/>
      <c r="D464" s="10"/>
      <c r="E464" s="10"/>
      <c r="F464" s="10"/>
      <c r="G464" s="8"/>
      <c r="H464" s="8"/>
      <c r="I464" s="8" t="str">
        <f t="shared" si="14"/>
        <v>借</v>
      </c>
      <c r="J464" s="9">
        <f t="shared" si="15"/>
        <v>1000</v>
      </c>
    </row>
    <row r="465" spans="2:10" ht="20.100000000000001" customHeight="1" x14ac:dyDescent="0.15">
      <c r="B465" s="5"/>
      <c r="C465" s="10"/>
      <c r="D465" s="10"/>
      <c r="E465" s="10"/>
      <c r="F465" s="10"/>
      <c r="G465" s="8"/>
      <c r="H465" s="8"/>
      <c r="I465" s="8" t="str">
        <f t="shared" si="14"/>
        <v>借</v>
      </c>
      <c r="J465" s="9">
        <f t="shared" si="15"/>
        <v>1000</v>
      </c>
    </row>
    <row r="466" spans="2:10" ht="20.100000000000001" customHeight="1" x14ac:dyDescent="0.15">
      <c r="B466" s="5"/>
      <c r="C466" s="10"/>
      <c r="D466" s="10"/>
      <c r="E466" s="10"/>
      <c r="F466" s="10"/>
      <c r="G466" s="8"/>
      <c r="H466" s="8"/>
      <c r="I466" s="8" t="str">
        <f t="shared" si="14"/>
        <v>借</v>
      </c>
      <c r="J466" s="9">
        <f t="shared" si="15"/>
        <v>1000</v>
      </c>
    </row>
    <row r="467" spans="2:10" ht="20.100000000000001" customHeight="1" x14ac:dyDescent="0.15">
      <c r="B467" s="5"/>
      <c r="C467" s="10"/>
      <c r="D467" s="10"/>
      <c r="E467" s="10"/>
      <c r="F467" s="10"/>
      <c r="G467" s="8"/>
      <c r="H467" s="8"/>
      <c r="I467" s="8" t="str">
        <f t="shared" si="14"/>
        <v>借</v>
      </c>
      <c r="J467" s="9">
        <f t="shared" si="15"/>
        <v>1000</v>
      </c>
    </row>
    <row r="468" spans="2:10" ht="20.100000000000001" customHeight="1" x14ac:dyDescent="0.15">
      <c r="B468" s="5"/>
      <c r="C468" s="10"/>
      <c r="D468" s="10"/>
      <c r="E468" s="10"/>
      <c r="F468" s="10"/>
      <c r="G468" s="8"/>
      <c r="H468" s="8"/>
      <c r="I468" s="8" t="str">
        <f t="shared" si="14"/>
        <v>借</v>
      </c>
      <c r="J468" s="9">
        <f t="shared" si="15"/>
        <v>1000</v>
      </c>
    </row>
    <row r="469" spans="2:10" ht="20.100000000000001" customHeight="1" x14ac:dyDescent="0.15">
      <c r="B469" s="5"/>
      <c r="C469" s="10"/>
      <c r="D469" s="10"/>
      <c r="E469" s="10"/>
      <c r="F469" s="10"/>
      <c r="G469" s="8"/>
      <c r="H469" s="8"/>
      <c r="I469" s="8" t="str">
        <f t="shared" si="14"/>
        <v>借</v>
      </c>
      <c r="J469" s="9">
        <f t="shared" si="15"/>
        <v>1000</v>
      </c>
    </row>
    <row r="470" spans="2:10" ht="20.100000000000001" customHeight="1" x14ac:dyDescent="0.15">
      <c r="B470" s="5"/>
      <c r="C470" s="10"/>
      <c r="D470" s="10"/>
      <c r="E470" s="10"/>
      <c r="F470" s="10"/>
      <c r="G470" s="8"/>
      <c r="H470" s="8"/>
      <c r="I470" s="8" t="str">
        <f t="shared" si="14"/>
        <v>借</v>
      </c>
      <c r="J470" s="9">
        <f t="shared" si="15"/>
        <v>1000</v>
      </c>
    </row>
    <row r="471" spans="2:10" ht="20.100000000000001" customHeight="1" x14ac:dyDescent="0.15">
      <c r="B471" s="5"/>
      <c r="C471" s="10"/>
      <c r="D471" s="10"/>
      <c r="E471" s="10"/>
      <c r="F471" s="10"/>
      <c r="G471" s="8"/>
      <c r="H471" s="8"/>
      <c r="I471" s="8" t="str">
        <f t="shared" si="14"/>
        <v>借</v>
      </c>
      <c r="J471" s="9">
        <f t="shared" si="15"/>
        <v>1000</v>
      </c>
    </row>
    <row r="472" spans="2:10" ht="20.100000000000001" customHeight="1" x14ac:dyDescent="0.15">
      <c r="B472" s="5"/>
      <c r="C472" s="10"/>
      <c r="D472" s="10"/>
      <c r="E472" s="10"/>
      <c r="F472" s="10"/>
      <c r="G472" s="8"/>
      <c r="H472" s="8"/>
      <c r="I472" s="8" t="str">
        <f t="shared" si="14"/>
        <v>借</v>
      </c>
      <c r="J472" s="9">
        <f t="shared" si="15"/>
        <v>1000</v>
      </c>
    </row>
    <row r="473" spans="2:10" ht="20.100000000000001" customHeight="1" x14ac:dyDescent="0.15">
      <c r="B473" s="5"/>
      <c r="C473" s="10"/>
      <c r="D473" s="10"/>
      <c r="E473" s="10"/>
      <c r="F473" s="10"/>
      <c r="G473" s="8"/>
      <c r="H473" s="8"/>
      <c r="I473" s="8" t="str">
        <f t="shared" si="14"/>
        <v>借</v>
      </c>
      <c r="J473" s="9">
        <f t="shared" si="15"/>
        <v>1000</v>
      </c>
    </row>
    <row r="474" spans="2:10" ht="20.100000000000001" customHeight="1" x14ac:dyDescent="0.15">
      <c r="B474" s="5"/>
      <c r="C474" s="10"/>
      <c r="D474" s="10"/>
      <c r="E474" s="10"/>
      <c r="F474" s="10"/>
      <c r="G474" s="8"/>
      <c r="H474" s="8"/>
      <c r="I474" s="8" t="str">
        <f t="shared" si="14"/>
        <v>借</v>
      </c>
      <c r="J474" s="9">
        <f t="shared" si="15"/>
        <v>1000</v>
      </c>
    </row>
    <row r="475" spans="2:10" ht="20.100000000000001" customHeight="1" x14ac:dyDescent="0.15">
      <c r="B475" s="5"/>
      <c r="C475" s="10"/>
      <c r="D475" s="10"/>
      <c r="E475" s="10"/>
      <c r="F475" s="10"/>
      <c r="G475" s="8"/>
      <c r="H475" s="8"/>
      <c r="I475" s="8" t="str">
        <f t="shared" si="14"/>
        <v>借</v>
      </c>
      <c r="J475" s="9">
        <f t="shared" si="15"/>
        <v>1000</v>
      </c>
    </row>
    <row r="476" spans="2:10" ht="20.100000000000001" customHeight="1" x14ac:dyDescent="0.15">
      <c r="B476" s="5"/>
      <c r="C476" s="10"/>
      <c r="D476" s="10"/>
      <c r="E476" s="10"/>
      <c r="F476" s="10"/>
      <c r="G476" s="8"/>
      <c r="H476" s="8"/>
      <c r="I476" s="8" t="str">
        <f t="shared" si="14"/>
        <v>借</v>
      </c>
      <c r="J476" s="9">
        <f t="shared" si="15"/>
        <v>1000</v>
      </c>
    </row>
    <row r="477" spans="2:10" ht="20.100000000000001" customHeight="1" x14ac:dyDescent="0.15">
      <c r="B477" s="5"/>
      <c r="C477" s="10"/>
      <c r="D477" s="10"/>
      <c r="E477" s="10"/>
      <c r="F477" s="10"/>
      <c r="G477" s="8"/>
      <c r="H477" s="8"/>
      <c r="I477" s="8" t="str">
        <f t="shared" si="14"/>
        <v>借</v>
      </c>
      <c r="J477" s="9">
        <f t="shared" si="15"/>
        <v>1000</v>
      </c>
    </row>
    <row r="478" spans="2:10" ht="20.100000000000001" customHeight="1" x14ac:dyDescent="0.15">
      <c r="B478" s="5"/>
      <c r="C478" s="10"/>
      <c r="D478" s="10"/>
      <c r="E478" s="10"/>
      <c r="F478" s="10"/>
      <c r="G478" s="8"/>
      <c r="H478" s="8"/>
      <c r="I478" s="8" t="str">
        <f t="shared" si="14"/>
        <v>借</v>
      </c>
      <c r="J478" s="9">
        <f t="shared" si="15"/>
        <v>1000</v>
      </c>
    </row>
    <row r="479" spans="2:10" ht="20.100000000000001" customHeight="1" x14ac:dyDescent="0.15">
      <c r="B479" s="5"/>
      <c r="C479" s="10"/>
      <c r="D479" s="10"/>
      <c r="E479" s="10"/>
      <c r="F479" s="10"/>
      <c r="G479" s="8"/>
      <c r="H479" s="8"/>
      <c r="I479" s="8" t="str">
        <f t="shared" si="14"/>
        <v>借</v>
      </c>
      <c r="J479" s="9">
        <f t="shared" si="15"/>
        <v>1000</v>
      </c>
    </row>
    <row r="480" spans="2:10" ht="20.100000000000001" customHeight="1" x14ac:dyDescent="0.15">
      <c r="B480" s="5"/>
      <c r="C480" s="10"/>
      <c r="D480" s="10"/>
      <c r="E480" s="10"/>
      <c r="F480" s="10"/>
      <c r="G480" s="8"/>
      <c r="H480" s="8"/>
      <c r="I480" s="8" t="str">
        <f t="shared" si="14"/>
        <v>借</v>
      </c>
      <c r="J480" s="9">
        <f t="shared" si="15"/>
        <v>1000</v>
      </c>
    </row>
    <row r="481" spans="2:10" ht="20.100000000000001" customHeight="1" x14ac:dyDescent="0.15">
      <c r="B481" s="5"/>
      <c r="C481" s="10"/>
      <c r="D481" s="10"/>
      <c r="E481" s="10"/>
      <c r="F481" s="10"/>
      <c r="G481" s="8"/>
      <c r="H481" s="8"/>
      <c r="I481" s="8" t="str">
        <f t="shared" si="14"/>
        <v>借</v>
      </c>
      <c r="J481" s="9">
        <f t="shared" si="15"/>
        <v>1000</v>
      </c>
    </row>
    <row r="482" spans="2:10" ht="20.100000000000001" customHeight="1" x14ac:dyDescent="0.15">
      <c r="B482" s="5"/>
      <c r="C482" s="10"/>
      <c r="D482" s="10"/>
      <c r="E482" s="10"/>
      <c r="F482" s="10"/>
      <c r="G482" s="8"/>
      <c r="H482" s="8"/>
      <c r="I482" s="8" t="str">
        <f t="shared" si="14"/>
        <v>借</v>
      </c>
      <c r="J482" s="9">
        <f t="shared" si="15"/>
        <v>1000</v>
      </c>
    </row>
    <row r="483" spans="2:10" ht="20.100000000000001" customHeight="1" x14ac:dyDescent="0.15">
      <c r="B483" s="5"/>
      <c r="C483" s="10"/>
      <c r="D483" s="10"/>
      <c r="E483" s="10"/>
      <c r="F483" s="10"/>
      <c r="G483" s="8"/>
      <c r="H483" s="8"/>
      <c r="I483" s="8" t="str">
        <f t="shared" si="14"/>
        <v>借</v>
      </c>
      <c r="J483" s="9">
        <f t="shared" si="15"/>
        <v>1000</v>
      </c>
    </row>
    <row r="484" spans="2:10" ht="20.100000000000001" customHeight="1" x14ac:dyDescent="0.15">
      <c r="B484" s="5"/>
      <c r="C484" s="10"/>
      <c r="D484" s="10"/>
      <c r="E484" s="10"/>
      <c r="F484" s="10"/>
      <c r="G484" s="8"/>
      <c r="H484" s="8"/>
      <c r="I484" s="8" t="str">
        <f t="shared" si="14"/>
        <v>借</v>
      </c>
      <c r="J484" s="9">
        <f t="shared" si="15"/>
        <v>1000</v>
      </c>
    </row>
    <row r="485" spans="2:10" ht="20.100000000000001" customHeight="1" x14ac:dyDescent="0.15">
      <c r="B485" s="5"/>
      <c r="C485" s="10"/>
      <c r="D485" s="10"/>
      <c r="E485" s="10"/>
      <c r="F485" s="10"/>
      <c r="G485" s="8"/>
      <c r="H485" s="8"/>
      <c r="I485" s="8" t="str">
        <f t="shared" si="14"/>
        <v>借</v>
      </c>
      <c r="J485" s="9">
        <f t="shared" si="15"/>
        <v>1000</v>
      </c>
    </row>
    <row r="486" spans="2:10" ht="20.100000000000001" customHeight="1" x14ac:dyDescent="0.15">
      <c r="B486" s="5"/>
      <c r="C486" s="10"/>
      <c r="D486" s="10"/>
      <c r="E486" s="10"/>
      <c r="F486" s="10"/>
      <c r="G486" s="8"/>
      <c r="H486" s="8"/>
      <c r="I486" s="8" t="str">
        <f t="shared" si="14"/>
        <v>借</v>
      </c>
      <c r="J486" s="9">
        <f t="shared" si="15"/>
        <v>1000</v>
      </c>
    </row>
    <row r="487" spans="2:10" ht="20.100000000000001" customHeight="1" x14ac:dyDescent="0.15">
      <c r="B487" s="5"/>
      <c r="C487" s="10"/>
      <c r="D487" s="10"/>
      <c r="E487" s="10"/>
      <c r="F487" s="10"/>
      <c r="G487" s="8"/>
      <c r="H487" s="8"/>
      <c r="I487" s="8" t="str">
        <f t="shared" si="14"/>
        <v>借</v>
      </c>
      <c r="J487" s="9">
        <f t="shared" si="15"/>
        <v>1000</v>
      </c>
    </row>
    <row r="488" spans="2:10" ht="20.100000000000001" customHeight="1" x14ac:dyDescent="0.15">
      <c r="B488" s="5"/>
      <c r="C488" s="10"/>
      <c r="D488" s="10"/>
      <c r="E488" s="10"/>
      <c r="F488" s="10"/>
      <c r="G488" s="8"/>
      <c r="H488" s="8"/>
      <c r="I488" s="8" t="str">
        <f t="shared" si="14"/>
        <v>借</v>
      </c>
      <c r="J488" s="9">
        <f t="shared" si="15"/>
        <v>1000</v>
      </c>
    </row>
    <row r="489" spans="2:10" ht="20.100000000000001" customHeight="1" x14ac:dyDescent="0.15">
      <c r="B489" s="5"/>
      <c r="C489" s="10"/>
      <c r="D489" s="10"/>
      <c r="E489" s="10"/>
      <c r="F489" s="10"/>
      <c r="G489" s="8"/>
      <c r="H489" s="8"/>
      <c r="I489" s="8" t="str">
        <f t="shared" si="14"/>
        <v>借</v>
      </c>
      <c r="J489" s="9">
        <f t="shared" si="15"/>
        <v>1000</v>
      </c>
    </row>
    <row r="490" spans="2:10" ht="20.100000000000001" customHeight="1" x14ac:dyDescent="0.15">
      <c r="B490" s="5"/>
      <c r="C490" s="10"/>
      <c r="D490" s="10"/>
      <c r="E490" s="10"/>
      <c r="F490" s="10"/>
      <c r="G490" s="8"/>
      <c r="H490" s="8"/>
      <c r="I490" s="8" t="str">
        <f t="shared" si="14"/>
        <v>借</v>
      </c>
      <c r="J490" s="9">
        <f t="shared" si="15"/>
        <v>1000</v>
      </c>
    </row>
    <row r="491" spans="2:10" ht="20.100000000000001" customHeight="1" x14ac:dyDescent="0.15">
      <c r="B491" s="5"/>
      <c r="C491" s="10"/>
      <c r="D491" s="10"/>
      <c r="E491" s="10"/>
      <c r="F491" s="10"/>
      <c r="G491" s="8"/>
      <c r="H491" s="8"/>
      <c r="I491" s="8" t="str">
        <f t="shared" si="14"/>
        <v>借</v>
      </c>
      <c r="J491" s="9">
        <f t="shared" si="15"/>
        <v>1000</v>
      </c>
    </row>
    <row r="492" spans="2:10" ht="20.100000000000001" customHeight="1" x14ac:dyDescent="0.15">
      <c r="B492" s="5"/>
      <c r="C492" s="10"/>
      <c r="D492" s="10"/>
      <c r="E492" s="10"/>
      <c r="F492" s="10"/>
      <c r="G492" s="8"/>
      <c r="H492" s="8"/>
      <c r="I492" s="8" t="str">
        <f t="shared" si="14"/>
        <v>借</v>
      </c>
      <c r="J492" s="9">
        <f t="shared" si="15"/>
        <v>1000</v>
      </c>
    </row>
    <row r="493" spans="2:10" ht="20.100000000000001" customHeight="1" x14ac:dyDescent="0.15">
      <c r="B493" s="5"/>
      <c r="C493" s="10"/>
      <c r="D493" s="10"/>
      <c r="E493" s="10"/>
      <c r="F493" s="10"/>
      <c r="G493" s="8"/>
      <c r="H493" s="8"/>
      <c r="I493" s="8" t="str">
        <f t="shared" si="14"/>
        <v>借</v>
      </c>
      <c r="J493" s="9">
        <f t="shared" si="15"/>
        <v>1000</v>
      </c>
    </row>
    <row r="494" spans="2:10" ht="20.100000000000001" customHeight="1" x14ac:dyDescent="0.15">
      <c r="B494" s="5"/>
      <c r="C494" s="10"/>
      <c r="D494" s="10"/>
      <c r="E494" s="10"/>
      <c r="F494" s="10"/>
      <c r="G494" s="8"/>
      <c r="H494" s="8"/>
      <c r="I494" s="8" t="str">
        <f t="shared" si="14"/>
        <v>借</v>
      </c>
      <c r="J494" s="9">
        <f t="shared" si="15"/>
        <v>1000</v>
      </c>
    </row>
    <row r="495" spans="2:10" ht="20.100000000000001" customHeight="1" x14ac:dyDescent="0.15">
      <c r="B495" s="5"/>
      <c r="C495" s="10"/>
      <c r="D495" s="10"/>
      <c r="E495" s="10"/>
      <c r="F495" s="10"/>
      <c r="G495" s="8"/>
      <c r="H495" s="8"/>
      <c r="I495" s="8" t="str">
        <f t="shared" si="14"/>
        <v>借</v>
      </c>
      <c r="J495" s="9">
        <f t="shared" si="15"/>
        <v>1000</v>
      </c>
    </row>
    <row r="496" spans="2:10" ht="20.100000000000001" customHeight="1" x14ac:dyDescent="0.15">
      <c r="B496" s="5"/>
      <c r="C496" s="10"/>
      <c r="D496" s="10"/>
      <c r="E496" s="10"/>
      <c r="F496" s="10"/>
      <c r="G496" s="8"/>
      <c r="H496" s="8"/>
      <c r="I496" s="8" t="str">
        <f t="shared" si="14"/>
        <v>借</v>
      </c>
      <c r="J496" s="9">
        <f t="shared" si="15"/>
        <v>1000</v>
      </c>
    </row>
    <row r="497" spans="2:10" ht="20.100000000000001" customHeight="1" x14ac:dyDescent="0.15">
      <c r="B497" s="5"/>
      <c r="C497" s="10"/>
      <c r="D497" s="10"/>
      <c r="E497" s="10"/>
      <c r="F497" s="10"/>
      <c r="G497" s="8"/>
      <c r="H497" s="8"/>
      <c r="I497" s="8" t="str">
        <f t="shared" si="14"/>
        <v>借</v>
      </c>
      <c r="J497" s="9">
        <f t="shared" si="15"/>
        <v>1000</v>
      </c>
    </row>
  </sheetData>
  <mergeCells count="2">
    <mergeCell ref="A1:J1"/>
    <mergeCell ref="A2:J2"/>
  </mergeCells>
  <phoneticPr fontId="22" type="noConversion"/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90"/>
  <sheetViews>
    <sheetView topLeftCell="G1" workbookViewId="0">
      <selection activeCell="R15" sqref="R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83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SUM(H5:H189993)</f>
        <v>0</v>
      </c>
      <c r="I3" s="4">
        <f>SUM(I5:I189993)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>IF((K5+H6-I6)&gt;0,"借","贷")</f>
        <v>借</v>
      </c>
      <c r="K6" s="9">
        <f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ref="J7:J24" si="0">IF((K6+H7-I7)&gt;0,"借","贷")</f>
        <v>借</v>
      </c>
      <c r="K7" s="9">
        <f t="shared" ref="K7:K22" si="1">K6+H7-I7</f>
        <v>100</v>
      </c>
    </row>
    <row r="8" spans="1:12" ht="20.100000000000001" customHeight="1" x14ac:dyDescent="0.15">
      <c r="A8" s="5"/>
      <c r="B8" s="10"/>
      <c r="C8" s="10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10"/>
      <c r="C11" s="10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ref="K23:K86" si="2">K22+H23-I23</f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2"/>
        <v>100</v>
      </c>
    </row>
    <row r="25" spans="1:11" ht="20.100000000000001" customHeight="1" x14ac:dyDescent="0.15">
      <c r="A25" s="5"/>
      <c r="B25" s="5"/>
      <c r="C25" s="10"/>
      <c r="D25" s="10"/>
      <c r="E25" s="11"/>
      <c r="F25" s="10"/>
      <c r="G25" s="10"/>
      <c r="H25" s="8"/>
      <c r="I25" s="8"/>
      <c r="J25" s="8" t="str">
        <f t="shared" ref="J25:J45" si="3">IF((K24+H25-I25)&gt;0,"借","贷")</f>
        <v>借</v>
      </c>
      <c r="K25" s="9">
        <f t="shared" si="2"/>
        <v>100</v>
      </c>
    </row>
    <row r="26" spans="1:11" ht="20.100000000000001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3"/>
        <v>借</v>
      </c>
      <c r="K26" s="9">
        <f t="shared" si="2"/>
        <v>100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3"/>
        <v>借</v>
      </c>
      <c r="K27" s="9">
        <f t="shared" si="2"/>
        <v>100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3"/>
        <v>借</v>
      </c>
      <c r="K28" s="9">
        <f t="shared" si="2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3"/>
        <v>借</v>
      </c>
      <c r="K29" s="9">
        <f t="shared" si="2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3"/>
        <v>借</v>
      </c>
      <c r="K30" s="9">
        <f t="shared" si="2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3"/>
        <v>借</v>
      </c>
      <c r="K31" s="9">
        <f t="shared" si="2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3"/>
        <v>借</v>
      </c>
      <c r="K32" s="9">
        <f t="shared" si="2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3"/>
        <v>借</v>
      </c>
      <c r="K33" s="9">
        <f t="shared" si="2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3"/>
        <v>借</v>
      </c>
      <c r="K34" s="9">
        <f t="shared" si="2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3"/>
        <v>借</v>
      </c>
      <c r="K35" s="9">
        <f t="shared" si="2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3"/>
        <v>借</v>
      </c>
      <c r="K36" s="9">
        <f t="shared" si="2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3"/>
        <v>借</v>
      </c>
      <c r="K37" s="9">
        <f t="shared" si="2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3"/>
        <v>借</v>
      </c>
      <c r="K38" s="9">
        <f t="shared" si="2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3"/>
        <v>借</v>
      </c>
      <c r="K39" s="9">
        <f t="shared" si="2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3"/>
        <v>借</v>
      </c>
      <c r="K40" s="9">
        <f t="shared" si="2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3"/>
        <v>借</v>
      </c>
      <c r="K41" s="9">
        <f t="shared" si="2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3"/>
        <v>借</v>
      </c>
      <c r="K42" s="9">
        <f t="shared" si="2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3"/>
        <v>借</v>
      </c>
      <c r="K43" s="9">
        <f t="shared" si="2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3"/>
        <v>借</v>
      </c>
      <c r="K44" s="9">
        <f t="shared" si="2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3"/>
        <v>借</v>
      </c>
      <c r="K45" s="9">
        <f t="shared" si="2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ref="J46:J51" si="4">IF((K45+H46-I47)&gt;0,"借","贷")</f>
        <v>借</v>
      </c>
      <c r="K46" s="9">
        <f t="shared" si="2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4"/>
        <v>借</v>
      </c>
      <c r="K47" s="9">
        <f t="shared" si="2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4"/>
        <v>借</v>
      </c>
      <c r="K48" s="9">
        <f t="shared" si="2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4"/>
        <v>借</v>
      </c>
      <c r="K49" s="9">
        <f t="shared" si="2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4"/>
        <v>借</v>
      </c>
      <c r="K50" s="9">
        <f t="shared" si="2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4"/>
        <v>借</v>
      </c>
      <c r="K51" s="9">
        <f t="shared" si="2"/>
        <v>100</v>
      </c>
    </row>
    <row r="52" spans="1:11" ht="20.100000000000001" customHeight="1" x14ac:dyDescent="0.15">
      <c r="A52" s="10"/>
      <c r="B52" s="24"/>
      <c r="C52" s="12"/>
      <c r="D52" s="12"/>
      <c r="E52" s="12"/>
      <c r="F52" s="12"/>
      <c r="G52" s="12"/>
      <c r="H52" s="25"/>
      <c r="I52" s="25"/>
      <c r="J52" s="25" t="str">
        <f t="shared" ref="J52:J57" si="5">IF((K51+H52-I54)&gt;0,"借","贷")</f>
        <v>借</v>
      </c>
      <c r="K52" s="9">
        <f t="shared" si="2"/>
        <v>100</v>
      </c>
    </row>
    <row r="53" spans="1:11" ht="20.100000000000001" customHeight="1" x14ac:dyDescent="0.15">
      <c r="A53" s="10"/>
      <c r="B53" s="24"/>
      <c r="C53" s="12"/>
      <c r="D53" s="12"/>
      <c r="E53" s="12"/>
      <c r="F53" s="12"/>
      <c r="G53" s="12"/>
      <c r="H53" s="25"/>
      <c r="I53" s="25"/>
      <c r="J53" s="25" t="str">
        <f t="shared" si="5"/>
        <v>借</v>
      </c>
      <c r="K53" s="9">
        <f t="shared" si="2"/>
        <v>100</v>
      </c>
    </row>
    <row r="54" spans="1:11" ht="20.100000000000001" customHeight="1" x14ac:dyDescent="0.15">
      <c r="A54" s="10"/>
      <c r="B54" s="24"/>
      <c r="C54" s="12"/>
      <c r="D54" s="12"/>
      <c r="E54" s="12"/>
      <c r="F54" s="12"/>
      <c r="G54" s="12"/>
      <c r="H54" s="25"/>
      <c r="I54" s="25"/>
      <c r="J54" s="25" t="str">
        <f t="shared" si="5"/>
        <v>借</v>
      </c>
      <c r="K54" s="9">
        <f t="shared" si="2"/>
        <v>100</v>
      </c>
    </row>
    <row r="55" spans="1:11" ht="20.100000000000001" customHeight="1" x14ac:dyDescent="0.15">
      <c r="A55" s="10"/>
      <c r="B55" s="24"/>
      <c r="C55" s="12"/>
      <c r="D55" s="12"/>
      <c r="E55" s="12"/>
      <c r="F55" s="12"/>
      <c r="G55" s="12"/>
      <c r="H55" s="25"/>
      <c r="I55" s="25"/>
      <c r="J55" s="25" t="str">
        <f t="shared" si="5"/>
        <v>借</v>
      </c>
      <c r="K55" s="9">
        <f t="shared" si="2"/>
        <v>100</v>
      </c>
    </row>
    <row r="56" spans="1:11" ht="20.100000000000001" customHeight="1" x14ac:dyDescent="0.15">
      <c r="A56" s="10"/>
      <c r="B56" s="5"/>
      <c r="C56" s="10"/>
      <c r="D56" s="12"/>
      <c r="E56" s="12"/>
      <c r="F56" s="12"/>
      <c r="G56" s="12"/>
      <c r="H56" s="25"/>
      <c r="I56" s="25"/>
      <c r="J56" s="25" t="str">
        <f t="shared" si="5"/>
        <v>借</v>
      </c>
      <c r="K56" s="9">
        <f t="shared" si="2"/>
        <v>100</v>
      </c>
    </row>
    <row r="57" spans="1:11" ht="20.100000000000001" customHeight="1" x14ac:dyDescent="0.15">
      <c r="A57" s="10"/>
      <c r="B57" s="5"/>
      <c r="C57" s="10"/>
      <c r="D57" s="12"/>
      <c r="E57" s="12"/>
      <c r="F57" s="12"/>
      <c r="G57" s="12"/>
      <c r="H57" s="25"/>
      <c r="I57" s="25"/>
      <c r="J57" s="25" t="str">
        <f t="shared" si="5"/>
        <v>借</v>
      </c>
      <c r="K57" s="9">
        <f t="shared" si="2"/>
        <v>100</v>
      </c>
    </row>
    <row r="58" spans="1:11" ht="20.100000000000001" customHeight="1" x14ac:dyDescent="0.15">
      <c r="A58" s="10"/>
      <c r="B58" s="5"/>
      <c r="C58" s="10"/>
      <c r="D58" s="12"/>
      <c r="E58" s="12"/>
      <c r="F58" s="12"/>
      <c r="G58" s="12"/>
      <c r="H58" s="25"/>
      <c r="I58" s="25"/>
      <c r="J58" s="25" t="str">
        <f t="shared" ref="J58:J81" si="6">IF((K57+H58-I58)&gt;0,"借","贷")</f>
        <v>借</v>
      </c>
      <c r="K58" s="9">
        <f t="shared" si="2"/>
        <v>100</v>
      </c>
    </row>
    <row r="59" spans="1:11" ht="20.100000000000001" customHeight="1" x14ac:dyDescent="0.15">
      <c r="A59" s="10"/>
      <c r="B59" s="5"/>
      <c r="C59" s="10"/>
      <c r="D59" s="12"/>
      <c r="E59" s="12"/>
      <c r="F59" s="12"/>
      <c r="G59" s="12"/>
      <c r="H59" s="8"/>
      <c r="I59" s="8"/>
      <c r="J59" s="8" t="str">
        <f t="shared" si="6"/>
        <v>借</v>
      </c>
      <c r="K59" s="9">
        <f t="shared" si="2"/>
        <v>100</v>
      </c>
    </row>
    <row r="60" spans="1:11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6"/>
        <v>借</v>
      </c>
      <c r="K60" s="9">
        <f t="shared" si="2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6"/>
        <v>借</v>
      </c>
      <c r="K61" s="9">
        <f t="shared" si="2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6"/>
        <v>借</v>
      </c>
      <c r="K62" s="9">
        <f t="shared" si="2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6"/>
        <v>借</v>
      </c>
      <c r="K63" s="9">
        <f t="shared" si="2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6"/>
        <v>借</v>
      </c>
      <c r="K64" s="9">
        <f t="shared" si="2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6"/>
        <v>借</v>
      </c>
      <c r="K65" s="9">
        <f t="shared" si="2"/>
        <v>100</v>
      </c>
    </row>
    <row r="66" spans="1:11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8"/>
      <c r="J66" s="8" t="str">
        <f t="shared" si="6"/>
        <v>借</v>
      </c>
      <c r="K66" s="9">
        <f t="shared" si="2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4"/>
      <c r="G67" s="14"/>
      <c r="H67" s="8"/>
      <c r="I67" s="8"/>
      <c r="J67" s="8" t="str">
        <f t="shared" si="6"/>
        <v>借</v>
      </c>
      <c r="K67" s="9">
        <f t="shared" si="2"/>
        <v>100</v>
      </c>
    </row>
    <row r="68" spans="1:11" ht="20.100000000000001" customHeight="1" x14ac:dyDescent="0.15">
      <c r="A68" s="5"/>
      <c r="B68" s="5"/>
      <c r="C68" s="10"/>
      <c r="D68" s="12"/>
      <c r="E68" s="10"/>
      <c r="F68" s="12"/>
      <c r="G68" s="12"/>
      <c r="H68" s="8"/>
      <c r="I68" s="8"/>
      <c r="J68" s="8" t="str">
        <f t="shared" si="6"/>
        <v>借</v>
      </c>
      <c r="K68" s="9">
        <f t="shared" si="2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6"/>
        <v>借</v>
      </c>
      <c r="K69" s="9">
        <f t="shared" si="2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si="6"/>
        <v>借</v>
      </c>
      <c r="K70" s="9">
        <f t="shared" si="2"/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2"/>
      <c r="G71" s="12"/>
      <c r="H71" s="8"/>
      <c r="I71" s="15"/>
      <c r="J71" s="8" t="str">
        <f t="shared" si="6"/>
        <v>借</v>
      </c>
      <c r="K71" s="9">
        <f t="shared" si="2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6"/>
        <v>借</v>
      </c>
      <c r="K72" s="9">
        <f t="shared" si="2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2"/>
      <c r="G73" s="12"/>
      <c r="H73" s="8"/>
      <c r="I73" s="8"/>
      <c r="J73" s="8" t="str">
        <f t="shared" si="6"/>
        <v>借</v>
      </c>
      <c r="K73" s="9">
        <f t="shared" si="2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6"/>
        <v>借</v>
      </c>
      <c r="K74" s="9">
        <f t="shared" si="2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2"/>
      <c r="G75" s="12"/>
      <c r="H75" s="8"/>
      <c r="I75" s="8"/>
      <c r="J75" s="8" t="str">
        <f t="shared" si="6"/>
        <v>借</v>
      </c>
      <c r="K75" s="9">
        <f t="shared" si="2"/>
        <v>100</v>
      </c>
    </row>
    <row r="76" spans="1:11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6"/>
        <v>借</v>
      </c>
      <c r="K76" s="9">
        <f t="shared" si="2"/>
        <v>100</v>
      </c>
    </row>
    <row r="77" spans="1:11" ht="20.100000000000001" customHeight="1" x14ac:dyDescent="0.15">
      <c r="A77" s="5"/>
      <c r="B77" s="5"/>
      <c r="C77" s="5"/>
      <c r="D77" s="10"/>
      <c r="E77" s="10"/>
      <c r="F77" s="12"/>
      <c r="G77" s="12"/>
      <c r="H77" s="8"/>
      <c r="I77" s="8"/>
      <c r="J77" s="8" t="str">
        <f t="shared" si="6"/>
        <v>借</v>
      </c>
      <c r="K77" s="9">
        <f t="shared" si="2"/>
        <v>100</v>
      </c>
    </row>
    <row r="78" spans="1:11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8"/>
      <c r="J78" s="8" t="str">
        <f t="shared" si="6"/>
        <v>借</v>
      </c>
      <c r="K78" s="9">
        <f t="shared" si="2"/>
        <v>100</v>
      </c>
    </row>
    <row r="79" spans="1:11" ht="20.100000000000001" customHeight="1" x14ac:dyDescent="0.15">
      <c r="A79" s="10"/>
      <c r="B79" s="5"/>
      <c r="C79" s="5"/>
      <c r="D79" s="10"/>
      <c r="E79" s="10"/>
      <c r="F79" s="12"/>
      <c r="G79" s="12"/>
      <c r="H79" s="8"/>
      <c r="I79" s="8"/>
      <c r="J79" s="8" t="str">
        <f t="shared" si="6"/>
        <v>借</v>
      </c>
      <c r="K79" s="9">
        <f t="shared" si="2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0"/>
      <c r="G80" s="10"/>
      <c r="H80" s="8"/>
      <c r="I80" s="8"/>
      <c r="J80" s="8" t="str">
        <f t="shared" si="6"/>
        <v>借</v>
      </c>
      <c r="K80" s="9">
        <f t="shared" si="2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2"/>
      <c r="G81" s="12"/>
      <c r="H81" s="8"/>
      <c r="I81" s="8"/>
      <c r="J81" s="8" t="str">
        <f t="shared" si="6"/>
        <v>借</v>
      </c>
      <c r="K81" s="9">
        <f t="shared" si="2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ref="J82:J126" si="7">IF((K81+H82-I82)&gt;0,"借","贷")</f>
        <v>借</v>
      </c>
      <c r="K82" s="9">
        <f t="shared" si="2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7"/>
        <v>借</v>
      </c>
      <c r="K83" s="9">
        <f t="shared" si="2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7"/>
        <v>借</v>
      </c>
      <c r="K84" s="9">
        <f t="shared" si="2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7"/>
        <v>借</v>
      </c>
      <c r="K85" s="9">
        <f t="shared" si="2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7"/>
        <v>借</v>
      </c>
      <c r="K86" s="9">
        <f t="shared" si="2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7"/>
        <v>借</v>
      </c>
      <c r="K87" s="9">
        <f t="shared" ref="K87:K150" si="8">K86+H87-I87</f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7"/>
        <v>借</v>
      </c>
      <c r="K88" s="9">
        <f t="shared" si="8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7"/>
        <v>借</v>
      </c>
      <c r="K89" s="9">
        <f t="shared" si="8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7"/>
        <v>借</v>
      </c>
      <c r="K90" s="9">
        <f t="shared" si="8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7"/>
        <v>借</v>
      </c>
      <c r="K91" s="9">
        <f t="shared" si="8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7"/>
        <v>借</v>
      </c>
      <c r="K92" s="9">
        <f t="shared" si="8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7"/>
        <v>借</v>
      </c>
      <c r="K93" s="9">
        <f t="shared" si="8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7"/>
        <v>借</v>
      </c>
      <c r="K94" s="9">
        <f t="shared" si="8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7"/>
        <v>借</v>
      </c>
      <c r="K95" s="9">
        <f t="shared" si="8"/>
        <v>100</v>
      </c>
    </row>
    <row r="96" spans="1:11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7"/>
        <v>借</v>
      </c>
      <c r="K96" s="9">
        <f t="shared" si="8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7"/>
        <v>借</v>
      </c>
      <c r="K97" s="9">
        <f t="shared" si="8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7"/>
        <v>借</v>
      </c>
      <c r="K98" s="9">
        <f t="shared" si="8"/>
        <v>100</v>
      </c>
    </row>
    <row r="99" spans="1:11" ht="20.100000000000001" customHeight="1" x14ac:dyDescent="0.15">
      <c r="A99" s="5"/>
      <c r="B99" s="5"/>
      <c r="C99" s="5"/>
      <c r="D99" s="10"/>
      <c r="E99" s="16"/>
      <c r="F99" s="10"/>
      <c r="G99" s="10"/>
      <c r="H99" s="8"/>
      <c r="I99" s="8"/>
      <c r="J99" s="8" t="str">
        <f t="shared" si="7"/>
        <v>借</v>
      </c>
      <c r="K99" s="9">
        <f t="shared" si="8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7"/>
        <v>借</v>
      </c>
      <c r="K100" s="9">
        <f t="shared" si="8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7"/>
        <v>借</v>
      </c>
      <c r="K101" s="9">
        <f t="shared" si="8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7"/>
        <v>借</v>
      </c>
      <c r="K102" s="9">
        <f t="shared" si="8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7"/>
        <v>借</v>
      </c>
      <c r="K103" s="9">
        <f t="shared" si="8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7"/>
        <v>借</v>
      </c>
      <c r="K104" s="9">
        <f t="shared" si="8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7"/>
        <v>借</v>
      </c>
      <c r="K105" s="9">
        <f t="shared" si="8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7"/>
        <v>借</v>
      </c>
      <c r="K106" s="9">
        <f t="shared" si="8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7"/>
        <v>借</v>
      </c>
      <c r="K107" s="9">
        <f t="shared" si="8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7"/>
        <v>借</v>
      </c>
      <c r="K108" s="9">
        <f t="shared" si="8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7"/>
        <v>借</v>
      </c>
      <c r="K109" s="9">
        <f t="shared" si="8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7"/>
        <v>借</v>
      </c>
      <c r="K110" s="9">
        <f t="shared" si="8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7"/>
        <v>借</v>
      </c>
      <c r="K111" s="9">
        <f t="shared" si="8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7"/>
        <v>借</v>
      </c>
      <c r="K112" s="9">
        <f t="shared" si="8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7"/>
        <v>借</v>
      </c>
      <c r="K113" s="9">
        <f t="shared" si="8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7"/>
        <v>借</v>
      </c>
      <c r="K114" s="9">
        <f t="shared" si="8"/>
        <v>100</v>
      </c>
    </row>
    <row r="115" spans="1:11" ht="20.100000000000001" customHeight="1" x14ac:dyDescent="0.15">
      <c r="A115" s="10"/>
      <c r="B115" s="5"/>
      <c r="C115" s="10"/>
      <c r="D115" s="10"/>
      <c r="E115" s="10"/>
      <c r="F115" s="10"/>
      <c r="G115" s="10"/>
      <c r="H115" s="8"/>
      <c r="I115" s="8"/>
      <c r="J115" s="8" t="str">
        <f t="shared" si="7"/>
        <v>借</v>
      </c>
      <c r="K115" s="9">
        <f t="shared" si="8"/>
        <v>100</v>
      </c>
    </row>
    <row r="116" spans="1:11" ht="20.100000000000001" customHeight="1" x14ac:dyDescent="0.15">
      <c r="A116" s="10"/>
      <c r="B116" s="5"/>
      <c r="C116" s="10"/>
      <c r="D116" s="10"/>
      <c r="E116" s="17"/>
      <c r="F116" s="10"/>
      <c r="G116" s="10"/>
      <c r="H116" s="8"/>
      <c r="I116" s="8"/>
      <c r="J116" s="8" t="str">
        <f t="shared" si="7"/>
        <v>借</v>
      </c>
      <c r="K116" s="9">
        <f t="shared" si="8"/>
        <v>100</v>
      </c>
    </row>
    <row r="117" spans="1:11" ht="20.100000000000001" customHeight="1" x14ac:dyDescent="0.15">
      <c r="A117" s="5"/>
      <c r="B117" s="5"/>
      <c r="C117" s="10"/>
      <c r="D117" s="10"/>
      <c r="E117" s="10"/>
      <c r="F117" s="10"/>
      <c r="G117" s="10"/>
      <c r="H117" s="8"/>
      <c r="I117" s="8"/>
      <c r="J117" s="8" t="str">
        <f t="shared" si="7"/>
        <v>借</v>
      </c>
      <c r="K117" s="9">
        <f t="shared" si="8"/>
        <v>100</v>
      </c>
    </row>
    <row r="118" spans="1:11" ht="20.100000000000001" customHeight="1" x14ac:dyDescent="0.15">
      <c r="A118" s="5"/>
      <c r="B118" s="5"/>
      <c r="C118" s="10"/>
      <c r="D118" s="10"/>
      <c r="E118" s="10"/>
      <c r="F118" s="10"/>
      <c r="G118" s="10"/>
      <c r="H118" s="8"/>
      <c r="I118" s="8"/>
      <c r="J118" s="8" t="str">
        <f t="shared" si="7"/>
        <v>借</v>
      </c>
      <c r="K118" s="9">
        <f t="shared" si="8"/>
        <v>100</v>
      </c>
    </row>
    <row r="119" spans="1:11" ht="20.100000000000001" customHeight="1" x14ac:dyDescent="0.15">
      <c r="A119" s="5"/>
      <c r="B119" s="5"/>
      <c r="C119" s="10"/>
      <c r="D119" s="10"/>
      <c r="E119" s="10"/>
      <c r="F119" s="10"/>
      <c r="G119" s="10"/>
      <c r="H119" s="8"/>
      <c r="I119" s="8"/>
      <c r="J119" s="8" t="str">
        <f t="shared" si="7"/>
        <v>借</v>
      </c>
      <c r="K119" s="9">
        <f t="shared" si="8"/>
        <v>100</v>
      </c>
    </row>
    <row r="120" spans="1:11" ht="20.100000000000001" customHeight="1" x14ac:dyDescent="0.15">
      <c r="A120" s="5"/>
      <c r="B120" s="5"/>
      <c r="C120" s="10"/>
      <c r="D120" s="10"/>
      <c r="E120" s="10"/>
      <c r="F120" s="10"/>
      <c r="G120" s="10"/>
      <c r="H120" s="8"/>
      <c r="I120" s="8"/>
      <c r="J120" s="8" t="str">
        <f t="shared" si="7"/>
        <v>借</v>
      </c>
      <c r="K120" s="9">
        <f t="shared" si="8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7"/>
        <v>借</v>
      </c>
      <c r="K121" s="9">
        <f t="shared" si="8"/>
        <v>100</v>
      </c>
    </row>
    <row r="122" spans="1:11" ht="20.100000000000001" customHeight="1" x14ac:dyDescent="0.15">
      <c r="A122" s="5"/>
      <c r="B122" s="5"/>
      <c r="C122" s="5"/>
      <c r="D122" s="10"/>
      <c r="E122" s="16"/>
      <c r="F122" s="10"/>
      <c r="G122" s="10"/>
      <c r="H122" s="8"/>
      <c r="I122" s="8"/>
      <c r="J122" s="8" t="str">
        <f t="shared" si="7"/>
        <v>借</v>
      </c>
      <c r="K122" s="9">
        <f t="shared" si="8"/>
        <v>100</v>
      </c>
    </row>
    <row r="123" spans="1:11" ht="20.100000000000001" customHeight="1" x14ac:dyDescent="0.15">
      <c r="A123" s="10"/>
      <c r="B123" s="5"/>
      <c r="C123" s="5"/>
      <c r="D123" s="10"/>
      <c r="E123" s="16"/>
      <c r="F123" s="10"/>
      <c r="G123" s="10"/>
      <c r="H123" s="8"/>
      <c r="I123" s="8"/>
      <c r="J123" s="8" t="str">
        <f t="shared" si="7"/>
        <v>借</v>
      </c>
      <c r="K123" s="9">
        <f t="shared" si="8"/>
        <v>100</v>
      </c>
    </row>
    <row r="124" spans="1:11" ht="20.100000000000001" customHeight="1" x14ac:dyDescent="0.15">
      <c r="A124" s="10"/>
      <c r="B124" s="5"/>
      <c r="C124" s="5"/>
      <c r="D124" s="10"/>
      <c r="E124" s="16"/>
      <c r="F124" s="10"/>
      <c r="G124" s="10"/>
      <c r="H124" s="8"/>
      <c r="I124" s="8"/>
      <c r="J124" s="8" t="str">
        <f t="shared" si="7"/>
        <v>借</v>
      </c>
      <c r="K124" s="9">
        <f t="shared" si="8"/>
        <v>100</v>
      </c>
    </row>
    <row r="125" spans="1:11" ht="20.100000000000001" customHeight="1" x14ac:dyDescent="0.15">
      <c r="A125" s="5"/>
      <c r="B125" s="5"/>
      <c r="C125" s="5"/>
      <c r="D125" s="10"/>
      <c r="E125" s="16"/>
      <c r="F125" s="10"/>
      <c r="G125" s="10"/>
      <c r="H125" s="8"/>
      <c r="I125" s="8"/>
      <c r="J125" s="8" t="str">
        <f t="shared" si="7"/>
        <v>借</v>
      </c>
      <c r="K125" s="9">
        <f t="shared" si="8"/>
        <v>100</v>
      </c>
    </row>
    <row r="126" spans="1:11" ht="20.100000000000001" customHeight="1" x14ac:dyDescent="0.15">
      <c r="A126" s="5"/>
      <c r="B126" s="5"/>
      <c r="C126" s="5"/>
      <c r="D126" s="10"/>
      <c r="E126" s="16"/>
      <c r="F126" s="10"/>
      <c r="G126" s="10"/>
      <c r="H126" s="8"/>
      <c r="I126" s="8"/>
      <c r="J126" s="8" t="str">
        <f t="shared" si="7"/>
        <v>借</v>
      </c>
      <c r="K126" s="9">
        <f t="shared" si="8"/>
        <v>100</v>
      </c>
    </row>
    <row r="127" spans="1:11" ht="20.100000000000001" customHeight="1" x14ac:dyDescent="0.15">
      <c r="A127" s="5"/>
      <c r="B127" s="5"/>
      <c r="C127" s="5"/>
      <c r="D127" s="10"/>
      <c r="E127" s="16"/>
      <c r="F127" s="10"/>
      <c r="G127" s="10"/>
      <c r="H127" s="8"/>
      <c r="I127" s="8"/>
      <c r="J127" s="8" t="str">
        <f t="shared" ref="J127:J190" si="9">IF((K126+H127-I127)&gt;0,"借","贷")</f>
        <v>借</v>
      </c>
      <c r="K127" s="9">
        <f t="shared" si="8"/>
        <v>100</v>
      </c>
    </row>
    <row r="128" spans="1:11" ht="20.100000000000001" customHeight="1" x14ac:dyDescent="0.15">
      <c r="A128" s="5"/>
      <c r="B128" s="5"/>
      <c r="C128" s="5"/>
      <c r="D128" s="10"/>
      <c r="E128" s="16"/>
      <c r="F128" s="10"/>
      <c r="G128" s="10"/>
      <c r="H128" s="8"/>
      <c r="I128" s="8"/>
      <c r="J128" s="8" t="str">
        <f t="shared" si="9"/>
        <v>借</v>
      </c>
      <c r="K128" s="9">
        <f t="shared" si="8"/>
        <v>100</v>
      </c>
    </row>
    <row r="129" spans="1:11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9"/>
        <v>借</v>
      </c>
      <c r="K129" s="9">
        <f t="shared" si="8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9"/>
        <v>借</v>
      </c>
      <c r="K130" s="9">
        <f t="shared" si="8"/>
        <v>100</v>
      </c>
    </row>
    <row r="131" spans="1:11" ht="20.100000000000001" customHeight="1" x14ac:dyDescent="0.15">
      <c r="A131" s="10"/>
      <c r="B131" s="5"/>
      <c r="C131" s="5"/>
      <c r="D131" s="10"/>
      <c r="E131" s="10"/>
      <c r="F131" s="10"/>
      <c r="G131" s="10"/>
      <c r="H131" s="8"/>
      <c r="I131" s="8"/>
      <c r="J131" s="8" t="str">
        <f t="shared" si="9"/>
        <v>借</v>
      </c>
      <c r="K131" s="9">
        <f t="shared" si="8"/>
        <v>100</v>
      </c>
    </row>
    <row r="132" spans="1:11" ht="20.100000000000001" customHeight="1" x14ac:dyDescent="0.15">
      <c r="A132" s="10"/>
      <c r="B132" s="5"/>
      <c r="C132" s="5"/>
      <c r="D132" s="10"/>
      <c r="E132" s="10"/>
      <c r="F132" s="10"/>
      <c r="G132" s="10"/>
      <c r="H132" s="8"/>
      <c r="I132" s="8"/>
      <c r="J132" s="8" t="str">
        <f t="shared" si="9"/>
        <v>借</v>
      </c>
      <c r="K132" s="9">
        <f t="shared" si="8"/>
        <v>100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9"/>
        <v>借</v>
      </c>
      <c r="K133" s="9">
        <f t="shared" si="8"/>
        <v>100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9"/>
        <v>借</v>
      </c>
      <c r="K134" s="9">
        <f t="shared" si="8"/>
        <v>100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9"/>
        <v>借</v>
      </c>
      <c r="K135" s="9">
        <f t="shared" si="8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9"/>
        <v>借</v>
      </c>
      <c r="K136" s="9">
        <f t="shared" si="8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9"/>
        <v>借</v>
      </c>
      <c r="K137" s="9">
        <f t="shared" si="8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9"/>
        <v>借</v>
      </c>
      <c r="K138" s="9">
        <f t="shared" si="8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9"/>
        <v>借</v>
      </c>
      <c r="K139" s="9">
        <f t="shared" si="8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9"/>
        <v>借</v>
      </c>
      <c r="K140" s="9">
        <f t="shared" si="8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9"/>
        <v>借</v>
      </c>
      <c r="K141" s="9">
        <f t="shared" si="8"/>
        <v>100</v>
      </c>
    </row>
    <row r="142" spans="1:11" ht="20.100000000000001" customHeight="1" x14ac:dyDescent="0.15">
      <c r="A142" s="10"/>
      <c r="B142" s="5"/>
      <c r="C142" s="5"/>
      <c r="D142" s="10"/>
      <c r="E142" s="10"/>
      <c r="F142" s="10"/>
      <c r="G142" s="10"/>
      <c r="H142" s="8"/>
      <c r="I142" s="8"/>
      <c r="J142" s="8" t="str">
        <f t="shared" si="9"/>
        <v>借</v>
      </c>
      <c r="K142" s="9">
        <f t="shared" si="8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9"/>
        <v>借</v>
      </c>
      <c r="K143" s="9">
        <f t="shared" si="8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9"/>
        <v>借</v>
      </c>
      <c r="K144" s="9">
        <f t="shared" si="8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9"/>
        <v>借</v>
      </c>
      <c r="K145" s="9">
        <f t="shared" si="8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9"/>
        <v>借</v>
      </c>
      <c r="K146" s="9">
        <f t="shared" si="8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9"/>
        <v>借</v>
      </c>
      <c r="K147" s="9">
        <f t="shared" si="8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9"/>
        <v>借</v>
      </c>
      <c r="K148" s="9">
        <f t="shared" si="8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9"/>
        <v>借</v>
      </c>
      <c r="K149" s="9">
        <f t="shared" si="8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9"/>
        <v>借</v>
      </c>
      <c r="K150" s="9">
        <f t="shared" si="8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9"/>
        <v>借</v>
      </c>
      <c r="K151" s="9">
        <f t="shared" ref="K151:K214" si="10">K150+H151-I151</f>
        <v>100</v>
      </c>
    </row>
    <row r="152" spans="1:11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9"/>
        <v>借</v>
      </c>
      <c r="K152" s="9">
        <f t="shared" si="10"/>
        <v>100</v>
      </c>
    </row>
    <row r="153" spans="1:11" ht="20.100000000000001" customHeight="1" x14ac:dyDescent="0.15">
      <c r="A153" s="10"/>
      <c r="B153" s="5"/>
      <c r="C153" s="5"/>
      <c r="D153" s="10"/>
      <c r="E153" s="10"/>
      <c r="F153" s="10"/>
      <c r="G153" s="10"/>
      <c r="H153" s="8"/>
      <c r="I153" s="8"/>
      <c r="J153" s="8" t="str">
        <f t="shared" si="9"/>
        <v>借</v>
      </c>
      <c r="K153" s="9">
        <f t="shared" si="10"/>
        <v>100</v>
      </c>
    </row>
    <row r="154" spans="1:11" ht="20.100000000000001" customHeight="1" x14ac:dyDescent="0.15">
      <c r="A154" s="10"/>
      <c r="B154" s="5"/>
      <c r="C154" s="5"/>
      <c r="D154" s="10"/>
      <c r="E154" s="18"/>
      <c r="F154" s="10"/>
      <c r="G154" s="10"/>
      <c r="H154" s="8"/>
      <c r="I154" s="8"/>
      <c r="J154" s="8" t="str">
        <f t="shared" si="9"/>
        <v>借</v>
      </c>
      <c r="K154" s="9">
        <f t="shared" si="10"/>
        <v>100</v>
      </c>
    </row>
    <row r="155" spans="1:11" ht="20.100000000000001" customHeight="1" x14ac:dyDescent="0.15">
      <c r="A155" s="10"/>
      <c r="B155" s="5"/>
      <c r="C155" s="5"/>
      <c r="D155" s="10"/>
      <c r="E155" s="10"/>
      <c r="F155" s="10"/>
      <c r="G155" s="10"/>
      <c r="H155" s="8"/>
      <c r="I155" s="8"/>
      <c r="J155" s="8" t="str">
        <f t="shared" si="9"/>
        <v>借</v>
      </c>
      <c r="K155" s="9">
        <f t="shared" si="10"/>
        <v>100</v>
      </c>
    </row>
    <row r="156" spans="1:11" ht="20.100000000000001" customHeight="1" x14ac:dyDescent="0.15">
      <c r="A156" s="10"/>
      <c r="B156" s="5"/>
      <c r="C156" s="10"/>
      <c r="D156" s="10"/>
      <c r="E156" s="10"/>
      <c r="F156" s="10"/>
      <c r="G156" s="10"/>
      <c r="H156" s="8"/>
      <c r="I156" s="8"/>
      <c r="J156" s="8" t="str">
        <f t="shared" si="9"/>
        <v>借</v>
      </c>
      <c r="K156" s="9">
        <f t="shared" si="10"/>
        <v>100</v>
      </c>
    </row>
    <row r="157" spans="1:11" ht="20.100000000000001" customHeight="1" x14ac:dyDescent="0.15">
      <c r="A157" s="10"/>
      <c r="B157" s="5"/>
      <c r="C157" s="10"/>
      <c r="D157" s="10"/>
      <c r="E157" s="10"/>
      <c r="F157" s="10"/>
      <c r="G157" s="10"/>
      <c r="H157" s="8"/>
      <c r="I157" s="8"/>
      <c r="J157" s="8" t="str">
        <f t="shared" si="9"/>
        <v>借</v>
      </c>
      <c r="K157" s="9">
        <f t="shared" si="10"/>
        <v>100</v>
      </c>
    </row>
    <row r="158" spans="1:11" ht="20.100000000000001" customHeight="1" x14ac:dyDescent="0.15">
      <c r="A158" s="10"/>
      <c r="B158" s="5"/>
      <c r="C158" s="10"/>
      <c r="D158" s="10"/>
      <c r="E158" s="10"/>
      <c r="F158" s="10"/>
      <c r="G158" s="10"/>
      <c r="H158" s="8"/>
      <c r="I158" s="8"/>
      <c r="J158" s="8" t="str">
        <f t="shared" si="9"/>
        <v>借</v>
      </c>
      <c r="K158" s="9">
        <f t="shared" si="10"/>
        <v>100</v>
      </c>
    </row>
    <row r="159" spans="1:11" ht="20.100000000000001" customHeight="1" x14ac:dyDescent="0.15">
      <c r="A159" s="10"/>
      <c r="B159" s="5"/>
      <c r="C159" s="10"/>
      <c r="D159" s="10"/>
      <c r="E159" s="10"/>
      <c r="F159" s="10"/>
      <c r="G159" s="10"/>
      <c r="H159" s="8"/>
      <c r="I159" s="8"/>
      <c r="J159" s="8" t="str">
        <f t="shared" si="9"/>
        <v>借</v>
      </c>
      <c r="K159" s="9">
        <f t="shared" si="10"/>
        <v>100</v>
      </c>
    </row>
    <row r="160" spans="1:11" ht="20.100000000000001" customHeight="1" x14ac:dyDescent="0.15">
      <c r="A160" s="10"/>
      <c r="B160" s="5"/>
      <c r="C160" s="10"/>
      <c r="D160" s="10"/>
      <c r="E160" s="10"/>
      <c r="F160" s="10"/>
      <c r="G160" s="10"/>
      <c r="H160" s="8"/>
      <c r="I160" s="8"/>
      <c r="J160" s="8" t="str">
        <f t="shared" si="9"/>
        <v>借</v>
      </c>
      <c r="K160" s="9">
        <f t="shared" si="10"/>
        <v>100</v>
      </c>
    </row>
    <row r="161" spans="1:11" ht="20.100000000000001" customHeight="1" x14ac:dyDescent="0.15">
      <c r="A161" s="10"/>
      <c r="B161" s="5"/>
      <c r="C161" s="10"/>
      <c r="D161" s="10"/>
      <c r="E161" s="10"/>
      <c r="F161" s="10"/>
      <c r="G161" s="10"/>
      <c r="H161" s="8"/>
      <c r="I161" s="8"/>
      <c r="J161" s="8" t="str">
        <f t="shared" si="9"/>
        <v>借</v>
      </c>
      <c r="K161" s="9">
        <f t="shared" si="10"/>
        <v>100</v>
      </c>
    </row>
    <row r="162" spans="1:11" ht="20.100000000000001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9"/>
        <v>借</v>
      </c>
      <c r="K162" s="9">
        <f t="shared" si="10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9"/>
        <v>借</v>
      </c>
      <c r="K163" s="9">
        <f t="shared" si="10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9"/>
        <v>借</v>
      </c>
      <c r="K164" s="9">
        <f t="shared" si="10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9"/>
        <v>借</v>
      </c>
      <c r="K165" s="9">
        <f t="shared" si="10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9"/>
        <v>借</v>
      </c>
      <c r="K166" s="9">
        <f t="shared" si="10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9"/>
        <v>借</v>
      </c>
      <c r="K167" s="9">
        <f t="shared" si="10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9"/>
        <v>借</v>
      </c>
      <c r="K168" s="9">
        <f t="shared" si="10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9"/>
        <v>借</v>
      </c>
      <c r="K169" s="9">
        <f t="shared" si="10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9"/>
        <v>借</v>
      </c>
      <c r="K170" s="9">
        <f t="shared" si="10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9"/>
        <v>借</v>
      </c>
      <c r="K171" s="9">
        <f t="shared" si="10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9"/>
        <v>借</v>
      </c>
      <c r="K172" s="9">
        <f t="shared" si="10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9"/>
        <v>借</v>
      </c>
      <c r="K173" s="9">
        <f t="shared" si="10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9"/>
        <v>借</v>
      </c>
      <c r="K174" s="9">
        <f t="shared" si="10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9"/>
        <v>借</v>
      </c>
      <c r="K175" s="9">
        <f t="shared" si="10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9"/>
        <v>借</v>
      </c>
      <c r="K176" s="9">
        <f t="shared" si="10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9"/>
        <v>借</v>
      </c>
      <c r="K177" s="9">
        <f t="shared" si="10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9"/>
        <v>借</v>
      </c>
      <c r="K178" s="9">
        <f t="shared" si="10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9"/>
        <v>借</v>
      </c>
      <c r="K179" s="9">
        <f t="shared" si="10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9"/>
        <v>借</v>
      </c>
      <c r="K180" s="9">
        <f t="shared" si="10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9"/>
        <v>借</v>
      </c>
      <c r="K181" s="9">
        <f t="shared" si="10"/>
        <v>100</v>
      </c>
    </row>
    <row r="182" spans="1:11" ht="20.100000000000001" customHeight="1" x14ac:dyDescent="0.15">
      <c r="A182" s="10"/>
      <c r="B182" s="5"/>
      <c r="C182" s="10"/>
      <c r="D182" s="10"/>
      <c r="E182" s="19"/>
      <c r="F182" s="10"/>
      <c r="G182" s="10"/>
      <c r="H182" s="8"/>
      <c r="I182" s="8"/>
      <c r="J182" s="8" t="str">
        <f t="shared" si="9"/>
        <v>借</v>
      </c>
      <c r="K182" s="9">
        <f t="shared" si="10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9"/>
        <v>借</v>
      </c>
      <c r="K183" s="9">
        <f t="shared" si="10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9"/>
        <v>借</v>
      </c>
      <c r="K184" s="9">
        <f t="shared" si="10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9"/>
        <v>借</v>
      </c>
      <c r="K185" s="9">
        <f t="shared" si="10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9"/>
        <v>借</v>
      </c>
      <c r="K186" s="9">
        <f t="shared" si="10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9"/>
        <v>借</v>
      </c>
      <c r="K187" s="9">
        <f t="shared" si="10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9"/>
        <v>借</v>
      </c>
      <c r="K188" s="9">
        <f t="shared" si="10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9"/>
        <v>借</v>
      </c>
      <c r="K189" s="9">
        <f t="shared" si="10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9"/>
        <v>借</v>
      </c>
      <c r="K190" s="9">
        <f t="shared" si="10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ref="J191:J254" si="11">IF((K190+H191-I191)&gt;0,"借","贷")</f>
        <v>借</v>
      </c>
      <c r="K191" s="9">
        <f t="shared" si="10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11"/>
        <v>借</v>
      </c>
      <c r="K192" s="9">
        <f t="shared" si="10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11"/>
        <v>借</v>
      </c>
      <c r="K193" s="9">
        <f t="shared" si="10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11"/>
        <v>借</v>
      </c>
      <c r="K194" s="9">
        <f t="shared" si="10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11"/>
        <v>借</v>
      </c>
      <c r="K195" s="9">
        <f t="shared" si="10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11"/>
        <v>借</v>
      </c>
      <c r="K196" s="9">
        <f t="shared" si="10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11"/>
        <v>借</v>
      </c>
      <c r="K197" s="9">
        <f t="shared" si="10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11"/>
        <v>借</v>
      </c>
      <c r="K198" s="9">
        <f t="shared" si="10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11"/>
        <v>借</v>
      </c>
      <c r="K199" s="9">
        <f t="shared" si="10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11"/>
        <v>借</v>
      </c>
      <c r="K200" s="9">
        <f t="shared" si="10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11"/>
        <v>借</v>
      </c>
      <c r="K201" s="9">
        <f t="shared" si="10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11"/>
        <v>借</v>
      </c>
      <c r="K202" s="9">
        <f t="shared" si="10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11"/>
        <v>借</v>
      </c>
      <c r="K203" s="9">
        <f t="shared" si="10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11"/>
        <v>借</v>
      </c>
      <c r="K204" s="9">
        <f t="shared" si="10"/>
        <v>100</v>
      </c>
    </row>
    <row r="205" spans="1:11" ht="20.100000000000001" customHeight="1" x14ac:dyDescent="0.15">
      <c r="A205" s="10"/>
      <c r="B205" s="5"/>
      <c r="C205" s="10"/>
      <c r="D205" s="10"/>
      <c r="E205" s="20"/>
      <c r="F205" s="10"/>
      <c r="G205" s="10"/>
      <c r="H205" s="8"/>
      <c r="I205" s="8"/>
      <c r="J205" s="8" t="str">
        <f t="shared" si="11"/>
        <v>借</v>
      </c>
      <c r="K205" s="9">
        <f t="shared" si="10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11"/>
        <v>借</v>
      </c>
      <c r="K206" s="9">
        <f t="shared" si="10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11"/>
        <v>借</v>
      </c>
      <c r="K207" s="9">
        <f t="shared" si="10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11"/>
        <v>借</v>
      </c>
      <c r="K208" s="9">
        <f t="shared" si="10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11"/>
        <v>借</v>
      </c>
      <c r="K209" s="9">
        <f t="shared" si="10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11"/>
        <v>借</v>
      </c>
      <c r="K210" s="9">
        <f t="shared" si="10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11"/>
        <v>借</v>
      </c>
      <c r="K211" s="9">
        <f t="shared" si="10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11"/>
        <v>借</v>
      </c>
      <c r="K212" s="9">
        <f t="shared" si="10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11"/>
        <v>借</v>
      </c>
      <c r="K213" s="9">
        <f t="shared" si="10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11"/>
        <v>借</v>
      </c>
      <c r="K214" s="9">
        <f t="shared" si="10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11"/>
        <v>借</v>
      </c>
      <c r="K215" s="9">
        <f t="shared" ref="K215:K278" si="12">K214+H215-I215</f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11"/>
        <v>借</v>
      </c>
      <c r="K216" s="9">
        <f t="shared" si="12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11"/>
        <v>借</v>
      </c>
      <c r="K217" s="9">
        <f t="shared" si="12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11"/>
        <v>借</v>
      </c>
      <c r="K218" s="9">
        <f t="shared" si="12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11"/>
        <v>借</v>
      </c>
      <c r="K219" s="9">
        <f t="shared" si="12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11"/>
        <v>借</v>
      </c>
      <c r="K220" s="9">
        <f t="shared" si="12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11"/>
        <v>借</v>
      </c>
      <c r="K221" s="9">
        <f t="shared" si="12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11"/>
        <v>借</v>
      </c>
      <c r="K222" s="9">
        <f t="shared" si="12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11"/>
        <v>借</v>
      </c>
      <c r="K223" s="9">
        <f t="shared" si="12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11"/>
        <v>借</v>
      </c>
      <c r="K224" s="9">
        <f t="shared" si="12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11"/>
        <v>借</v>
      </c>
      <c r="K225" s="9">
        <f t="shared" si="12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11"/>
        <v>借</v>
      </c>
      <c r="K226" s="9">
        <f t="shared" si="12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11"/>
        <v>借</v>
      </c>
      <c r="K227" s="9">
        <f t="shared" si="12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11"/>
        <v>借</v>
      </c>
      <c r="K228" s="9">
        <f t="shared" si="12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11"/>
        <v>借</v>
      </c>
      <c r="K229" s="9">
        <f t="shared" si="12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11"/>
        <v>借</v>
      </c>
      <c r="K230" s="9">
        <f t="shared" si="12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11"/>
        <v>借</v>
      </c>
      <c r="K231" s="9">
        <f t="shared" si="12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11"/>
        <v>借</v>
      </c>
      <c r="K232" s="9">
        <f t="shared" si="12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11"/>
        <v>借</v>
      </c>
      <c r="K233" s="9">
        <f t="shared" si="12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11"/>
        <v>借</v>
      </c>
      <c r="K234" s="9">
        <f t="shared" si="12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23" t="str">
        <f t="shared" si="11"/>
        <v>借</v>
      </c>
      <c r="K235" s="9">
        <f t="shared" si="12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23" t="str">
        <f t="shared" si="11"/>
        <v>借</v>
      </c>
      <c r="K236" s="9">
        <f t="shared" si="12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23" t="str">
        <f t="shared" si="11"/>
        <v>借</v>
      </c>
      <c r="K237" s="9">
        <f t="shared" si="12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23" t="str">
        <f t="shared" si="11"/>
        <v>借</v>
      </c>
      <c r="K238" s="9">
        <f t="shared" si="12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23" t="str">
        <f t="shared" si="11"/>
        <v>借</v>
      </c>
      <c r="K239" s="9">
        <f t="shared" si="12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23" t="str">
        <f t="shared" si="11"/>
        <v>借</v>
      </c>
      <c r="K240" s="9">
        <f t="shared" si="12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11"/>
        <v>借</v>
      </c>
      <c r="K241" s="9">
        <f t="shared" si="12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11"/>
        <v>借</v>
      </c>
      <c r="K242" s="9">
        <f t="shared" si="12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11"/>
        <v>借</v>
      </c>
      <c r="K243" s="9">
        <f t="shared" si="12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11"/>
        <v>借</v>
      </c>
      <c r="K244" s="9">
        <f t="shared" si="12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11"/>
        <v>借</v>
      </c>
      <c r="K245" s="9">
        <f t="shared" si="12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11"/>
        <v>借</v>
      </c>
      <c r="K246" s="9">
        <f t="shared" si="12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1"/>
        <v>借</v>
      </c>
      <c r="K247" s="9">
        <f t="shared" si="12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1"/>
        <v>借</v>
      </c>
      <c r="K248" s="9">
        <f t="shared" si="12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1"/>
        <v>借</v>
      </c>
      <c r="K249" s="9">
        <f t="shared" si="12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1"/>
        <v>借</v>
      </c>
      <c r="K250" s="9">
        <f t="shared" si="12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1"/>
        <v>借</v>
      </c>
      <c r="K251" s="9">
        <f t="shared" si="12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1"/>
        <v>借</v>
      </c>
      <c r="K252" s="9">
        <f t="shared" si="12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1"/>
        <v>借</v>
      </c>
      <c r="K253" s="9">
        <f t="shared" si="12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1"/>
        <v>借</v>
      </c>
      <c r="K254" s="9">
        <f t="shared" si="12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ref="J255:J318" si="13">IF((K254+H255-I255)&gt;0,"借","贷")</f>
        <v>借</v>
      </c>
      <c r="K255" s="9">
        <f t="shared" si="12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3"/>
        <v>借</v>
      </c>
      <c r="K256" s="9">
        <f t="shared" si="12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3"/>
        <v>借</v>
      </c>
      <c r="K257" s="9">
        <f t="shared" si="12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3"/>
        <v>借</v>
      </c>
      <c r="K258" s="9">
        <f t="shared" si="12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3"/>
        <v>借</v>
      </c>
      <c r="K259" s="9">
        <f t="shared" si="12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3"/>
        <v>借</v>
      </c>
      <c r="K260" s="9">
        <f t="shared" si="12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3"/>
        <v>借</v>
      </c>
      <c r="K261" s="9">
        <f t="shared" si="12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3"/>
        <v>借</v>
      </c>
      <c r="K262" s="9">
        <f t="shared" si="12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3"/>
        <v>借</v>
      </c>
      <c r="K263" s="9">
        <f t="shared" si="12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3"/>
        <v>借</v>
      </c>
      <c r="K264" s="9">
        <f t="shared" si="12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3"/>
        <v>借</v>
      </c>
      <c r="K265" s="9">
        <f t="shared" si="12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3"/>
        <v>借</v>
      </c>
      <c r="K266" s="9">
        <f t="shared" si="12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3"/>
        <v>借</v>
      </c>
      <c r="K267" s="9">
        <f t="shared" si="12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3"/>
        <v>借</v>
      </c>
      <c r="K268" s="9">
        <f t="shared" si="12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3"/>
        <v>借</v>
      </c>
      <c r="K269" s="9">
        <f t="shared" si="12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3"/>
        <v>借</v>
      </c>
      <c r="K270" s="9">
        <f t="shared" si="12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3"/>
        <v>借</v>
      </c>
      <c r="K271" s="9">
        <f t="shared" si="12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3"/>
        <v>借</v>
      </c>
      <c r="K272" s="9">
        <f t="shared" si="12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3"/>
        <v>借</v>
      </c>
      <c r="K273" s="9">
        <f t="shared" si="12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3"/>
        <v>借</v>
      </c>
      <c r="K274" s="9">
        <f t="shared" si="12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3"/>
        <v>借</v>
      </c>
      <c r="K275" s="9">
        <f t="shared" si="12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3"/>
        <v>借</v>
      </c>
      <c r="K276" s="9">
        <f t="shared" si="12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3"/>
        <v>借</v>
      </c>
      <c r="K277" s="9">
        <f t="shared" si="12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3"/>
        <v>借</v>
      </c>
      <c r="K278" s="9">
        <f t="shared" si="12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3"/>
        <v>借</v>
      </c>
      <c r="K279" s="9">
        <f t="shared" ref="K279:K342" si="14">K278+H279-I279</f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3"/>
        <v>借</v>
      </c>
      <c r="K280" s="9">
        <f t="shared" si="14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3"/>
        <v>借</v>
      </c>
      <c r="K281" s="9">
        <f t="shared" si="14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3"/>
        <v>借</v>
      </c>
      <c r="K282" s="9">
        <f t="shared" si="14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3"/>
        <v>借</v>
      </c>
      <c r="K283" s="9">
        <f t="shared" si="14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3"/>
        <v>借</v>
      </c>
      <c r="K284" s="9">
        <f t="shared" si="14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3"/>
        <v>借</v>
      </c>
      <c r="K285" s="9">
        <f t="shared" si="14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3"/>
        <v>借</v>
      </c>
      <c r="K286" s="9">
        <f t="shared" si="14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3"/>
        <v>借</v>
      </c>
      <c r="K287" s="9">
        <f t="shared" si="14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3"/>
        <v>借</v>
      </c>
      <c r="K288" s="9">
        <f t="shared" si="14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3"/>
        <v>借</v>
      </c>
      <c r="K289" s="9">
        <f t="shared" si="14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3"/>
        <v>借</v>
      </c>
      <c r="K290" s="9">
        <f t="shared" si="14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3"/>
        <v>借</v>
      </c>
      <c r="K291" s="9">
        <f t="shared" si="14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3"/>
        <v>借</v>
      </c>
      <c r="K292" s="9">
        <f t="shared" si="14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3"/>
        <v>借</v>
      </c>
      <c r="K293" s="9">
        <f t="shared" si="14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3"/>
        <v>借</v>
      </c>
      <c r="K294" s="9">
        <f t="shared" si="14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3"/>
        <v>借</v>
      </c>
      <c r="K295" s="9">
        <f t="shared" si="14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3"/>
        <v>借</v>
      </c>
      <c r="K296" s="9">
        <f t="shared" si="14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3"/>
        <v>借</v>
      </c>
      <c r="K297" s="9">
        <f t="shared" si="14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3"/>
        <v>借</v>
      </c>
      <c r="K298" s="9">
        <f t="shared" si="14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3"/>
        <v>借</v>
      </c>
      <c r="K299" s="9">
        <f t="shared" si="14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3"/>
        <v>借</v>
      </c>
      <c r="K300" s="9">
        <f t="shared" si="14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3"/>
        <v>借</v>
      </c>
      <c r="K301" s="9">
        <f t="shared" si="14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3"/>
        <v>借</v>
      </c>
      <c r="K302" s="9">
        <f t="shared" si="14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3"/>
        <v>借</v>
      </c>
      <c r="K303" s="9">
        <f t="shared" si="14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3"/>
        <v>借</v>
      </c>
      <c r="K304" s="9">
        <f t="shared" si="14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3"/>
        <v>借</v>
      </c>
      <c r="K305" s="9">
        <f t="shared" si="14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3"/>
        <v>借</v>
      </c>
      <c r="K306" s="9">
        <f t="shared" si="14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3"/>
        <v>借</v>
      </c>
      <c r="K307" s="9">
        <f t="shared" si="14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3"/>
        <v>借</v>
      </c>
      <c r="K308" s="9">
        <f t="shared" si="14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3"/>
        <v>借</v>
      </c>
      <c r="K309" s="9">
        <f t="shared" si="14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3"/>
        <v>借</v>
      </c>
      <c r="K310" s="9">
        <f t="shared" si="14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3"/>
        <v>借</v>
      </c>
      <c r="K311" s="9">
        <f t="shared" si="14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3"/>
        <v>借</v>
      </c>
      <c r="K312" s="9">
        <f t="shared" si="14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3"/>
        <v>借</v>
      </c>
      <c r="K313" s="9">
        <f t="shared" si="14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3"/>
        <v>借</v>
      </c>
      <c r="K314" s="9">
        <f t="shared" si="14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3"/>
        <v>借</v>
      </c>
      <c r="K315" s="9">
        <f t="shared" si="14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3"/>
        <v>借</v>
      </c>
      <c r="K316" s="9">
        <f t="shared" si="14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3"/>
        <v>借</v>
      </c>
      <c r="K317" s="9">
        <f t="shared" si="14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3"/>
        <v>借</v>
      </c>
      <c r="K318" s="9">
        <f t="shared" si="14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ref="J319:J382" si="15">IF((K318+H319-I319)&gt;0,"借","贷")</f>
        <v>借</v>
      </c>
      <c r="K319" s="9">
        <f t="shared" si="14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5"/>
        <v>借</v>
      </c>
      <c r="K320" s="9">
        <f t="shared" si="14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5"/>
        <v>借</v>
      </c>
      <c r="K321" s="9">
        <f t="shared" si="14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5"/>
        <v>借</v>
      </c>
      <c r="K322" s="9">
        <f t="shared" si="14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5"/>
        <v>借</v>
      </c>
      <c r="K323" s="9">
        <f t="shared" si="14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5"/>
        <v>借</v>
      </c>
      <c r="K324" s="9">
        <f t="shared" si="14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5"/>
        <v>借</v>
      </c>
      <c r="K325" s="9">
        <f t="shared" si="14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5"/>
        <v>借</v>
      </c>
      <c r="K326" s="9">
        <f t="shared" si="14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5"/>
        <v>借</v>
      </c>
      <c r="K327" s="9">
        <f t="shared" si="14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5"/>
        <v>借</v>
      </c>
      <c r="K328" s="9">
        <f t="shared" si="14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5"/>
        <v>借</v>
      </c>
      <c r="K329" s="9">
        <f t="shared" si="14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5"/>
        <v>借</v>
      </c>
      <c r="K330" s="9">
        <f t="shared" si="14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5"/>
        <v>借</v>
      </c>
      <c r="K331" s="9">
        <f t="shared" si="14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5"/>
        <v>借</v>
      </c>
      <c r="K332" s="9">
        <f t="shared" si="14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5"/>
        <v>借</v>
      </c>
      <c r="K333" s="9">
        <f t="shared" si="14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5"/>
        <v>借</v>
      </c>
      <c r="K334" s="9">
        <f t="shared" si="14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5"/>
        <v>借</v>
      </c>
      <c r="K335" s="9">
        <f t="shared" si="14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5"/>
        <v>借</v>
      </c>
      <c r="K336" s="9">
        <f t="shared" si="14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5"/>
        <v>借</v>
      </c>
      <c r="K337" s="9">
        <f t="shared" si="14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5"/>
        <v>借</v>
      </c>
      <c r="K338" s="9">
        <f t="shared" si="14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5"/>
        <v>借</v>
      </c>
      <c r="K339" s="9">
        <f t="shared" si="14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5"/>
        <v>借</v>
      </c>
      <c r="K340" s="9">
        <f t="shared" si="14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5"/>
        <v>借</v>
      </c>
      <c r="K341" s="9">
        <f t="shared" si="14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5"/>
        <v>借</v>
      </c>
      <c r="K342" s="9">
        <f t="shared" si="14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5"/>
        <v>借</v>
      </c>
      <c r="K343" s="9">
        <f t="shared" ref="K343:K406" si="16">K342+H343-I343</f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5"/>
        <v>借</v>
      </c>
      <c r="K344" s="9">
        <f t="shared" si="16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5"/>
        <v>借</v>
      </c>
      <c r="K345" s="9">
        <f t="shared" si="16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5"/>
        <v>借</v>
      </c>
      <c r="K346" s="9">
        <f t="shared" si="16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5"/>
        <v>借</v>
      </c>
      <c r="K347" s="9">
        <f t="shared" si="16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5"/>
        <v>借</v>
      </c>
      <c r="K348" s="9">
        <f t="shared" si="16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5"/>
        <v>借</v>
      </c>
      <c r="K349" s="9">
        <f t="shared" si="16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5"/>
        <v>借</v>
      </c>
      <c r="K350" s="9">
        <f t="shared" si="16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5"/>
        <v>借</v>
      </c>
      <c r="K351" s="9">
        <f t="shared" si="16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5"/>
        <v>借</v>
      </c>
      <c r="K352" s="9">
        <f t="shared" si="16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5"/>
        <v>借</v>
      </c>
      <c r="K353" s="9">
        <f t="shared" si="16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5"/>
        <v>借</v>
      </c>
      <c r="K354" s="9">
        <f t="shared" si="16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5"/>
        <v>借</v>
      </c>
      <c r="K355" s="9">
        <f t="shared" si="16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5"/>
        <v>借</v>
      </c>
      <c r="K356" s="9">
        <f t="shared" si="16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5"/>
        <v>借</v>
      </c>
      <c r="K357" s="9">
        <f t="shared" si="16"/>
        <v>100</v>
      </c>
    </row>
    <row r="358" spans="1:11" ht="20.100000000000001" customHeight="1" x14ac:dyDescent="0.15">
      <c r="B358" s="5"/>
      <c r="C358" s="10"/>
      <c r="D358" s="10"/>
      <c r="E358" s="10"/>
      <c r="F358" s="10"/>
      <c r="G358" s="10"/>
      <c r="H358" s="8"/>
      <c r="I358" s="8"/>
      <c r="J358" s="8" t="str">
        <f t="shared" si="15"/>
        <v>借</v>
      </c>
      <c r="K358" s="9">
        <f t="shared" si="16"/>
        <v>100</v>
      </c>
    </row>
    <row r="359" spans="1:11" ht="20.100000000000001" customHeight="1" x14ac:dyDescent="0.15">
      <c r="B359" s="5"/>
      <c r="C359" s="10"/>
      <c r="D359" s="10"/>
      <c r="E359" s="10"/>
      <c r="F359" s="10"/>
      <c r="G359" s="10"/>
      <c r="H359" s="8"/>
      <c r="I359" s="8"/>
      <c r="J359" s="8" t="str">
        <f t="shared" si="15"/>
        <v>借</v>
      </c>
      <c r="K359" s="9">
        <f t="shared" si="16"/>
        <v>100</v>
      </c>
    </row>
    <row r="360" spans="1:11" ht="20.100000000000001" customHeight="1" x14ac:dyDescent="0.15">
      <c r="B360" s="5"/>
      <c r="C360" s="7"/>
      <c r="D360" s="10"/>
      <c r="E360" s="10"/>
      <c r="F360" s="10"/>
      <c r="G360" s="10"/>
      <c r="H360" s="8"/>
      <c r="I360" s="8"/>
      <c r="J360" s="8" t="str">
        <f t="shared" si="15"/>
        <v>借</v>
      </c>
      <c r="K360" s="9">
        <f t="shared" si="16"/>
        <v>100</v>
      </c>
    </row>
    <row r="361" spans="1:11" ht="20.100000000000001" customHeight="1" x14ac:dyDescent="0.15">
      <c r="B361" s="5"/>
      <c r="C361" s="7"/>
      <c r="D361" s="10"/>
      <c r="E361" s="10"/>
      <c r="F361" s="10"/>
      <c r="G361" s="10"/>
      <c r="H361" s="8"/>
      <c r="I361" s="8"/>
      <c r="J361" s="8" t="str">
        <f t="shared" si="15"/>
        <v>借</v>
      </c>
      <c r="K361" s="9">
        <f t="shared" si="16"/>
        <v>100</v>
      </c>
    </row>
    <row r="362" spans="1:11" ht="20.100000000000001" customHeight="1" x14ac:dyDescent="0.15">
      <c r="B362" s="5"/>
      <c r="C362" s="7"/>
      <c r="D362" s="10"/>
      <c r="E362" s="10"/>
      <c r="F362" s="10"/>
      <c r="G362" s="10"/>
      <c r="H362" s="8"/>
      <c r="I362" s="8"/>
      <c r="J362" s="8" t="str">
        <f t="shared" si="15"/>
        <v>借</v>
      </c>
      <c r="K362" s="9">
        <f t="shared" si="16"/>
        <v>100</v>
      </c>
    </row>
    <row r="363" spans="1:11" ht="20.100000000000001" customHeight="1" x14ac:dyDescent="0.15">
      <c r="B363" s="5"/>
      <c r="C363" s="7"/>
      <c r="D363" s="10"/>
      <c r="E363" s="10"/>
      <c r="F363" s="10"/>
      <c r="G363" s="10"/>
      <c r="H363" s="8"/>
      <c r="I363" s="8"/>
      <c r="J363" s="8" t="str">
        <f t="shared" si="15"/>
        <v>借</v>
      </c>
      <c r="K363" s="9">
        <f t="shared" si="16"/>
        <v>100</v>
      </c>
    </row>
    <row r="364" spans="1:11" ht="20.100000000000001" customHeight="1" x14ac:dyDescent="0.15">
      <c r="B364" s="5"/>
      <c r="C364" s="7"/>
      <c r="D364" s="10"/>
      <c r="E364" s="10"/>
      <c r="F364" s="10"/>
      <c r="G364" s="10"/>
      <c r="H364" s="8"/>
      <c r="I364" s="8"/>
      <c r="J364" s="8" t="str">
        <f t="shared" si="15"/>
        <v>借</v>
      </c>
      <c r="K364" s="9">
        <f t="shared" si="16"/>
        <v>100</v>
      </c>
    </row>
    <row r="365" spans="1:11" ht="20.100000000000001" customHeight="1" x14ac:dyDescent="0.15">
      <c r="B365" s="5"/>
      <c r="C365" s="7"/>
      <c r="D365" s="10"/>
      <c r="E365" s="10"/>
      <c r="F365" s="10"/>
      <c r="G365" s="10"/>
      <c r="H365" s="8"/>
      <c r="I365" s="8"/>
      <c r="J365" s="8" t="str">
        <f t="shared" si="15"/>
        <v>借</v>
      </c>
      <c r="K365" s="9">
        <f t="shared" si="16"/>
        <v>100</v>
      </c>
    </row>
    <row r="366" spans="1:11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5"/>
        <v>借</v>
      </c>
      <c r="K366" s="9">
        <f t="shared" si="16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5"/>
        <v>借</v>
      </c>
      <c r="K367" s="9">
        <f t="shared" si="16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5"/>
        <v>借</v>
      </c>
      <c r="K368" s="9">
        <f t="shared" si="16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5"/>
        <v>借</v>
      </c>
      <c r="K369" s="9">
        <f t="shared" si="16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5"/>
        <v>借</v>
      </c>
      <c r="K370" s="9">
        <f t="shared" si="16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5"/>
        <v>借</v>
      </c>
      <c r="K371" s="9">
        <f t="shared" si="16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5"/>
        <v>借</v>
      </c>
      <c r="K372" s="9">
        <f t="shared" si="16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5"/>
        <v>借</v>
      </c>
      <c r="K373" s="9">
        <f t="shared" si="16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5"/>
        <v>借</v>
      </c>
      <c r="K374" s="9">
        <f t="shared" si="16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5"/>
        <v>借</v>
      </c>
      <c r="K375" s="9">
        <f t="shared" si="16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5"/>
        <v>借</v>
      </c>
      <c r="K376" s="9">
        <f t="shared" si="16"/>
        <v>100</v>
      </c>
    </row>
    <row r="377" spans="2:11" ht="20.100000000000001" customHeight="1" x14ac:dyDescent="0.15">
      <c r="B377" s="5"/>
      <c r="C377" s="10"/>
      <c r="D377" s="10"/>
      <c r="E377" s="10"/>
      <c r="F377" s="10"/>
      <c r="G377" s="10"/>
      <c r="H377" s="8"/>
      <c r="I377" s="8"/>
      <c r="J377" s="8" t="str">
        <f t="shared" si="15"/>
        <v>借</v>
      </c>
      <c r="K377" s="9">
        <f t="shared" si="16"/>
        <v>100</v>
      </c>
    </row>
    <row r="378" spans="2:11" ht="20.100000000000001" customHeight="1" x14ac:dyDescent="0.15">
      <c r="B378" s="5"/>
      <c r="C378" s="10"/>
      <c r="D378" s="10"/>
      <c r="E378" s="10"/>
      <c r="F378" s="10"/>
      <c r="G378" s="10"/>
      <c r="H378" s="8"/>
      <c r="I378" s="8"/>
      <c r="J378" s="8" t="str">
        <f t="shared" si="15"/>
        <v>借</v>
      </c>
      <c r="K378" s="9">
        <f t="shared" si="16"/>
        <v>100</v>
      </c>
    </row>
    <row r="379" spans="2:11" ht="20.100000000000001" customHeight="1" x14ac:dyDescent="0.15">
      <c r="B379" s="5"/>
      <c r="C379" s="10"/>
      <c r="D379" s="10"/>
      <c r="E379" s="10"/>
      <c r="F379" s="10"/>
      <c r="G379" s="10"/>
      <c r="H379" s="8"/>
      <c r="I379" s="8"/>
      <c r="J379" s="8" t="str">
        <f t="shared" si="15"/>
        <v>借</v>
      </c>
      <c r="K379" s="9">
        <f t="shared" si="16"/>
        <v>100</v>
      </c>
    </row>
    <row r="380" spans="2:11" ht="20.100000000000001" customHeight="1" x14ac:dyDescent="0.15">
      <c r="B380" s="5"/>
      <c r="C380" s="10"/>
      <c r="D380" s="10"/>
      <c r="E380" s="10"/>
      <c r="F380" s="10"/>
      <c r="G380" s="10"/>
      <c r="H380" s="8"/>
      <c r="I380" s="8"/>
      <c r="J380" s="8" t="str">
        <f t="shared" si="15"/>
        <v>借</v>
      </c>
      <c r="K380" s="9">
        <f t="shared" si="16"/>
        <v>100</v>
      </c>
    </row>
    <row r="381" spans="2:11" ht="20.100000000000001" customHeight="1" x14ac:dyDescent="0.15">
      <c r="B381" s="5"/>
      <c r="C381" s="10"/>
      <c r="D381" s="10"/>
      <c r="E381" s="10"/>
      <c r="F381" s="10"/>
      <c r="G381" s="10"/>
      <c r="H381" s="8"/>
      <c r="I381" s="8"/>
      <c r="J381" s="8" t="str">
        <f t="shared" si="15"/>
        <v>借</v>
      </c>
      <c r="K381" s="9">
        <f t="shared" si="16"/>
        <v>100</v>
      </c>
    </row>
    <row r="382" spans="2:11" ht="20.100000000000001" customHeight="1" x14ac:dyDescent="0.15">
      <c r="B382" s="5"/>
      <c r="C382" s="10"/>
      <c r="D382" s="10"/>
      <c r="E382" s="10"/>
      <c r="F382" s="10"/>
      <c r="G382" s="10"/>
      <c r="H382" s="8"/>
      <c r="I382" s="8"/>
      <c r="J382" s="8" t="str">
        <f t="shared" si="15"/>
        <v>借</v>
      </c>
      <c r="K382" s="9">
        <f t="shared" si="16"/>
        <v>100</v>
      </c>
    </row>
    <row r="383" spans="2:11" ht="20.100000000000001" customHeight="1" x14ac:dyDescent="0.15">
      <c r="B383" s="5"/>
      <c r="C383" s="10"/>
      <c r="D383" s="10"/>
      <c r="E383" s="10"/>
      <c r="F383" s="10"/>
      <c r="G383" s="10"/>
      <c r="H383" s="8"/>
      <c r="I383" s="8"/>
      <c r="J383" s="8" t="str">
        <f t="shared" ref="J383:J446" si="17">IF((K382+H383-I383)&gt;0,"借","贷")</f>
        <v>借</v>
      </c>
      <c r="K383" s="9">
        <f t="shared" si="16"/>
        <v>100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7"/>
        <v>借</v>
      </c>
      <c r="K384" s="9">
        <f t="shared" si="16"/>
        <v>100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7"/>
        <v>借</v>
      </c>
      <c r="K385" s="9">
        <f t="shared" si="16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7"/>
        <v>借</v>
      </c>
      <c r="K386" s="9">
        <f t="shared" si="16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7"/>
        <v>借</v>
      </c>
      <c r="K387" s="9">
        <f t="shared" si="16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7"/>
        <v>借</v>
      </c>
      <c r="K388" s="9">
        <f t="shared" si="16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7"/>
        <v>借</v>
      </c>
      <c r="K389" s="9">
        <f t="shared" si="16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7"/>
        <v>借</v>
      </c>
      <c r="K390" s="9">
        <f t="shared" si="16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7"/>
        <v>借</v>
      </c>
      <c r="K391" s="9">
        <f t="shared" si="16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7"/>
        <v>借</v>
      </c>
      <c r="K392" s="9">
        <f t="shared" si="16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7"/>
        <v>借</v>
      </c>
      <c r="K393" s="9">
        <f t="shared" si="16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7"/>
        <v>借</v>
      </c>
      <c r="K394" s="9">
        <f t="shared" si="16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7"/>
        <v>借</v>
      </c>
      <c r="K395" s="9">
        <f t="shared" si="16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7"/>
        <v>借</v>
      </c>
      <c r="K396" s="9">
        <f t="shared" si="16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7"/>
        <v>借</v>
      </c>
      <c r="K397" s="9">
        <f t="shared" si="16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7"/>
        <v>借</v>
      </c>
      <c r="K398" s="9">
        <f t="shared" si="16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7"/>
        <v>借</v>
      </c>
      <c r="K399" s="9">
        <f t="shared" si="16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7"/>
        <v>借</v>
      </c>
      <c r="K400" s="9">
        <f t="shared" si="16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7"/>
        <v>借</v>
      </c>
      <c r="K401" s="9">
        <f t="shared" si="16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7"/>
        <v>借</v>
      </c>
      <c r="K402" s="9">
        <f t="shared" si="16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7"/>
        <v>借</v>
      </c>
      <c r="K403" s="9">
        <f t="shared" si="16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7"/>
        <v>借</v>
      </c>
      <c r="K404" s="9">
        <f t="shared" si="16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7"/>
        <v>借</v>
      </c>
      <c r="K405" s="9">
        <f t="shared" si="16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7"/>
        <v>借</v>
      </c>
      <c r="K406" s="9">
        <f t="shared" si="16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7"/>
        <v>借</v>
      </c>
      <c r="K407" s="9">
        <f t="shared" ref="K407:K470" si="18">K406+H407-I407</f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7"/>
        <v>借</v>
      </c>
      <c r="K408" s="9">
        <f t="shared" si="18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7"/>
        <v>借</v>
      </c>
      <c r="K409" s="9">
        <f t="shared" si="18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7"/>
        <v>借</v>
      </c>
      <c r="K410" s="9">
        <f t="shared" si="18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7"/>
        <v>借</v>
      </c>
      <c r="K411" s="9">
        <f t="shared" si="18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7"/>
        <v>借</v>
      </c>
      <c r="K412" s="9">
        <f t="shared" si="18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7"/>
        <v>借</v>
      </c>
      <c r="K413" s="9">
        <f t="shared" si="18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7"/>
        <v>借</v>
      </c>
      <c r="K414" s="9">
        <f t="shared" si="18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7"/>
        <v>借</v>
      </c>
      <c r="K415" s="9">
        <f t="shared" si="18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7"/>
        <v>借</v>
      </c>
      <c r="K416" s="9">
        <f t="shared" si="18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7"/>
        <v>借</v>
      </c>
      <c r="K417" s="9">
        <f t="shared" si="18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7"/>
        <v>借</v>
      </c>
      <c r="K418" s="9">
        <f t="shared" si="18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7"/>
        <v>借</v>
      </c>
      <c r="K419" s="9">
        <f t="shared" si="18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7"/>
        <v>借</v>
      </c>
      <c r="K420" s="9">
        <f t="shared" si="18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7"/>
        <v>借</v>
      </c>
      <c r="K421" s="9">
        <f t="shared" si="18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7"/>
        <v>借</v>
      </c>
      <c r="K422" s="9">
        <f t="shared" si="18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7"/>
        <v>借</v>
      </c>
      <c r="K423" s="9">
        <f t="shared" si="18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7"/>
        <v>借</v>
      </c>
      <c r="K424" s="9">
        <f t="shared" si="18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7"/>
        <v>借</v>
      </c>
      <c r="K425" s="9">
        <f t="shared" si="18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7"/>
        <v>借</v>
      </c>
      <c r="K426" s="9">
        <f t="shared" si="18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7"/>
        <v>借</v>
      </c>
      <c r="K427" s="9">
        <f t="shared" si="18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7"/>
        <v>借</v>
      </c>
      <c r="K428" s="9">
        <f t="shared" si="18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7"/>
        <v>借</v>
      </c>
      <c r="K429" s="9">
        <f t="shared" si="18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7"/>
        <v>借</v>
      </c>
      <c r="K430" s="9">
        <f t="shared" si="18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7"/>
        <v>借</v>
      </c>
      <c r="K431" s="9">
        <f t="shared" si="18"/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7"/>
        <v>借</v>
      </c>
      <c r="K432" s="9">
        <f t="shared" si="18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7"/>
        <v>借</v>
      </c>
      <c r="K433" s="9">
        <f t="shared" si="18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7"/>
        <v>借</v>
      </c>
      <c r="K434" s="9">
        <f t="shared" si="18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7"/>
        <v>借</v>
      </c>
      <c r="K435" s="9">
        <f t="shared" si="18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7"/>
        <v>借</v>
      </c>
      <c r="K436" s="9">
        <f t="shared" si="18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7"/>
        <v>借</v>
      </c>
      <c r="K437" s="9">
        <f t="shared" si="18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7"/>
        <v>借</v>
      </c>
      <c r="K438" s="9">
        <f t="shared" si="18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7"/>
        <v>借</v>
      </c>
      <c r="K439" s="9">
        <f t="shared" si="18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7"/>
        <v>借</v>
      </c>
      <c r="K440" s="9">
        <f t="shared" si="18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7"/>
        <v>借</v>
      </c>
      <c r="K441" s="9">
        <f t="shared" si="18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7"/>
        <v>借</v>
      </c>
      <c r="K442" s="9">
        <f t="shared" si="18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7"/>
        <v>借</v>
      </c>
      <c r="K443" s="9">
        <f t="shared" si="18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7"/>
        <v>借</v>
      </c>
      <c r="K444" s="9">
        <f t="shared" si="18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7"/>
        <v>借</v>
      </c>
      <c r="K445" s="9">
        <f t="shared" si="18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7"/>
        <v>借</v>
      </c>
      <c r="K446" s="9">
        <f t="shared" si="18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ref="J447:J490" si="19">IF((K446+H447-I447)&gt;0,"借","贷")</f>
        <v>借</v>
      </c>
      <c r="K447" s="9">
        <f t="shared" si="18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9"/>
        <v>借</v>
      </c>
      <c r="K448" s="9">
        <f t="shared" si="18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9"/>
        <v>借</v>
      </c>
      <c r="K449" s="9">
        <f t="shared" si="18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9"/>
        <v>借</v>
      </c>
      <c r="K450" s="9">
        <f t="shared" si="18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9"/>
        <v>借</v>
      </c>
      <c r="K451" s="9">
        <f t="shared" si="18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9"/>
        <v>借</v>
      </c>
      <c r="K452" s="9">
        <f t="shared" si="18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9"/>
        <v>借</v>
      </c>
      <c r="K453" s="9">
        <f t="shared" si="18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9"/>
        <v>借</v>
      </c>
      <c r="K454" s="9">
        <f t="shared" si="18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9"/>
        <v>借</v>
      </c>
      <c r="K455" s="9">
        <f t="shared" si="18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9"/>
        <v>借</v>
      </c>
      <c r="K456" s="9">
        <f t="shared" si="18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9"/>
        <v>借</v>
      </c>
      <c r="K457" s="9">
        <f t="shared" si="18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9"/>
        <v>借</v>
      </c>
      <c r="K458" s="9">
        <f t="shared" si="18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9"/>
        <v>借</v>
      </c>
      <c r="K459" s="9">
        <f t="shared" si="18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9"/>
        <v>借</v>
      </c>
      <c r="K460" s="9">
        <f t="shared" si="18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9"/>
        <v>借</v>
      </c>
      <c r="K461" s="9">
        <f t="shared" si="18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9"/>
        <v>借</v>
      </c>
      <c r="K462" s="9">
        <f t="shared" si="18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9"/>
        <v>借</v>
      </c>
      <c r="K463" s="9">
        <f t="shared" si="18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9"/>
        <v>借</v>
      </c>
      <c r="K464" s="9">
        <f t="shared" si="18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9"/>
        <v>借</v>
      </c>
      <c r="K465" s="9">
        <f t="shared" si="18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9"/>
        <v>借</v>
      </c>
      <c r="K466" s="9">
        <f t="shared" si="18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9"/>
        <v>借</v>
      </c>
      <c r="K467" s="9">
        <f t="shared" si="18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9"/>
        <v>借</v>
      </c>
      <c r="K468" s="9">
        <f t="shared" si="18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9"/>
        <v>借</v>
      </c>
      <c r="K469" s="9">
        <f t="shared" si="18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9"/>
        <v>借</v>
      </c>
      <c r="K470" s="9">
        <f t="shared" si="18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9"/>
        <v>借</v>
      </c>
      <c r="K471" s="9">
        <f t="shared" ref="K471:K490" si="20">K470+H471-I471</f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9"/>
        <v>借</v>
      </c>
      <c r="K472" s="9">
        <f t="shared" si="20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9"/>
        <v>借</v>
      </c>
      <c r="K473" s="9">
        <f t="shared" si="20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9"/>
        <v>借</v>
      </c>
      <c r="K474" s="9">
        <f t="shared" si="20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9"/>
        <v>借</v>
      </c>
      <c r="K475" s="9">
        <f t="shared" si="20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9"/>
        <v>借</v>
      </c>
      <c r="K476" s="9">
        <f t="shared" si="20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9"/>
        <v>借</v>
      </c>
      <c r="K477" s="9">
        <f t="shared" si="20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9"/>
        <v>借</v>
      </c>
      <c r="K478" s="9">
        <f t="shared" si="20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9"/>
        <v>借</v>
      </c>
      <c r="K479" s="9">
        <f t="shared" si="20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9"/>
        <v>借</v>
      </c>
      <c r="K480" s="9">
        <f t="shared" si="20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9"/>
        <v>借</v>
      </c>
      <c r="K481" s="9">
        <f t="shared" si="20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9"/>
        <v>借</v>
      </c>
      <c r="K482" s="9">
        <f t="shared" si="20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9"/>
        <v>借</v>
      </c>
      <c r="K483" s="9">
        <f t="shared" si="20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9"/>
        <v>借</v>
      </c>
      <c r="K484" s="9">
        <f t="shared" si="20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9"/>
        <v>借</v>
      </c>
      <c r="K485" s="9">
        <f t="shared" si="20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9"/>
        <v>借</v>
      </c>
      <c r="K486" s="9">
        <f t="shared" si="20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9"/>
        <v>借</v>
      </c>
      <c r="K487" s="9">
        <f t="shared" si="20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9"/>
        <v>借</v>
      </c>
      <c r="K488" s="9">
        <f t="shared" si="20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9"/>
        <v>借</v>
      </c>
      <c r="K489" s="9">
        <f t="shared" si="20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9"/>
        <v>借</v>
      </c>
      <c r="K490" s="9">
        <f t="shared" si="20"/>
        <v>100</v>
      </c>
    </row>
  </sheetData>
  <autoFilter ref="A4:L490" xr:uid="{00000000-0009-0000-0000-000018000000}"/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8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96"/>
  <sheetViews>
    <sheetView topLeftCell="G1" workbookViewId="0">
      <selection activeCell="L8" sqref="L8:L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84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SUM(H5:H189999)</f>
        <v>0</v>
      </c>
      <c r="I3" s="4">
        <f>SUM(I5:I189999)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10" t="s">
        <v>75</v>
      </c>
      <c r="E5" s="10"/>
      <c r="F5" s="10"/>
      <c r="G5" s="10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46" si="0">IF((K5+H6-I6)&gt;0,"借","贷")</f>
        <v>借</v>
      </c>
      <c r="K6" s="9">
        <f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ref="K7:K68" si="1">K6+H7-I7</f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10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ref="J47:J53" si="2">IF((K46+H47-I48)&gt;0,"借","贷")</f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1"/>
        <v>100</v>
      </c>
    </row>
    <row r="53" spans="1:11" ht="20.100000000000001" customHeight="1" x14ac:dyDescent="0.15">
      <c r="A53" s="10"/>
      <c r="B53" s="24"/>
      <c r="C53" s="12"/>
      <c r="D53" s="12"/>
      <c r="E53" s="12"/>
      <c r="F53" s="12"/>
      <c r="G53" s="12"/>
      <c r="H53" s="25"/>
      <c r="I53" s="25"/>
      <c r="J53" s="25" t="str">
        <f t="shared" si="2"/>
        <v>借</v>
      </c>
      <c r="K53" s="9">
        <f t="shared" si="1"/>
        <v>100</v>
      </c>
    </row>
    <row r="54" spans="1:11" ht="20.100000000000001" customHeight="1" x14ac:dyDescent="0.15">
      <c r="A54" s="10"/>
      <c r="B54" s="24"/>
      <c r="C54" s="12"/>
      <c r="D54" s="12"/>
      <c r="E54" s="12"/>
      <c r="F54" s="12"/>
      <c r="G54" s="12"/>
      <c r="H54" s="25"/>
      <c r="I54" s="25"/>
      <c r="J54" s="25" t="str">
        <f t="shared" ref="J54:J117" si="3">IF((K53+H54-I54)&gt;0,"借","贷")</f>
        <v>借</v>
      </c>
      <c r="K54" s="9">
        <f t="shared" si="1"/>
        <v>100</v>
      </c>
    </row>
    <row r="55" spans="1:11" ht="20.100000000000001" customHeight="1" x14ac:dyDescent="0.15">
      <c r="A55" s="10"/>
      <c r="B55" s="24"/>
      <c r="C55" s="12"/>
      <c r="D55" s="12"/>
      <c r="E55" s="12"/>
      <c r="F55" s="12"/>
      <c r="G55" s="12"/>
      <c r="H55" s="25"/>
      <c r="I55" s="25"/>
      <c r="J55" s="25" t="str">
        <f t="shared" si="3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26"/>
      <c r="E56" s="12"/>
      <c r="F56" s="12"/>
      <c r="G56" s="12"/>
      <c r="H56" s="25"/>
      <c r="I56" s="25"/>
      <c r="J56" s="25" t="str">
        <f t="shared" si="3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2"/>
      <c r="E57" s="12"/>
      <c r="F57" s="12"/>
      <c r="G57" s="12"/>
      <c r="H57" s="25"/>
      <c r="I57" s="25"/>
      <c r="J57" s="25" t="str">
        <f t="shared" si="3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2"/>
      <c r="E58" s="12"/>
      <c r="F58" s="12"/>
      <c r="G58" s="12"/>
      <c r="H58" s="25"/>
      <c r="I58" s="25"/>
      <c r="J58" s="25" t="str">
        <f t="shared" si="3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2"/>
      <c r="H59" s="8"/>
      <c r="I59" s="8"/>
      <c r="J59" s="8" t="str">
        <f t="shared" si="3"/>
        <v>借</v>
      </c>
      <c r="K59" s="9">
        <f t="shared" si="1"/>
        <v>100</v>
      </c>
    </row>
    <row r="60" spans="1:11" ht="20.100000000000001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3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3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3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3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3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3"/>
        <v>借</v>
      </c>
      <c r="K65" s="9">
        <f t="shared" si="1"/>
        <v>100</v>
      </c>
    </row>
    <row r="66" spans="1:11" ht="20.100000000000001" customHeight="1" x14ac:dyDescent="0.15">
      <c r="A66" s="10"/>
      <c r="B66" s="5"/>
      <c r="C66" s="10"/>
      <c r="D66" s="10"/>
      <c r="E66" s="10"/>
      <c r="F66" s="10"/>
      <c r="G66" s="10"/>
      <c r="H66" s="8"/>
      <c r="I66" s="8"/>
      <c r="J66" s="8" t="str">
        <f t="shared" si="3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4"/>
      <c r="G67" s="14"/>
      <c r="H67" s="8"/>
      <c r="I67" s="8"/>
      <c r="J67" s="8" t="str">
        <f t="shared" si="3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3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3"/>
        <v>借</v>
      </c>
      <c r="K69" s="9">
        <f t="shared" ref="K69:K132" si="4">K68+H69-I69</f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si="3"/>
        <v>借</v>
      </c>
      <c r="K70" s="9">
        <f t="shared" si="4"/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3"/>
        <v>借</v>
      </c>
      <c r="K71" s="9">
        <f t="shared" si="4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3"/>
        <v>借</v>
      </c>
      <c r="K72" s="9">
        <f t="shared" si="4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8"/>
      <c r="J73" s="8" t="str">
        <f t="shared" si="3"/>
        <v>借</v>
      </c>
      <c r="K73" s="9">
        <f t="shared" si="4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3"/>
        <v>借</v>
      </c>
      <c r="K74" s="9">
        <f t="shared" si="4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4"/>
      <c r="G75" s="14"/>
      <c r="H75" s="8"/>
      <c r="I75" s="8"/>
      <c r="J75" s="8" t="str">
        <f t="shared" si="3"/>
        <v>借</v>
      </c>
      <c r="K75" s="9">
        <f t="shared" si="4"/>
        <v>100</v>
      </c>
    </row>
    <row r="76" spans="1:11" ht="20.100000000000001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3"/>
        <v>借</v>
      </c>
      <c r="K76" s="9">
        <f t="shared" si="4"/>
        <v>100</v>
      </c>
    </row>
    <row r="77" spans="1:11" ht="20.100000000000001" customHeight="1" x14ac:dyDescent="0.15">
      <c r="A77" s="10"/>
      <c r="B77" s="5"/>
      <c r="C77" s="5"/>
      <c r="D77" s="10"/>
      <c r="E77" s="10"/>
      <c r="F77" s="14"/>
      <c r="G77" s="14"/>
      <c r="H77" s="8"/>
      <c r="I77" s="8"/>
      <c r="J77" s="8" t="str">
        <f t="shared" si="3"/>
        <v>借</v>
      </c>
      <c r="K77" s="9">
        <f t="shared" si="4"/>
        <v>100</v>
      </c>
    </row>
    <row r="78" spans="1:11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15"/>
      <c r="J78" s="8" t="str">
        <f t="shared" si="3"/>
        <v>借</v>
      </c>
      <c r="K78" s="9">
        <f t="shared" si="4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3"/>
        <v>借</v>
      </c>
      <c r="K79" s="9">
        <f t="shared" si="4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3"/>
        <v>借</v>
      </c>
      <c r="K80" s="9">
        <f t="shared" si="4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3"/>
        <v>借</v>
      </c>
      <c r="K81" s="9">
        <f t="shared" si="4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3"/>
        <v>借</v>
      </c>
      <c r="K82" s="9">
        <f t="shared" si="4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3"/>
        <v>借</v>
      </c>
      <c r="K83" s="9">
        <f t="shared" si="4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3"/>
        <v>借</v>
      </c>
      <c r="K84" s="9">
        <f t="shared" si="4"/>
        <v>100</v>
      </c>
    </row>
    <row r="85" spans="1:11" ht="20.100000000000001" customHeight="1" x14ac:dyDescent="0.15">
      <c r="A85" s="10"/>
      <c r="B85" s="5"/>
      <c r="C85" s="5"/>
      <c r="D85" s="10"/>
      <c r="E85" s="10"/>
      <c r="F85" s="10"/>
      <c r="G85" s="10"/>
      <c r="H85" s="8"/>
      <c r="I85" s="8"/>
      <c r="J85" s="8" t="str">
        <f t="shared" si="3"/>
        <v>借</v>
      </c>
      <c r="K85" s="9">
        <f t="shared" si="4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3"/>
        <v>借</v>
      </c>
      <c r="K86" s="9">
        <f t="shared" si="4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3"/>
        <v>借</v>
      </c>
      <c r="K87" s="9">
        <f t="shared" si="4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3"/>
        <v>借</v>
      </c>
      <c r="K88" s="9">
        <f t="shared" si="4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3"/>
        <v>借</v>
      </c>
      <c r="K89" s="9">
        <f t="shared" si="4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3"/>
        <v>借</v>
      </c>
      <c r="K90" s="9">
        <f t="shared" si="4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3"/>
        <v>借</v>
      </c>
      <c r="K91" s="9">
        <f t="shared" si="4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3"/>
        <v>借</v>
      </c>
      <c r="K92" s="9">
        <f t="shared" si="4"/>
        <v>100</v>
      </c>
    </row>
    <row r="93" spans="1:11" ht="20.100000000000001" customHeight="1" x14ac:dyDescent="0.15">
      <c r="A93" s="10"/>
      <c r="B93" s="5"/>
      <c r="C93" s="5"/>
      <c r="D93" s="10"/>
      <c r="E93" s="10"/>
      <c r="F93" s="10"/>
      <c r="G93" s="10"/>
      <c r="H93" s="8"/>
      <c r="I93" s="8"/>
      <c r="J93" s="8" t="str">
        <f t="shared" si="3"/>
        <v>借</v>
      </c>
      <c r="K93" s="9">
        <f t="shared" si="4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3"/>
        <v>借</v>
      </c>
      <c r="K94" s="9">
        <f t="shared" si="4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3"/>
        <v>借</v>
      </c>
      <c r="K95" s="9">
        <f t="shared" si="4"/>
        <v>100</v>
      </c>
    </row>
    <row r="96" spans="1:11" ht="20.100000000000001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3"/>
        <v>借</v>
      </c>
      <c r="K96" s="9">
        <f t="shared" si="4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3"/>
        <v>借</v>
      </c>
      <c r="K97" s="9">
        <f t="shared" si="4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3"/>
        <v>借</v>
      </c>
      <c r="K98" s="9">
        <f t="shared" si="4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3"/>
        <v>借</v>
      </c>
      <c r="K99" s="9">
        <f t="shared" si="4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3"/>
        <v>借</v>
      </c>
      <c r="K100" s="9">
        <f t="shared" si="4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3"/>
        <v>借</v>
      </c>
      <c r="K101" s="9">
        <f t="shared" si="4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3"/>
        <v>借</v>
      </c>
      <c r="K102" s="9">
        <f t="shared" si="4"/>
        <v>100</v>
      </c>
    </row>
    <row r="103" spans="1:11" ht="20.100000000000001" customHeight="1" x14ac:dyDescent="0.15">
      <c r="A103" s="10"/>
      <c r="B103" s="5"/>
      <c r="C103" s="5"/>
      <c r="D103" s="10"/>
      <c r="E103" s="10"/>
      <c r="F103" s="10"/>
      <c r="G103" s="10"/>
      <c r="H103" s="8"/>
      <c r="I103" s="8"/>
      <c r="J103" s="8" t="str">
        <f t="shared" si="3"/>
        <v>借</v>
      </c>
      <c r="K103" s="9">
        <f t="shared" si="4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3"/>
        <v>借</v>
      </c>
      <c r="K104" s="9">
        <f t="shared" si="4"/>
        <v>100</v>
      </c>
    </row>
    <row r="105" spans="1:11" ht="20.100000000000001" customHeight="1" x14ac:dyDescent="0.15">
      <c r="A105" s="5"/>
      <c r="B105" s="5"/>
      <c r="C105" s="5"/>
      <c r="D105" s="10"/>
      <c r="E105" s="16"/>
      <c r="F105" s="10"/>
      <c r="G105" s="10"/>
      <c r="H105" s="8"/>
      <c r="I105" s="8"/>
      <c r="J105" s="8" t="str">
        <f t="shared" si="3"/>
        <v>借</v>
      </c>
      <c r="K105" s="9">
        <f t="shared" si="4"/>
        <v>100</v>
      </c>
    </row>
    <row r="106" spans="1:11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3"/>
        <v>借</v>
      </c>
      <c r="K106" s="9">
        <f t="shared" si="4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3"/>
        <v>借</v>
      </c>
      <c r="K107" s="9">
        <f t="shared" si="4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3"/>
        <v>借</v>
      </c>
      <c r="K108" s="9">
        <f t="shared" si="4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3"/>
        <v>借</v>
      </c>
      <c r="K109" s="9">
        <f t="shared" si="4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3"/>
        <v>借</v>
      </c>
      <c r="K110" s="9">
        <f t="shared" si="4"/>
        <v>100</v>
      </c>
    </row>
    <row r="111" spans="1:11" ht="20.100000000000001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3"/>
        <v>借</v>
      </c>
      <c r="K111" s="9">
        <f t="shared" si="4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3"/>
        <v>借</v>
      </c>
      <c r="K112" s="9">
        <f t="shared" si="4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3"/>
        <v>借</v>
      </c>
      <c r="K113" s="9">
        <f t="shared" si="4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3"/>
        <v>借</v>
      </c>
      <c r="K114" s="9">
        <f t="shared" si="4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3"/>
        <v>借</v>
      </c>
      <c r="K115" s="9">
        <f t="shared" si="4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3"/>
        <v>借</v>
      </c>
      <c r="K116" s="9">
        <f t="shared" si="4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3"/>
        <v>借</v>
      </c>
      <c r="K117" s="9">
        <f t="shared" si="4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ref="J118:J181" si="5">IF((K117+H118-I118)&gt;0,"借","贷")</f>
        <v>借</v>
      </c>
      <c r="K118" s="9">
        <f t="shared" si="4"/>
        <v>100</v>
      </c>
    </row>
    <row r="119" spans="1:11" ht="20.100000000000001" customHeight="1" x14ac:dyDescent="0.15">
      <c r="A119" s="10"/>
      <c r="B119" s="5"/>
      <c r="C119" s="5"/>
      <c r="D119" s="10"/>
      <c r="E119" s="10"/>
      <c r="F119" s="10"/>
      <c r="G119" s="10"/>
      <c r="H119" s="8"/>
      <c r="I119" s="8"/>
      <c r="J119" s="8" t="str">
        <f t="shared" si="5"/>
        <v>借</v>
      </c>
      <c r="K119" s="9">
        <f t="shared" si="4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5"/>
        <v>借</v>
      </c>
      <c r="K120" s="9">
        <f t="shared" si="4"/>
        <v>100</v>
      </c>
    </row>
    <row r="121" spans="1:11" ht="20.100000000000001" customHeight="1" x14ac:dyDescent="0.15">
      <c r="A121" s="10"/>
      <c r="B121" s="5"/>
      <c r="C121" s="10"/>
      <c r="D121" s="10"/>
      <c r="E121" s="10"/>
      <c r="F121" s="10"/>
      <c r="G121" s="10"/>
      <c r="H121" s="8"/>
      <c r="I121" s="8"/>
      <c r="J121" s="8" t="str">
        <f t="shared" si="5"/>
        <v>借</v>
      </c>
      <c r="K121" s="9">
        <f t="shared" si="4"/>
        <v>100</v>
      </c>
    </row>
    <row r="122" spans="1:11" ht="20.100000000000001" customHeight="1" x14ac:dyDescent="0.15">
      <c r="A122" s="10"/>
      <c r="B122" s="5"/>
      <c r="C122" s="10"/>
      <c r="D122" s="10"/>
      <c r="E122" s="17"/>
      <c r="F122" s="10"/>
      <c r="G122" s="10"/>
      <c r="H122" s="8"/>
      <c r="I122" s="8"/>
      <c r="J122" s="8" t="str">
        <f t="shared" si="5"/>
        <v>借</v>
      </c>
      <c r="K122" s="9">
        <f t="shared" si="4"/>
        <v>100</v>
      </c>
    </row>
    <row r="123" spans="1:11" ht="20.100000000000001" customHeight="1" x14ac:dyDescent="0.15">
      <c r="A123" s="5"/>
      <c r="B123" s="5"/>
      <c r="C123" s="10"/>
      <c r="D123" s="10"/>
      <c r="E123" s="10"/>
      <c r="F123" s="10"/>
      <c r="G123" s="10"/>
      <c r="H123" s="8"/>
      <c r="I123" s="8"/>
      <c r="J123" s="8" t="str">
        <f t="shared" si="5"/>
        <v>借</v>
      </c>
      <c r="K123" s="9">
        <f t="shared" si="4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5"/>
        <v>借</v>
      </c>
      <c r="K124" s="9">
        <f t="shared" si="4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5"/>
        <v>借</v>
      </c>
      <c r="K125" s="9">
        <f t="shared" si="4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5"/>
        <v>借</v>
      </c>
      <c r="K126" s="9">
        <f t="shared" si="4"/>
        <v>100</v>
      </c>
    </row>
    <row r="127" spans="1:11" ht="20.100000000000001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5"/>
        <v>借</v>
      </c>
      <c r="K127" s="9">
        <f t="shared" si="4"/>
        <v>100</v>
      </c>
    </row>
    <row r="128" spans="1:11" ht="20.100000000000001" customHeight="1" x14ac:dyDescent="0.15">
      <c r="A128" s="5"/>
      <c r="B128" s="5"/>
      <c r="C128" s="5"/>
      <c r="D128" s="10"/>
      <c r="E128" s="16"/>
      <c r="F128" s="10"/>
      <c r="G128" s="10"/>
      <c r="H128" s="8"/>
      <c r="I128" s="8"/>
      <c r="J128" s="8" t="str">
        <f t="shared" si="5"/>
        <v>借</v>
      </c>
      <c r="K128" s="9">
        <f t="shared" si="4"/>
        <v>100</v>
      </c>
    </row>
    <row r="129" spans="1:11" ht="20.100000000000001" customHeight="1" x14ac:dyDescent="0.15">
      <c r="A129" s="10"/>
      <c r="B129" s="5"/>
      <c r="C129" s="5"/>
      <c r="D129" s="10"/>
      <c r="E129" s="16"/>
      <c r="F129" s="10"/>
      <c r="G129" s="10"/>
      <c r="H129" s="8"/>
      <c r="I129" s="8"/>
      <c r="J129" s="8" t="str">
        <f t="shared" si="5"/>
        <v>借</v>
      </c>
      <c r="K129" s="9">
        <f t="shared" si="4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5"/>
        <v>借</v>
      </c>
      <c r="K130" s="9">
        <f t="shared" si="4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5"/>
        <v>借</v>
      </c>
      <c r="K131" s="9">
        <f t="shared" si="4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5"/>
        <v>借</v>
      </c>
      <c r="K132" s="9">
        <f t="shared" si="4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5"/>
        <v>借</v>
      </c>
      <c r="K133" s="9">
        <f t="shared" ref="K133:K171" si="6">K132+H133-I133</f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5"/>
        <v>借</v>
      </c>
      <c r="K134" s="9">
        <f t="shared" si="6"/>
        <v>100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5"/>
        <v>借</v>
      </c>
      <c r="K135" s="9">
        <f t="shared" si="6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5"/>
        <v>借</v>
      </c>
      <c r="K136" s="9">
        <f t="shared" si="6"/>
        <v>100</v>
      </c>
    </row>
    <row r="137" spans="1:11" ht="20.100000000000001" customHeight="1" x14ac:dyDescent="0.15">
      <c r="A137" s="10"/>
      <c r="B137" s="5"/>
      <c r="C137" s="5"/>
      <c r="D137" s="10"/>
      <c r="E137" s="10"/>
      <c r="F137" s="10"/>
      <c r="G137" s="10"/>
      <c r="H137" s="8"/>
      <c r="I137" s="8"/>
      <c r="J137" s="8" t="str">
        <f t="shared" si="5"/>
        <v>借</v>
      </c>
      <c r="K137" s="9">
        <f t="shared" si="6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5"/>
        <v>借</v>
      </c>
      <c r="K138" s="9">
        <f t="shared" si="6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5"/>
        <v>借</v>
      </c>
      <c r="K139" s="9">
        <f t="shared" si="6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5"/>
        <v>借</v>
      </c>
      <c r="K140" s="9">
        <f t="shared" si="6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5"/>
        <v>借</v>
      </c>
      <c r="K141" s="9">
        <f t="shared" si="6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5"/>
        <v>借</v>
      </c>
      <c r="K142" s="9">
        <f t="shared" si="6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5"/>
        <v>借</v>
      </c>
      <c r="K143" s="9">
        <f t="shared" si="6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5"/>
        <v>借</v>
      </c>
      <c r="K144" s="9">
        <f t="shared" si="6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5"/>
        <v>借</v>
      </c>
      <c r="K145" s="9">
        <f t="shared" si="6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5"/>
        <v>借</v>
      </c>
      <c r="K146" s="9">
        <f t="shared" si="6"/>
        <v>100</v>
      </c>
    </row>
    <row r="147" spans="1:11" ht="20.100000000000001" customHeight="1" x14ac:dyDescent="0.15">
      <c r="A147" s="10"/>
      <c r="B147" s="5"/>
      <c r="C147" s="5"/>
      <c r="D147" s="10"/>
      <c r="E147" s="10"/>
      <c r="F147" s="10"/>
      <c r="G147" s="10"/>
      <c r="H147" s="8"/>
      <c r="I147" s="8"/>
      <c r="J147" s="8" t="str">
        <f t="shared" si="5"/>
        <v>借</v>
      </c>
      <c r="K147" s="9">
        <f t="shared" si="6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5"/>
        <v>借</v>
      </c>
      <c r="K148" s="9">
        <f t="shared" si="6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5"/>
        <v>借</v>
      </c>
      <c r="K149" s="9">
        <f t="shared" si="6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5"/>
        <v>借</v>
      </c>
      <c r="K150" s="9">
        <f t="shared" si="6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5"/>
        <v>借</v>
      </c>
      <c r="K151" s="9">
        <f t="shared" si="6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5"/>
        <v>借</v>
      </c>
      <c r="K152" s="9">
        <f t="shared" si="6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5"/>
        <v>借</v>
      </c>
      <c r="K153" s="9">
        <f t="shared" si="6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5"/>
        <v>借</v>
      </c>
      <c r="K154" s="9">
        <f t="shared" si="6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5"/>
        <v>借</v>
      </c>
      <c r="K155" s="9">
        <f t="shared" si="6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5"/>
        <v>借</v>
      </c>
      <c r="K156" s="9">
        <f t="shared" si="6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5"/>
        <v>借</v>
      </c>
      <c r="K157" s="9">
        <f t="shared" si="6"/>
        <v>100</v>
      </c>
    </row>
    <row r="158" spans="1:11" ht="20.100000000000001" customHeight="1" x14ac:dyDescent="0.15">
      <c r="A158" s="10"/>
      <c r="B158" s="5"/>
      <c r="C158" s="5"/>
      <c r="D158" s="10"/>
      <c r="E158" s="10"/>
      <c r="F158" s="10"/>
      <c r="G158" s="10"/>
      <c r="H158" s="8"/>
      <c r="I158" s="8"/>
      <c r="J158" s="8" t="str">
        <f t="shared" si="5"/>
        <v>借</v>
      </c>
      <c r="K158" s="9">
        <f t="shared" si="6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5"/>
        <v>借</v>
      </c>
      <c r="K159" s="9">
        <f t="shared" si="6"/>
        <v>100</v>
      </c>
    </row>
    <row r="160" spans="1:11" ht="20.100000000000001" customHeight="1" x14ac:dyDescent="0.15">
      <c r="A160" s="10"/>
      <c r="B160" s="5"/>
      <c r="C160" s="5"/>
      <c r="D160" s="10"/>
      <c r="E160" s="18"/>
      <c r="F160" s="10"/>
      <c r="G160" s="10"/>
      <c r="H160" s="8"/>
      <c r="I160" s="8"/>
      <c r="J160" s="8" t="str">
        <f t="shared" si="5"/>
        <v>借</v>
      </c>
      <c r="K160" s="9">
        <f t="shared" si="6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5"/>
        <v>借</v>
      </c>
      <c r="K161" s="9">
        <f t="shared" si="6"/>
        <v>100</v>
      </c>
    </row>
    <row r="162" spans="1:11" ht="20.100000000000001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5"/>
        <v>借</v>
      </c>
      <c r="K162" s="9">
        <f t="shared" si="6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5"/>
        <v>借</v>
      </c>
      <c r="K163" s="9">
        <f t="shared" si="6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5"/>
        <v>借</v>
      </c>
      <c r="K164" s="9">
        <f t="shared" si="6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5"/>
        <v>借</v>
      </c>
      <c r="K165" s="9">
        <f t="shared" si="6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5"/>
        <v>借</v>
      </c>
      <c r="K166" s="9">
        <f t="shared" si="6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5"/>
        <v>借</v>
      </c>
      <c r="K167" s="9">
        <f t="shared" si="6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5"/>
        <v>借</v>
      </c>
      <c r="K168" s="9">
        <f t="shared" si="6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5"/>
        <v>借</v>
      </c>
      <c r="K169" s="9">
        <f t="shared" si="6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5"/>
        <v>借</v>
      </c>
      <c r="K170" s="9">
        <f t="shared" si="6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5"/>
        <v>借</v>
      </c>
      <c r="K171" s="9">
        <f t="shared" si="6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5"/>
        <v>借</v>
      </c>
      <c r="K172" s="9">
        <f t="shared" ref="K172:K235" si="7">_xlfn.IFS(J171="借",K171+H172-I172,J171="贷",H172-I172-K171)</f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5"/>
        <v>借</v>
      </c>
      <c r="K173" s="9">
        <f t="shared" si="7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5"/>
        <v>借</v>
      </c>
      <c r="K174" s="9">
        <f t="shared" si="7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5"/>
        <v>借</v>
      </c>
      <c r="K175" s="9">
        <f t="shared" si="7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5"/>
        <v>借</v>
      </c>
      <c r="K176" s="9">
        <f t="shared" si="7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5"/>
        <v>借</v>
      </c>
      <c r="K177" s="9">
        <f t="shared" si="7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5"/>
        <v>借</v>
      </c>
      <c r="K178" s="9">
        <f t="shared" si="7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5"/>
        <v>借</v>
      </c>
      <c r="K179" s="9">
        <f t="shared" si="7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5"/>
        <v>借</v>
      </c>
      <c r="K180" s="9">
        <f t="shared" si="7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5"/>
        <v>借</v>
      </c>
      <c r="K181" s="9">
        <f t="shared" si="7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ref="J182:J245" si="8">IF((K181+H182-I182)&gt;0,"借","贷")</f>
        <v>借</v>
      </c>
      <c r="K182" s="9">
        <f t="shared" si="7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7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7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7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7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7"/>
        <v>100</v>
      </c>
    </row>
    <row r="188" spans="1:11" ht="20.100000000000001" customHeight="1" x14ac:dyDescent="0.15">
      <c r="A188" s="10"/>
      <c r="B188" s="5"/>
      <c r="C188" s="10"/>
      <c r="D188" s="10"/>
      <c r="E188" s="19"/>
      <c r="F188" s="10"/>
      <c r="G188" s="10"/>
      <c r="H188" s="8"/>
      <c r="I188" s="8"/>
      <c r="J188" s="8" t="str">
        <f t="shared" si="8"/>
        <v>借</v>
      </c>
      <c r="K188" s="9">
        <f t="shared" si="7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7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8"/>
        <v>借</v>
      </c>
      <c r="K190" s="9">
        <f t="shared" si="7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7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7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7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7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7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7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7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7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8"/>
        <v>借</v>
      </c>
      <c r="K199" s="9">
        <f t="shared" si="7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8"/>
        <v>借</v>
      </c>
      <c r="K200" s="9">
        <f t="shared" si="7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8"/>
        <v>借</v>
      </c>
      <c r="K201" s="9">
        <f t="shared" si="7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7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7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7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7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7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7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7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7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7"/>
        <v>100</v>
      </c>
    </row>
    <row r="211" spans="1:11" ht="20.100000000000001" customHeight="1" x14ac:dyDescent="0.15">
      <c r="A211" s="10"/>
      <c r="B211" s="5"/>
      <c r="C211" s="10"/>
      <c r="D211" s="10"/>
      <c r="E211" s="20"/>
      <c r="F211" s="10"/>
      <c r="G211" s="10"/>
      <c r="H211" s="8"/>
      <c r="I211" s="8"/>
      <c r="J211" s="8" t="str">
        <f t="shared" si="8"/>
        <v>借</v>
      </c>
      <c r="K211" s="9">
        <f t="shared" si="7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8"/>
        <v>借</v>
      </c>
      <c r="K212" s="9">
        <f t="shared" si="7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8"/>
        <v>借</v>
      </c>
      <c r="K213" s="9">
        <f t="shared" si="7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8"/>
        <v>借</v>
      </c>
      <c r="K214" s="9">
        <f t="shared" si="7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8"/>
        <v>借</v>
      </c>
      <c r="K215" s="9">
        <f t="shared" si="7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7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7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7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7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7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7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7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7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7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7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7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7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7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21">
        <f t="shared" si="7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7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7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7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21">
        <f t="shared" si="7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7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7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ref="K236:K299" si="9">_xlfn.IFS(J235="借",K235+H236-I236,J235="贷",H236-I236-K235)</f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9">
        <f t="shared" si="9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9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9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si="9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23" t="str">
        <f t="shared" si="8"/>
        <v>借</v>
      </c>
      <c r="K241" s="9">
        <f t="shared" si="9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8"/>
        <v>借</v>
      </c>
      <c r="K242" s="9">
        <f t="shared" si="9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8"/>
        <v>借</v>
      </c>
      <c r="K243" s="9">
        <f t="shared" si="9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8"/>
        <v>借</v>
      </c>
      <c r="K244" s="9">
        <f t="shared" si="9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ref="J246:J309" si="10">IF((K245+H246-I246)&gt;0,"借","贷")</f>
        <v>借</v>
      </c>
      <c r="K246" s="9">
        <f t="shared" si="9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0"/>
        <v>借</v>
      </c>
      <c r="K247" s="9">
        <f t="shared" si="9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0"/>
        <v>借</v>
      </c>
      <c r="K248" s="9">
        <f t="shared" si="9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0"/>
        <v>借</v>
      </c>
      <c r="K249" s="9">
        <f t="shared" si="9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0"/>
        <v>借</v>
      </c>
      <c r="K250" s="9">
        <f t="shared" si="9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0"/>
        <v>借</v>
      </c>
      <c r="K251" s="9">
        <f t="shared" si="9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0"/>
        <v>借</v>
      </c>
      <c r="K252" s="9">
        <f t="shared" si="9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0"/>
        <v>借</v>
      </c>
      <c r="K253" s="9">
        <f t="shared" si="9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0"/>
        <v>借</v>
      </c>
      <c r="K254" s="9">
        <f t="shared" si="9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0"/>
        <v>借</v>
      </c>
      <c r="K255" s="9">
        <f t="shared" si="9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0"/>
        <v>借</v>
      </c>
      <c r="K256" s="9">
        <f t="shared" si="9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0"/>
        <v>借</v>
      </c>
      <c r="K257" s="9">
        <f t="shared" si="9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0"/>
        <v>借</v>
      </c>
      <c r="K258" s="9">
        <f t="shared" si="9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0"/>
        <v>借</v>
      </c>
      <c r="K259" s="9">
        <f t="shared" si="9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0"/>
        <v>借</v>
      </c>
      <c r="K260" s="9">
        <f t="shared" si="9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0"/>
        <v>借</v>
      </c>
      <c r="K261" s="9">
        <f t="shared" si="9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0"/>
        <v>借</v>
      </c>
      <c r="K262" s="9">
        <f t="shared" si="9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0"/>
        <v>借</v>
      </c>
      <c r="K263" s="9">
        <f t="shared" si="9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0"/>
        <v>借</v>
      </c>
      <c r="K264" s="9">
        <f t="shared" si="9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0"/>
        <v>借</v>
      </c>
      <c r="K265" s="9">
        <f t="shared" si="9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9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9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9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9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9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9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9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9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9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9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9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9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9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9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9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9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9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9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9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9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9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9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9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9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9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9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9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9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9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9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9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9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9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9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ref="K300:K363" si="11">_xlfn.IFS(J299="借",K299+H300-I300,J299="贷",H300-I300-K299)</f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11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11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11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si="11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ref="J310:J373" si="12">IF((K309+H310-I310)&gt;0,"借","贷")</f>
        <v>借</v>
      </c>
      <c r="K310" s="9">
        <f t="shared" si="11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2"/>
        <v>借</v>
      </c>
      <c r="K311" s="9">
        <f t="shared" si="11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2"/>
        <v>借</v>
      </c>
      <c r="K312" s="9">
        <f t="shared" si="11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2"/>
        <v>借</v>
      </c>
      <c r="K313" s="9">
        <f t="shared" si="11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2"/>
        <v>借</v>
      </c>
      <c r="K314" s="9">
        <f t="shared" si="11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2"/>
        <v>借</v>
      </c>
      <c r="K315" s="9">
        <f t="shared" si="11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2"/>
        <v>借</v>
      </c>
      <c r="K316" s="9">
        <f t="shared" si="11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2"/>
        <v>借</v>
      </c>
      <c r="K317" s="9">
        <f t="shared" si="11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2"/>
        <v>借</v>
      </c>
      <c r="K318" s="9">
        <f t="shared" si="11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2"/>
        <v>借</v>
      </c>
      <c r="K319" s="9">
        <f t="shared" si="11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2"/>
        <v>借</v>
      </c>
      <c r="K320" s="9">
        <f t="shared" si="11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2"/>
        <v>借</v>
      </c>
      <c r="K321" s="9">
        <f t="shared" si="11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2"/>
        <v>借</v>
      </c>
      <c r="K322" s="9">
        <f t="shared" si="11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2"/>
        <v>借</v>
      </c>
      <c r="K323" s="9">
        <f t="shared" si="11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2"/>
        <v>借</v>
      </c>
      <c r="K324" s="9">
        <f t="shared" si="11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2"/>
        <v>借</v>
      </c>
      <c r="K325" s="9">
        <f t="shared" si="11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2"/>
        <v>借</v>
      </c>
      <c r="K326" s="9">
        <f t="shared" si="11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2"/>
        <v>借</v>
      </c>
      <c r="K327" s="9">
        <f t="shared" si="11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2"/>
        <v>借</v>
      </c>
      <c r="K328" s="9">
        <f t="shared" si="11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2"/>
        <v>借</v>
      </c>
      <c r="K329" s="9">
        <f t="shared" si="11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1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1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1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1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1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1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1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1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1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1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1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1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1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1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1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1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1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1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1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1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1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1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1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1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1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1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1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1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1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1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1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1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1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1"/>
        <v>100</v>
      </c>
    </row>
    <row r="364" spans="1:11" ht="20.100000000000001" customHeight="1" x14ac:dyDescent="0.15"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ref="K364:K427" si="13">_xlfn.IFS(J363="借",K363+H364-I364,J363="贷",H364-I364-K363)</f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3"/>
        <v>100</v>
      </c>
    </row>
    <row r="366" spans="1:11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3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3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si="13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100</v>
      </c>
    </row>
    <row r="373" spans="2:11" ht="20.100000000000001" customHeight="1" x14ac:dyDescent="0.15">
      <c r="B373" s="5">
        <v>4</v>
      </c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ref="J374:J437" si="14">IF((K373+H374-I374)&gt;0,"借","贷")</f>
        <v>借</v>
      </c>
      <c r="K374" s="9">
        <f t="shared" si="13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4"/>
        <v>借</v>
      </c>
      <c r="K375" s="9">
        <f t="shared" si="13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4"/>
        <v>借</v>
      </c>
      <c r="K376" s="9">
        <f t="shared" si="13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4"/>
        <v>借</v>
      </c>
      <c r="K377" s="9">
        <f t="shared" si="13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4"/>
        <v>借</v>
      </c>
      <c r="K378" s="9">
        <f t="shared" si="13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4"/>
        <v>借</v>
      </c>
      <c r="K379" s="9">
        <f t="shared" si="13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4"/>
        <v>借</v>
      </c>
      <c r="K380" s="9">
        <f t="shared" si="13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4"/>
        <v>借</v>
      </c>
      <c r="K381" s="9">
        <f t="shared" si="13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4"/>
        <v>借</v>
      </c>
      <c r="K382" s="9">
        <f t="shared" si="13"/>
        <v>100</v>
      </c>
    </row>
    <row r="383" spans="2:11" ht="20.100000000000001" customHeight="1" x14ac:dyDescent="0.15">
      <c r="B383" s="5">
        <v>4</v>
      </c>
      <c r="C383" s="10"/>
      <c r="D383" s="10"/>
      <c r="E383" s="10"/>
      <c r="F383" s="10"/>
      <c r="G383" s="10"/>
      <c r="H383" s="8"/>
      <c r="I383" s="8"/>
      <c r="J383" s="8" t="str">
        <f t="shared" si="14"/>
        <v>借</v>
      </c>
      <c r="K383" s="9">
        <f t="shared" si="13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4"/>
        <v>借</v>
      </c>
      <c r="K384" s="9">
        <f t="shared" si="13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4"/>
        <v>借</v>
      </c>
      <c r="K385" s="9">
        <f t="shared" si="13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4"/>
        <v>借</v>
      </c>
      <c r="K386" s="9">
        <f t="shared" si="13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4"/>
        <v>借</v>
      </c>
      <c r="K387" s="9">
        <f t="shared" si="13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4"/>
        <v>借</v>
      </c>
      <c r="K388" s="9">
        <f t="shared" si="13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4"/>
        <v>借</v>
      </c>
      <c r="K389" s="9">
        <f t="shared" si="13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si="14"/>
        <v>借</v>
      </c>
      <c r="K390" s="9">
        <f t="shared" si="13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4"/>
        <v>借</v>
      </c>
      <c r="K391" s="9">
        <f t="shared" si="13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4"/>
        <v>借</v>
      </c>
      <c r="K392" s="9">
        <f t="shared" si="13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4"/>
        <v>借</v>
      </c>
      <c r="K393" s="9">
        <f t="shared" si="13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3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3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3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3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3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3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3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3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3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3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3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3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3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3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3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3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3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3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3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3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3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3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3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3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3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3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3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3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3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3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3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3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3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3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ref="K428:K491" si="15">_xlfn.IFS(J427="借",K427+H428-I428,J427="贷",H428-I428-K427)</f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5"/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5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5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si="15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ref="J438:J496" si="16">IF((K437+H438-I438)&gt;0,"借","贷")</f>
        <v>借</v>
      </c>
      <c r="K438" s="9">
        <f t="shared" si="15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6"/>
        <v>借</v>
      </c>
      <c r="K439" s="9">
        <f t="shared" si="15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6"/>
        <v>借</v>
      </c>
      <c r="K440" s="9">
        <f t="shared" si="15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6"/>
        <v>借</v>
      </c>
      <c r="K441" s="9">
        <f t="shared" si="15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6"/>
        <v>借</v>
      </c>
      <c r="K442" s="9">
        <f t="shared" si="15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6"/>
        <v>借</v>
      </c>
      <c r="K443" s="9">
        <f t="shared" si="15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6"/>
        <v>借</v>
      </c>
      <c r="K444" s="9">
        <f t="shared" si="15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6"/>
        <v>借</v>
      </c>
      <c r="K445" s="9">
        <f t="shared" si="15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6"/>
        <v>借</v>
      </c>
      <c r="K446" s="9">
        <f t="shared" si="15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6"/>
        <v>借</v>
      </c>
      <c r="K447" s="9">
        <f t="shared" si="15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6"/>
        <v>借</v>
      </c>
      <c r="K448" s="9">
        <f t="shared" si="15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6"/>
        <v>借</v>
      </c>
      <c r="K449" s="9">
        <f t="shared" si="15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6"/>
        <v>借</v>
      </c>
      <c r="K450" s="9">
        <f t="shared" si="15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6"/>
        <v>借</v>
      </c>
      <c r="K451" s="9">
        <f t="shared" si="15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6"/>
        <v>借</v>
      </c>
      <c r="K452" s="9">
        <f t="shared" si="15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6"/>
        <v>借</v>
      </c>
      <c r="K453" s="9">
        <f t="shared" si="15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si="16"/>
        <v>借</v>
      </c>
      <c r="K454" s="9">
        <f t="shared" si="15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6"/>
        <v>借</v>
      </c>
      <c r="K455" s="9">
        <f t="shared" si="15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6"/>
        <v>借</v>
      </c>
      <c r="K456" s="9">
        <f t="shared" si="15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6"/>
        <v>借</v>
      </c>
      <c r="K457" s="9">
        <f t="shared" si="15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5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5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5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5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5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5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5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5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5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5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5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5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5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5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5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5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5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5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5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5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5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5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5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5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5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5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5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5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5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5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5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5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5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5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ref="K492:K496" si="17">_xlfn.IFS(J491="借",K491+H492-I492,J491="贷",H492-I492-K491)</f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7"/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7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7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si="17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900-000000000000}">
      <formula1>#REF!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87"/>
  <sheetViews>
    <sheetView topLeftCell="E1" workbookViewId="0">
      <selection activeCell="N14" sqref="N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85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SUM(H5:H12990)</f>
        <v>0</v>
      </c>
      <c r="I3" s="4">
        <f>SUM(I5:I12990)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">
        <v>39</v>
      </c>
      <c r="K6" s="9">
        <f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">
        <v>39</v>
      </c>
      <c r="K7" s="9">
        <f t="shared" ref="K7:K70" si="0">K6+H7-I7</f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">
        <v>39</v>
      </c>
      <c r="K8" s="9">
        <f t="shared" si="0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">
        <v>39</v>
      </c>
      <c r="K9" s="9">
        <f t="shared" si="0"/>
        <v>100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">
        <v>39</v>
      </c>
      <c r="K10" s="9">
        <f t="shared" si="0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">
        <v>39</v>
      </c>
      <c r="K11" s="9">
        <f t="shared" si="0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">
        <v>39</v>
      </c>
      <c r="K12" s="9">
        <f t="shared" si="0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">
        <v>39</v>
      </c>
      <c r="K13" s="9">
        <f t="shared" si="0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">
        <v>39</v>
      </c>
      <c r="K14" s="9">
        <f t="shared" si="0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">
        <v>39</v>
      </c>
      <c r="K15" s="9">
        <f t="shared" si="0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">
        <v>39</v>
      </c>
      <c r="K16" s="9">
        <f t="shared" si="0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ref="J17:J57" si="1">IF((K16+H17-I17)&gt;0,"借","贷")</f>
        <v>借</v>
      </c>
      <c r="K17" s="9">
        <f t="shared" si="0"/>
        <v>100</v>
      </c>
    </row>
    <row r="18" spans="1:11" ht="20.100000000000001" customHeight="1" x14ac:dyDescent="0.15">
      <c r="A18" s="5"/>
      <c r="B18" s="5"/>
      <c r="C18" s="10"/>
      <c r="D18" s="10"/>
      <c r="E18" s="10"/>
      <c r="F18" s="10"/>
      <c r="G18" s="10"/>
      <c r="H18" s="8"/>
      <c r="I18" s="8"/>
      <c r="J18" s="8" t="str">
        <f t="shared" si="1"/>
        <v>借</v>
      </c>
      <c r="K18" s="9">
        <f t="shared" si="0"/>
        <v>100</v>
      </c>
    </row>
    <row r="19" spans="1:11" ht="20.100000000000001" customHeight="1" x14ac:dyDescent="0.15">
      <c r="A19" s="5"/>
      <c r="B19" s="5"/>
      <c r="C19" s="10"/>
      <c r="D19" s="10"/>
      <c r="E19" s="10"/>
      <c r="F19" s="10"/>
      <c r="G19" s="10"/>
      <c r="H19" s="8"/>
      <c r="I19" s="8"/>
      <c r="J19" s="8" t="str">
        <f t="shared" si="1"/>
        <v>借</v>
      </c>
      <c r="K19" s="9">
        <f t="shared" si="0"/>
        <v>100</v>
      </c>
    </row>
    <row r="20" spans="1:11" ht="20.100000000000001" customHeight="1" x14ac:dyDescent="0.15">
      <c r="A20" s="5"/>
      <c r="B20" s="5"/>
      <c r="C20" s="10"/>
      <c r="D20" s="10"/>
      <c r="E20" s="10"/>
      <c r="F20" s="10"/>
      <c r="G20" s="10"/>
      <c r="H20" s="8"/>
      <c r="I20" s="8"/>
      <c r="J20" s="8" t="str">
        <f t="shared" si="1"/>
        <v>借</v>
      </c>
      <c r="K20" s="9">
        <f t="shared" si="0"/>
        <v>100</v>
      </c>
    </row>
    <row r="21" spans="1:11" ht="20.100000000000001" customHeight="1" x14ac:dyDescent="0.15">
      <c r="A21" s="5"/>
      <c r="B21" s="5"/>
      <c r="C21" s="10"/>
      <c r="D21" s="10"/>
      <c r="E21" s="11"/>
      <c r="F21" s="10"/>
      <c r="G21" s="10"/>
      <c r="H21" s="8"/>
      <c r="I21" s="8"/>
      <c r="J21" s="8" t="str">
        <f t="shared" si="1"/>
        <v>借</v>
      </c>
      <c r="K21" s="9">
        <f t="shared" si="0"/>
        <v>100</v>
      </c>
    </row>
    <row r="22" spans="1:11" ht="20.100000000000001" customHeight="1" x14ac:dyDescent="0.15">
      <c r="A22" s="5"/>
      <c r="B22" s="5"/>
      <c r="C22" s="10"/>
      <c r="D22" s="10"/>
      <c r="E22" s="10"/>
      <c r="F22" s="10"/>
      <c r="G22" s="10"/>
      <c r="H22" s="8"/>
      <c r="I22" s="8"/>
      <c r="J22" s="8" t="str">
        <f t="shared" si="1"/>
        <v>借</v>
      </c>
      <c r="K22" s="9">
        <f t="shared" si="0"/>
        <v>100</v>
      </c>
    </row>
    <row r="23" spans="1:11" ht="20.100000000000001" customHeight="1" x14ac:dyDescent="0.15">
      <c r="A23" s="5"/>
      <c r="B23" s="5"/>
      <c r="C23" s="10"/>
      <c r="D23" s="10"/>
      <c r="E23" s="10"/>
      <c r="F23" s="10"/>
      <c r="G23" s="10"/>
      <c r="H23" s="8"/>
      <c r="I23" s="8"/>
      <c r="J23" s="8" t="str">
        <f t="shared" si="1"/>
        <v>借</v>
      </c>
      <c r="K23" s="9">
        <f t="shared" si="0"/>
        <v>100</v>
      </c>
    </row>
    <row r="24" spans="1:11" ht="20.100000000000001" customHeight="1" x14ac:dyDescent="0.15">
      <c r="A24" s="5"/>
      <c r="B24" s="5"/>
      <c r="C24" s="10"/>
      <c r="D24" s="10"/>
      <c r="E24" s="10"/>
      <c r="F24" s="10"/>
      <c r="G24" s="10"/>
      <c r="H24" s="8"/>
      <c r="I24" s="8"/>
      <c r="J24" s="8" t="str">
        <f t="shared" si="1"/>
        <v>借</v>
      </c>
      <c r="K24" s="9">
        <f t="shared" si="0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1"/>
        <v>借</v>
      </c>
      <c r="K25" s="9">
        <f t="shared" si="0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1"/>
        <v>借</v>
      </c>
      <c r="K26" s="9">
        <f t="shared" si="0"/>
        <v>100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tr">
        <f t="shared" si="1"/>
        <v>借</v>
      </c>
      <c r="K27" s="9">
        <f t="shared" si="0"/>
        <v>100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1"/>
        <v>借</v>
      </c>
      <c r="K28" s="9">
        <f t="shared" si="0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1"/>
        <v>借</v>
      </c>
      <c r="K29" s="9">
        <f t="shared" si="0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1"/>
        <v>借</v>
      </c>
      <c r="K30" s="9">
        <f t="shared" si="0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1"/>
        <v>借</v>
      </c>
      <c r="K31" s="9">
        <f t="shared" si="0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1"/>
        <v>借</v>
      </c>
      <c r="K32" s="9">
        <f t="shared" si="0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1"/>
        <v>借</v>
      </c>
      <c r="K33" s="9">
        <f t="shared" si="0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1"/>
        <v>借</v>
      </c>
      <c r="K34" s="9">
        <f t="shared" si="0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1"/>
        <v>借</v>
      </c>
      <c r="K35" s="9">
        <f t="shared" si="0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1"/>
        <v>借</v>
      </c>
      <c r="K36" s="9">
        <f t="shared" si="0"/>
        <v>100</v>
      </c>
    </row>
    <row r="37" spans="1:11" ht="20.100000000000001" customHeight="1" x14ac:dyDescent="0.15">
      <c r="A37" s="5"/>
      <c r="B37" s="5"/>
      <c r="C37" s="5"/>
      <c r="D37" s="10"/>
      <c r="E37" s="10"/>
      <c r="F37" s="10"/>
      <c r="G37" s="10"/>
      <c r="H37" s="8"/>
      <c r="I37" s="8"/>
      <c r="J37" s="8" t="str">
        <f t="shared" si="1"/>
        <v>借</v>
      </c>
      <c r="K37" s="9">
        <f t="shared" si="0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1"/>
        <v>借</v>
      </c>
      <c r="K38" s="9">
        <f t="shared" si="0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1"/>
        <v>借</v>
      </c>
      <c r="K39" s="9">
        <f t="shared" si="0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1"/>
        <v>借</v>
      </c>
      <c r="K40" s="9">
        <f t="shared" si="0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1"/>
        <v>借</v>
      </c>
      <c r="K41" s="9">
        <f t="shared" si="0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1"/>
        <v>借</v>
      </c>
      <c r="K42" s="9">
        <f t="shared" si="0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1"/>
        <v>借</v>
      </c>
      <c r="K43" s="9">
        <f t="shared" si="0"/>
        <v>100</v>
      </c>
    </row>
    <row r="44" spans="1:11" ht="20.100000000000001" customHeight="1" x14ac:dyDescent="0.15">
      <c r="A44" s="10"/>
      <c r="B44" s="5"/>
      <c r="C44" s="10"/>
      <c r="D44" s="10"/>
      <c r="E44" s="10"/>
      <c r="F44" s="10"/>
      <c r="G44" s="10"/>
      <c r="H44" s="8"/>
      <c r="I44" s="8"/>
      <c r="J44" s="8" t="str">
        <f t="shared" si="1"/>
        <v>借</v>
      </c>
      <c r="K44" s="9">
        <f t="shared" si="0"/>
        <v>100</v>
      </c>
    </row>
    <row r="45" spans="1:11" ht="20.100000000000001" customHeight="1" x14ac:dyDescent="0.15">
      <c r="A45" s="10"/>
      <c r="B45" s="5"/>
      <c r="C45" s="10"/>
      <c r="D45" s="10"/>
      <c r="E45" s="10"/>
      <c r="F45" s="10"/>
      <c r="G45" s="10"/>
      <c r="H45" s="8"/>
      <c r="I45" s="8"/>
      <c r="J45" s="8" t="str">
        <f t="shared" si="1"/>
        <v>借</v>
      </c>
      <c r="K45" s="9">
        <f t="shared" si="0"/>
        <v>100</v>
      </c>
    </row>
    <row r="46" spans="1:11" ht="20.100000000000001" customHeight="1" x14ac:dyDescent="0.15">
      <c r="A46" s="10"/>
      <c r="B46" s="5"/>
      <c r="C46" s="10"/>
      <c r="D46" s="10"/>
      <c r="E46" s="10"/>
      <c r="F46" s="10"/>
      <c r="G46" s="10"/>
      <c r="H46" s="8"/>
      <c r="I46" s="8"/>
      <c r="J46" s="8" t="str">
        <f t="shared" si="1"/>
        <v>借</v>
      </c>
      <c r="K46" s="9">
        <f t="shared" si="0"/>
        <v>100</v>
      </c>
    </row>
    <row r="47" spans="1:11" ht="20.100000000000001" customHeight="1" x14ac:dyDescent="0.15">
      <c r="A47" s="10"/>
      <c r="B47" s="5"/>
      <c r="C47" s="10"/>
      <c r="D47" s="10"/>
      <c r="E47" s="10"/>
      <c r="F47" s="10"/>
      <c r="G47" s="10"/>
      <c r="H47" s="8"/>
      <c r="I47" s="8"/>
      <c r="J47" s="8" t="str">
        <f t="shared" si="1"/>
        <v>借</v>
      </c>
      <c r="K47" s="9">
        <f t="shared" si="0"/>
        <v>100</v>
      </c>
    </row>
    <row r="48" spans="1:11" ht="20.100000000000001" customHeight="1" x14ac:dyDescent="0.15">
      <c r="A48" s="10"/>
      <c r="B48" s="5"/>
      <c r="C48" s="10"/>
      <c r="D48" s="13"/>
      <c r="E48" s="10"/>
      <c r="F48" s="10"/>
      <c r="G48" s="10"/>
      <c r="H48" s="8"/>
      <c r="I48" s="8"/>
      <c r="J48" s="8" t="str">
        <f t="shared" si="1"/>
        <v>借</v>
      </c>
      <c r="K48" s="9">
        <f t="shared" si="0"/>
        <v>100</v>
      </c>
    </row>
    <row r="49" spans="1:11" ht="20.100000000000001" customHeight="1" x14ac:dyDescent="0.15">
      <c r="A49" s="10"/>
      <c r="B49" s="5"/>
      <c r="C49" s="10"/>
      <c r="D49" s="10"/>
      <c r="E49" s="10"/>
      <c r="F49" s="10"/>
      <c r="G49" s="10"/>
      <c r="H49" s="8"/>
      <c r="I49" s="8"/>
      <c r="J49" s="8" t="str">
        <f t="shared" si="1"/>
        <v>借</v>
      </c>
      <c r="K49" s="9">
        <f t="shared" si="0"/>
        <v>100</v>
      </c>
    </row>
    <row r="50" spans="1:11" ht="20.100000000000001" customHeight="1" x14ac:dyDescent="0.15">
      <c r="A50" s="10"/>
      <c r="B50" s="5"/>
      <c r="C50" s="10"/>
      <c r="D50" s="10"/>
      <c r="E50" s="10"/>
      <c r="F50" s="10"/>
      <c r="G50" s="10"/>
      <c r="H50" s="8"/>
      <c r="I50" s="8"/>
      <c r="J50" s="8" t="str">
        <f t="shared" si="1"/>
        <v>借</v>
      </c>
      <c r="K50" s="9">
        <f t="shared" si="0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1"/>
        <v>借</v>
      </c>
      <c r="K51" s="9">
        <f t="shared" si="0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1"/>
        <v>借</v>
      </c>
      <c r="K52" s="9">
        <f t="shared" si="0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1"/>
        <v>借</v>
      </c>
      <c r="K53" s="9">
        <f t="shared" si="0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1"/>
        <v>借</v>
      </c>
      <c r="K54" s="9">
        <f t="shared" si="0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1"/>
        <v>借</v>
      </c>
      <c r="K55" s="9">
        <f t="shared" si="0"/>
        <v>100</v>
      </c>
    </row>
    <row r="56" spans="1:11" ht="20.100000000000001" customHeight="1" x14ac:dyDescent="0.15">
      <c r="A56" s="5"/>
      <c r="B56" s="5"/>
      <c r="C56" s="10"/>
      <c r="D56" s="10"/>
      <c r="E56" s="10"/>
      <c r="F56" s="10"/>
      <c r="G56" s="10"/>
      <c r="H56" s="8"/>
      <c r="I56" s="8"/>
      <c r="J56" s="8" t="str">
        <f t="shared" si="1"/>
        <v>借</v>
      </c>
      <c r="K56" s="9">
        <f t="shared" si="0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1"/>
        <v>借</v>
      </c>
      <c r="K57" s="9">
        <f t="shared" si="0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4"/>
      <c r="G58" s="14"/>
      <c r="H58" s="8"/>
      <c r="I58" s="8"/>
      <c r="J58" s="8" t="str">
        <f t="shared" ref="J58:J121" si="2">IF((K57+H58-I58)&gt;0,"借","贷")</f>
        <v>借</v>
      </c>
      <c r="K58" s="9">
        <f t="shared" si="0"/>
        <v>100</v>
      </c>
    </row>
    <row r="59" spans="1:11" ht="20.100000000000001" customHeight="1" x14ac:dyDescent="0.15">
      <c r="A59" s="5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0"/>
        <v>100</v>
      </c>
    </row>
    <row r="60" spans="1:11" ht="20.100000000000001" customHeight="1" x14ac:dyDescent="0.15">
      <c r="A60" s="5"/>
      <c r="B60" s="5"/>
      <c r="C60" s="10"/>
      <c r="D60" s="10"/>
      <c r="E60" s="10"/>
      <c r="F60" s="14"/>
      <c r="G60" s="14"/>
      <c r="H60" s="8"/>
      <c r="I60" s="15"/>
      <c r="J60" s="8" t="str">
        <f t="shared" si="2"/>
        <v>借</v>
      </c>
      <c r="K60" s="9">
        <f t="shared" si="0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15"/>
      <c r="J61" s="8" t="str">
        <f t="shared" si="2"/>
        <v>借</v>
      </c>
      <c r="K61" s="9">
        <f t="shared" si="0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15"/>
      <c r="J62" s="8" t="str">
        <f t="shared" si="2"/>
        <v>借</v>
      </c>
      <c r="K62" s="9">
        <f t="shared" si="0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15"/>
      <c r="J63" s="8" t="str">
        <f t="shared" si="2"/>
        <v>借</v>
      </c>
      <c r="K63" s="9">
        <f t="shared" si="0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0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0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4"/>
      <c r="G66" s="14"/>
      <c r="H66" s="8"/>
      <c r="I66" s="8"/>
      <c r="J66" s="8" t="str">
        <f t="shared" si="2"/>
        <v>借</v>
      </c>
      <c r="K66" s="9">
        <f t="shared" si="0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0"/>
        <v>100</v>
      </c>
    </row>
    <row r="68" spans="1:11" ht="20.100000000000001" customHeight="1" x14ac:dyDescent="0.15">
      <c r="A68" s="10"/>
      <c r="B68" s="5"/>
      <c r="C68" s="5"/>
      <c r="D68" s="10"/>
      <c r="E68" s="10"/>
      <c r="F68" s="14"/>
      <c r="G68" s="14"/>
      <c r="H68" s="8"/>
      <c r="I68" s="8"/>
      <c r="J68" s="8" t="str">
        <f t="shared" si="2"/>
        <v>借</v>
      </c>
      <c r="K68" s="9">
        <f t="shared" si="0"/>
        <v>100</v>
      </c>
    </row>
    <row r="69" spans="1:11" ht="20.100000000000001" customHeight="1" x14ac:dyDescent="0.15">
      <c r="A69" s="5"/>
      <c r="B69" s="5"/>
      <c r="C69" s="5"/>
      <c r="D69" s="10"/>
      <c r="E69" s="10"/>
      <c r="F69" s="10"/>
      <c r="G69" s="10"/>
      <c r="H69" s="8"/>
      <c r="I69" s="15"/>
      <c r="J69" s="8" t="str">
        <f t="shared" si="2"/>
        <v>借</v>
      </c>
      <c r="K69" s="9">
        <f t="shared" si="0"/>
        <v>100</v>
      </c>
    </row>
    <row r="70" spans="1:11" ht="20.100000000000001" customHeight="1" x14ac:dyDescent="0.15">
      <c r="A70" s="5"/>
      <c r="B70" s="5"/>
      <c r="C70" s="5"/>
      <c r="D70" s="10"/>
      <c r="E70" s="10"/>
      <c r="F70" s="10"/>
      <c r="G70" s="10"/>
      <c r="H70" s="8"/>
      <c r="I70" s="15"/>
      <c r="J70" s="8" t="str">
        <f t="shared" si="2"/>
        <v>借</v>
      </c>
      <c r="K70" s="9">
        <f t="shared" si="0"/>
        <v>100</v>
      </c>
    </row>
    <row r="71" spans="1:11" ht="20.100000000000001" customHeight="1" x14ac:dyDescent="0.15">
      <c r="A71" s="5"/>
      <c r="B71" s="5"/>
      <c r="C71" s="5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ref="K71:K134" si="3">K70+H71-I71</f>
        <v>100</v>
      </c>
    </row>
    <row r="72" spans="1:11" ht="20.100000000000001" customHeight="1" x14ac:dyDescent="0.15">
      <c r="A72" s="5"/>
      <c r="B72" s="5"/>
      <c r="C72" s="5"/>
      <c r="D72" s="10"/>
      <c r="E72" s="10"/>
      <c r="F72" s="10"/>
      <c r="G72" s="10"/>
      <c r="H72" s="8"/>
      <c r="I72" s="8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5"/>
      <c r="D73" s="10"/>
      <c r="E73" s="10"/>
      <c r="F73" s="10"/>
      <c r="G73" s="10"/>
      <c r="H73" s="8"/>
      <c r="I73" s="8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5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5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10"/>
      <c r="B76" s="5"/>
      <c r="C76" s="5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5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5"/>
      <c r="D78" s="10"/>
      <c r="E78" s="10"/>
      <c r="F78" s="10"/>
      <c r="G78" s="10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10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10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5"/>
      <c r="B96" s="5"/>
      <c r="C96" s="5"/>
      <c r="D96" s="10"/>
      <c r="E96" s="16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10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10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10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10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10"/>
      <c r="D113" s="10"/>
      <c r="E113" s="17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10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10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10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10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6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6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6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5"/>
      <c r="B122" s="5"/>
      <c r="C122" s="5"/>
      <c r="D122" s="10"/>
      <c r="E122" s="16"/>
      <c r="F122" s="10"/>
      <c r="G122" s="10"/>
      <c r="H122" s="8"/>
      <c r="I122" s="8"/>
      <c r="J122" s="8" t="str">
        <f t="shared" ref="J122:J185" si="4">IF((K121+H122-I122)&gt;0,"借","贷")</f>
        <v>借</v>
      </c>
      <c r="K122" s="9">
        <f t="shared" si="3"/>
        <v>100</v>
      </c>
    </row>
    <row r="123" spans="1:11" ht="20.100000000000001" customHeight="1" x14ac:dyDescent="0.15">
      <c r="A123" s="5"/>
      <c r="B123" s="5"/>
      <c r="C123" s="5"/>
      <c r="D123" s="10"/>
      <c r="E123" s="16"/>
      <c r="F123" s="10"/>
      <c r="G123" s="10"/>
      <c r="H123" s="8"/>
      <c r="I123" s="8"/>
      <c r="J123" s="8" t="str">
        <f t="shared" si="4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5"/>
      <c r="D124" s="10"/>
      <c r="E124" s="16"/>
      <c r="F124" s="10"/>
      <c r="G124" s="10"/>
      <c r="H124" s="8"/>
      <c r="I124" s="8"/>
      <c r="J124" s="8" t="str">
        <f t="shared" si="4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5"/>
      <c r="D125" s="10"/>
      <c r="E125" s="16"/>
      <c r="F125" s="10"/>
      <c r="G125" s="10"/>
      <c r="H125" s="8"/>
      <c r="I125" s="8"/>
      <c r="J125" s="8" t="str">
        <f t="shared" si="4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5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3"/>
        <v>100</v>
      </c>
    </row>
    <row r="128" spans="1:11" ht="20.100000000000001" customHeight="1" x14ac:dyDescent="0.15">
      <c r="A128" s="10"/>
      <c r="B128" s="5"/>
      <c r="C128" s="5"/>
      <c r="D128" s="10"/>
      <c r="E128" s="10"/>
      <c r="F128" s="10"/>
      <c r="G128" s="10"/>
      <c r="H128" s="8"/>
      <c r="I128" s="8"/>
      <c r="J128" s="8" t="str">
        <f t="shared" si="4"/>
        <v>借</v>
      </c>
      <c r="K128" s="9">
        <f t="shared" si="3"/>
        <v>100</v>
      </c>
    </row>
    <row r="129" spans="1:11" ht="20.100000000000001" customHeight="1" x14ac:dyDescent="0.15">
      <c r="A129" s="10"/>
      <c r="B129" s="5"/>
      <c r="C129" s="5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0"/>
      <c r="F131" s="10"/>
      <c r="G131" s="10"/>
      <c r="H131" s="8"/>
      <c r="I131" s="8"/>
      <c r="J131" s="8" t="str">
        <f t="shared" si="4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0"/>
      <c r="F132" s="10"/>
      <c r="G132" s="10"/>
      <c r="H132" s="8"/>
      <c r="I132" s="8"/>
      <c r="J132" s="8" t="str">
        <f t="shared" si="4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0"/>
      <c r="F133" s="10"/>
      <c r="G133" s="10"/>
      <c r="H133" s="8"/>
      <c r="I133" s="8"/>
      <c r="J133" s="8" t="str">
        <f t="shared" si="4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0"/>
      <c r="F134" s="10"/>
      <c r="G134" s="10"/>
      <c r="H134" s="8"/>
      <c r="I134" s="8"/>
      <c r="J134" s="8" t="str">
        <f t="shared" si="4"/>
        <v>借</v>
      </c>
      <c r="K134" s="9">
        <f t="shared" si="3"/>
        <v>100</v>
      </c>
    </row>
    <row r="135" spans="1:11" ht="20.100000000000001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4"/>
        <v>借</v>
      </c>
      <c r="K135" s="9">
        <f t="shared" ref="K135:K198" si="5">K134+H135-I135</f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8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10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10"/>
      <c r="B153" s="5"/>
      <c r="C153" s="10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10"/>
      <c r="B154" s="5"/>
      <c r="C154" s="10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10"/>
      <c r="B155" s="5"/>
      <c r="C155" s="10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10"/>
      <c r="B156" s="5"/>
      <c r="C156" s="10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10"/>
      <c r="B157" s="5"/>
      <c r="C157" s="10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10"/>
      <c r="B158" s="5"/>
      <c r="C158" s="10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10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10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10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5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5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5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5"/>
        <v>100</v>
      </c>
    </row>
    <row r="179" spans="1:11" ht="20.100000000000001" customHeight="1" x14ac:dyDescent="0.15">
      <c r="A179" s="10"/>
      <c r="B179" s="5"/>
      <c r="C179" s="10"/>
      <c r="D179" s="10"/>
      <c r="E179" s="19"/>
      <c r="F179" s="10"/>
      <c r="G179" s="10"/>
      <c r="H179" s="8"/>
      <c r="I179" s="8"/>
      <c r="J179" s="8" t="str">
        <f t="shared" si="4"/>
        <v>借</v>
      </c>
      <c r="K179" s="9">
        <f t="shared" si="5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5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5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ref="J186:J249" si="6">IF((K185+H186-I186)&gt;0,"借","贷")</f>
        <v>借</v>
      </c>
      <c r="K186" s="9">
        <f t="shared" si="5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5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5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5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5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6"/>
        <v>借</v>
      </c>
      <c r="K191" s="9">
        <f t="shared" si="5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5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5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5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5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5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5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5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ref="K199:K262" si="7">K198+H199-I199</f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100</v>
      </c>
    </row>
    <row r="202" spans="1:11" ht="20.100000000000001" customHeight="1" x14ac:dyDescent="0.15">
      <c r="A202" s="10"/>
      <c r="B202" s="5"/>
      <c r="C202" s="10"/>
      <c r="D202" s="10"/>
      <c r="E202" s="20"/>
      <c r="F202" s="10"/>
      <c r="G202" s="10"/>
      <c r="H202" s="8"/>
      <c r="I202" s="8"/>
      <c r="J202" s="8" t="str">
        <f t="shared" si="6"/>
        <v>借</v>
      </c>
      <c r="K202" s="9">
        <f t="shared" si="7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6"/>
        <v>借</v>
      </c>
      <c r="K212" s="9">
        <f t="shared" si="7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6"/>
        <v>借</v>
      </c>
      <c r="K213" s="9">
        <f t="shared" si="7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23" t="str">
        <f t="shared" si="6"/>
        <v>借</v>
      </c>
      <c r="K232" s="9">
        <f t="shared" si="7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23" t="str">
        <f t="shared" si="6"/>
        <v>借</v>
      </c>
      <c r="K233" s="9">
        <f t="shared" si="7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23" t="str">
        <f t="shared" si="6"/>
        <v>借</v>
      </c>
      <c r="K234" s="9">
        <f t="shared" si="7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23" t="str">
        <f t="shared" si="6"/>
        <v>借</v>
      </c>
      <c r="K235" s="9">
        <f t="shared" si="7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23" t="str">
        <f t="shared" si="6"/>
        <v>借</v>
      </c>
      <c r="K236" s="9">
        <f t="shared" si="7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23" t="str">
        <f t="shared" si="6"/>
        <v>借</v>
      </c>
      <c r="K237" s="9">
        <f t="shared" si="7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6"/>
        <v>借</v>
      </c>
      <c r="K242" s="9">
        <f t="shared" si="7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6"/>
        <v>借</v>
      </c>
      <c r="K243" s="9">
        <f t="shared" si="7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6"/>
        <v>借</v>
      </c>
      <c r="K244" s="9">
        <f t="shared" si="7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tr">
        <f t="shared" si="6"/>
        <v>借</v>
      </c>
      <c r="K245" s="9">
        <f t="shared" si="7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si="6"/>
        <v>借</v>
      </c>
      <c r="K246" s="9">
        <f t="shared" si="7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6"/>
        <v>借</v>
      </c>
      <c r="K247" s="9">
        <f t="shared" si="7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6"/>
        <v>借</v>
      </c>
      <c r="K248" s="9">
        <f t="shared" si="7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ref="J250:J313" si="8">IF((K249+H250-I250)&gt;0,"借","贷")</f>
        <v>借</v>
      </c>
      <c r="K250" s="9">
        <f t="shared" si="7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8"/>
        <v>借</v>
      </c>
      <c r="K251" s="9">
        <f t="shared" si="7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8"/>
        <v>借</v>
      </c>
      <c r="K252" s="9">
        <f t="shared" si="7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8"/>
        <v>借</v>
      </c>
      <c r="K253" s="9">
        <f t="shared" si="7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8"/>
        <v>借</v>
      </c>
      <c r="K254" s="9">
        <f t="shared" si="7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8"/>
        <v>借</v>
      </c>
      <c r="K255" s="9">
        <f t="shared" si="7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8"/>
        <v>借</v>
      </c>
      <c r="K256" s="9">
        <f t="shared" si="7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8"/>
        <v>借</v>
      </c>
      <c r="K257" s="9">
        <f t="shared" si="7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8"/>
        <v>借</v>
      </c>
      <c r="K258" s="9">
        <f t="shared" si="7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8"/>
        <v>借</v>
      </c>
      <c r="K259" s="9">
        <f t="shared" si="7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8"/>
        <v>借</v>
      </c>
      <c r="K260" s="9">
        <f t="shared" si="7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8"/>
        <v>借</v>
      </c>
      <c r="K261" s="9">
        <f t="shared" si="7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8"/>
        <v>借</v>
      </c>
      <c r="K262" s="9">
        <f t="shared" si="7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ref="K263:K326" si="9">K262+H263-I263</f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ref="J314:J377" si="10">IF((K313+H314-I314)&gt;0,"借","贷")</f>
        <v>借</v>
      </c>
      <c r="K314" s="9">
        <f t="shared" si="9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0"/>
        <v>借</v>
      </c>
      <c r="K315" s="9">
        <f t="shared" si="9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0"/>
        <v>借</v>
      </c>
      <c r="K316" s="9">
        <f t="shared" si="9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0"/>
        <v>借</v>
      </c>
      <c r="K317" s="9">
        <f t="shared" si="9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0"/>
        <v>借</v>
      </c>
      <c r="K318" s="9">
        <f t="shared" si="9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0"/>
        <v>借</v>
      </c>
      <c r="K319" s="9">
        <f t="shared" si="9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0"/>
        <v>借</v>
      </c>
      <c r="K320" s="9">
        <f t="shared" si="9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0"/>
        <v>借</v>
      </c>
      <c r="K321" s="9">
        <f t="shared" si="9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0"/>
        <v>借</v>
      </c>
      <c r="K322" s="9">
        <f t="shared" si="9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0"/>
        <v>借</v>
      </c>
      <c r="K323" s="9">
        <f t="shared" si="9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0"/>
        <v>借</v>
      </c>
      <c r="K324" s="9">
        <f t="shared" si="9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0"/>
        <v>借</v>
      </c>
      <c r="K325" s="9">
        <f t="shared" si="9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0"/>
        <v>借</v>
      </c>
      <c r="K326" s="9">
        <f t="shared" si="9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ref="K327:K390" si="11">K326+H327-I327</f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100</v>
      </c>
    </row>
    <row r="355" spans="1:11" ht="20.100000000000001" customHeight="1" x14ac:dyDescent="0.15"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100</v>
      </c>
    </row>
    <row r="356" spans="1:11" ht="20.100000000000001" customHeight="1" x14ac:dyDescent="0.15"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100</v>
      </c>
    </row>
    <row r="357" spans="1:11" ht="20.100000000000001" customHeight="1" x14ac:dyDescent="0.15">
      <c r="B357" s="5"/>
      <c r="C357" s="7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100</v>
      </c>
    </row>
    <row r="358" spans="1:11" ht="20.100000000000001" customHeight="1" x14ac:dyDescent="0.15">
      <c r="B358" s="5"/>
      <c r="C358" s="7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100</v>
      </c>
    </row>
    <row r="359" spans="1:11" ht="20.100000000000001" customHeight="1" x14ac:dyDescent="0.15">
      <c r="B359" s="5"/>
      <c r="C359" s="7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100</v>
      </c>
    </row>
    <row r="360" spans="1:11" ht="20.100000000000001" customHeight="1" x14ac:dyDescent="0.15">
      <c r="B360" s="5"/>
      <c r="C360" s="7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100</v>
      </c>
    </row>
    <row r="361" spans="1:11" ht="20.100000000000001" customHeight="1" x14ac:dyDescent="0.15">
      <c r="B361" s="5"/>
      <c r="C361" s="7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100</v>
      </c>
    </row>
    <row r="362" spans="1:11" ht="20.100000000000001" customHeight="1" x14ac:dyDescent="0.15">
      <c r="B362" s="5"/>
      <c r="C362" s="7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100</v>
      </c>
    </row>
    <row r="363" spans="1:11" ht="20.100000000000001" customHeight="1" x14ac:dyDescent="0.15">
      <c r="B363" s="5"/>
      <c r="C363" s="7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100</v>
      </c>
    </row>
    <row r="364" spans="1:11" ht="20.100000000000001" customHeight="1" x14ac:dyDescent="0.15">
      <c r="B364" s="5"/>
      <c r="C364" s="7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100</v>
      </c>
    </row>
    <row r="365" spans="1:11" ht="20.100000000000001" customHeight="1" x14ac:dyDescent="0.15">
      <c r="B365" s="5"/>
      <c r="C365" s="7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100</v>
      </c>
    </row>
    <row r="366" spans="1:11" ht="20.100000000000001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100</v>
      </c>
    </row>
    <row r="374" spans="2:11" ht="20.100000000000001" customHeight="1" x14ac:dyDescent="0.15">
      <c r="B374" s="5"/>
      <c r="C374" s="10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100</v>
      </c>
    </row>
    <row r="375" spans="2:11" ht="20.100000000000001" customHeight="1" x14ac:dyDescent="0.15">
      <c r="B375" s="5"/>
      <c r="C375" s="10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100</v>
      </c>
    </row>
    <row r="376" spans="2:11" ht="20.100000000000001" customHeight="1" x14ac:dyDescent="0.15">
      <c r="B376" s="5"/>
      <c r="C376" s="10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100</v>
      </c>
    </row>
    <row r="377" spans="2:11" ht="20.100000000000001" customHeight="1" x14ac:dyDescent="0.15">
      <c r="B377" s="5"/>
      <c r="C377" s="10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100</v>
      </c>
    </row>
    <row r="378" spans="2:11" ht="20.100000000000001" customHeight="1" x14ac:dyDescent="0.15">
      <c r="B378" s="5"/>
      <c r="C378" s="10"/>
      <c r="D378" s="10"/>
      <c r="E378" s="10"/>
      <c r="F378" s="10"/>
      <c r="G378" s="10"/>
      <c r="H378" s="8"/>
      <c r="I378" s="8"/>
      <c r="J378" s="8" t="str">
        <f t="shared" ref="J378:J441" si="12">IF((K377+H378-I378)&gt;0,"借","贷")</f>
        <v>借</v>
      </c>
      <c r="K378" s="9">
        <f t="shared" si="11"/>
        <v>100</v>
      </c>
    </row>
    <row r="379" spans="2:11" ht="20.100000000000001" customHeight="1" x14ac:dyDescent="0.15">
      <c r="B379" s="5"/>
      <c r="C379" s="10"/>
      <c r="D379" s="10"/>
      <c r="E379" s="10"/>
      <c r="F379" s="10"/>
      <c r="G379" s="10"/>
      <c r="H379" s="8"/>
      <c r="I379" s="8"/>
      <c r="J379" s="8" t="str">
        <f t="shared" si="12"/>
        <v>借</v>
      </c>
      <c r="K379" s="9">
        <f t="shared" si="11"/>
        <v>100</v>
      </c>
    </row>
    <row r="380" spans="2:11" ht="20.100000000000001" customHeight="1" x14ac:dyDescent="0.15">
      <c r="B380" s="5"/>
      <c r="C380" s="10"/>
      <c r="D380" s="10"/>
      <c r="E380" s="10"/>
      <c r="F380" s="10"/>
      <c r="G380" s="10"/>
      <c r="H380" s="8"/>
      <c r="I380" s="8"/>
      <c r="J380" s="8" t="str">
        <f t="shared" si="12"/>
        <v>借</v>
      </c>
      <c r="K380" s="9">
        <f t="shared" si="11"/>
        <v>100</v>
      </c>
    </row>
    <row r="381" spans="2:11" ht="20.100000000000001" customHeight="1" x14ac:dyDescent="0.15">
      <c r="B381" s="5"/>
      <c r="C381" s="10"/>
      <c r="D381" s="10"/>
      <c r="E381" s="10"/>
      <c r="F381" s="10"/>
      <c r="G381" s="10"/>
      <c r="H381" s="8"/>
      <c r="I381" s="8"/>
      <c r="J381" s="8" t="str">
        <f t="shared" si="12"/>
        <v>借</v>
      </c>
      <c r="K381" s="9">
        <f t="shared" si="11"/>
        <v>100</v>
      </c>
    </row>
    <row r="382" spans="2:11" ht="20.100000000000001" customHeight="1" x14ac:dyDescent="0.15">
      <c r="B382" s="5"/>
      <c r="C382" s="10"/>
      <c r="D382" s="10"/>
      <c r="E382" s="10"/>
      <c r="F382" s="10"/>
      <c r="G382" s="10"/>
      <c r="H382" s="8"/>
      <c r="I382" s="8"/>
      <c r="J382" s="8" t="str">
        <f t="shared" si="12"/>
        <v>借</v>
      </c>
      <c r="K382" s="9">
        <f t="shared" si="11"/>
        <v>100</v>
      </c>
    </row>
    <row r="383" spans="2:11" ht="20.100000000000001" customHeight="1" x14ac:dyDescent="0.15">
      <c r="B383" s="5"/>
      <c r="C383" s="10"/>
      <c r="D383" s="10"/>
      <c r="E383" s="10"/>
      <c r="F383" s="10"/>
      <c r="G383" s="10"/>
      <c r="H383" s="8"/>
      <c r="I383" s="8"/>
      <c r="J383" s="8" t="str">
        <f t="shared" si="12"/>
        <v>借</v>
      </c>
      <c r="K383" s="9">
        <f t="shared" si="11"/>
        <v>100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2"/>
        <v>借</v>
      </c>
      <c r="K384" s="9">
        <f t="shared" si="11"/>
        <v>100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2"/>
        <v>借</v>
      </c>
      <c r="K385" s="9">
        <f t="shared" si="11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2"/>
        <v>借</v>
      </c>
      <c r="K386" s="9">
        <f t="shared" si="11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2"/>
        <v>借</v>
      </c>
      <c r="K387" s="9">
        <f t="shared" si="11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2"/>
        <v>借</v>
      </c>
      <c r="K388" s="9">
        <f t="shared" si="11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2"/>
        <v>借</v>
      </c>
      <c r="K389" s="9">
        <f t="shared" si="11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2"/>
        <v>借</v>
      </c>
      <c r="K390" s="9">
        <f t="shared" si="11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ref="K391:K454" si="13">K390+H391-I391</f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ref="J442:J487" si="14">IF((K441+H442-I442)&gt;0,"借","贷")</f>
        <v>借</v>
      </c>
      <c r="K442" s="9">
        <f t="shared" si="13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4"/>
        <v>借</v>
      </c>
      <c r="K443" s="9">
        <f t="shared" si="13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4"/>
        <v>借</v>
      </c>
      <c r="K444" s="9">
        <f t="shared" si="13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4"/>
        <v>借</v>
      </c>
      <c r="K445" s="9">
        <f t="shared" si="13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4"/>
        <v>借</v>
      </c>
      <c r="K446" s="9">
        <f t="shared" si="13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4"/>
        <v>借</v>
      </c>
      <c r="K447" s="9">
        <f t="shared" si="13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4"/>
        <v>借</v>
      </c>
      <c r="K448" s="9">
        <f t="shared" si="13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4"/>
        <v>借</v>
      </c>
      <c r="K449" s="9">
        <f t="shared" si="13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4"/>
        <v>借</v>
      </c>
      <c r="K450" s="9">
        <f t="shared" si="13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4"/>
        <v>借</v>
      </c>
      <c r="K451" s="9">
        <f t="shared" si="13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4"/>
        <v>借</v>
      </c>
      <c r="K452" s="9">
        <f t="shared" si="13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4"/>
        <v>借</v>
      </c>
      <c r="K453" s="9">
        <f t="shared" si="13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4"/>
        <v>借</v>
      </c>
      <c r="K454" s="9">
        <f t="shared" si="13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ref="K455:K487" si="15">K454+H455-I455</f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A00-000000000000}">
      <formula1>#REF!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99"/>
  <sheetViews>
    <sheetView topLeftCell="D1" workbookViewId="0">
      <selection activeCell="L14" sqref="L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86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6565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6565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6565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6565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6565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6565</v>
      </c>
    </row>
    <row r="10" spans="1:12" ht="20.100000000000001" customHeight="1" x14ac:dyDescent="0.15">
      <c r="A10" s="5"/>
      <c r="B10" s="10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6565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6565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6565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6565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6565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6565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6565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6565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6565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6565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6565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6565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6565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6565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6565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6565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6565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6565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6565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6565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6565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6565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6565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6565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6565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6565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6565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6565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6565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6565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6565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6565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6565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6565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6565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6565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6565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6565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6565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6565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6565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6565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6565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6565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6565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6565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6565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6565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6565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6565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6565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6565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6565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6565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6565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6565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6565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6565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6565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6565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6565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6565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6565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6565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6565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6565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6565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6565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6565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6565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6565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6565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6565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6565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6565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6565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6565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6565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6565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6565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6565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6565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6565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6565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6565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6565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6565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6565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6565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6565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6565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6565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6565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6565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6565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6565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6565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6565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6565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6565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6565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6565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6565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6565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6565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6565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6565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6565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6565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6565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6565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6565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6565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6565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6565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6565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6565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6565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6565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6565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6565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6565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6565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6565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6565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6565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6565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6565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6565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6565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6565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6565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6565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6565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6565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6565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6565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6565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6565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6565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6565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6565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6565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6565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6565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6565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6565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6565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6565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6565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6565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6565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6565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6565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6565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6565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6565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6565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6565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6565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6565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6565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6565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6565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6565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6565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6565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6565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6565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6565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6565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6565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6565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6565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6565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6565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6565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6565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6565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6565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6565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6565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6565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6565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6565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6565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6565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6565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6565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6565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6565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6565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6565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6565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6565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6565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6565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6565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6565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6565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6565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6565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6565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6565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6565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6565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6565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6565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6565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6565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6565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6565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6565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6565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6565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6565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6565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6565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6565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6565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6565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6565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6565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6565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6565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6565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6565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6565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6565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6565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6565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6565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6565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6565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6565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6565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6565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6565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6565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6565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6565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6565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6565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6565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6565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6565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6565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6565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6565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6565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6565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6565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6565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6565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6565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6565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6565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6565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6565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6565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6565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6565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6565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6565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6565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6565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6565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6565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6565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6565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6565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6565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6565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6565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6565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6565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6565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6565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6565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6565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6565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6565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6565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6565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6565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6565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6565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6565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6565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6565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6565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6565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6565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6565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6565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6565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6565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6565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6565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6565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6565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6565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6565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6565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6565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6565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6565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6565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6565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6565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6565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6565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6565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6565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6565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6565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6565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6565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6565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6565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6565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6565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6565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6565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6565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6565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6565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6565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6565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6565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6565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6565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6565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6565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6565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6565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6565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6565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6565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6565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6565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6565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6565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6565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6565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6565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6565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6565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6565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6565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6565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6565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6565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6565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6565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6565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6565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6565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6565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6565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6565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6565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6565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6565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6565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6565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6565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6565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6565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6565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6565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6565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6565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6565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6565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6565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6565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6565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6565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6565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6565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6565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6565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6565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6565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6565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6565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6565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6565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6565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6565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6565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6565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6565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6565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6565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6565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6565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6565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6565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6565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6565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6565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6565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6565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6565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6565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6565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6565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6565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6565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6565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6565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6565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6565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6565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6565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6565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6565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6565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6565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6565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6565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6565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6565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6565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6565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6565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6565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6565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6565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6565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6565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6565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6565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6565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6565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6565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6565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6565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6565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6565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6565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6565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6565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6565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6565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6565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6565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6565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6565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6565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6565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6565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6565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6565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6565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6565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6565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6565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6565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6565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6565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6565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6565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6565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6565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6565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6565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6565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6565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6565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6565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6565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6565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6565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6565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6565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6565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6565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6565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6565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6565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6565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6565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6565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6565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6565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6565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6565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B00-000000000000}">
      <formula1>#REF!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99"/>
  <sheetViews>
    <sheetView topLeftCell="D3" workbookViewId="0">
      <selection activeCell="G18" sqref="G1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87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2000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2000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2000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2000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2000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2000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2000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2000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2000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2000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2000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2000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2000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2000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2000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2000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2000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2000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2000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2000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2000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2000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2000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2000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2000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2000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2000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2000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2000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2000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2000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2000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2000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2000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2000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2000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2000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2000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2000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2000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2000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2000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2000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2000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2000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2000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2000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2000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2000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2000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2000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2000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2000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2000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2000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2000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2000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2000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2000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2000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2000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2000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2000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2000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2000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2000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2000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2000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2000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2000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2000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2000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2000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2000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2000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2000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2000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2000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2000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2000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2000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2000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2000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2000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2000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2000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2000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2000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2000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2000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2000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2000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2000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2000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2000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2000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2000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2000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2000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2000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2000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2000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2000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2000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2000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2000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2000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2000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2000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2000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2000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2000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2000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2000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2000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2000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2000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2000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2000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2000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2000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2000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2000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2000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2000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2000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2000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2000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2000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2000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2000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2000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2000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2000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2000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2000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2000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2000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2000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2000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2000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2000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2000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2000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2000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2000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2000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2000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2000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2000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2000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2000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2000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2000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2000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2000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2000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2000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2000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2000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2000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2000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2000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2000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2000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2000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2000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2000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2000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2000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2000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2000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2000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2000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2000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2000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2000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2000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2000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2000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2000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2000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2000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2000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2000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2000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2000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2000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2000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2000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2000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2000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2000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2000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2000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2000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2000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2000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2000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2000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2000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2000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2000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2000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2000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2000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2000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2000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2000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2000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2000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2000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2000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2000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2000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2000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2000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2000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2000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2000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2000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2000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2000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2000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2000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2000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2000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2000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2000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2000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2000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2000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2000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2000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2000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2000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2000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2000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2000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2000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2000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2000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2000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2000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2000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2000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2000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2000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2000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2000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2000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2000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2000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2000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2000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2000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2000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2000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2000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2000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2000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2000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2000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2000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2000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2000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2000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2000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2000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2000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2000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2000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2000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2000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2000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2000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2000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2000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2000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2000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2000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2000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2000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2000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2000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2000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2000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2000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2000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2000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2000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2000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2000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2000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2000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2000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2000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2000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2000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2000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2000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2000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2000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2000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2000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2000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2000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2000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2000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2000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2000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2000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2000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2000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2000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2000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2000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2000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2000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2000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2000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2000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2000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2000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2000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2000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2000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2000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2000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2000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2000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2000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2000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2000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2000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2000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2000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2000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2000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2000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2000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2000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2000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2000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2000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2000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2000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2000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2000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2000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2000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2000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2000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2000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2000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2000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2000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2000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2000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2000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2000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2000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2000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2000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2000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2000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2000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2000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2000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2000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2000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2000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2000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2000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2000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2000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2000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2000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2000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2000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2000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2000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2000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2000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2000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2000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2000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2000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2000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2000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2000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2000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2000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2000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2000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2000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2000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2000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2000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2000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2000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2000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2000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2000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2000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2000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2000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2000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2000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2000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2000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2000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2000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2000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2000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2000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2000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2000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2000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2000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2000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2000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2000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2000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2000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2000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2000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2000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2000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2000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2000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2000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2000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2000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2000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2000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2000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2000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2000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2000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2000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2000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2000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2000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2000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2000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2000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2000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2000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2000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2000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2000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2000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2000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2000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2000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2000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2000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2000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2000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2000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2000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2000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2000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2000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2000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2000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2000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2000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2000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2000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2000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2000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2000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2000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2000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2000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2000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2000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2000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2000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2000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2000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2000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2000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2000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2000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2000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2000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2000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2000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2000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2000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2000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2000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2000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1:G2 G5:G1048576" xr:uid="{00000000-0002-0000-1C00-000000000000}">
      <formula1>#REF!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499"/>
  <sheetViews>
    <sheetView topLeftCell="G1" workbookViewId="0">
      <selection activeCell="Q19" sqref="Q19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88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D00-000000000000}">
      <formula1>#REF!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99"/>
  <sheetViews>
    <sheetView topLeftCell="B1" workbookViewId="0">
      <selection activeCell="G14" sqref="G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89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E00-000000000000}">
      <formula1>#REF!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499"/>
  <sheetViews>
    <sheetView workbookViewId="0">
      <selection activeCell="H18" sqref="H18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90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5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4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ref="K175:K238" si="6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9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21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9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21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si="6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6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ref="K239:K302" si="8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si="8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8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ref="K303:K366" si="10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si="10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0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ref="K367:K430" si="12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si="12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2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ref="K431:K494" si="14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9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si="14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4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ref="K495:K499" si="16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5"/>
        <v>借</v>
      </c>
      <c r="K498" s="9">
        <f t="shared" si="16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5"/>
        <v>借</v>
      </c>
      <c r="K499" s="9">
        <f t="shared" si="16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1F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497"/>
  <sheetViews>
    <sheetView topLeftCell="B1" workbookViewId="0">
      <selection activeCell="F14" sqref="F14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91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</v>
      </c>
      <c r="L5" t="s">
        <v>57</v>
      </c>
    </row>
    <row r="6" spans="1:12" ht="20.100000000000001" customHeight="1" x14ac:dyDescent="0.15">
      <c r="A6" s="5"/>
      <c r="B6" s="5"/>
      <c r="C6" s="5"/>
      <c r="D6" s="10"/>
      <c r="E6" s="10"/>
      <c r="F6" s="7"/>
      <c r="G6" s="7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  <c r="L9" t="s">
        <v>79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  <c r="L10" t="s">
        <v>57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  <c r="L11" t="s">
        <v>57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  <c r="L13" t="s">
        <v>57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  <c r="L14" t="s">
        <v>57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  <c r="L15" t="s">
        <v>57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97"/>
  <sheetViews>
    <sheetView topLeftCell="D1" workbookViewId="0">
      <selection activeCell="F11" sqref="F11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92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7"/>
      <c r="E6" s="7"/>
      <c r="F6" s="7"/>
      <c r="G6" s="7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496"/>
  <sheetViews>
    <sheetView topLeftCell="D1" workbookViewId="0">
      <selection activeCell="H17" sqref="H17"/>
    </sheetView>
  </sheetViews>
  <sheetFormatPr defaultColWidth="9" defaultRowHeight="15" customHeight="1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1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15" customHeight="1" x14ac:dyDescent="0.15">
      <c r="A2" s="95" t="s">
        <v>93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15" customHeight="1" x14ac:dyDescent="0.15">
      <c r="A3" s="3"/>
      <c r="B3" s="3"/>
      <c r="C3" s="3"/>
      <c r="D3" s="3"/>
      <c r="E3" s="3"/>
      <c r="F3" s="3"/>
      <c r="G3" s="3"/>
      <c r="H3" s="4">
        <f>SUM(H5:H189999)</f>
        <v>0</v>
      </c>
      <c r="I3" s="4">
        <f>SUM(I5:I189999)</f>
        <v>0</v>
      </c>
      <c r="J3" s="4"/>
      <c r="K3" s="3">
        <f>K5+H3-I3</f>
        <v>100</v>
      </c>
    </row>
    <row r="4" spans="1:12" ht="15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15" customHeight="1" x14ac:dyDescent="0.15">
      <c r="A5" s="5">
        <v>2026</v>
      </c>
      <c r="B5" s="5"/>
      <c r="C5" s="5"/>
      <c r="D5" s="10"/>
      <c r="E5" s="10"/>
      <c r="F5" s="10"/>
      <c r="G5" s="10"/>
      <c r="H5" s="8"/>
      <c r="I5" s="8"/>
      <c r="J5" s="8" t="s">
        <v>39</v>
      </c>
      <c r="K5" s="9">
        <v>100</v>
      </c>
    </row>
    <row r="6" spans="1:12" ht="15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46" si="0">IF((K5+H6-I6)&gt;0,"借","贷")</f>
        <v>借</v>
      </c>
      <c r="K6" s="9">
        <f t="shared" ref="K6:K69" si="1">K5+H6-I6</f>
        <v>100</v>
      </c>
    </row>
    <row r="7" spans="1:12" ht="15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15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15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15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15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15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15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15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15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15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15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15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15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15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15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15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15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15" customHeight="1" x14ac:dyDescent="0.15">
      <c r="A24" s="5"/>
      <c r="B24" s="5"/>
      <c r="C24" s="10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15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15" customHeight="1" x14ac:dyDescent="0.15">
      <c r="A26" s="5"/>
      <c r="B26" s="5"/>
      <c r="C26" s="10"/>
      <c r="D26" s="10"/>
      <c r="E26" s="11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15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15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15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15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15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15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15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15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15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15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15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15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15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15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15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15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15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15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15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15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15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ref="J47:J53" si="2">IF((K46+H47-I48)&gt;0,"借","贷")</f>
        <v>借</v>
      </c>
      <c r="K47" s="9">
        <f t="shared" si="1"/>
        <v>100</v>
      </c>
    </row>
    <row r="48" spans="1:11" ht="15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1"/>
        <v>100</v>
      </c>
    </row>
    <row r="49" spans="1:11" ht="15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1"/>
        <v>100</v>
      </c>
    </row>
    <row r="50" spans="1:11" ht="15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1"/>
        <v>100</v>
      </c>
    </row>
    <row r="51" spans="1:11" ht="15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1"/>
        <v>100</v>
      </c>
    </row>
    <row r="52" spans="1:11" ht="15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1"/>
        <v>100</v>
      </c>
    </row>
    <row r="53" spans="1:11" ht="15" customHeight="1" x14ac:dyDescent="0.15">
      <c r="A53" s="10"/>
      <c r="B53" s="24"/>
      <c r="C53" s="12"/>
      <c r="D53" s="12"/>
      <c r="E53" s="12"/>
      <c r="F53" s="12"/>
      <c r="G53" s="12"/>
      <c r="H53" s="25"/>
      <c r="I53" s="25"/>
      <c r="J53" s="25" t="str">
        <f t="shared" si="2"/>
        <v>借</v>
      </c>
      <c r="K53" s="9">
        <f t="shared" si="1"/>
        <v>100</v>
      </c>
    </row>
    <row r="54" spans="1:11" ht="15" customHeight="1" x14ac:dyDescent="0.15">
      <c r="A54" s="10"/>
      <c r="B54" s="24"/>
      <c r="C54" s="12"/>
      <c r="D54" s="12"/>
      <c r="E54" s="12"/>
      <c r="F54" s="12"/>
      <c r="G54" s="12"/>
      <c r="H54" s="25"/>
      <c r="I54" s="25"/>
      <c r="J54" s="25" t="str">
        <f t="shared" ref="J54:J117" si="3">IF((K53+H54-I54)&gt;0,"借","贷")</f>
        <v>借</v>
      </c>
      <c r="K54" s="9">
        <f t="shared" si="1"/>
        <v>100</v>
      </c>
    </row>
    <row r="55" spans="1:11" ht="15" customHeight="1" x14ac:dyDescent="0.15">
      <c r="A55" s="10"/>
      <c r="B55" s="24"/>
      <c r="C55" s="12"/>
      <c r="D55" s="12"/>
      <c r="E55" s="12"/>
      <c r="F55" s="12"/>
      <c r="G55" s="12"/>
      <c r="H55" s="25"/>
      <c r="I55" s="25"/>
      <c r="J55" s="25" t="str">
        <f t="shared" si="3"/>
        <v>借</v>
      </c>
      <c r="K55" s="9">
        <f t="shared" si="1"/>
        <v>100</v>
      </c>
    </row>
    <row r="56" spans="1:11" ht="15" customHeight="1" x14ac:dyDescent="0.15">
      <c r="A56" s="10"/>
      <c r="B56" s="5"/>
      <c r="C56" s="10"/>
      <c r="D56" s="26"/>
      <c r="E56" s="12"/>
      <c r="F56" s="12"/>
      <c r="G56" s="12"/>
      <c r="H56" s="25"/>
      <c r="I56" s="25"/>
      <c r="J56" s="25" t="str">
        <f t="shared" si="3"/>
        <v>借</v>
      </c>
      <c r="K56" s="9">
        <f t="shared" si="1"/>
        <v>100</v>
      </c>
    </row>
    <row r="57" spans="1:11" ht="15" customHeight="1" x14ac:dyDescent="0.15">
      <c r="A57" s="10"/>
      <c r="B57" s="5"/>
      <c r="C57" s="10"/>
      <c r="D57" s="12"/>
      <c r="E57" s="12"/>
      <c r="F57" s="12"/>
      <c r="G57" s="12"/>
      <c r="H57" s="25"/>
      <c r="I57" s="25"/>
      <c r="J57" s="25" t="str">
        <f t="shared" si="3"/>
        <v>借</v>
      </c>
      <c r="K57" s="9">
        <f t="shared" si="1"/>
        <v>100</v>
      </c>
    </row>
    <row r="58" spans="1:11" ht="15" customHeight="1" x14ac:dyDescent="0.15">
      <c r="A58" s="10"/>
      <c r="B58" s="5"/>
      <c r="C58" s="10"/>
      <c r="D58" s="12"/>
      <c r="E58" s="12"/>
      <c r="F58" s="12"/>
      <c r="G58" s="12"/>
      <c r="H58" s="25"/>
      <c r="I58" s="25"/>
      <c r="J58" s="25" t="str">
        <f t="shared" si="3"/>
        <v>借</v>
      </c>
      <c r="K58" s="9">
        <f t="shared" si="1"/>
        <v>100</v>
      </c>
    </row>
    <row r="59" spans="1:11" ht="15" customHeight="1" x14ac:dyDescent="0.15">
      <c r="A59" s="10"/>
      <c r="B59" s="5"/>
      <c r="C59" s="10"/>
      <c r="D59" s="10"/>
      <c r="E59" s="10"/>
      <c r="F59" s="10"/>
      <c r="G59" s="12"/>
      <c r="H59" s="8"/>
      <c r="I59" s="8"/>
      <c r="J59" s="8" t="str">
        <f t="shared" si="3"/>
        <v>借</v>
      </c>
      <c r="K59" s="9">
        <f t="shared" si="1"/>
        <v>100</v>
      </c>
    </row>
    <row r="60" spans="1:11" ht="15" customHeight="1" x14ac:dyDescent="0.15">
      <c r="A60" s="5"/>
      <c r="B60" s="5"/>
      <c r="C60" s="10"/>
      <c r="D60" s="10"/>
      <c r="E60" s="10"/>
      <c r="F60" s="10"/>
      <c r="G60" s="10"/>
      <c r="H60" s="8"/>
      <c r="I60" s="8"/>
      <c r="J60" s="8" t="str">
        <f t="shared" si="3"/>
        <v>借</v>
      </c>
      <c r="K60" s="9">
        <f t="shared" si="1"/>
        <v>100</v>
      </c>
    </row>
    <row r="61" spans="1:11" ht="15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3"/>
        <v>借</v>
      </c>
      <c r="K61" s="9">
        <f t="shared" si="1"/>
        <v>100</v>
      </c>
    </row>
    <row r="62" spans="1:11" ht="15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3"/>
        <v>借</v>
      </c>
      <c r="K62" s="9">
        <f t="shared" si="1"/>
        <v>100</v>
      </c>
    </row>
    <row r="63" spans="1:11" ht="15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3"/>
        <v>借</v>
      </c>
      <c r="K63" s="9">
        <f t="shared" si="1"/>
        <v>100</v>
      </c>
    </row>
    <row r="64" spans="1:11" ht="15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3"/>
        <v>借</v>
      </c>
      <c r="K64" s="9">
        <f t="shared" si="1"/>
        <v>100</v>
      </c>
    </row>
    <row r="65" spans="1:11" ht="15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3"/>
        <v>借</v>
      </c>
      <c r="K65" s="9">
        <f t="shared" si="1"/>
        <v>100</v>
      </c>
    </row>
    <row r="66" spans="1:11" ht="15" customHeight="1" x14ac:dyDescent="0.15">
      <c r="A66" s="10"/>
      <c r="B66" s="5"/>
      <c r="C66" s="10"/>
      <c r="D66" s="10"/>
      <c r="E66" s="10"/>
      <c r="F66" s="10"/>
      <c r="G66" s="10"/>
      <c r="H66" s="8"/>
      <c r="I66" s="8"/>
      <c r="J66" s="8" t="str">
        <f t="shared" si="3"/>
        <v>借</v>
      </c>
      <c r="K66" s="9">
        <f t="shared" si="1"/>
        <v>100</v>
      </c>
    </row>
    <row r="67" spans="1:11" ht="15" customHeight="1" x14ac:dyDescent="0.15">
      <c r="A67" s="10"/>
      <c r="B67" s="5"/>
      <c r="C67" s="10"/>
      <c r="D67" s="10"/>
      <c r="E67" s="10"/>
      <c r="F67" s="14"/>
      <c r="G67" s="14"/>
      <c r="H67" s="8"/>
      <c r="I67" s="8"/>
      <c r="J67" s="8" t="str">
        <f t="shared" si="3"/>
        <v>借</v>
      </c>
      <c r="K67" s="9">
        <f t="shared" si="1"/>
        <v>100</v>
      </c>
    </row>
    <row r="68" spans="1:11" ht="15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3"/>
        <v>借</v>
      </c>
      <c r="K68" s="9">
        <f t="shared" si="1"/>
        <v>100</v>
      </c>
    </row>
    <row r="69" spans="1:11" ht="15" customHeight="1" x14ac:dyDescent="0.15">
      <c r="A69" s="5"/>
      <c r="B69" s="5"/>
      <c r="C69" s="10"/>
      <c r="D69" s="10"/>
      <c r="E69" s="10"/>
      <c r="F69" s="14"/>
      <c r="G69" s="14"/>
      <c r="H69" s="8"/>
      <c r="I69" s="15"/>
      <c r="J69" s="8" t="str">
        <f t="shared" si="3"/>
        <v>借</v>
      </c>
      <c r="K69" s="9">
        <f t="shared" si="1"/>
        <v>100</v>
      </c>
    </row>
    <row r="70" spans="1:11" ht="15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si="3"/>
        <v>借</v>
      </c>
      <c r="K70" s="9">
        <f t="shared" ref="K70:K133" si="4">K69+H70-I70</f>
        <v>100</v>
      </c>
    </row>
    <row r="71" spans="1:11" ht="15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3"/>
        <v>借</v>
      </c>
      <c r="K71" s="9">
        <f t="shared" si="4"/>
        <v>100</v>
      </c>
    </row>
    <row r="72" spans="1:11" ht="15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3"/>
        <v>借</v>
      </c>
      <c r="K72" s="9">
        <f t="shared" si="4"/>
        <v>100</v>
      </c>
    </row>
    <row r="73" spans="1:11" ht="15" customHeight="1" x14ac:dyDescent="0.15">
      <c r="A73" s="5"/>
      <c r="B73" s="5"/>
      <c r="C73" s="10"/>
      <c r="D73" s="10"/>
      <c r="E73" s="10"/>
      <c r="F73" s="10"/>
      <c r="G73" s="10"/>
      <c r="H73" s="8"/>
      <c r="I73" s="8"/>
      <c r="J73" s="8" t="str">
        <f t="shared" si="3"/>
        <v>借</v>
      </c>
      <c r="K73" s="9">
        <f t="shared" si="4"/>
        <v>100</v>
      </c>
    </row>
    <row r="74" spans="1:11" ht="15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3"/>
        <v>借</v>
      </c>
      <c r="K74" s="9">
        <f t="shared" si="4"/>
        <v>100</v>
      </c>
    </row>
    <row r="75" spans="1:11" ht="15" customHeight="1" x14ac:dyDescent="0.15">
      <c r="A75" s="5"/>
      <c r="B75" s="5"/>
      <c r="C75" s="10"/>
      <c r="D75" s="10"/>
      <c r="E75" s="10"/>
      <c r="F75" s="14"/>
      <c r="G75" s="14"/>
      <c r="H75" s="8"/>
      <c r="I75" s="8"/>
      <c r="J75" s="8" t="str">
        <f t="shared" si="3"/>
        <v>借</v>
      </c>
      <c r="K75" s="9">
        <f t="shared" si="4"/>
        <v>100</v>
      </c>
    </row>
    <row r="76" spans="1:11" ht="15" customHeight="1" x14ac:dyDescent="0.15">
      <c r="A76" s="10"/>
      <c r="B76" s="5"/>
      <c r="C76" s="10"/>
      <c r="D76" s="10"/>
      <c r="E76" s="10"/>
      <c r="F76" s="10"/>
      <c r="G76" s="10"/>
      <c r="H76" s="8"/>
      <c r="I76" s="8"/>
      <c r="J76" s="8" t="str">
        <f t="shared" si="3"/>
        <v>借</v>
      </c>
      <c r="K76" s="9">
        <f t="shared" si="4"/>
        <v>100</v>
      </c>
    </row>
    <row r="77" spans="1:11" ht="15" customHeight="1" x14ac:dyDescent="0.15">
      <c r="A77" s="10"/>
      <c r="B77" s="5"/>
      <c r="C77" s="5"/>
      <c r="D77" s="10"/>
      <c r="E77" s="10"/>
      <c r="F77" s="14"/>
      <c r="G77" s="14"/>
      <c r="H77" s="8"/>
      <c r="I77" s="8"/>
      <c r="J77" s="8" t="str">
        <f t="shared" si="3"/>
        <v>借</v>
      </c>
      <c r="K77" s="9">
        <f t="shared" si="4"/>
        <v>100</v>
      </c>
    </row>
    <row r="78" spans="1:11" ht="15" customHeight="1" x14ac:dyDescent="0.15">
      <c r="A78" s="5"/>
      <c r="B78" s="5"/>
      <c r="C78" s="5"/>
      <c r="D78" s="10"/>
      <c r="E78" s="10"/>
      <c r="F78" s="10"/>
      <c r="G78" s="10"/>
      <c r="H78" s="8"/>
      <c r="I78" s="15"/>
      <c r="J78" s="8" t="str">
        <f t="shared" si="3"/>
        <v>借</v>
      </c>
      <c r="K78" s="9">
        <f t="shared" si="4"/>
        <v>100</v>
      </c>
    </row>
    <row r="79" spans="1:11" ht="15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3"/>
        <v>借</v>
      </c>
      <c r="K79" s="9">
        <f t="shared" si="4"/>
        <v>100</v>
      </c>
    </row>
    <row r="80" spans="1:11" ht="15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3"/>
        <v>借</v>
      </c>
      <c r="K80" s="9">
        <f t="shared" si="4"/>
        <v>100</v>
      </c>
    </row>
    <row r="81" spans="1:11" ht="15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3"/>
        <v>借</v>
      </c>
      <c r="K81" s="9">
        <f t="shared" si="4"/>
        <v>100</v>
      </c>
    </row>
    <row r="82" spans="1:11" ht="15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3"/>
        <v>借</v>
      </c>
      <c r="K82" s="9">
        <f t="shared" si="4"/>
        <v>100</v>
      </c>
    </row>
    <row r="83" spans="1:11" ht="15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3"/>
        <v>借</v>
      </c>
      <c r="K83" s="9">
        <f t="shared" si="4"/>
        <v>100</v>
      </c>
    </row>
    <row r="84" spans="1:11" ht="15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3"/>
        <v>借</v>
      </c>
      <c r="K84" s="9">
        <f t="shared" si="4"/>
        <v>100</v>
      </c>
    </row>
    <row r="85" spans="1:11" ht="15" customHeight="1" x14ac:dyDescent="0.15">
      <c r="A85" s="10"/>
      <c r="B85" s="5"/>
      <c r="C85" s="5"/>
      <c r="D85" s="10"/>
      <c r="E85" s="10"/>
      <c r="F85" s="10"/>
      <c r="G85" s="10"/>
      <c r="H85" s="8"/>
      <c r="I85" s="8"/>
      <c r="J85" s="8" t="str">
        <f t="shared" si="3"/>
        <v>借</v>
      </c>
      <c r="K85" s="9">
        <f t="shared" si="4"/>
        <v>100</v>
      </c>
    </row>
    <row r="86" spans="1:11" ht="15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3"/>
        <v>借</v>
      </c>
      <c r="K86" s="9">
        <f t="shared" si="4"/>
        <v>100</v>
      </c>
    </row>
    <row r="87" spans="1:11" ht="15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3"/>
        <v>借</v>
      </c>
      <c r="K87" s="9">
        <f t="shared" si="4"/>
        <v>100</v>
      </c>
    </row>
    <row r="88" spans="1:11" ht="15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3"/>
        <v>借</v>
      </c>
      <c r="K88" s="9">
        <f t="shared" si="4"/>
        <v>100</v>
      </c>
    </row>
    <row r="89" spans="1:11" ht="15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3"/>
        <v>借</v>
      </c>
      <c r="K89" s="9">
        <f t="shared" si="4"/>
        <v>100</v>
      </c>
    </row>
    <row r="90" spans="1:11" ht="15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3"/>
        <v>借</v>
      </c>
      <c r="K90" s="9">
        <f t="shared" si="4"/>
        <v>100</v>
      </c>
    </row>
    <row r="91" spans="1:11" ht="15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3"/>
        <v>借</v>
      </c>
      <c r="K91" s="9">
        <f t="shared" si="4"/>
        <v>100</v>
      </c>
    </row>
    <row r="92" spans="1:11" ht="15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3"/>
        <v>借</v>
      </c>
      <c r="K92" s="9">
        <f t="shared" si="4"/>
        <v>100</v>
      </c>
    </row>
    <row r="93" spans="1:11" ht="15" customHeight="1" x14ac:dyDescent="0.15">
      <c r="A93" s="10"/>
      <c r="B93" s="5"/>
      <c r="C93" s="5"/>
      <c r="D93" s="10"/>
      <c r="E93" s="10"/>
      <c r="F93" s="10"/>
      <c r="G93" s="10"/>
      <c r="H93" s="8"/>
      <c r="I93" s="8"/>
      <c r="J93" s="8" t="str">
        <f t="shared" si="3"/>
        <v>借</v>
      </c>
      <c r="K93" s="9">
        <f t="shared" si="4"/>
        <v>100</v>
      </c>
    </row>
    <row r="94" spans="1:11" ht="15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3"/>
        <v>借</v>
      </c>
      <c r="K94" s="9">
        <f t="shared" si="4"/>
        <v>100</v>
      </c>
    </row>
    <row r="95" spans="1:11" ht="15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3"/>
        <v>借</v>
      </c>
      <c r="K95" s="9">
        <f t="shared" si="4"/>
        <v>100</v>
      </c>
    </row>
    <row r="96" spans="1:11" ht="15" customHeight="1" x14ac:dyDescent="0.15">
      <c r="A96" s="5"/>
      <c r="B96" s="5"/>
      <c r="C96" s="5"/>
      <c r="D96" s="10"/>
      <c r="E96" s="10"/>
      <c r="F96" s="10"/>
      <c r="G96" s="10"/>
      <c r="H96" s="8"/>
      <c r="I96" s="8"/>
      <c r="J96" s="8" t="str">
        <f t="shared" si="3"/>
        <v>借</v>
      </c>
      <c r="K96" s="9">
        <f t="shared" si="4"/>
        <v>100</v>
      </c>
    </row>
    <row r="97" spans="1:11" ht="15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3"/>
        <v>借</v>
      </c>
      <c r="K97" s="9">
        <f t="shared" si="4"/>
        <v>100</v>
      </c>
    </row>
    <row r="98" spans="1:11" ht="15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3"/>
        <v>借</v>
      </c>
      <c r="K98" s="9">
        <f t="shared" si="4"/>
        <v>100</v>
      </c>
    </row>
    <row r="99" spans="1:11" ht="15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3"/>
        <v>借</v>
      </c>
      <c r="K99" s="9">
        <f t="shared" si="4"/>
        <v>100</v>
      </c>
    </row>
    <row r="100" spans="1:11" ht="15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3"/>
        <v>借</v>
      </c>
      <c r="K100" s="9">
        <f t="shared" si="4"/>
        <v>100</v>
      </c>
    </row>
    <row r="101" spans="1:11" ht="15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3"/>
        <v>借</v>
      </c>
      <c r="K101" s="9">
        <f t="shared" si="4"/>
        <v>100</v>
      </c>
    </row>
    <row r="102" spans="1:11" ht="15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3"/>
        <v>借</v>
      </c>
      <c r="K102" s="9">
        <f t="shared" si="4"/>
        <v>100</v>
      </c>
    </row>
    <row r="103" spans="1:11" ht="15" customHeight="1" x14ac:dyDescent="0.15">
      <c r="A103" s="10"/>
      <c r="B103" s="5"/>
      <c r="C103" s="5"/>
      <c r="D103" s="10"/>
      <c r="E103" s="10"/>
      <c r="F103" s="10"/>
      <c r="G103" s="10"/>
      <c r="H103" s="8"/>
      <c r="I103" s="8"/>
      <c r="J103" s="8" t="str">
        <f t="shared" si="3"/>
        <v>借</v>
      </c>
      <c r="K103" s="9">
        <f t="shared" si="4"/>
        <v>100</v>
      </c>
    </row>
    <row r="104" spans="1:11" ht="15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3"/>
        <v>借</v>
      </c>
      <c r="K104" s="9">
        <f t="shared" si="4"/>
        <v>100</v>
      </c>
    </row>
    <row r="105" spans="1:11" ht="15" customHeight="1" x14ac:dyDescent="0.15">
      <c r="A105" s="5"/>
      <c r="B105" s="5"/>
      <c r="C105" s="5"/>
      <c r="D105" s="10"/>
      <c r="E105" s="16"/>
      <c r="F105" s="10"/>
      <c r="G105" s="10"/>
      <c r="H105" s="8"/>
      <c r="I105" s="8"/>
      <c r="J105" s="8" t="str">
        <f t="shared" si="3"/>
        <v>借</v>
      </c>
      <c r="K105" s="9">
        <f t="shared" si="4"/>
        <v>100</v>
      </c>
    </row>
    <row r="106" spans="1:11" ht="15" customHeight="1" x14ac:dyDescent="0.15">
      <c r="A106" s="5"/>
      <c r="B106" s="5"/>
      <c r="C106" s="5"/>
      <c r="D106" s="10"/>
      <c r="E106" s="10"/>
      <c r="F106" s="10"/>
      <c r="G106" s="10"/>
      <c r="H106" s="8"/>
      <c r="I106" s="8"/>
      <c r="J106" s="8" t="str">
        <f t="shared" si="3"/>
        <v>借</v>
      </c>
      <c r="K106" s="9">
        <f t="shared" si="4"/>
        <v>100</v>
      </c>
    </row>
    <row r="107" spans="1:11" ht="15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3"/>
        <v>借</v>
      </c>
      <c r="K107" s="9">
        <f t="shared" si="4"/>
        <v>100</v>
      </c>
    </row>
    <row r="108" spans="1:11" ht="15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3"/>
        <v>借</v>
      </c>
      <c r="K108" s="9">
        <f t="shared" si="4"/>
        <v>100</v>
      </c>
    </row>
    <row r="109" spans="1:11" ht="15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3"/>
        <v>借</v>
      </c>
      <c r="K109" s="9">
        <f t="shared" si="4"/>
        <v>100</v>
      </c>
    </row>
    <row r="110" spans="1:11" ht="15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3"/>
        <v>借</v>
      </c>
      <c r="K110" s="9">
        <f t="shared" si="4"/>
        <v>100</v>
      </c>
    </row>
    <row r="111" spans="1:11" ht="15" customHeight="1" x14ac:dyDescent="0.15">
      <c r="A111" s="10"/>
      <c r="B111" s="5"/>
      <c r="C111" s="5"/>
      <c r="D111" s="10"/>
      <c r="E111" s="10"/>
      <c r="F111" s="10"/>
      <c r="G111" s="10"/>
      <c r="H111" s="8"/>
      <c r="I111" s="8"/>
      <c r="J111" s="8" t="str">
        <f t="shared" si="3"/>
        <v>借</v>
      </c>
      <c r="K111" s="9">
        <f t="shared" si="4"/>
        <v>100</v>
      </c>
    </row>
    <row r="112" spans="1:11" ht="15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3"/>
        <v>借</v>
      </c>
      <c r="K112" s="9">
        <f t="shared" si="4"/>
        <v>100</v>
      </c>
    </row>
    <row r="113" spans="1:11" ht="15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3"/>
        <v>借</v>
      </c>
      <c r="K113" s="9">
        <f t="shared" si="4"/>
        <v>100</v>
      </c>
    </row>
    <row r="114" spans="1:11" ht="15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3"/>
        <v>借</v>
      </c>
      <c r="K114" s="9">
        <f t="shared" si="4"/>
        <v>100</v>
      </c>
    </row>
    <row r="115" spans="1:11" ht="15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3"/>
        <v>借</v>
      </c>
      <c r="K115" s="9">
        <f t="shared" si="4"/>
        <v>100</v>
      </c>
    </row>
    <row r="116" spans="1:11" ht="15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3"/>
        <v>借</v>
      </c>
      <c r="K116" s="9">
        <f t="shared" si="4"/>
        <v>100</v>
      </c>
    </row>
    <row r="117" spans="1:11" ht="15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3"/>
        <v>借</v>
      </c>
      <c r="K117" s="9">
        <f t="shared" si="4"/>
        <v>100</v>
      </c>
    </row>
    <row r="118" spans="1:11" ht="15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ref="J118:J181" si="5">IF((K117+H118-I118)&gt;0,"借","贷")</f>
        <v>借</v>
      </c>
      <c r="K118" s="9">
        <f t="shared" si="4"/>
        <v>100</v>
      </c>
    </row>
    <row r="119" spans="1:11" ht="15" customHeight="1" x14ac:dyDescent="0.15">
      <c r="A119" s="10"/>
      <c r="B119" s="5"/>
      <c r="C119" s="5"/>
      <c r="D119" s="10"/>
      <c r="E119" s="10"/>
      <c r="F119" s="10"/>
      <c r="G119" s="10"/>
      <c r="H119" s="8"/>
      <c r="I119" s="8"/>
      <c r="J119" s="8" t="str">
        <f t="shared" si="5"/>
        <v>借</v>
      </c>
      <c r="K119" s="9">
        <f t="shared" si="4"/>
        <v>100</v>
      </c>
    </row>
    <row r="120" spans="1:11" ht="15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5"/>
        <v>借</v>
      </c>
      <c r="K120" s="9">
        <f t="shared" si="4"/>
        <v>100</v>
      </c>
    </row>
    <row r="121" spans="1:11" ht="15" customHeight="1" x14ac:dyDescent="0.15">
      <c r="A121" s="10"/>
      <c r="B121" s="5"/>
      <c r="C121" s="10"/>
      <c r="D121" s="10"/>
      <c r="E121" s="10"/>
      <c r="F121" s="10"/>
      <c r="G121" s="10"/>
      <c r="H121" s="8"/>
      <c r="I121" s="8"/>
      <c r="J121" s="8" t="str">
        <f t="shared" si="5"/>
        <v>借</v>
      </c>
      <c r="K121" s="9">
        <f t="shared" si="4"/>
        <v>100</v>
      </c>
    </row>
    <row r="122" spans="1:11" ht="15" customHeight="1" x14ac:dyDescent="0.15">
      <c r="A122" s="10"/>
      <c r="B122" s="5"/>
      <c r="C122" s="10"/>
      <c r="D122" s="10"/>
      <c r="E122" s="17"/>
      <c r="F122" s="10"/>
      <c r="G122" s="10"/>
      <c r="H122" s="8"/>
      <c r="I122" s="8"/>
      <c r="J122" s="8" t="str">
        <f t="shared" si="5"/>
        <v>借</v>
      </c>
      <c r="K122" s="9">
        <f t="shared" si="4"/>
        <v>100</v>
      </c>
    </row>
    <row r="123" spans="1:11" ht="15" customHeight="1" x14ac:dyDescent="0.15">
      <c r="A123" s="5"/>
      <c r="B123" s="5"/>
      <c r="C123" s="10"/>
      <c r="D123" s="10"/>
      <c r="E123" s="10"/>
      <c r="F123" s="10"/>
      <c r="G123" s="10"/>
      <c r="H123" s="8"/>
      <c r="I123" s="8"/>
      <c r="J123" s="8" t="str">
        <f t="shared" si="5"/>
        <v>借</v>
      </c>
      <c r="K123" s="9">
        <f t="shared" si="4"/>
        <v>100</v>
      </c>
    </row>
    <row r="124" spans="1:11" ht="15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5"/>
        <v>借</v>
      </c>
      <c r="K124" s="9">
        <f t="shared" si="4"/>
        <v>100</v>
      </c>
    </row>
    <row r="125" spans="1:11" ht="15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5"/>
        <v>借</v>
      </c>
      <c r="K125" s="9">
        <f t="shared" si="4"/>
        <v>100</v>
      </c>
    </row>
    <row r="126" spans="1:11" ht="15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5"/>
        <v>借</v>
      </c>
      <c r="K126" s="9">
        <f t="shared" si="4"/>
        <v>100</v>
      </c>
    </row>
    <row r="127" spans="1:11" ht="15" customHeight="1" x14ac:dyDescent="0.15">
      <c r="A127" s="5"/>
      <c r="B127" s="5"/>
      <c r="C127" s="5"/>
      <c r="D127" s="10"/>
      <c r="E127" s="10"/>
      <c r="F127" s="10"/>
      <c r="G127" s="10"/>
      <c r="H127" s="8"/>
      <c r="I127" s="8"/>
      <c r="J127" s="8" t="str">
        <f t="shared" si="5"/>
        <v>借</v>
      </c>
      <c r="K127" s="9">
        <f t="shared" si="4"/>
        <v>100</v>
      </c>
    </row>
    <row r="128" spans="1:11" ht="15" customHeight="1" x14ac:dyDescent="0.15">
      <c r="A128" s="5"/>
      <c r="B128" s="5"/>
      <c r="C128" s="5"/>
      <c r="D128" s="10"/>
      <c r="E128" s="16"/>
      <c r="F128" s="10"/>
      <c r="G128" s="10"/>
      <c r="H128" s="8"/>
      <c r="I128" s="8"/>
      <c r="J128" s="8" t="str">
        <f t="shared" si="5"/>
        <v>借</v>
      </c>
      <c r="K128" s="9">
        <f t="shared" si="4"/>
        <v>100</v>
      </c>
    </row>
    <row r="129" spans="1:11" ht="15" customHeight="1" x14ac:dyDescent="0.15">
      <c r="A129" s="10"/>
      <c r="B129" s="5"/>
      <c r="C129" s="5"/>
      <c r="D129" s="10"/>
      <c r="E129" s="16"/>
      <c r="F129" s="10"/>
      <c r="G129" s="10"/>
      <c r="H129" s="8"/>
      <c r="I129" s="8"/>
      <c r="J129" s="8" t="str">
        <f t="shared" si="5"/>
        <v>借</v>
      </c>
      <c r="K129" s="9">
        <f t="shared" si="4"/>
        <v>100</v>
      </c>
    </row>
    <row r="130" spans="1:11" ht="15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5"/>
        <v>借</v>
      </c>
      <c r="K130" s="9">
        <f t="shared" si="4"/>
        <v>100</v>
      </c>
    </row>
    <row r="131" spans="1:11" ht="15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5"/>
        <v>借</v>
      </c>
      <c r="K131" s="9">
        <f t="shared" si="4"/>
        <v>100</v>
      </c>
    </row>
    <row r="132" spans="1:11" ht="15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5"/>
        <v>借</v>
      </c>
      <c r="K132" s="9">
        <f t="shared" si="4"/>
        <v>100</v>
      </c>
    </row>
    <row r="133" spans="1:11" ht="15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5"/>
        <v>借</v>
      </c>
      <c r="K133" s="9">
        <f t="shared" si="4"/>
        <v>100</v>
      </c>
    </row>
    <row r="134" spans="1:11" ht="15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5"/>
        <v>借</v>
      </c>
      <c r="K134" s="9">
        <f t="shared" ref="K134:K171" si="6">K133+H134-I134</f>
        <v>100</v>
      </c>
    </row>
    <row r="135" spans="1:11" ht="15" customHeight="1" x14ac:dyDescent="0.15">
      <c r="A135" s="5"/>
      <c r="B135" s="5"/>
      <c r="C135" s="5"/>
      <c r="D135" s="10"/>
      <c r="E135" s="10"/>
      <c r="F135" s="10"/>
      <c r="G135" s="10"/>
      <c r="H135" s="8"/>
      <c r="I135" s="8"/>
      <c r="J135" s="8" t="str">
        <f t="shared" si="5"/>
        <v>借</v>
      </c>
      <c r="K135" s="9">
        <f t="shared" si="6"/>
        <v>100</v>
      </c>
    </row>
    <row r="136" spans="1:11" ht="15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5"/>
        <v>借</v>
      </c>
      <c r="K136" s="9">
        <f t="shared" si="6"/>
        <v>100</v>
      </c>
    </row>
    <row r="137" spans="1:11" ht="15" customHeight="1" x14ac:dyDescent="0.15">
      <c r="A137" s="10"/>
      <c r="B137" s="5"/>
      <c r="C137" s="5"/>
      <c r="D137" s="10"/>
      <c r="E137" s="10"/>
      <c r="F137" s="10"/>
      <c r="G137" s="10"/>
      <c r="H137" s="8"/>
      <c r="I137" s="8"/>
      <c r="J137" s="8" t="str">
        <f t="shared" si="5"/>
        <v>借</v>
      </c>
      <c r="K137" s="9">
        <f t="shared" si="6"/>
        <v>100</v>
      </c>
    </row>
    <row r="138" spans="1:11" ht="15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5"/>
        <v>借</v>
      </c>
      <c r="K138" s="9">
        <f t="shared" si="6"/>
        <v>100</v>
      </c>
    </row>
    <row r="139" spans="1:11" ht="15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5"/>
        <v>借</v>
      </c>
      <c r="K139" s="9">
        <f t="shared" si="6"/>
        <v>100</v>
      </c>
    </row>
    <row r="140" spans="1:11" ht="15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5"/>
        <v>借</v>
      </c>
      <c r="K140" s="9">
        <f t="shared" si="6"/>
        <v>100</v>
      </c>
    </row>
    <row r="141" spans="1:11" ht="15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5"/>
        <v>借</v>
      </c>
      <c r="K141" s="9">
        <f t="shared" si="6"/>
        <v>100</v>
      </c>
    </row>
    <row r="142" spans="1:11" ht="15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5"/>
        <v>借</v>
      </c>
      <c r="K142" s="9">
        <f t="shared" si="6"/>
        <v>100</v>
      </c>
    </row>
    <row r="143" spans="1:11" ht="15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5"/>
        <v>借</v>
      </c>
      <c r="K143" s="9">
        <f t="shared" si="6"/>
        <v>100</v>
      </c>
    </row>
    <row r="144" spans="1:11" ht="15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5"/>
        <v>借</v>
      </c>
      <c r="K144" s="9">
        <f t="shared" si="6"/>
        <v>100</v>
      </c>
    </row>
    <row r="145" spans="1:11" ht="15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5"/>
        <v>借</v>
      </c>
      <c r="K145" s="9">
        <f t="shared" si="6"/>
        <v>100</v>
      </c>
    </row>
    <row r="146" spans="1:11" ht="15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5"/>
        <v>借</v>
      </c>
      <c r="K146" s="9">
        <f t="shared" si="6"/>
        <v>100</v>
      </c>
    </row>
    <row r="147" spans="1:11" ht="15" customHeight="1" x14ac:dyDescent="0.15">
      <c r="A147" s="10"/>
      <c r="B147" s="5"/>
      <c r="C147" s="5"/>
      <c r="D147" s="10"/>
      <c r="E147" s="10"/>
      <c r="F147" s="10"/>
      <c r="G147" s="10"/>
      <c r="H147" s="8"/>
      <c r="I147" s="8"/>
      <c r="J147" s="8" t="str">
        <f t="shared" si="5"/>
        <v>借</v>
      </c>
      <c r="K147" s="9">
        <f t="shared" si="6"/>
        <v>100</v>
      </c>
    </row>
    <row r="148" spans="1:11" ht="15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5"/>
        <v>借</v>
      </c>
      <c r="K148" s="9">
        <f t="shared" si="6"/>
        <v>100</v>
      </c>
    </row>
    <row r="149" spans="1:11" ht="15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5"/>
        <v>借</v>
      </c>
      <c r="K149" s="9">
        <f t="shared" si="6"/>
        <v>100</v>
      </c>
    </row>
    <row r="150" spans="1:11" ht="15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5"/>
        <v>借</v>
      </c>
      <c r="K150" s="9">
        <f t="shared" si="6"/>
        <v>100</v>
      </c>
    </row>
    <row r="151" spans="1:11" ht="15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5"/>
        <v>借</v>
      </c>
      <c r="K151" s="9">
        <f t="shared" si="6"/>
        <v>100</v>
      </c>
    </row>
    <row r="152" spans="1:11" ht="15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5"/>
        <v>借</v>
      </c>
      <c r="K152" s="9">
        <f t="shared" si="6"/>
        <v>100</v>
      </c>
    </row>
    <row r="153" spans="1:11" ht="15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5"/>
        <v>借</v>
      </c>
      <c r="K153" s="9">
        <f t="shared" si="6"/>
        <v>100</v>
      </c>
    </row>
    <row r="154" spans="1:11" ht="15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5"/>
        <v>借</v>
      </c>
      <c r="K154" s="9">
        <f t="shared" si="6"/>
        <v>100</v>
      </c>
    </row>
    <row r="155" spans="1:11" ht="15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5"/>
        <v>借</v>
      </c>
      <c r="K155" s="9">
        <f t="shared" si="6"/>
        <v>100</v>
      </c>
    </row>
    <row r="156" spans="1:11" ht="15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5"/>
        <v>借</v>
      </c>
      <c r="K156" s="9">
        <f t="shared" si="6"/>
        <v>100</v>
      </c>
    </row>
    <row r="157" spans="1:11" ht="15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5"/>
        <v>借</v>
      </c>
      <c r="K157" s="9">
        <f t="shared" si="6"/>
        <v>100</v>
      </c>
    </row>
    <row r="158" spans="1:11" ht="15" customHeight="1" x14ac:dyDescent="0.15">
      <c r="A158" s="10"/>
      <c r="B158" s="5"/>
      <c r="C158" s="5"/>
      <c r="D158" s="10"/>
      <c r="E158" s="10"/>
      <c r="F158" s="10"/>
      <c r="G158" s="10"/>
      <c r="H158" s="8"/>
      <c r="I158" s="8"/>
      <c r="J158" s="8" t="str">
        <f t="shared" si="5"/>
        <v>借</v>
      </c>
      <c r="K158" s="9">
        <f t="shared" si="6"/>
        <v>100</v>
      </c>
    </row>
    <row r="159" spans="1:11" ht="15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5"/>
        <v>借</v>
      </c>
      <c r="K159" s="9">
        <f t="shared" si="6"/>
        <v>100</v>
      </c>
    </row>
    <row r="160" spans="1:11" ht="15" customHeight="1" x14ac:dyDescent="0.15">
      <c r="A160" s="10"/>
      <c r="B160" s="5"/>
      <c r="C160" s="5"/>
      <c r="D160" s="10"/>
      <c r="E160" s="18"/>
      <c r="F160" s="10"/>
      <c r="G160" s="10"/>
      <c r="H160" s="8"/>
      <c r="I160" s="8"/>
      <c r="J160" s="8" t="str">
        <f t="shared" si="5"/>
        <v>借</v>
      </c>
      <c r="K160" s="9">
        <f t="shared" si="6"/>
        <v>100</v>
      </c>
    </row>
    <row r="161" spans="1:11" ht="15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5"/>
        <v>借</v>
      </c>
      <c r="K161" s="9">
        <f t="shared" si="6"/>
        <v>100</v>
      </c>
    </row>
    <row r="162" spans="1:11" ht="15" customHeight="1" x14ac:dyDescent="0.15">
      <c r="A162" s="10"/>
      <c r="B162" s="5"/>
      <c r="C162" s="10"/>
      <c r="D162" s="10"/>
      <c r="E162" s="10"/>
      <c r="F162" s="10"/>
      <c r="G162" s="10"/>
      <c r="H162" s="8"/>
      <c r="I162" s="8"/>
      <c r="J162" s="8" t="str">
        <f t="shared" si="5"/>
        <v>借</v>
      </c>
      <c r="K162" s="9">
        <f t="shared" si="6"/>
        <v>100</v>
      </c>
    </row>
    <row r="163" spans="1:11" ht="15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5"/>
        <v>借</v>
      </c>
      <c r="K163" s="9">
        <f t="shared" si="6"/>
        <v>100</v>
      </c>
    </row>
    <row r="164" spans="1:11" ht="15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5"/>
        <v>借</v>
      </c>
      <c r="K164" s="9">
        <f t="shared" si="6"/>
        <v>100</v>
      </c>
    </row>
    <row r="165" spans="1:11" ht="15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5"/>
        <v>借</v>
      </c>
      <c r="K165" s="9">
        <f t="shared" si="6"/>
        <v>100</v>
      </c>
    </row>
    <row r="166" spans="1:11" ht="15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5"/>
        <v>借</v>
      </c>
      <c r="K166" s="9">
        <f t="shared" si="6"/>
        <v>100</v>
      </c>
    </row>
    <row r="167" spans="1:11" ht="15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5"/>
        <v>借</v>
      </c>
      <c r="K167" s="9">
        <f t="shared" si="6"/>
        <v>100</v>
      </c>
    </row>
    <row r="168" spans="1:11" ht="15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5"/>
        <v>借</v>
      </c>
      <c r="K168" s="9">
        <f t="shared" si="6"/>
        <v>100</v>
      </c>
    </row>
    <row r="169" spans="1:11" ht="15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5"/>
        <v>借</v>
      </c>
      <c r="K169" s="9">
        <f t="shared" si="6"/>
        <v>100</v>
      </c>
    </row>
    <row r="170" spans="1:11" ht="15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5"/>
        <v>借</v>
      </c>
      <c r="K170" s="9">
        <f t="shared" si="6"/>
        <v>100</v>
      </c>
    </row>
    <row r="171" spans="1:11" ht="15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5"/>
        <v>借</v>
      </c>
      <c r="K171" s="9">
        <f t="shared" si="6"/>
        <v>100</v>
      </c>
    </row>
    <row r="172" spans="1:11" ht="15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5"/>
        <v>借</v>
      </c>
      <c r="K172" s="9">
        <f t="shared" ref="K172:K235" si="7">_xlfn.IFS(J171="借",K171+H172-I172,J171="贷",H172-I172-K171)</f>
        <v>100</v>
      </c>
    </row>
    <row r="173" spans="1:11" ht="15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5"/>
        <v>借</v>
      </c>
      <c r="K173" s="9">
        <f t="shared" si="7"/>
        <v>100</v>
      </c>
    </row>
    <row r="174" spans="1:11" ht="15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5"/>
        <v>借</v>
      </c>
      <c r="K174" s="9">
        <f t="shared" si="7"/>
        <v>100</v>
      </c>
    </row>
    <row r="175" spans="1:11" ht="15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5"/>
        <v>借</v>
      </c>
      <c r="K175" s="9">
        <f t="shared" si="7"/>
        <v>100</v>
      </c>
    </row>
    <row r="176" spans="1:11" ht="15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5"/>
        <v>借</v>
      </c>
      <c r="K176" s="9">
        <f t="shared" si="7"/>
        <v>100</v>
      </c>
    </row>
    <row r="177" spans="1:11" ht="15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5"/>
        <v>借</v>
      </c>
      <c r="K177" s="9">
        <f t="shared" si="7"/>
        <v>100</v>
      </c>
    </row>
    <row r="178" spans="1:11" ht="15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5"/>
        <v>借</v>
      </c>
      <c r="K178" s="9">
        <f t="shared" si="7"/>
        <v>100</v>
      </c>
    </row>
    <row r="179" spans="1:11" ht="15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5"/>
        <v>借</v>
      </c>
      <c r="K179" s="9">
        <f t="shared" si="7"/>
        <v>100</v>
      </c>
    </row>
    <row r="180" spans="1:11" ht="15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5"/>
        <v>借</v>
      </c>
      <c r="K180" s="9">
        <f t="shared" si="7"/>
        <v>100</v>
      </c>
    </row>
    <row r="181" spans="1:11" ht="15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5"/>
        <v>借</v>
      </c>
      <c r="K181" s="9">
        <f t="shared" si="7"/>
        <v>100</v>
      </c>
    </row>
    <row r="182" spans="1:11" ht="15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ref="J182:J245" si="8">IF((K181+H182-I182)&gt;0,"借","贷")</f>
        <v>借</v>
      </c>
      <c r="K182" s="9">
        <f t="shared" si="7"/>
        <v>100</v>
      </c>
    </row>
    <row r="183" spans="1:11" ht="15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8"/>
        <v>借</v>
      </c>
      <c r="K183" s="9">
        <f t="shared" si="7"/>
        <v>100</v>
      </c>
    </row>
    <row r="184" spans="1:11" ht="15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8"/>
        <v>借</v>
      </c>
      <c r="K184" s="9">
        <f t="shared" si="7"/>
        <v>100</v>
      </c>
    </row>
    <row r="185" spans="1:11" ht="15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8"/>
        <v>借</v>
      </c>
      <c r="K185" s="9">
        <f t="shared" si="7"/>
        <v>100</v>
      </c>
    </row>
    <row r="186" spans="1:11" ht="15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8"/>
        <v>借</v>
      </c>
      <c r="K186" s="9">
        <f t="shared" si="7"/>
        <v>100</v>
      </c>
    </row>
    <row r="187" spans="1:11" ht="15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8"/>
        <v>借</v>
      </c>
      <c r="K187" s="9">
        <f t="shared" si="7"/>
        <v>100</v>
      </c>
    </row>
    <row r="188" spans="1:11" ht="15" customHeight="1" x14ac:dyDescent="0.15">
      <c r="A188" s="10"/>
      <c r="B188" s="5"/>
      <c r="C188" s="10"/>
      <c r="D188" s="10"/>
      <c r="E188" s="19"/>
      <c r="F188" s="10"/>
      <c r="G188" s="10"/>
      <c r="H188" s="8"/>
      <c r="I188" s="8"/>
      <c r="J188" s="8" t="str">
        <f t="shared" si="8"/>
        <v>借</v>
      </c>
      <c r="K188" s="9">
        <f t="shared" si="7"/>
        <v>100</v>
      </c>
    </row>
    <row r="189" spans="1:11" ht="15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8"/>
        <v>借</v>
      </c>
      <c r="K189" s="9">
        <f t="shared" si="7"/>
        <v>100</v>
      </c>
    </row>
    <row r="190" spans="1:11" ht="15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8"/>
        <v>借</v>
      </c>
      <c r="K190" s="9">
        <f t="shared" si="7"/>
        <v>100</v>
      </c>
    </row>
    <row r="191" spans="1:11" ht="15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8"/>
        <v>借</v>
      </c>
      <c r="K191" s="9">
        <f t="shared" si="7"/>
        <v>100</v>
      </c>
    </row>
    <row r="192" spans="1:11" ht="15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8"/>
        <v>借</v>
      </c>
      <c r="K192" s="9">
        <f t="shared" si="7"/>
        <v>100</v>
      </c>
    </row>
    <row r="193" spans="1:11" ht="15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8"/>
        <v>借</v>
      </c>
      <c r="K193" s="9">
        <f t="shared" si="7"/>
        <v>100</v>
      </c>
    </row>
    <row r="194" spans="1:11" ht="15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8"/>
        <v>借</v>
      </c>
      <c r="K194" s="9">
        <f t="shared" si="7"/>
        <v>100</v>
      </c>
    </row>
    <row r="195" spans="1:11" ht="15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8"/>
        <v>借</v>
      </c>
      <c r="K195" s="9">
        <f t="shared" si="7"/>
        <v>100</v>
      </c>
    </row>
    <row r="196" spans="1:11" ht="15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8"/>
        <v>借</v>
      </c>
      <c r="K196" s="9">
        <f t="shared" si="7"/>
        <v>100</v>
      </c>
    </row>
    <row r="197" spans="1:11" ht="15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8"/>
        <v>借</v>
      </c>
      <c r="K197" s="9">
        <f t="shared" si="7"/>
        <v>100</v>
      </c>
    </row>
    <row r="198" spans="1:11" ht="15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8"/>
        <v>借</v>
      </c>
      <c r="K198" s="9">
        <f t="shared" si="7"/>
        <v>100</v>
      </c>
    </row>
    <row r="199" spans="1:11" ht="15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8"/>
        <v>借</v>
      </c>
      <c r="K199" s="9">
        <f t="shared" si="7"/>
        <v>100</v>
      </c>
    </row>
    <row r="200" spans="1:11" ht="15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8"/>
        <v>借</v>
      </c>
      <c r="K200" s="9">
        <f t="shared" si="7"/>
        <v>100</v>
      </c>
    </row>
    <row r="201" spans="1:11" ht="15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8"/>
        <v>借</v>
      </c>
      <c r="K201" s="9">
        <f t="shared" si="7"/>
        <v>100</v>
      </c>
    </row>
    <row r="202" spans="1:11" ht="15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8"/>
        <v>借</v>
      </c>
      <c r="K202" s="9">
        <f t="shared" si="7"/>
        <v>100</v>
      </c>
    </row>
    <row r="203" spans="1:11" ht="15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8"/>
        <v>借</v>
      </c>
      <c r="K203" s="9">
        <f t="shared" si="7"/>
        <v>100</v>
      </c>
    </row>
    <row r="204" spans="1:11" ht="15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8"/>
        <v>借</v>
      </c>
      <c r="K204" s="9">
        <f t="shared" si="7"/>
        <v>100</v>
      </c>
    </row>
    <row r="205" spans="1:11" ht="15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8"/>
        <v>借</v>
      </c>
      <c r="K205" s="9">
        <f t="shared" si="7"/>
        <v>100</v>
      </c>
    </row>
    <row r="206" spans="1:11" ht="15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8"/>
        <v>借</v>
      </c>
      <c r="K206" s="9">
        <f t="shared" si="7"/>
        <v>100</v>
      </c>
    </row>
    <row r="207" spans="1:11" ht="15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8"/>
        <v>借</v>
      </c>
      <c r="K207" s="9">
        <f t="shared" si="7"/>
        <v>100</v>
      </c>
    </row>
    <row r="208" spans="1:11" ht="15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8"/>
        <v>借</v>
      </c>
      <c r="K208" s="9">
        <f t="shared" si="7"/>
        <v>100</v>
      </c>
    </row>
    <row r="209" spans="1:11" ht="15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8"/>
        <v>借</v>
      </c>
      <c r="K209" s="9">
        <f t="shared" si="7"/>
        <v>100</v>
      </c>
    </row>
    <row r="210" spans="1:11" ht="15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8"/>
        <v>借</v>
      </c>
      <c r="K210" s="9">
        <f t="shared" si="7"/>
        <v>100</v>
      </c>
    </row>
    <row r="211" spans="1:11" ht="15" customHeight="1" x14ac:dyDescent="0.15">
      <c r="A211" s="10"/>
      <c r="B211" s="5"/>
      <c r="C211" s="10"/>
      <c r="D211" s="10"/>
      <c r="E211" s="20"/>
      <c r="F211" s="10"/>
      <c r="G211" s="10"/>
      <c r="H211" s="8"/>
      <c r="I211" s="8"/>
      <c r="J211" s="8" t="str">
        <f t="shared" si="8"/>
        <v>借</v>
      </c>
      <c r="K211" s="9">
        <f t="shared" si="7"/>
        <v>100</v>
      </c>
    </row>
    <row r="212" spans="1:11" ht="15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8"/>
        <v>借</v>
      </c>
      <c r="K212" s="9">
        <f t="shared" si="7"/>
        <v>100</v>
      </c>
    </row>
    <row r="213" spans="1:11" ht="15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8"/>
        <v>借</v>
      </c>
      <c r="K213" s="9">
        <f t="shared" si="7"/>
        <v>100</v>
      </c>
    </row>
    <row r="214" spans="1:11" ht="15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8"/>
        <v>借</v>
      </c>
      <c r="K214" s="9">
        <f t="shared" si="7"/>
        <v>100</v>
      </c>
    </row>
    <row r="215" spans="1:11" ht="15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8"/>
        <v>借</v>
      </c>
      <c r="K215" s="9">
        <f t="shared" si="7"/>
        <v>100</v>
      </c>
    </row>
    <row r="216" spans="1:11" ht="15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8"/>
        <v>借</v>
      </c>
      <c r="K216" s="9">
        <f t="shared" si="7"/>
        <v>100</v>
      </c>
    </row>
    <row r="217" spans="1:11" ht="15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8"/>
        <v>借</v>
      </c>
      <c r="K217" s="9">
        <f t="shared" si="7"/>
        <v>100</v>
      </c>
    </row>
    <row r="218" spans="1:11" ht="15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8"/>
        <v>借</v>
      </c>
      <c r="K218" s="9">
        <f t="shared" si="7"/>
        <v>100</v>
      </c>
    </row>
    <row r="219" spans="1:11" ht="15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8"/>
        <v>借</v>
      </c>
      <c r="K219" s="9">
        <f t="shared" si="7"/>
        <v>100</v>
      </c>
    </row>
    <row r="220" spans="1:11" ht="15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8"/>
        <v>借</v>
      </c>
      <c r="K220" s="9">
        <f t="shared" si="7"/>
        <v>100</v>
      </c>
    </row>
    <row r="221" spans="1:11" ht="15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8"/>
        <v>借</v>
      </c>
      <c r="K221" s="9">
        <f t="shared" si="7"/>
        <v>100</v>
      </c>
    </row>
    <row r="222" spans="1:11" ht="15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8"/>
        <v>借</v>
      </c>
      <c r="K222" s="9">
        <f t="shared" si="7"/>
        <v>100</v>
      </c>
    </row>
    <row r="223" spans="1:11" ht="15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8"/>
        <v>借</v>
      </c>
      <c r="K223" s="9">
        <f t="shared" si="7"/>
        <v>100</v>
      </c>
    </row>
    <row r="224" spans="1:11" ht="15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8"/>
        <v>借</v>
      </c>
      <c r="K224" s="9">
        <f t="shared" si="7"/>
        <v>100</v>
      </c>
    </row>
    <row r="225" spans="1:11" ht="15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8"/>
        <v>借</v>
      </c>
      <c r="K225" s="9">
        <f t="shared" si="7"/>
        <v>100</v>
      </c>
    </row>
    <row r="226" spans="1:11" ht="15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8"/>
        <v>借</v>
      </c>
      <c r="K226" s="9">
        <f t="shared" si="7"/>
        <v>100</v>
      </c>
    </row>
    <row r="227" spans="1:11" ht="15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8"/>
        <v>借</v>
      </c>
      <c r="K227" s="9">
        <f t="shared" si="7"/>
        <v>100</v>
      </c>
    </row>
    <row r="228" spans="1:11" ht="15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8"/>
        <v>借</v>
      </c>
      <c r="K228" s="9">
        <f t="shared" si="7"/>
        <v>100</v>
      </c>
    </row>
    <row r="229" spans="1:11" ht="15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8"/>
        <v>借</v>
      </c>
      <c r="K229" s="21">
        <f t="shared" si="7"/>
        <v>100</v>
      </c>
    </row>
    <row r="230" spans="1:11" ht="15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8"/>
        <v>借</v>
      </c>
      <c r="K230" s="9">
        <f t="shared" si="7"/>
        <v>100</v>
      </c>
    </row>
    <row r="231" spans="1:11" ht="15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8"/>
        <v>借</v>
      </c>
      <c r="K231" s="9">
        <f t="shared" si="7"/>
        <v>100</v>
      </c>
    </row>
    <row r="232" spans="1:11" ht="15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8"/>
        <v>借</v>
      </c>
      <c r="K232" s="9">
        <f t="shared" si="7"/>
        <v>100</v>
      </c>
    </row>
    <row r="233" spans="1:11" ht="15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8"/>
        <v>借</v>
      </c>
      <c r="K233" s="21">
        <f t="shared" si="7"/>
        <v>100</v>
      </c>
    </row>
    <row r="234" spans="1:11" ht="15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8"/>
        <v>借</v>
      </c>
      <c r="K234" s="9">
        <f t="shared" si="7"/>
        <v>100</v>
      </c>
    </row>
    <row r="235" spans="1:11" ht="15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8"/>
        <v>借</v>
      </c>
      <c r="K235" s="9">
        <f t="shared" si="7"/>
        <v>100</v>
      </c>
    </row>
    <row r="236" spans="1:11" ht="15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8"/>
        <v>借</v>
      </c>
      <c r="K236" s="9">
        <f t="shared" ref="K236:K299" si="9">_xlfn.IFS(J235="借",K235+H236-I236,J235="贷",H236-I236-K235)</f>
        <v>100</v>
      </c>
    </row>
    <row r="237" spans="1:11" ht="15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8"/>
        <v>借</v>
      </c>
      <c r="K237" s="9">
        <f t="shared" si="9"/>
        <v>100</v>
      </c>
    </row>
    <row r="238" spans="1:11" ht="15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8"/>
        <v>借</v>
      </c>
      <c r="K238" s="9">
        <f t="shared" si="9"/>
        <v>100</v>
      </c>
    </row>
    <row r="239" spans="1:11" ht="15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8"/>
        <v>借</v>
      </c>
      <c r="K239" s="9">
        <f t="shared" si="9"/>
        <v>100</v>
      </c>
    </row>
    <row r="240" spans="1:11" ht="15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8"/>
        <v>借</v>
      </c>
      <c r="K240" s="9">
        <f t="shared" si="9"/>
        <v>100</v>
      </c>
    </row>
    <row r="241" spans="1:11" ht="15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23" t="str">
        <f t="shared" si="8"/>
        <v>借</v>
      </c>
      <c r="K241" s="9">
        <f t="shared" si="9"/>
        <v>100</v>
      </c>
    </row>
    <row r="242" spans="1:11" ht="15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8"/>
        <v>借</v>
      </c>
      <c r="K242" s="9">
        <f t="shared" si="9"/>
        <v>100</v>
      </c>
    </row>
    <row r="243" spans="1:11" ht="15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8"/>
        <v>借</v>
      </c>
      <c r="K243" s="9">
        <f t="shared" si="9"/>
        <v>100</v>
      </c>
    </row>
    <row r="244" spans="1:11" ht="15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8"/>
        <v>借</v>
      </c>
      <c r="K244" s="9">
        <f t="shared" si="9"/>
        <v>100</v>
      </c>
    </row>
    <row r="245" spans="1:11" ht="15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8"/>
        <v>借</v>
      </c>
      <c r="K245" s="9">
        <f t="shared" si="9"/>
        <v>100</v>
      </c>
    </row>
    <row r="246" spans="1:11" ht="15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ref="J246:J309" si="10">IF((K245+H246-I246)&gt;0,"借","贷")</f>
        <v>借</v>
      </c>
      <c r="K246" s="9">
        <f t="shared" si="9"/>
        <v>100</v>
      </c>
    </row>
    <row r="247" spans="1:11" ht="15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tr">
        <f t="shared" si="10"/>
        <v>借</v>
      </c>
      <c r="K247" s="9">
        <f t="shared" si="9"/>
        <v>100</v>
      </c>
    </row>
    <row r="248" spans="1:11" ht="15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10"/>
        <v>借</v>
      </c>
      <c r="K248" s="9">
        <f t="shared" si="9"/>
        <v>100</v>
      </c>
    </row>
    <row r="249" spans="1:11" ht="15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10"/>
        <v>借</v>
      </c>
      <c r="K249" s="9">
        <f t="shared" si="9"/>
        <v>100</v>
      </c>
    </row>
    <row r="250" spans="1:11" ht="15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10"/>
        <v>借</v>
      </c>
      <c r="K250" s="9">
        <f t="shared" si="9"/>
        <v>100</v>
      </c>
    </row>
    <row r="251" spans="1:11" ht="15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10"/>
        <v>借</v>
      </c>
      <c r="K251" s="9">
        <f t="shared" si="9"/>
        <v>100</v>
      </c>
    </row>
    <row r="252" spans="1:11" ht="15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10"/>
        <v>借</v>
      </c>
      <c r="K252" s="9">
        <f t="shared" si="9"/>
        <v>100</v>
      </c>
    </row>
    <row r="253" spans="1:11" ht="15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10"/>
        <v>借</v>
      </c>
      <c r="K253" s="9">
        <f t="shared" si="9"/>
        <v>100</v>
      </c>
    </row>
    <row r="254" spans="1:11" ht="15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10"/>
        <v>借</v>
      </c>
      <c r="K254" s="9">
        <f t="shared" si="9"/>
        <v>100</v>
      </c>
    </row>
    <row r="255" spans="1:11" ht="15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10"/>
        <v>借</v>
      </c>
      <c r="K255" s="9">
        <f t="shared" si="9"/>
        <v>100</v>
      </c>
    </row>
    <row r="256" spans="1:11" ht="15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10"/>
        <v>借</v>
      </c>
      <c r="K256" s="9">
        <f t="shared" si="9"/>
        <v>100</v>
      </c>
    </row>
    <row r="257" spans="1:11" ht="15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10"/>
        <v>借</v>
      </c>
      <c r="K257" s="9">
        <f t="shared" si="9"/>
        <v>100</v>
      </c>
    </row>
    <row r="258" spans="1:11" ht="15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10"/>
        <v>借</v>
      </c>
      <c r="K258" s="9">
        <f t="shared" si="9"/>
        <v>100</v>
      </c>
    </row>
    <row r="259" spans="1:11" ht="15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10"/>
        <v>借</v>
      </c>
      <c r="K259" s="9">
        <f t="shared" si="9"/>
        <v>100</v>
      </c>
    </row>
    <row r="260" spans="1:11" ht="15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10"/>
        <v>借</v>
      </c>
      <c r="K260" s="9">
        <f t="shared" si="9"/>
        <v>100</v>
      </c>
    </row>
    <row r="261" spans="1:11" ht="15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10"/>
        <v>借</v>
      </c>
      <c r="K261" s="9">
        <f t="shared" si="9"/>
        <v>100</v>
      </c>
    </row>
    <row r="262" spans="1:11" ht="15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10"/>
        <v>借</v>
      </c>
      <c r="K262" s="9">
        <f t="shared" si="9"/>
        <v>100</v>
      </c>
    </row>
    <row r="263" spans="1:11" ht="15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10"/>
        <v>借</v>
      </c>
      <c r="K263" s="9">
        <f t="shared" si="9"/>
        <v>100</v>
      </c>
    </row>
    <row r="264" spans="1:11" ht="15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10"/>
        <v>借</v>
      </c>
      <c r="K264" s="9">
        <f t="shared" si="9"/>
        <v>100</v>
      </c>
    </row>
    <row r="265" spans="1:11" ht="15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0"/>
        <v>借</v>
      </c>
      <c r="K265" s="9">
        <f t="shared" si="9"/>
        <v>100</v>
      </c>
    </row>
    <row r="266" spans="1:11" ht="15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0"/>
        <v>借</v>
      </c>
      <c r="K266" s="9">
        <f t="shared" si="9"/>
        <v>100</v>
      </c>
    </row>
    <row r="267" spans="1:11" ht="15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0"/>
        <v>借</v>
      </c>
      <c r="K267" s="9">
        <f t="shared" si="9"/>
        <v>100</v>
      </c>
    </row>
    <row r="268" spans="1:11" ht="15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0"/>
        <v>借</v>
      </c>
      <c r="K268" s="9">
        <f t="shared" si="9"/>
        <v>100</v>
      </c>
    </row>
    <row r="269" spans="1:11" ht="15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0"/>
        <v>借</v>
      </c>
      <c r="K269" s="9">
        <f t="shared" si="9"/>
        <v>100</v>
      </c>
    </row>
    <row r="270" spans="1:11" ht="15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0"/>
        <v>借</v>
      </c>
      <c r="K270" s="9">
        <f t="shared" si="9"/>
        <v>100</v>
      </c>
    </row>
    <row r="271" spans="1:11" ht="15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0"/>
        <v>借</v>
      </c>
      <c r="K271" s="9">
        <f t="shared" si="9"/>
        <v>100</v>
      </c>
    </row>
    <row r="272" spans="1:11" ht="15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0"/>
        <v>借</v>
      </c>
      <c r="K272" s="9">
        <f t="shared" si="9"/>
        <v>100</v>
      </c>
    </row>
    <row r="273" spans="1:11" ht="15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0"/>
        <v>借</v>
      </c>
      <c r="K273" s="9">
        <f t="shared" si="9"/>
        <v>100</v>
      </c>
    </row>
    <row r="274" spans="1:11" ht="15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0"/>
        <v>借</v>
      </c>
      <c r="K274" s="9">
        <f t="shared" si="9"/>
        <v>100</v>
      </c>
    </row>
    <row r="275" spans="1:11" ht="15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0"/>
        <v>借</v>
      </c>
      <c r="K275" s="9">
        <f t="shared" si="9"/>
        <v>100</v>
      </c>
    </row>
    <row r="276" spans="1:11" ht="15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0"/>
        <v>借</v>
      </c>
      <c r="K276" s="9">
        <f t="shared" si="9"/>
        <v>100</v>
      </c>
    </row>
    <row r="277" spans="1:11" ht="15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0"/>
        <v>借</v>
      </c>
      <c r="K277" s="9">
        <f t="shared" si="9"/>
        <v>100</v>
      </c>
    </row>
    <row r="278" spans="1:11" ht="15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0"/>
        <v>借</v>
      </c>
      <c r="K278" s="9">
        <f t="shared" si="9"/>
        <v>100</v>
      </c>
    </row>
    <row r="279" spans="1:11" ht="15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0"/>
        <v>借</v>
      </c>
      <c r="K279" s="9">
        <f t="shared" si="9"/>
        <v>100</v>
      </c>
    </row>
    <row r="280" spans="1:11" ht="15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0"/>
        <v>借</v>
      </c>
      <c r="K280" s="9">
        <f t="shared" si="9"/>
        <v>100</v>
      </c>
    </row>
    <row r="281" spans="1:11" ht="15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0"/>
        <v>借</v>
      </c>
      <c r="K281" s="9">
        <f t="shared" si="9"/>
        <v>100</v>
      </c>
    </row>
    <row r="282" spans="1:11" ht="15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0"/>
        <v>借</v>
      </c>
      <c r="K282" s="9">
        <f t="shared" si="9"/>
        <v>100</v>
      </c>
    </row>
    <row r="283" spans="1:11" ht="15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0"/>
        <v>借</v>
      </c>
      <c r="K283" s="9">
        <f t="shared" si="9"/>
        <v>100</v>
      </c>
    </row>
    <row r="284" spans="1:11" ht="15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0"/>
        <v>借</v>
      </c>
      <c r="K284" s="9">
        <f t="shared" si="9"/>
        <v>100</v>
      </c>
    </row>
    <row r="285" spans="1:11" ht="15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0"/>
        <v>借</v>
      </c>
      <c r="K285" s="9">
        <f t="shared" si="9"/>
        <v>100</v>
      </c>
    </row>
    <row r="286" spans="1:11" ht="15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0"/>
        <v>借</v>
      </c>
      <c r="K286" s="9">
        <f t="shared" si="9"/>
        <v>100</v>
      </c>
    </row>
    <row r="287" spans="1:11" ht="15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0"/>
        <v>借</v>
      </c>
      <c r="K287" s="9">
        <f t="shared" si="9"/>
        <v>100</v>
      </c>
    </row>
    <row r="288" spans="1:11" ht="15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0"/>
        <v>借</v>
      </c>
      <c r="K288" s="9">
        <f t="shared" si="9"/>
        <v>100</v>
      </c>
    </row>
    <row r="289" spans="1:11" ht="15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0"/>
        <v>借</v>
      </c>
      <c r="K289" s="9">
        <f t="shared" si="9"/>
        <v>100</v>
      </c>
    </row>
    <row r="290" spans="1:11" ht="15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0"/>
        <v>借</v>
      </c>
      <c r="K290" s="9">
        <f t="shared" si="9"/>
        <v>100</v>
      </c>
    </row>
    <row r="291" spans="1:11" ht="15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0"/>
        <v>借</v>
      </c>
      <c r="K291" s="9">
        <f t="shared" si="9"/>
        <v>100</v>
      </c>
    </row>
    <row r="292" spans="1:11" ht="15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0"/>
        <v>借</v>
      </c>
      <c r="K292" s="9">
        <f t="shared" si="9"/>
        <v>100</v>
      </c>
    </row>
    <row r="293" spans="1:11" ht="15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0"/>
        <v>借</v>
      </c>
      <c r="K293" s="9">
        <f t="shared" si="9"/>
        <v>100</v>
      </c>
    </row>
    <row r="294" spans="1:11" ht="15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0"/>
        <v>借</v>
      </c>
      <c r="K294" s="9">
        <f t="shared" si="9"/>
        <v>100</v>
      </c>
    </row>
    <row r="295" spans="1:11" ht="15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0"/>
        <v>借</v>
      </c>
      <c r="K295" s="9">
        <f t="shared" si="9"/>
        <v>100</v>
      </c>
    </row>
    <row r="296" spans="1:11" ht="15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0"/>
        <v>借</v>
      </c>
      <c r="K296" s="9">
        <f t="shared" si="9"/>
        <v>100</v>
      </c>
    </row>
    <row r="297" spans="1:11" ht="15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0"/>
        <v>借</v>
      </c>
      <c r="K297" s="9">
        <f t="shared" si="9"/>
        <v>100</v>
      </c>
    </row>
    <row r="298" spans="1:11" ht="15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0"/>
        <v>借</v>
      </c>
      <c r="K298" s="9">
        <f t="shared" si="9"/>
        <v>100</v>
      </c>
    </row>
    <row r="299" spans="1:11" ht="15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0"/>
        <v>借</v>
      </c>
      <c r="K299" s="9">
        <f t="shared" si="9"/>
        <v>100</v>
      </c>
    </row>
    <row r="300" spans="1:11" ht="15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0"/>
        <v>借</v>
      </c>
      <c r="K300" s="9">
        <f t="shared" ref="K300:K363" si="11">_xlfn.IFS(J299="借",K299+H300-I300,J299="贷",H300-I300-K299)</f>
        <v>100</v>
      </c>
    </row>
    <row r="301" spans="1:11" ht="15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0"/>
        <v>借</v>
      </c>
      <c r="K301" s="9">
        <f t="shared" si="11"/>
        <v>100</v>
      </c>
    </row>
    <row r="302" spans="1:11" ht="15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0"/>
        <v>借</v>
      </c>
      <c r="K302" s="9">
        <f t="shared" si="11"/>
        <v>100</v>
      </c>
    </row>
    <row r="303" spans="1:11" ht="15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0"/>
        <v>借</v>
      </c>
      <c r="K303" s="9">
        <f t="shared" si="11"/>
        <v>100</v>
      </c>
    </row>
    <row r="304" spans="1:11" ht="15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0"/>
        <v>借</v>
      </c>
      <c r="K304" s="9">
        <f t="shared" si="11"/>
        <v>100</v>
      </c>
    </row>
    <row r="305" spans="1:11" ht="15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0"/>
        <v>借</v>
      </c>
      <c r="K305" s="9">
        <f t="shared" si="11"/>
        <v>100</v>
      </c>
    </row>
    <row r="306" spans="1:11" ht="15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0"/>
        <v>借</v>
      </c>
      <c r="K306" s="9">
        <f t="shared" si="11"/>
        <v>100</v>
      </c>
    </row>
    <row r="307" spans="1:11" ht="15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0"/>
        <v>借</v>
      </c>
      <c r="K307" s="9">
        <f t="shared" si="11"/>
        <v>100</v>
      </c>
    </row>
    <row r="308" spans="1:11" ht="15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0"/>
        <v>借</v>
      </c>
      <c r="K308" s="9">
        <f t="shared" si="11"/>
        <v>100</v>
      </c>
    </row>
    <row r="309" spans="1:11" ht="15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0"/>
        <v>借</v>
      </c>
      <c r="K309" s="9">
        <f t="shared" si="11"/>
        <v>100</v>
      </c>
    </row>
    <row r="310" spans="1:11" ht="15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ref="J310:J373" si="12">IF((K309+H310-I310)&gt;0,"借","贷")</f>
        <v>借</v>
      </c>
      <c r="K310" s="9">
        <f t="shared" si="11"/>
        <v>100</v>
      </c>
    </row>
    <row r="311" spans="1:11" ht="15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2"/>
        <v>借</v>
      </c>
      <c r="K311" s="9">
        <f t="shared" si="11"/>
        <v>100</v>
      </c>
    </row>
    <row r="312" spans="1:11" ht="15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2"/>
        <v>借</v>
      </c>
      <c r="K312" s="9">
        <f t="shared" si="11"/>
        <v>100</v>
      </c>
    </row>
    <row r="313" spans="1:11" ht="15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2"/>
        <v>借</v>
      </c>
      <c r="K313" s="9">
        <f t="shared" si="11"/>
        <v>100</v>
      </c>
    </row>
    <row r="314" spans="1:11" ht="15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2"/>
        <v>借</v>
      </c>
      <c r="K314" s="9">
        <f t="shared" si="11"/>
        <v>100</v>
      </c>
    </row>
    <row r="315" spans="1:11" ht="15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2"/>
        <v>借</v>
      </c>
      <c r="K315" s="9">
        <f t="shared" si="11"/>
        <v>100</v>
      </c>
    </row>
    <row r="316" spans="1:11" ht="15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2"/>
        <v>借</v>
      </c>
      <c r="K316" s="9">
        <f t="shared" si="11"/>
        <v>100</v>
      </c>
    </row>
    <row r="317" spans="1:11" ht="15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2"/>
        <v>借</v>
      </c>
      <c r="K317" s="9">
        <f t="shared" si="11"/>
        <v>100</v>
      </c>
    </row>
    <row r="318" spans="1:11" ht="15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2"/>
        <v>借</v>
      </c>
      <c r="K318" s="9">
        <f t="shared" si="11"/>
        <v>100</v>
      </c>
    </row>
    <row r="319" spans="1:11" ht="15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2"/>
        <v>借</v>
      </c>
      <c r="K319" s="9">
        <f t="shared" si="11"/>
        <v>100</v>
      </c>
    </row>
    <row r="320" spans="1:11" ht="15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2"/>
        <v>借</v>
      </c>
      <c r="K320" s="9">
        <f t="shared" si="11"/>
        <v>100</v>
      </c>
    </row>
    <row r="321" spans="1:11" ht="15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2"/>
        <v>借</v>
      </c>
      <c r="K321" s="9">
        <f t="shared" si="11"/>
        <v>100</v>
      </c>
    </row>
    <row r="322" spans="1:11" ht="15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2"/>
        <v>借</v>
      </c>
      <c r="K322" s="9">
        <f t="shared" si="11"/>
        <v>100</v>
      </c>
    </row>
    <row r="323" spans="1:11" ht="15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2"/>
        <v>借</v>
      </c>
      <c r="K323" s="9">
        <f t="shared" si="11"/>
        <v>100</v>
      </c>
    </row>
    <row r="324" spans="1:11" ht="15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2"/>
        <v>借</v>
      </c>
      <c r="K324" s="9">
        <f t="shared" si="11"/>
        <v>100</v>
      </c>
    </row>
    <row r="325" spans="1:11" ht="15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2"/>
        <v>借</v>
      </c>
      <c r="K325" s="9">
        <f t="shared" si="11"/>
        <v>100</v>
      </c>
    </row>
    <row r="326" spans="1:11" ht="15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2"/>
        <v>借</v>
      </c>
      <c r="K326" s="9">
        <f t="shared" si="11"/>
        <v>100</v>
      </c>
    </row>
    <row r="327" spans="1:11" ht="15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2"/>
        <v>借</v>
      </c>
      <c r="K327" s="9">
        <f t="shared" si="11"/>
        <v>100</v>
      </c>
    </row>
    <row r="328" spans="1:11" ht="15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2"/>
        <v>借</v>
      </c>
      <c r="K328" s="9">
        <f t="shared" si="11"/>
        <v>100</v>
      </c>
    </row>
    <row r="329" spans="1:11" ht="15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2"/>
        <v>借</v>
      </c>
      <c r="K329" s="9">
        <f t="shared" si="11"/>
        <v>100</v>
      </c>
    </row>
    <row r="330" spans="1:11" ht="15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2"/>
        <v>借</v>
      </c>
      <c r="K330" s="9">
        <f t="shared" si="11"/>
        <v>100</v>
      </c>
    </row>
    <row r="331" spans="1:11" ht="15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2"/>
        <v>借</v>
      </c>
      <c r="K331" s="9">
        <f t="shared" si="11"/>
        <v>100</v>
      </c>
    </row>
    <row r="332" spans="1:11" ht="15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2"/>
        <v>借</v>
      </c>
      <c r="K332" s="9">
        <f t="shared" si="11"/>
        <v>100</v>
      </c>
    </row>
    <row r="333" spans="1:11" ht="15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2"/>
        <v>借</v>
      </c>
      <c r="K333" s="9">
        <f t="shared" si="11"/>
        <v>100</v>
      </c>
    </row>
    <row r="334" spans="1:11" ht="15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2"/>
        <v>借</v>
      </c>
      <c r="K334" s="9">
        <f t="shared" si="11"/>
        <v>100</v>
      </c>
    </row>
    <row r="335" spans="1:11" ht="15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2"/>
        <v>借</v>
      </c>
      <c r="K335" s="9">
        <f t="shared" si="11"/>
        <v>100</v>
      </c>
    </row>
    <row r="336" spans="1:11" ht="15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2"/>
        <v>借</v>
      </c>
      <c r="K336" s="9">
        <f t="shared" si="11"/>
        <v>100</v>
      </c>
    </row>
    <row r="337" spans="1:11" ht="15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2"/>
        <v>借</v>
      </c>
      <c r="K337" s="9">
        <f t="shared" si="11"/>
        <v>100</v>
      </c>
    </row>
    <row r="338" spans="1:11" ht="15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2"/>
        <v>借</v>
      </c>
      <c r="K338" s="9">
        <f t="shared" si="11"/>
        <v>100</v>
      </c>
    </row>
    <row r="339" spans="1:11" ht="15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2"/>
        <v>借</v>
      </c>
      <c r="K339" s="9">
        <f t="shared" si="11"/>
        <v>100</v>
      </c>
    </row>
    <row r="340" spans="1:11" ht="15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2"/>
        <v>借</v>
      </c>
      <c r="K340" s="9">
        <f t="shared" si="11"/>
        <v>100</v>
      </c>
    </row>
    <row r="341" spans="1:11" ht="15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2"/>
        <v>借</v>
      </c>
      <c r="K341" s="9">
        <f t="shared" si="11"/>
        <v>100</v>
      </c>
    </row>
    <row r="342" spans="1:11" ht="15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2"/>
        <v>借</v>
      </c>
      <c r="K342" s="9">
        <f t="shared" si="11"/>
        <v>100</v>
      </c>
    </row>
    <row r="343" spans="1:11" ht="15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2"/>
        <v>借</v>
      </c>
      <c r="K343" s="9">
        <f t="shared" si="11"/>
        <v>100</v>
      </c>
    </row>
    <row r="344" spans="1:11" ht="15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2"/>
        <v>借</v>
      </c>
      <c r="K344" s="9">
        <f t="shared" si="11"/>
        <v>100</v>
      </c>
    </row>
    <row r="345" spans="1:11" ht="15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2"/>
        <v>借</v>
      </c>
      <c r="K345" s="9">
        <f t="shared" si="11"/>
        <v>100</v>
      </c>
    </row>
    <row r="346" spans="1:11" ht="15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2"/>
        <v>借</v>
      </c>
      <c r="K346" s="9">
        <f t="shared" si="11"/>
        <v>100</v>
      </c>
    </row>
    <row r="347" spans="1:11" ht="15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2"/>
        <v>借</v>
      </c>
      <c r="K347" s="9">
        <f t="shared" si="11"/>
        <v>100</v>
      </c>
    </row>
    <row r="348" spans="1:11" ht="15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2"/>
        <v>借</v>
      </c>
      <c r="K348" s="9">
        <f t="shared" si="11"/>
        <v>100</v>
      </c>
    </row>
    <row r="349" spans="1:11" ht="15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2"/>
        <v>借</v>
      </c>
      <c r="K349" s="9">
        <f t="shared" si="11"/>
        <v>100</v>
      </c>
    </row>
    <row r="350" spans="1:11" ht="15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2"/>
        <v>借</v>
      </c>
      <c r="K350" s="9">
        <f t="shared" si="11"/>
        <v>100</v>
      </c>
    </row>
    <row r="351" spans="1:11" ht="15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2"/>
        <v>借</v>
      </c>
      <c r="K351" s="9">
        <f t="shared" si="11"/>
        <v>100</v>
      </c>
    </row>
    <row r="352" spans="1:11" ht="15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2"/>
        <v>借</v>
      </c>
      <c r="K352" s="9">
        <f t="shared" si="11"/>
        <v>100</v>
      </c>
    </row>
    <row r="353" spans="1:11" ht="15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2"/>
        <v>借</v>
      </c>
      <c r="K353" s="9">
        <f t="shared" si="11"/>
        <v>100</v>
      </c>
    </row>
    <row r="354" spans="1:11" ht="15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2"/>
        <v>借</v>
      </c>
      <c r="K354" s="9">
        <f t="shared" si="11"/>
        <v>100</v>
      </c>
    </row>
    <row r="355" spans="1:11" ht="15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2"/>
        <v>借</v>
      </c>
      <c r="K355" s="9">
        <f t="shared" si="11"/>
        <v>100</v>
      </c>
    </row>
    <row r="356" spans="1:11" ht="15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2"/>
        <v>借</v>
      </c>
      <c r="K356" s="9">
        <f t="shared" si="11"/>
        <v>100</v>
      </c>
    </row>
    <row r="357" spans="1:11" ht="15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2"/>
        <v>借</v>
      </c>
      <c r="K357" s="9">
        <f t="shared" si="11"/>
        <v>100</v>
      </c>
    </row>
    <row r="358" spans="1:11" ht="15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2"/>
        <v>借</v>
      </c>
      <c r="K358" s="9">
        <f t="shared" si="11"/>
        <v>100</v>
      </c>
    </row>
    <row r="359" spans="1:11" ht="15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2"/>
        <v>借</v>
      </c>
      <c r="K359" s="9">
        <f t="shared" si="11"/>
        <v>100</v>
      </c>
    </row>
    <row r="360" spans="1:11" ht="15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2"/>
        <v>借</v>
      </c>
      <c r="K360" s="9">
        <f t="shared" si="11"/>
        <v>100</v>
      </c>
    </row>
    <row r="361" spans="1:11" ht="15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2"/>
        <v>借</v>
      </c>
      <c r="K361" s="9">
        <f t="shared" si="11"/>
        <v>100</v>
      </c>
    </row>
    <row r="362" spans="1:11" ht="15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2"/>
        <v>借</v>
      </c>
      <c r="K362" s="9">
        <f t="shared" si="11"/>
        <v>100</v>
      </c>
    </row>
    <row r="363" spans="1:11" ht="15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2"/>
        <v>借</v>
      </c>
      <c r="K363" s="9">
        <f t="shared" si="11"/>
        <v>100</v>
      </c>
    </row>
    <row r="364" spans="1:11" ht="15" customHeight="1" x14ac:dyDescent="0.15">
      <c r="B364" s="5"/>
      <c r="C364" s="10"/>
      <c r="D364" s="10"/>
      <c r="E364" s="10"/>
      <c r="F364" s="10"/>
      <c r="G364" s="10"/>
      <c r="H364" s="8"/>
      <c r="I364" s="8"/>
      <c r="J364" s="8" t="str">
        <f t="shared" si="12"/>
        <v>借</v>
      </c>
      <c r="K364" s="9">
        <f t="shared" ref="K364:K427" si="13">_xlfn.IFS(J363="借",K363+H364-I364,J363="贷",H364-I364-K363)</f>
        <v>100</v>
      </c>
    </row>
    <row r="365" spans="1:11" ht="15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2"/>
        <v>借</v>
      </c>
      <c r="K365" s="9">
        <f t="shared" si="13"/>
        <v>100</v>
      </c>
    </row>
    <row r="366" spans="1:11" ht="15" customHeight="1" x14ac:dyDescent="0.15">
      <c r="B366" s="5"/>
      <c r="C366" s="7"/>
      <c r="D366" s="10"/>
      <c r="E366" s="10"/>
      <c r="F366" s="10"/>
      <c r="G366" s="10"/>
      <c r="H366" s="8"/>
      <c r="I366" s="8"/>
      <c r="J366" s="8" t="str">
        <f t="shared" si="12"/>
        <v>借</v>
      </c>
      <c r="K366" s="9">
        <f t="shared" si="13"/>
        <v>100</v>
      </c>
    </row>
    <row r="367" spans="1:11" ht="15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2"/>
        <v>借</v>
      </c>
      <c r="K367" s="9">
        <f t="shared" si="13"/>
        <v>100</v>
      </c>
    </row>
    <row r="368" spans="1:11" ht="15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2"/>
        <v>借</v>
      </c>
      <c r="K368" s="9">
        <f t="shared" si="13"/>
        <v>100</v>
      </c>
    </row>
    <row r="369" spans="2:11" ht="15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2"/>
        <v>借</v>
      </c>
      <c r="K369" s="9">
        <f t="shared" si="13"/>
        <v>100</v>
      </c>
    </row>
    <row r="370" spans="2:11" ht="15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2"/>
        <v>借</v>
      </c>
      <c r="K370" s="9">
        <f t="shared" si="13"/>
        <v>100</v>
      </c>
    </row>
    <row r="371" spans="2:11" ht="15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2"/>
        <v>借</v>
      </c>
      <c r="K371" s="9">
        <f t="shared" si="13"/>
        <v>100</v>
      </c>
    </row>
    <row r="372" spans="2:11" ht="15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2"/>
        <v>借</v>
      </c>
      <c r="K372" s="9">
        <f t="shared" si="13"/>
        <v>100</v>
      </c>
    </row>
    <row r="373" spans="2:11" ht="15" customHeight="1" x14ac:dyDescent="0.15">
      <c r="B373" s="5">
        <v>4</v>
      </c>
      <c r="C373" s="7"/>
      <c r="D373" s="10"/>
      <c r="E373" s="10"/>
      <c r="F373" s="10"/>
      <c r="G373" s="10"/>
      <c r="H373" s="8"/>
      <c r="I373" s="8"/>
      <c r="J373" s="8" t="str">
        <f t="shared" si="12"/>
        <v>借</v>
      </c>
      <c r="K373" s="9">
        <f t="shared" si="13"/>
        <v>100</v>
      </c>
    </row>
    <row r="374" spans="2:11" ht="15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ref="J374:J437" si="14">IF((K373+H374-I374)&gt;0,"借","贷")</f>
        <v>借</v>
      </c>
      <c r="K374" s="9">
        <f t="shared" si="13"/>
        <v>100</v>
      </c>
    </row>
    <row r="375" spans="2:11" ht="15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4"/>
        <v>借</v>
      </c>
      <c r="K375" s="9">
        <f t="shared" si="13"/>
        <v>100</v>
      </c>
    </row>
    <row r="376" spans="2:11" ht="15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4"/>
        <v>借</v>
      </c>
      <c r="K376" s="9">
        <f t="shared" si="13"/>
        <v>100</v>
      </c>
    </row>
    <row r="377" spans="2:11" ht="15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4"/>
        <v>借</v>
      </c>
      <c r="K377" s="9">
        <f t="shared" si="13"/>
        <v>100</v>
      </c>
    </row>
    <row r="378" spans="2:11" ht="15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4"/>
        <v>借</v>
      </c>
      <c r="K378" s="9">
        <f t="shared" si="13"/>
        <v>100</v>
      </c>
    </row>
    <row r="379" spans="2:11" ht="15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4"/>
        <v>借</v>
      </c>
      <c r="K379" s="9">
        <f t="shared" si="13"/>
        <v>100</v>
      </c>
    </row>
    <row r="380" spans="2:11" ht="15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4"/>
        <v>借</v>
      </c>
      <c r="K380" s="9">
        <f t="shared" si="13"/>
        <v>100</v>
      </c>
    </row>
    <row r="381" spans="2:11" ht="15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4"/>
        <v>借</v>
      </c>
      <c r="K381" s="9">
        <f t="shared" si="13"/>
        <v>100</v>
      </c>
    </row>
    <row r="382" spans="2:11" ht="15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4"/>
        <v>借</v>
      </c>
      <c r="K382" s="9">
        <f t="shared" si="13"/>
        <v>100</v>
      </c>
    </row>
    <row r="383" spans="2:11" ht="15" customHeight="1" x14ac:dyDescent="0.15">
      <c r="B383" s="5">
        <v>4</v>
      </c>
      <c r="C383" s="10"/>
      <c r="D383" s="10"/>
      <c r="E383" s="10"/>
      <c r="F383" s="10"/>
      <c r="G383" s="10"/>
      <c r="H383" s="8"/>
      <c r="I383" s="8"/>
      <c r="J383" s="8" t="str">
        <f t="shared" si="14"/>
        <v>借</v>
      </c>
      <c r="K383" s="9">
        <f t="shared" si="13"/>
        <v>100</v>
      </c>
    </row>
    <row r="384" spans="2:11" ht="15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4"/>
        <v>借</v>
      </c>
      <c r="K384" s="9">
        <f t="shared" si="13"/>
        <v>100</v>
      </c>
    </row>
    <row r="385" spans="2:11" ht="15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4"/>
        <v>借</v>
      </c>
      <c r="K385" s="9">
        <f t="shared" si="13"/>
        <v>100</v>
      </c>
    </row>
    <row r="386" spans="2:11" ht="15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4"/>
        <v>借</v>
      </c>
      <c r="K386" s="9">
        <f t="shared" si="13"/>
        <v>100</v>
      </c>
    </row>
    <row r="387" spans="2:11" ht="15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4"/>
        <v>借</v>
      </c>
      <c r="K387" s="9">
        <f t="shared" si="13"/>
        <v>100</v>
      </c>
    </row>
    <row r="388" spans="2:11" ht="15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4"/>
        <v>借</v>
      </c>
      <c r="K388" s="9">
        <f t="shared" si="13"/>
        <v>100</v>
      </c>
    </row>
    <row r="389" spans="2:11" ht="15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4"/>
        <v>借</v>
      </c>
      <c r="K389" s="9">
        <f t="shared" si="13"/>
        <v>100</v>
      </c>
    </row>
    <row r="390" spans="2:11" ht="15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si="14"/>
        <v>借</v>
      </c>
      <c r="K390" s="9">
        <f t="shared" si="13"/>
        <v>100</v>
      </c>
    </row>
    <row r="391" spans="2:11" ht="15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4"/>
        <v>借</v>
      </c>
      <c r="K391" s="9">
        <f t="shared" si="13"/>
        <v>100</v>
      </c>
    </row>
    <row r="392" spans="2:11" ht="15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4"/>
        <v>借</v>
      </c>
      <c r="K392" s="9">
        <f t="shared" si="13"/>
        <v>100</v>
      </c>
    </row>
    <row r="393" spans="2:11" ht="15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4"/>
        <v>借</v>
      </c>
      <c r="K393" s="9">
        <f t="shared" si="13"/>
        <v>100</v>
      </c>
    </row>
    <row r="394" spans="2:11" ht="15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4"/>
        <v>借</v>
      </c>
      <c r="K394" s="9">
        <f t="shared" si="13"/>
        <v>100</v>
      </c>
    </row>
    <row r="395" spans="2:11" ht="15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4"/>
        <v>借</v>
      </c>
      <c r="K395" s="9">
        <f t="shared" si="13"/>
        <v>100</v>
      </c>
    </row>
    <row r="396" spans="2:11" ht="15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4"/>
        <v>借</v>
      </c>
      <c r="K396" s="9">
        <f t="shared" si="13"/>
        <v>100</v>
      </c>
    </row>
    <row r="397" spans="2:11" ht="15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4"/>
        <v>借</v>
      </c>
      <c r="K397" s="9">
        <f t="shared" si="13"/>
        <v>100</v>
      </c>
    </row>
    <row r="398" spans="2:11" ht="15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4"/>
        <v>借</v>
      </c>
      <c r="K398" s="9">
        <f t="shared" si="13"/>
        <v>100</v>
      </c>
    </row>
    <row r="399" spans="2:11" ht="15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4"/>
        <v>借</v>
      </c>
      <c r="K399" s="9">
        <f t="shared" si="13"/>
        <v>100</v>
      </c>
    </row>
    <row r="400" spans="2:11" ht="15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4"/>
        <v>借</v>
      </c>
      <c r="K400" s="9">
        <f t="shared" si="13"/>
        <v>100</v>
      </c>
    </row>
    <row r="401" spans="2:11" ht="15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4"/>
        <v>借</v>
      </c>
      <c r="K401" s="9">
        <f t="shared" si="13"/>
        <v>100</v>
      </c>
    </row>
    <row r="402" spans="2:11" ht="15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4"/>
        <v>借</v>
      </c>
      <c r="K402" s="9">
        <f t="shared" si="13"/>
        <v>100</v>
      </c>
    </row>
    <row r="403" spans="2:11" ht="15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4"/>
        <v>借</v>
      </c>
      <c r="K403" s="9">
        <f t="shared" si="13"/>
        <v>100</v>
      </c>
    </row>
    <row r="404" spans="2:11" ht="15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4"/>
        <v>借</v>
      </c>
      <c r="K404" s="9">
        <f t="shared" si="13"/>
        <v>100</v>
      </c>
    </row>
    <row r="405" spans="2:11" ht="15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4"/>
        <v>借</v>
      </c>
      <c r="K405" s="9">
        <f t="shared" si="13"/>
        <v>100</v>
      </c>
    </row>
    <row r="406" spans="2:11" ht="15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4"/>
        <v>借</v>
      </c>
      <c r="K406" s="9">
        <f t="shared" si="13"/>
        <v>100</v>
      </c>
    </row>
    <row r="407" spans="2:11" ht="15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4"/>
        <v>借</v>
      </c>
      <c r="K407" s="9">
        <f t="shared" si="13"/>
        <v>100</v>
      </c>
    </row>
    <row r="408" spans="2:11" ht="15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4"/>
        <v>借</v>
      </c>
      <c r="K408" s="9">
        <f t="shared" si="13"/>
        <v>100</v>
      </c>
    </row>
    <row r="409" spans="2:11" ht="15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4"/>
        <v>借</v>
      </c>
      <c r="K409" s="9">
        <f t="shared" si="13"/>
        <v>100</v>
      </c>
    </row>
    <row r="410" spans="2:11" ht="15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4"/>
        <v>借</v>
      </c>
      <c r="K410" s="9">
        <f t="shared" si="13"/>
        <v>100</v>
      </c>
    </row>
    <row r="411" spans="2:11" ht="15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4"/>
        <v>借</v>
      </c>
      <c r="K411" s="9">
        <f t="shared" si="13"/>
        <v>100</v>
      </c>
    </row>
    <row r="412" spans="2:11" ht="15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4"/>
        <v>借</v>
      </c>
      <c r="K412" s="9">
        <f t="shared" si="13"/>
        <v>100</v>
      </c>
    </row>
    <row r="413" spans="2:11" ht="15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4"/>
        <v>借</v>
      </c>
      <c r="K413" s="9">
        <f t="shared" si="13"/>
        <v>100</v>
      </c>
    </row>
    <row r="414" spans="2:11" ht="15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4"/>
        <v>借</v>
      </c>
      <c r="K414" s="9">
        <f t="shared" si="13"/>
        <v>100</v>
      </c>
    </row>
    <row r="415" spans="2:11" ht="15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4"/>
        <v>借</v>
      </c>
      <c r="K415" s="9">
        <f t="shared" si="13"/>
        <v>100</v>
      </c>
    </row>
    <row r="416" spans="2:11" ht="15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4"/>
        <v>借</v>
      </c>
      <c r="K416" s="9">
        <f t="shared" si="13"/>
        <v>100</v>
      </c>
    </row>
    <row r="417" spans="2:11" ht="15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4"/>
        <v>借</v>
      </c>
      <c r="K417" s="9">
        <f t="shared" si="13"/>
        <v>100</v>
      </c>
    </row>
    <row r="418" spans="2:11" ht="15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4"/>
        <v>借</v>
      </c>
      <c r="K418" s="9">
        <f t="shared" si="13"/>
        <v>100</v>
      </c>
    </row>
    <row r="419" spans="2:11" ht="15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4"/>
        <v>借</v>
      </c>
      <c r="K419" s="9">
        <f t="shared" si="13"/>
        <v>100</v>
      </c>
    </row>
    <row r="420" spans="2:11" ht="15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4"/>
        <v>借</v>
      </c>
      <c r="K420" s="9">
        <f t="shared" si="13"/>
        <v>100</v>
      </c>
    </row>
    <row r="421" spans="2:11" ht="15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4"/>
        <v>借</v>
      </c>
      <c r="K421" s="9">
        <f t="shared" si="13"/>
        <v>100</v>
      </c>
    </row>
    <row r="422" spans="2:11" ht="15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4"/>
        <v>借</v>
      </c>
      <c r="K422" s="9">
        <f t="shared" si="13"/>
        <v>100</v>
      </c>
    </row>
    <row r="423" spans="2:11" ht="15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4"/>
        <v>借</v>
      </c>
      <c r="K423" s="9">
        <f t="shared" si="13"/>
        <v>100</v>
      </c>
    </row>
    <row r="424" spans="2:11" ht="15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4"/>
        <v>借</v>
      </c>
      <c r="K424" s="9">
        <f t="shared" si="13"/>
        <v>100</v>
      </c>
    </row>
    <row r="425" spans="2:11" ht="15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4"/>
        <v>借</v>
      </c>
      <c r="K425" s="9">
        <f t="shared" si="13"/>
        <v>100</v>
      </c>
    </row>
    <row r="426" spans="2:11" ht="15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4"/>
        <v>借</v>
      </c>
      <c r="K426" s="9">
        <f t="shared" si="13"/>
        <v>100</v>
      </c>
    </row>
    <row r="427" spans="2:11" ht="15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4"/>
        <v>借</v>
      </c>
      <c r="K427" s="9">
        <f t="shared" si="13"/>
        <v>100</v>
      </c>
    </row>
    <row r="428" spans="2:11" ht="15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4"/>
        <v>借</v>
      </c>
      <c r="K428" s="9">
        <f t="shared" ref="K428:K491" si="15">_xlfn.IFS(J427="借",K427+H428-I428,J427="贷",H428-I428-K427)</f>
        <v>100</v>
      </c>
    </row>
    <row r="429" spans="2:11" ht="15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4"/>
        <v>借</v>
      </c>
      <c r="K429" s="9">
        <f t="shared" si="15"/>
        <v>100</v>
      </c>
    </row>
    <row r="430" spans="2:11" ht="15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4"/>
        <v>借</v>
      </c>
      <c r="K430" s="9">
        <f t="shared" si="15"/>
        <v>100</v>
      </c>
    </row>
    <row r="431" spans="2:11" ht="15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4"/>
        <v>借</v>
      </c>
      <c r="K431" s="9">
        <f t="shared" si="15"/>
        <v>100</v>
      </c>
    </row>
    <row r="432" spans="2:11" ht="15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4"/>
        <v>借</v>
      </c>
      <c r="K432" s="9">
        <f t="shared" si="15"/>
        <v>100</v>
      </c>
    </row>
    <row r="433" spans="2:11" ht="15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4"/>
        <v>借</v>
      </c>
      <c r="K433" s="9">
        <f t="shared" si="15"/>
        <v>100</v>
      </c>
    </row>
    <row r="434" spans="2:11" ht="15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4"/>
        <v>借</v>
      </c>
      <c r="K434" s="9">
        <f t="shared" si="15"/>
        <v>100</v>
      </c>
    </row>
    <row r="435" spans="2:11" ht="15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4"/>
        <v>借</v>
      </c>
      <c r="K435" s="9">
        <f t="shared" si="15"/>
        <v>100</v>
      </c>
    </row>
    <row r="436" spans="2:11" ht="15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4"/>
        <v>借</v>
      </c>
      <c r="K436" s="9">
        <f t="shared" si="15"/>
        <v>100</v>
      </c>
    </row>
    <row r="437" spans="2:11" ht="15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4"/>
        <v>借</v>
      </c>
      <c r="K437" s="9">
        <f t="shared" si="15"/>
        <v>100</v>
      </c>
    </row>
    <row r="438" spans="2:11" ht="15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ref="J438:J496" si="16">IF((K437+H438-I438)&gt;0,"借","贷")</f>
        <v>借</v>
      </c>
      <c r="K438" s="9">
        <f t="shared" si="15"/>
        <v>100</v>
      </c>
    </row>
    <row r="439" spans="2:11" ht="15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6"/>
        <v>借</v>
      </c>
      <c r="K439" s="9">
        <f t="shared" si="15"/>
        <v>100</v>
      </c>
    </row>
    <row r="440" spans="2:11" ht="15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6"/>
        <v>借</v>
      </c>
      <c r="K440" s="9">
        <f t="shared" si="15"/>
        <v>100</v>
      </c>
    </row>
    <row r="441" spans="2:11" ht="15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6"/>
        <v>借</v>
      </c>
      <c r="K441" s="9">
        <f t="shared" si="15"/>
        <v>100</v>
      </c>
    </row>
    <row r="442" spans="2:11" ht="15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6"/>
        <v>借</v>
      </c>
      <c r="K442" s="9">
        <f t="shared" si="15"/>
        <v>100</v>
      </c>
    </row>
    <row r="443" spans="2:11" ht="15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6"/>
        <v>借</v>
      </c>
      <c r="K443" s="9">
        <f t="shared" si="15"/>
        <v>100</v>
      </c>
    </row>
    <row r="444" spans="2:11" ht="15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6"/>
        <v>借</v>
      </c>
      <c r="K444" s="9">
        <f t="shared" si="15"/>
        <v>100</v>
      </c>
    </row>
    <row r="445" spans="2:11" ht="15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6"/>
        <v>借</v>
      </c>
      <c r="K445" s="9">
        <f t="shared" si="15"/>
        <v>100</v>
      </c>
    </row>
    <row r="446" spans="2:11" ht="15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6"/>
        <v>借</v>
      </c>
      <c r="K446" s="9">
        <f t="shared" si="15"/>
        <v>100</v>
      </c>
    </row>
    <row r="447" spans="2:11" ht="15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6"/>
        <v>借</v>
      </c>
      <c r="K447" s="9">
        <f t="shared" si="15"/>
        <v>100</v>
      </c>
    </row>
    <row r="448" spans="2:11" ht="15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6"/>
        <v>借</v>
      </c>
      <c r="K448" s="9">
        <f t="shared" si="15"/>
        <v>100</v>
      </c>
    </row>
    <row r="449" spans="2:11" ht="15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6"/>
        <v>借</v>
      </c>
      <c r="K449" s="9">
        <f t="shared" si="15"/>
        <v>100</v>
      </c>
    </row>
    <row r="450" spans="2:11" ht="15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6"/>
        <v>借</v>
      </c>
      <c r="K450" s="9">
        <f t="shared" si="15"/>
        <v>100</v>
      </c>
    </row>
    <row r="451" spans="2:11" ht="15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6"/>
        <v>借</v>
      </c>
      <c r="K451" s="9">
        <f t="shared" si="15"/>
        <v>100</v>
      </c>
    </row>
    <row r="452" spans="2:11" ht="15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6"/>
        <v>借</v>
      </c>
      <c r="K452" s="9">
        <f t="shared" si="15"/>
        <v>100</v>
      </c>
    </row>
    <row r="453" spans="2:11" ht="15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6"/>
        <v>借</v>
      </c>
      <c r="K453" s="9">
        <f t="shared" si="15"/>
        <v>100</v>
      </c>
    </row>
    <row r="454" spans="2:11" ht="15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si="16"/>
        <v>借</v>
      </c>
      <c r="K454" s="9">
        <f t="shared" si="15"/>
        <v>100</v>
      </c>
    </row>
    <row r="455" spans="2:11" ht="15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6"/>
        <v>借</v>
      </c>
      <c r="K455" s="9">
        <f t="shared" si="15"/>
        <v>100</v>
      </c>
    </row>
    <row r="456" spans="2:11" ht="15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6"/>
        <v>借</v>
      </c>
      <c r="K456" s="9">
        <f t="shared" si="15"/>
        <v>100</v>
      </c>
    </row>
    <row r="457" spans="2:11" ht="15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6"/>
        <v>借</v>
      </c>
      <c r="K457" s="9">
        <f t="shared" si="15"/>
        <v>100</v>
      </c>
    </row>
    <row r="458" spans="2:11" ht="15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6"/>
        <v>借</v>
      </c>
      <c r="K458" s="9">
        <f t="shared" si="15"/>
        <v>100</v>
      </c>
    </row>
    <row r="459" spans="2:11" ht="15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6"/>
        <v>借</v>
      </c>
      <c r="K459" s="9">
        <f t="shared" si="15"/>
        <v>100</v>
      </c>
    </row>
    <row r="460" spans="2:11" ht="15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6"/>
        <v>借</v>
      </c>
      <c r="K460" s="9">
        <f t="shared" si="15"/>
        <v>100</v>
      </c>
    </row>
    <row r="461" spans="2:11" ht="15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6"/>
        <v>借</v>
      </c>
      <c r="K461" s="9">
        <f t="shared" si="15"/>
        <v>100</v>
      </c>
    </row>
    <row r="462" spans="2:11" ht="15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6"/>
        <v>借</v>
      </c>
      <c r="K462" s="9">
        <f t="shared" si="15"/>
        <v>100</v>
      </c>
    </row>
    <row r="463" spans="2:11" ht="15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6"/>
        <v>借</v>
      </c>
      <c r="K463" s="9">
        <f t="shared" si="15"/>
        <v>100</v>
      </c>
    </row>
    <row r="464" spans="2:11" ht="15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6"/>
        <v>借</v>
      </c>
      <c r="K464" s="9">
        <f t="shared" si="15"/>
        <v>100</v>
      </c>
    </row>
    <row r="465" spans="2:11" ht="15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6"/>
        <v>借</v>
      </c>
      <c r="K465" s="9">
        <f t="shared" si="15"/>
        <v>100</v>
      </c>
    </row>
    <row r="466" spans="2:11" ht="15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6"/>
        <v>借</v>
      </c>
      <c r="K466" s="9">
        <f t="shared" si="15"/>
        <v>100</v>
      </c>
    </row>
    <row r="467" spans="2:11" ht="15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6"/>
        <v>借</v>
      </c>
      <c r="K467" s="9">
        <f t="shared" si="15"/>
        <v>100</v>
      </c>
    </row>
    <row r="468" spans="2:11" ht="15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6"/>
        <v>借</v>
      </c>
      <c r="K468" s="9">
        <f t="shared" si="15"/>
        <v>100</v>
      </c>
    </row>
    <row r="469" spans="2:11" ht="15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6"/>
        <v>借</v>
      </c>
      <c r="K469" s="9">
        <f t="shared" si="15"/>
        <v>100</v>
      </c>
    </row>
    <row r="470" spans="2:11" ht="15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6"/>
        <v>借</v>
      </c>
      <c r="K470" s="9">
        <f t="shared" si="15"/>
        <v>100</v>
      </c>
    </row>
    <row r="471" spans="2:11" ht="15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6"/>
        <v>借</v>
      </c>
      <c r="K471" s="9">
        <f t="shared" si="15"/>
        <v>100</v>
      </c>
    </row>
    <row r="472" spans="2:11" ht="15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6"/>
        <v>借</v>
      </c>
      <c r="K472" s="9">
        <f t="shared" si="15"/>
        <v>100</v>
      </c>
    </row>
    <row r="473" spans="2:11" ht="15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6"/>
        <v>借</v>
      </c>
      <c r="K473" s="9">
        <f t="shared" si="15"/>
        <v>100</v>
      </c>
    </row>
    <row r="474" spans="2:11" ht="15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6"/>
        <v>借</v>
      </c>
      <c r="K474" s="9">
        <f t="shared" si="15"/>
        <v>100</v>
      </c>
    </row>
    <row r="475" spans="2:11" ht="15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6"/>
        <v>借</v>
      </c>
      <c r="K475" s="9">
        <f t="shared" si="15"/>
        <v>100</v>
      </c>
    </row>
    <row r="476" spans="2:11" ht="15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6"/>
        <v>借</v>
      </c>
      <c r="K476" s="9">
        <f t="shared" si="15"/>
        <v>100</v>
      </c>
    </row>
    <row r="477" spans="2:11" ht="15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6"/>
        <v>借</v>
      </c>
      <c r="K477" s="9">
        <f t="shared" si="15"/>
        <v>100</v>
      </c>
    </row>
    <row r="478" spans="2:11" ht="15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6"/>
        <v>借</v>
      </c>
      <c r="K478" s="9">
        <f t="shared" si="15"/>
        <v>100</v>
      </c>
    </row>
    <row r="479" spans="2:11" ht="15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6"/>
        <v>借</v>
      </c>
      <c r="K479" s="9">
        <f t="shared" si="15"/>
        <v>100</v>
      </c>
    </row>
    <row r="480" spans="2:11" ht="15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6"/>
        <v>借</v>
      </c>
      <c r="K480" s="9">
        <f t="shared" si="15"/>
        <v>100</v>
      </c>
    </row>
    <row r="481" spans="2:11" ht="15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6"/>
        <v>借</v>
      </c>
      <c r="K481" s="9">
        <f t="shared" si="15"/>
        <v>100</v>
      </c>
    </row>
    <row r="482" spans="2:11" ht="15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6"/>
        <v>借</v>
      </c>
      <c r="K482" s="9">
        <f t="shared" si="15"/>
        <v>100</v>
      </c>
    </row>
    <row r="483" spans="2:11" ht="15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6"/>
        <v>借</v>
      </c>
      <c r="K483" s="9">
        <f t="shared" si="15"/>
        <v>100</v>
      </c>
    </row>
    <row r="484" spans="2:11" ht="15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6"/>
        <v>借</v>
      </c>
      <c r="K484" s="9">
        <f t="shared" si="15"/>
        <v>100</v>
      </c>
    </row>
    <row r="485" spans="2:11" ht="15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6"/>
        <v>借</v>
      </c>
      <c r="K485" s="9">
        <f t="shared" si="15"/>
        <v>100</v>
      </c>
    </row>
    <row r="486" spans="2:11" ht="15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6"/>
        <v>借</v>
      </c>
      <c r="K486" s="9">
        <f t="shared" si="15"/>
        <v>100</v>
      </c>
    </row>
    <row r="487" spans="2:11" ht="15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6"/>
        <v>借</v>
      </c>
      <c r="K487" s="9">
        <f t="shared" si="15"/>
        <v>100</v>
      </c>
    </row>
    <row r="488" spans="2:11" ht="15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6"/>
        <v>借</v>
      </c>
      <c r="K488" s="9">
        <f t="shared" si="15"/>
        <v>100</v>
      </c>
    </row>
    <row r="489" spans="2:11" ht="15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6"/>
        <v>借</v>
      </c>
      <c r="K489" s="9">
        <f t="shared" si="15"/>
        <v>100</v>
      </c>
    </row>
    <row r="490" spans="2:11" ht="15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6"/>
        <v>借</v>
      </c>
      <c r="K490" s="9">
        <f t="shared" si="15"/>
        <v>100</v>
      </c>
    </row>
    <row r="491" spans="2:11" ht="15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6"/>
        <v>借</v>
      </c>
      <c r="K491" s="9">
        <f t="shared" si="15"/>
        <v>100</v>
      </c>
    </row>
    <row r="492" spans="2:11" ht="15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6"/>
        <v>借</v>
      </c>
      <c r="K492" s="9">
        <f t="shared" ref="K492:K496" si="17">_xlfn.IFS(J491="借",K491+H492-I492,J491="贷",H492-I492-K491)</f>
        <v>100</v>
      </c>
    </row>
    <row r="493" spans="2:11" ht="15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6"/>
        <v>借</v>
      </c>
      <c r="K493" s="9">
        <f t="shared" si="17"/>
        <v>100</v>
      </c>
    </row>
    <row r="494" spans="2:11" ht="15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6"/>
        <v>借</v>
      </c>
      <c r="K494" s="9">
        <f t="shared" si="17"/>
        <v>100</v>
      </c>
    </row>
    <row r="495" spans="2:11" ht="15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6"/>
        <v>借</v>
      </c>
      <c r="K495" s="9">
        <f t="shared" si="17"/>
        <v>100</v>
      </c>
    </row>
    <row r="496" spans="2:11" ht="15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6"/>
        <v>借</v>
      </c>
      <c r="K496" s="9">
        <f t="shared" si="17"/>
        <v>100</v>
      </c>
    </row>
  </sheetData>
  <mergeCells count="2">
    <mergeCell ref="A1:K1"/>
    <mergeCell ref="A2:K2"/>
  </mergeCells>
  <phoneticPr fontId="22" type="noConversion"/>
  <dataValidations count="1">
    <dataValidation type="list" allowBlank="1" showInputMessage="1" showErrorMessage="1" sqref="G5:G1048576" xr:uid="{00000000-0002-0000-2200-000000000000}">
      <formula1>#REF!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497"/>
  <sheetViews>
    <sheetView topLeftCell="B1" workbookViewId="0">
      <selection activeCell="F17" sqref="F17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94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H3-I3</f>
        <v>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/>
      <c r="C5" s="5"/>
      <c r="D5" s="7"/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5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497"/>
  <sheetViews>
    <sheetView workbookViewId="0">
      <selection activeCell="D15" sqref="D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95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SUM(H5:H110000)</f>
        <v>0</v>
      </c>
      <c r="I3" s="4">
        <f>SUM(I5:I110000)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96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69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10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ref="J70:J133" si="2">IF((K69+H70-I70)&gt;0,"借","贷")</f>
        <v>借</v>
      </c>
      <c r="K70" s="9">
        <f t="shared" ref="K70:K133" si="3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4"/>
      <c r="G76" s="14"/>
      <c r="H76" s="8"/>
      <c r="I76" s="8"/>
      <c r="J76" s="8" t="str">
        <f t="shared" si="2"/>
        <v>借</v>
      </c>
      <c r="K76" s="9">
        <f t="shared" si="3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</v>
      </c>
    </row>
    <row r="78" spans="1:11" ht="20.100000000000001" customHeight="1" x14ac:dyDescent="0.15">
      <c r="A78" s="10"/>
      <c r="B78" s="5"/>
      <c r="C78" s="5"/>
      <c r="D78" s="10"/>
      <c r="E78" s="10"/>
      <c r="F78" s="14"/>
      <c r="G78" s="14"/>
      <c r="H78" s="8"/>
      <c r="I78" s="8"/>
      <c r="J78" s="8" t="str">
        <f t="shared" si="2"/>
        <v>借</v>
      </c>
      <c r="K78" s="9">
        <f t="shared" si="3"/>
        <v>100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2"/>
        <v>借</v>
      </c>
      <c r="K81" s="9">
        <f t="shared" si="3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2"/>
        <v>借</v>
      </c>
      <c r="K86" s="9">
        <f t="shared" si="3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2"/>
        <v>借</v>
      </c>
      <c r="K109" s="9">
        <f t="shared" si="3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2"/>
        <v>借</v>
      </c>
      <c r="K123" s="9">
        <f t="shared" si="3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2"/>
        <v>借</v>
      </c>
      <c r="K129" s="9">
        <f t="shared" si="3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2"/>
        <v>借</v>
      </c>
      <c r="K130" s="9">
        <f t="shared" si="3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2"/>
        <v>借</v>
      </c>
      <c r="K131" s="9">
        <f t="shared" si="3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ref="K134:K172" si="5">K133+H134-I134</f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ref="K173:K236" si="6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6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6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6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6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6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6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6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6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6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6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6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6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6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6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6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6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6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6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6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6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6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6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6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6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7">IF((K197+H198-I198)&gt;0,"借","贷")</f>
        <v>借</v>
      </c>
      <c r="K198" s="9">
        <f t="shared" si="6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7"/>
        <v>借</v>
      </c>
      <c r="K199" s="9">
        <f t="shared" si="6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7"/>
        <v>借</v>
      </c>
      <c r="K200" s="9">
        <f t="shared" si="6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7"/>
        <v>借</v>
      </c>
      <c r="K201" s="9">
        <f t="shared" si="6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7"/>
        <v>借</v>
      </c>
      <c r="K202" s="9">
        <f t="shared" si="6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7"/>
        <v>借</v>
      </c>
      <c r="K203" s="9">
        <f t="shared" si="6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7"/>
        <v>借</v>
      </c>
      <c r="K204" s="9">
        <f t="shared" si="6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7"/>
        <v>借</v>
      </c>
      <c r="K205" s="9">
        <f t="shared" si="6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7"/>
        <v>借</v>
      </c>
      <c r="K206" s="9">
        <f t="shared" si="6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7"/>
        <v>借</v>
      </c>
      <c r="K207" s="9">
        <f t="shared" si="6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7"/>
        <v>借</v>
      </c>
      <c r="K208" s="9">
        <f t="shared" si="6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7"/>
        <v>借</v>
      </c>
      <c r="K209" s="9">
        <f t="shared" si="6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7"/>
        <v>借</v>
      </c>
      <c r="K210" s="9">
        <f t="shared" si="6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7"/>
        <v>借</v>
      </c>
      <c r="K211" s="9">
        <f t="shared" si="6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7"/>
        <v>借</v>
      </c>
      <c r="K212" s="9">
        <f t="shared" si="6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7"/>
        <v>借</v>
      </c>
      <c r="K213" s="9">
        <f t="shared" si="6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7"/>
        <v>借</v>
      </c>
      <c r="K214" s="9">
        <f t="shared" si="6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7"/>
        <v>借</v>
      </c>
      <c r="K215" s="9">
        <f t="shared" si="6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7"/>
        <v>借</v>
      </c>
      <c r="K216" s="9">
        <f t="shared" si="6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7"/>
        <v>借</v>
      </c>
      <c r="K217" s="9">
        <f t="shared" si="6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7"/>
        <v>借</v>
      </c>
      <c r="K218" s="9">
        <f t="shared" si="6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7"/>
        <v>借</v>
      </c>
      <c r="K219" s="9">
        <f t="shared" si="6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7"/>
        <v>借</v>
      </c>
      <c r="K220" s="9">
        <f t="shared" si="6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7"/>
        <v>借</v>
      </c>
      <c r="K221" s="9">
        <f t="shared" si="6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7"/>
        <v>借</v>
      </c>
      <c r="K222" s="9">
        <f t="shared" si="6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7"/>
        <v>借</v>
      </c>
      <c r="K223" s="9">
        <f t="shared" si="6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7"/>
        <v>借</v>
      </c>
      <c r="K224" s="9">
        <f t="shared" si="6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7"/>
        <v>借</v>
      </c>
      <c r="K225" s="9">
        <f t="shared" si="6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7"/>
        <v>借</v>
      </c>
      <c r="K226" s="9">
        <f t="shared" si="6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7"/>
        <v>借</v>
      </c>
      <c r="K227" s="9">
        <f t="shared" si="6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7"/>
        <v>借</v>
      </c>
      <c r="K228" s="9">
        <f t="shared" si="6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7"/>
        <v>借</v>
      </c>
      <c r="K229" s="9">
        <f t="shared" si="6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7"/>
        <v>借</v>
      </c>
      <c r="K230" s="21">
        <f t="shared" si="6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7"/>
        <v>借</v>
      </c>
      <c r="K231" s="9">
        <f t="shared" si="6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7"/>
        <v>借</v>
      </c>
      <c r="K232" s="9">
        <f t="shared" si="6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7"/>
        <v>借</v>
      </c>
      <c r="K233" s="9">
        <f t="shared" si="6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7"/>
        <v>借</v>
      </c>
      <c r="K234" s="21">
        <f t="shared" si="6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7"/>
        <v>借</v>
      </c>
      <c r="K235" s="9">
        <f t="shared" si="6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7"/>
        <v>借</v>
      </c>
      <c r="K236" s="9">
        <f t="shared" si="6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7"/>
        <v>借</v>
      </c>
      <c r="K237" s="9">
        <f t="shared" ref="K237:K300" si="8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7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7"/>
        <v>借</v>
      </c>
      <c r="K239" s="9">
        <f t="shared" si="8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7"/>
        <v>借</v>
      </c>
      <c r="K240" s="9">
        <f t="shared" si="8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7"/>
        <v>借</v>
      </c>
      <c r="K241" s="9">
        <f t="shared" si="8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7"/>
        <v>借</v>
      </c>
      <c r="K242" s="9">
        <f t="shared" si="8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7"/>
        <v>借</v>
      </c>
      <c r="K243" s="9">
        <f t="shared" si="8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7"/>
        <v>借</v>
      </c>
      <c r="K244" s="9">
        <f t="shared" si="8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7"/>
        <v>借</v>
      </c>
      <c r="K245" s="9">
        <f t="shared" si="8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7"/>
        <v>借</v>
      </c>
      <c r="K246" s="9">
        <f t="shared" si="8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7"/>
        <v>借</v>
      </c>
      <c r="K247" s="9">
        <f t="shared" si="8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7"/>
        <v>借</v>
      </c>
      <c r="K248" s="9">
        <f t="shared" si="8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7"/>
        <v>借</v>
      </c>
      <c r="K249" s="9">
        <f t="shared" si="8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7"/>
        <v>借</v>
      </c>
      <c r="K250" s="9">
        <f t="shared" si="8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7"/>
        <v>借</v>
      </c>
      <c r="K251" s="9">
        <f t="shared" si="8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7"/>
        <v>借</v>
      </c>
      <c r="K252" s="9">
        <f t="shared" si="8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7"/>
        <v>借</v>
      </c>
      <c r="K253" s="9">
        <f t="shared" si="8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7"/>
        <v>借</v>
      </c>
      <c r="K254" s="9">
        <f t="shared" si="8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7"/>
        <v>借</v>
      </c>
      <c r="K255" s="9">
        <f t="shared" si="8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7"/>
        <v>借</v>
      </c>
      <c r="K256" s="9">
        <f t="shared" si="8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7"/>
        <v>借</v>
      </c>
      <c r="K257" s="9">
        <f t="shared" si="8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7"/>
        <v>借</v>
      </c>
      <c r="K258" s="9">
        <f t="shared" si="8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7"/>
        <v>借</v>
      </c>
      <c r="K259" s="9">
        <f t="shared" si="8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7"/>
        <v>借</v>
      </c>
      <c r="K260" s="9">
        <f t="shared" si="8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7"/>
        <v>借</v>
      </c>
      <c r="K261" s="9">
        <f t="shared" si="8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9">IF((K261+H262-I262)&gt;0,"借","贷")</f>
        <v>借</v>
      </c>
      <c r="K262" s="9">
        <f t="shared" si="8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8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9"/>
        <v>借</v>
      </c>
      <c r="K264" s="9">
        <f t="shared" si="8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9"/>
        <v>借</v>
      </c>
      <c r="K265" s="9">
        <f t="shared" si="8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9"/>
        <v>借</v>
      </c>
      <c r="K266" s="9">
        <f t="shared" si="8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9"/>
        <v>借</v>
      </c>
      <c r="K267" s="9">
        <f t="shared" si="8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9"/>
        <v>借</v>
      </c>
      <c r="K268" s="9">
        <f t="shared" si="8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9"/>
        <v>借</v>
      </c>
      <c r="K269" s="9">
        <f t="shared" si="8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9"/>
        <v>借</v>
      </c>
      <c r="K270" s="9">
        <f t="shared" si="8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9"/>
        <v>借</v>
      </c>
      <c r="K271" s="9">
        <f t="shared" si="8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9"/>
        <v>借</v>
      </c>
      <c r="K272" s="9">
        <f t="shared" si="8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9"/>
        <v>借</v>
      </c>
      <c r="K273" s="9">
        <f t="shared" si="8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9"/>
        <v>借</v>
      </c>
      <c r="K274" s="9">
        <f t="shared" si="8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9"/>
        <v>借</v>
      </c>
      <c r="K275" s="9">
        <f t="shared" si="8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9"/>
        <v>借</v>
      </c>
      <c r="K276" s="9">
        <f t="shared" si="8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9"/>
        <v>借</v>
      </c>
      <c r="K277" s="9">
        <f t="shared" si="8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9"/>
        <v>借</v>
      </c>
      <c r="K278" s="9">
        <f t="shared" si="8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9"/>
        <v>借</v>
      </c>
      <c r="K279" s="9">
        <f t="shared" si="8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9"/>
        <v>借</v>
      </c>
      <c r="K280" s="9">
        <f t="shared" si="8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9"/>
        <v>借</v>
      </c>
      <c r="K281" s="9">
        <f t="shared" si="8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9"/>
        <v>借</v>
      </c>
      <c r="K282" s="9">
        <f t="shared" si="8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9"/>
        <v>借</v>
      </c>
      <c r="K283" s="9">
        <f t="shared" si="8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9"/>
        <v>借</v>
      </c>
      <c r="K284" s="9">
        <f t="shared" si="8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9"/>
        <v>借</v>
      </c>
      <c r="K285" s="9">
        <f t="shared" si="8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9"/>
        <v>借</v>
      </c>
      <c r="K286" s="9">
        <f t="shared" si="8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9"/>
        <v>借</v>
      </c>
      <c r="K287" s="9">
        <f t="shared" si="8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9"/>
        <v>借</v>
      </c>
      <c r="K288" s="9">
        <f t="shared" si="8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9"/>
        <v>借</v>
      </c>
      <c r="K289" s="9">
        <f t="shared" si="8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9"/>
        <v>借</v>
      </c>
      <c r="K290" s="9">
        <f t="shared" si="8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9"/>
        <v>借</v>
      </c>
      <c r="K291" s="9">
        <f t="shared" si="8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9"/>
        <v>借</v>
      </c>
      <c r="K292" s="9">
        <f t="shared" si="8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9"/>
        <v>借</v>
      </c>
      <c r="K293" s="9">
        <f t="shared" si="8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9"/>
        <v>借</v>
      </c>
      <c r="K294" s="9">
        <f t="shared" si="8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9"/>
        <v>借</v>
      </c>
      <c r="K295" s="9">
        <f t="shared" si="8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9"/>
        <v>借</v>
      </c>
      <c r="K296" s="9">
        <f t="shared" si="8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9"/>
        <v>借</v>
      </c>
      <c r="K297" s="9">
        <f t="shared" si="8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9"/>
        <v>借</v>
      </c>
      <c r="K298" s="9">
        <f t="shared" si="8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9"/>
        <v>借</v>
      </c>
      <c r="K299" s="9">
        <f t="shared" si="8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9"/>
        <v>借</v>
      </c>
      <c r="K300" s="9">
        <f t="shared" si="8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9"/>
        <v>借</v>
      </c>
      <c r="K301" s="9">
        <f t="shared" ref="K301:K364" si="10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9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9"/>
        <v>借</v>
      </c>
      <c r="K303" s="9">
        <f t="shared" si="10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9"/>
        <v>借</v>
      </c>
      <c r="K304" s="9">
        <f t="shared" si="10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9"/>
        <v>借</v>
      </c>
      <c r="K305" s="9">
        <f t="shared" si="10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9"/>
        <v>借</v>
      </c>
      <c r="K306" s="9">
        <f t="shared" si="10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9"/>
        <v>借</v>
      </c>
      <c r="K307" s="9">
        <f t="shared" si="10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9"/>
        <v>借</v>
      </c>
      <c r="K308" s="9">
        <f t="shared" si="10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9"/>
        <v>借</v>
      </c>
      <c r="K309" s="9">
        <f t="shared" si="10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9"/>
        <v>借</v>
      </c>
      <c r="K310" s="9">
        <f t="shared" si="10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9"/>
        <v>借</v>
      </c>
      <c r="K311" s="9">
        <f t="shared" si="10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9"/>
        <v>借</v>
      </c>
      <c r="K312" s="9">
        <f t="shared" si="10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9"/>
        <v>借</v>
      </c>
      <c r="K313" s="9">
        <f t="shared" si="10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9"/>
        <v>借</v>
      </c>
      <c r="K314" s="9">
        <f t="shared" si="10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9"/>
        <v>借</v>
      </c>
      <c r="K315" s="9">
        <f t="shared" si="10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9"/>
        <v>借</v>
      </c>
      <c r="K316" s="9">
        <f t="shared" si="10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9"/>
        <v>借</v>
      </c>
      <c r="K317" s="9">
        <f t="shared" si="10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9"/>
        <v>借</v>
      </c>
      <c r="K318" s="9">
        <f t="shared" si="10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9"/>
        <v>借</v>
      </c>
      <c r="K319" s="9">
        <f t="shared" si="10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9"/>
        <v>借</v>
      </c>
      <c r="K320" s="9">
        <f t="shared" si="10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9"/>
        <v>借</v>
      </c>
      <c r="K321" s="9">
        <f t="shared" si="10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9"/>
        <v>借</v>
      </c>
      <c r="K322" s="9">
        <f t="shared" si="10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9"/>
        <v>借</v>
      </c>
      <c r="K323" s="9">
        <f t="shared" si="10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9"/>
        <v>借</v>
      </c>
      <c r="K324" s="9">
        <f t="shared" si="10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9"/>
        <v>借</v>
      </c>
      <c r="K325" s="9">
        <f t="shared" si="10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1">IF((K325+H326-I326)&gt;0,"借","贷")</f>
        <v>借</v>
      </c>
      <c r="K326" s="9">
        <f t="shared" si="10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0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1"/>
        <v>借</v>
      </c>
      <c r="K328" s="9">
        <f t="shared" si="10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1"/>
        <v>借</v>
      </c>
      <c r="K329" s="9">
        <f t="shared" si="10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1"/>
        <v>借</v>
      </c>
      <c r="K330" s="9">
        <f t="shared" si="10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1"/>
        <v>借</v>
      </c>
      <c r="K331" s="9">
        <f t="shared" si="10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1"/>
        <v>借</v>
      </c>
      <c r="K332" s="9">
        <f t="shared" si="10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1"/>
        <v>借</v>
      </c>
      <c r="K333" s="9">
        <f t="shared" si="10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1"/>
        <v>借</v>
      </c>
      <c r="K334" s="9">
        <f t="shared" si="10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1"/>
        <v>借</v>
      </c>
      <c r="K335" s="9">
        <f t="shared" si="10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1"/>
        <v>借</v>
      </c>
      <c r="K336" s="9">
        <f t="shared" si="10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1"/>
        <v>借</v>
      </c>
      <c r="K337" s="9">
        <f t="shared" si="10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1"/>
        <v>借</v>
      </c>
      <c r="K338" s="9">
        <f t="shared" si="10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1"/>
        <v>借</v>
      </c>
      <c r="K339" s="9">
        <f t="shared" si="10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1"/>
        <v>借</v>
      </c>
      <c r="K340" s="9">
        <f t="shared" si="10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1"/>
        <v>借</v>
      </c>
      <c r="K341" s="9">
        <f t="shared" si="10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1"/>
        <v>借</v>
      </c>
      <c r="K342" s="9">
        <f t="shared" si="10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1"/>
        <v>借</v>
      </c>
      <c r="K343" s="9">
        <f t="shared" si="10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1"/>
        <v>借</v>
      </c>
      <c r="K344" s="9">
        <f t="shared" si="10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1"/>
        <v>借</v>
      </c>
      <c r="K345" s="9">
        <f t="shared" si="10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1"/>
        <v>借</v>
      </c>
      <c r="K346" s="9">
        <f t="shared" si="10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1"/>
        <v>借</v>
      </c>
      <c r="K347" s="9">
        <f t="shared" si="10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1"/>
        <v>借</v>
      </c>
      <c r="K348" s="9">
        <f t="shared" si="10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1"/>
        <v>借</v>
      </c>
      <c r="K349" s="9">
        <f t="shared" si="10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1"/>
        <v>借</v>
      </c>
      <c r="K350" s="9">
        <f t="shared" si="10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1"/>
        <v>借</v>
      </c>
      <c r="K351" s="9">
        <f t="shared" si="10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1"/>
        <v>借</v>
      </c>
      <c r="K352" s="9">
        <f t="shared" si="10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1"/>
        <v>借</v>
      </c>
      <c r="K353" s="9">
        <f t="shared" si="10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1"/>
        <v>借</v>
      </c>
      <c r="K354" s="9">
        <f t="shared" si="10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1"/>
        <v>借</v>
      </c>
      <c r="K355" s="9">
        <f t="shared" si="10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1"/>
        <v>借</v>
      </c>
      <c r="K356" s="9">
        <f t="shared" si="10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1"/>
        <v>借</v>
      </c>
      <c r="K357" s="9">
        <f t="shared" si="10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1"/>
        <v>借</v>
      </c>
      <c r="K358" s="9">
        <f t="shared" si="10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1"/>
        <v>借</v>
      </c>
      <c r="K359" s="9">
        <f t="shared" si="10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1"/>
        <v>借</v>
      </c>
      <c r="K360" s="9">
        <f t="shared" si="10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1"/>
        <v>借</v>
      </c>
      <c r="K361" s="9">
        <f t="shared" si="10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1"/>
        <v>借</v>
      </c>
      <c r="K362" s="9">
        <f t="shared" si="10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1"/>
        <v>借</v>
      </c>
      <c r="K363" s="9">
        <f t="shared" si="10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1"/>
        <v>借</v>
      </c>
      <c r="K364" s="9">
        <f t="shared" si="10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1"/>
        <v>借</v>
      </c>
      <c r="K365" s="9">
        <f t="shared" ref="K365:K428" si="12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1"/>
        <v>借</v>
      </c>
      <c r="K366" s="9">
        <f t="shared" si="12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1"/>
        <v>借</v>
      </c>
      <c r="K367" s="9">
        <f t="shared" si="12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1"/>
        <v>借</v>
      </c>
      <c r="K368" s="9">
        <f t="shared" si="12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1"/>
        <v>借</v>
      </c>
      <c r="K369" s="9">
        <f t="shared" si="12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1"/>
        <v>借</v>
      </c>
      <c r="K370" s="9">
        <f t="shared" si="12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1"/>
        <v>借</v>
      </c>
      <c r="K371" s="9">
        <f t="shared" si="12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1"/>
        <v>借</v>
      </c>
      <c r="K372" s="9">
        <f t="shared" si="12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1"/>
        <v>借</v>
      </c>
      <c r="K373" s="9">
        <f t="shared" si="12"/>
        <v>100</v>
      </c>
    </row>
    <row r="374" spans="2:11" ht="20.100000000000001" customHeight="1" x14ac:dyDescent="0.15">
      <c r="B374" s="5">
        <v>4</v>
      </c>
      <c r="C374" s="7"/>
      <c r="D374" s="10"/>
      <c r="E374" s="10"/>
      <c r="F374" s="10"/>
      <c r="G374" s="10"/>
      <c r="H374" s="8"/>
      <c r="I374" s="8"/>
      <c r="J374" s="8" t="str">
        <f t="shared" si="11"/>
        <v>借</v>
      </c>
      <c r="K374" s="9">
        <f t="shared" si="12"/>
        <v>100</v>
      </c>
    </row>
    <row r="375" spans="2:11" ht="20.100000000000001" customHeight="1" x14ac:dyDescent="0.15">
      <c r="B375" s="5">
        <v>4</v>
      </c>
      <c r="C375" s="7"/>
      <c r="D375" s="10"/>
      <c r="E375" s="10"/>
      <c r="F375" s="10"/>
      <c r="G375" s="10"/>
      <c r="H375" s="8"/>
      <c r="I375" s="8"/>
      <c r="J375" s="8" t="str">
        <f t="shared" si="11"/>
        <v>借</v>
      </c>
      <c r="K375" s="9">
        <f t="shared" si="12"/>
        <v>100</v>
      </c>
    </row>
    <row r="376" spans="2:11" ht="20.100000000000001" customHeight="1" x14ac:dyDescent="0.15">
      <c r="B376" s="5">
        <v>4</v>
      </c>
      <c r="C376" s="7"/>
      <c r="D376" s="10"/>
      <c r="E376" s="10"/>
      <c r="F376" s="10"/>
      <c r="G376" s="10"/>
      <c r="H376" s="8"/>
      <c r="I376" s="8"/>
      <c r="J376" s="8" t="str">
        <f t="shared" si="11"/>
        <v>借</v>
      </c>
      <c r="K376" s="9">
        <f t="shared" si="12"/>
        <v>100</v>
      </c>
    </row>
    <row r="377" spans="2:11" ht="20.100000000000001" customHeight="1" x14ac:dyDescent="0.15">
      <c r="B377" s="5">
        <v>4</v>
      </c>
      <c r="C377" s="7"/>
      <c r="D377" s="10"/>
      <c r="E377" s="10"/>
      <c r="F377" s="10"/>
      <c r="G377" s="10"/>
      <c r="H377" s="8"/>
      <c r="I377" s="8"/>
      <c r="J377" s="8" t="str">
        <f t="shared" si="11"/>
        <v>借</v>
      </c>
      <c r="K377" s="9">
        <f t="shared" si="12"/>
        <v>100</v>
      </c>
    </row>
    <row r="378" spans="2:11" ht="20.100000000000001" customHeight="1" x14ac:dyDescent="0.15">
      <c r="B378" s="5">
        <v>4</v>
      </c>
      <c r="C378" s="7"/>
      <c r="D378" s="10"/>
      <c r="E378" s="10"/>
      <c r="F378" s="10"/>
      <c r="G378" s="10"/>
      <c r="H378" s="8"/>
      <c r="I378" s="8"/>
      <c r="J378" s="8" t="str">
        <f t="shared" si="11"/>
        <v>借</v>
      </c>
      <c r="K378" s="9">
        <f t="shared" si="12"/>
        <v>100</v>
      </c>
    </row>
    <row r="379" spans="2:11" ht="20.100000000000001" customHeight="1" x14ac:dyDescent="0.15">
      <c r="B379" s="5">
        <v>4</v>
      </c>
      <c r="C379" s="7"/>
      <c r="D379" s="10"/>
      <c r="E379" s="10"/>
      <c r="F379" s="10"/>
      <c r="G379" s="10"/>
      <c r="H379" s="8"/>
      <c r="I379" s="8"/>
      <c r="J379" s="8" t="str">
        <f t="shared" si="11"/>
        <v>借</v>
      </c>
      <c r="K379" s="9">
        <f t="shared" si="12"/>
        <v>100</v>
      </c>
    </row>
    <row r="380" spans="2:11" ht="20.100000000000001" customHeight="1" x14ac:dyDescent="0.15">
      <c r="B380" s="5">
        <v>4</v>
      </c>
      <c r="C380" s="7"/>
      <c r="D380" s="10"/>
      <c r="E380" s="10"/>
      <c r="F380" s="10"/>
      <c r="G380" s="10"/>
      <c r="H380" s="8"/>
      <c r="I380" s="8"/>
      <c r="J380" s="8" t="str">
        <f t="shared" si="11"/>
        <v>借</v>
      </c>
      <c r="K380" s="9">
        <f t="shared" si="12"/>
        <v>100</v>
      </c>
    </row>
    <row r="381" spans="2:11" ht="20.100000000000001" customHeight="1" x14ac:dyDescent="0.15">
      <c r="B381" s="5">
        <v>4</v>
      </c>
      <c r="C381" s="7"/>
      <c r="D381" s="10"/>
      <c r="E381" s="10"/>
      <c r="F381" s="10"/>
      <c r="G381" s="10"/>
      <c r="H381" s="8"/>
      <c r="I381" s="8"/>
      <c r="J381" s="8" t="str">
        <f t="shared" si="11"/>
        <v>借</v>
      </c>
      <c r="K381" s="9">
        <f t="shared" si="12"/>
        <v>100</v>
      </c>
    </row>
    <row r="382" spans="2:11" ht="20.100000000000001" customHeight="1" x14ac:dyDescent="0.15">
      <c r="B382" s="5">
        <v>4</v>
      </c>
      <c r="C382" s="7"/>
      <c r="D382" s="10"/>
      <c r="E382" s="10"/>
      <c r="F382" s="10"/>
      <c r="G382" s="10"/>
      <c r="H382" s="8"/>
      <c r="I382" s="8"/>
      <c r="J382" s="8" t="str">
        <f t="shared" si="11"/>
        <v>借</v>
      </c>
      <c r="K382" s="9">
        <f t="shared" si="12"/>
        <v>100</v>
      </c>
    </row>
    <row r="383" spans="2:11" ht="20.100000000000001" customHeight="1" x14ac:dyDescent="0.15">
      <c r="B383" s="5">
        <v>4</v>
      </c>
      <c r="C383" s="7"/>
      <c r="D383" s="10"/>
      <c r="E383" s="10"/>
      <c r="F383" s="10"/>
      <c r="G383" s="10"/>
      <c r="H383" s="8"/>
      <c r="I383" s="8"/>
      <c r="J383" s="8" t="str">
        <f t="shared" si="11"/>
        <v>借</v>
      </c>
      <c r="K383" s="9">
        <f t="shared" si="12"/>
        <v>100</v>
      </c>
    </row>
    <row r="384" spans="2:11" ht="20.100000000000001" customHeight="1" x14ac:dyDescent="0.15">
      <c r="B384" s="5">
        <v>4</v>
      </c>
      <c r="C384" s="10"/>
      <c r="D384" s="10"/>
      <c r="E384" s="10"/>
      <c r="F384" s="10"/>
      <c r="G384" s="10"/>
      <c r="H384" s="8"/>
      <c r="I384" s="8"/>
      <c r="J384" s="8" t="str">
        <f t="shared" si="11"/>
        <v>借</v>
      </c>
      <c r="K384" s="9">
        <f t="shared" si="12"/>
        <v>100</v>
      </c>
    </row>
    <row r="385" spans="2:11" ht="20.100000000000001" customHeight="1" x14ac:dyDescent="0.15">
      <c r="B385" s="5">
        <v>4</v>
      </c>
      <c r="C385" s="10"/>
      <c r="D385" s="10"/>
      <c r="E385" s="10"/>
      <c r="F385" s="10"/>
      <c r="G385" s="10"/>
      <c r="H385" s="8"/>
      <c r="I385" s="8"/>
      <c r="J385" s="8" t="str">
        <f t="shared" si="11"/>
        <v>借</v>
      </c>
      <c r="K385" s="9">
        <f t="shared" si="12"/>
        <v>100</v>
      </c>
    </row>
    <row r="386" spans="2:11" ht="20.100000000000001" customHeight="1" x14ac:dyDescent="0.15">
      <c r="B386" s="5">
        <v>4</v>
      </c>
      <c r="C386" s="10"/>
      <c r="D386" s="10"/>
      <c r="E386" s="10"/>
      <c r="F386" s="10"/>
      <c r="G386" s="10"/>
      <c r="H386" s="8"/>
      <c r="I386" s="8"/>
      <c r="J386" s="8" t="str">
        <f t="shared" si="11"/>
        <v>借</v>
      </c>
      <c r="K386" s="9">
        <f t="shared" si="12"/>
        <v>100</v>
      </c>
    </row>
    <row r="387" spans="2:11" ht="20.100000000000001" customHeight="1" x14ac:dyDescent="0.15">
      <c r="B387" s="5">
        <v>4</v>
      </c>
      <c r="C387" s="10"/>
      <c r="D387" s="10"/>
      <c r="E387" s="10"/>
      <c r="F387" s="10"/>
      <c r="G387" s="10"/>
      <c r="H387" s="8"/>
      <c r="I387" s="8"/>
      <c r="J387" s="8" t="str">
        <f t="shared" si="11"/>
        <v>借</v>
      </c>
      <c r="K387" s="9">
        <f t="shared" si="12"/>
        <v>100</v>
      </c>
    </row>
    <row r="388" spans="2:11" ht="20.100000000000001" customHeight="1" x14ac:dyDescent="0.15">
      <c r="B388" s="5">
        <v>4</v>
      </c>
      <c r="C388" s="10"/>
      <c r="D388" s="10"/>
      <c r="E388" s="10"/>
      <c r="F388" s="10"/>
      <c r="G388" s="10"/>
      <c r="H388" s="8"/>
      <c r="I388" s="8"/>
      <c r="J388" s="8" t="str">
        <f t="shared" si="11"/>
        <v>借</v>
      </c>
      <c r="K388" s="9">
        <f t="shared" si="12"/>
        <v>100</v>
      </c>
    </row>
    <row r="389" spans="2:11" ht="20.100000000000001" customHeight="1" x14ac:dyDescent="0.15">
      <c r="B389" s="5">
        <v>4</v>
      </c>
      <c r="C389" s="10"/>
      <c r="D389" s="10"/>
      <c r="E389" s="10"/>
      <c r="F389" s="10"/>
      <c r="G389" s="10"/>
      <c r="H389" s="8"/>
      <c r="I389" s="8"/>
      <c r="J389" s="8" t="str">
        <f t="shared" si="11"/>
        <v>借</v>
      </c>
      <c r="K389" s="9">
        <f t="shared" si="12"/>
        <v>100</v>
      </c>
    </row>
    <row r="390" spans="2:11" ht="20.100000000000001" customHeight="1" x14ac:dyDescent="0.15">
      <c r="B390" s="5">
        <v>4</v>
      </c>
      <c r="C390" s="10"/>
      <c r="D390" s="10"/>
      <c r="E390" s="10"/>
      <c r="F390" s="10"/>
      <c r="G390" s="10"/>
      <c r="H390" s="8"/>
      <c r="I390" s="8"/>
      <c r="J390" s="8" t="str">
        <f t="shared" ref="J390:J453" si="13">IF((K389+H390-I390)&gt;0,"借","贷")</f>
        <v>借</v>
      </c>
      <c r="K390" s="9">
        <f t="shared" si="12"/>
        <v>100</v>
      </c>
    </row>
    <row r="391" spans="2:11" ht="20.100000000000001" customHeight="1" x14ac:dyDescent="0.15">
      <c r="B391" s="5">
        <v>4</v>
      </c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2"/>
        <v>100</v>
      </c>
    </row>
    <row r="392" spans="2:11" ht="20.100000000000001" customHeight="1" x14ac:dyDescent="0.15">
      <c r="B392" s="5">
        <v>4</v>
      </c>
      <c r="C392" s="10"/>
      <c r="D392" s="10"/>
      <c r="E392" s="10"/>
      <c r="F392" s="10"/>
      <c r="G392" s="10"/>
      <c r="H392" s="8"/>
      <c r="I392" s="8"/>
      <c r="J392" s="8" t="str">
        <f t="shared" si="13"/>
        <v>借</v>
      </c>
      <c r="K392" s="9">
        <f t="shared" si="12"/>
        <v>100</v>
      </c>
    </row>
    <row r="393" spans="2:11" ht="20.100000000000001" customHeight="1" x14ac:dyDescent="0.15">
      <c r="B393" s="5">
        <v>4</v>
      </c>
      <c r="C393" s="10"/>
      <c r="D393" s="10"/>
      <c r="E393" s="10"/>
      <c r="F393" s="10"/>
      <c r="G393" s="10"/>
      <c r="H393" s="8"/>
      <c r="I393" s="8"/>
      <c r="J393" s="8" t="str">
        <f t="shared" si="13"/>
        <v>借</v>
      </c>
      <c r="K393" s="9">
        <f t="shared" si="12"/>
        <v>100</v>
      </c>
    </row>
    <row r="394" spans="2:11" ht="20.100000000000001" customHeight="1" x14ac:dyDescent="0.15">
      <c r="B394" s="5">
        <v>4</v>
      </c>
      <c r="C394" s="10"/>
      <c r="D394" s="10"/>
      <c r="E394" s="10"/>
      <c r="F394" s="10"/>
      <c r="G394" s="10"/>
      <c r="H394" s="8"/>
      <c r="I394" s="8"/>
      <c r="J394" s="8" t="str">
        <f t="shared" si="13"/>
        <v>借</v>
      </c>
      <c r="K394" s="9">
        <f t="shared" si="12"/>
        <v>100</v>
      </c>
    </row>
    <row r="395" spans="2:11" ht="20.100000000000001" customHeight="1" x14ac:dyDescent="0.15">
      <c r="B395" s="5">
        <v>4</v>
      </c>
      <c r="C395" s="10"/>
      <c r="D395" s="10"/>
      <c r="E395" s="10"/>
      <c r="F395" s="10"/>
      <c r="G395" s="10"/>
      <c r="H395" s="8"/>
      <c r="I395" s="8"/>
      <c r="J395" s="8" t="str">
        <f t="shared" si="13"/>
        <v>借</v>
      </c>
      <c r="K395" s="9">
        <f t="shared" si="12"/>
        <v>100</v>
      </c>
    </row>
    <row r="396" spans="2:11" ht="20.100000000000001" customHeight="1" x14ac:dyDescent="0.15">
      <c r="B396" s="5">
        <v>4</v>
      </c>
      <c r="C396" s="10"/>
      <c r="D396" s="10"/>
      <c r="E396" s="10"/>
      <c r="F396" s="10"/>
      <c r="G396" s="10"/>
      <c r="H396" s="8"/>
      <c r="I396" s="8"/>
      <c r="J396" s="8" t="str">
        <f t="shared" si="13"/>
        <v>借</v>
      </c>
      <c r="K396" s="9">
        <f t="shared" si="12"/>
        <v>100</v>
      </c>
    </row>
    <row r="397" spans="2:11" ht="20.100000000000001" customHeight="1" x14ac:dyDescent="0.15">
      <c r="B397" s="5">
        <v>4</v>
      </c>
      <c r="C397" s="10"/>
      <c r="D397" s="10"/>
      <c r="E397" s="10"/>
      <c r="F397" s="10"/>
      <c r="G397" s="10"/>
      <c r="H397" s="8"/>
      <c r="I397" s="8"/>
      <c r="J397" s="8" t="str">
        <f t="shared" si="13"/>
        <v>借</v>
      </c>
      <c r="K397" s="9">
        <f t="shared" si="12"/>
        <v>100</v>
      </c>
    </row>
    <row r="398" spans="2:11" ht="20.100000000000001" customHeight="1" x14ac:dyDescent="0.15">
      <c r="B398" s="5">
        <v>4</v>
      </c>
      <c r="C398" s="10"/>
      <c r="D398" s="10"/>
      <c r="E398" s="10"/>
      <c r="F398" s="10"/>
      <c r="G398" s="10"/>
      <c r="H398" s="8"/>
      <c r="I398" s="8"/>
      <c r="J398" s="8" t="str">
        <f t="shared" si="13"/>
        <v>借</v>
      </c>
      <c r="K398" s="9">
        <f t="shared" si="12"/>
        <v>100</v>
      </c>
    </row>
    <row r="399" spans="2:11" ht="20.100000000000001" customHeight="1" x14ac:dyDescent="0.15">
      <c r="B399" s="5">
        <v>4</v>
      </c>
      <c r="C399" s="10"/>
      <c r="D399" s="10"/>
      <c r="E399" s="10"/>
      <c r="F399" s="10"/>
      <c r="G399" s="10"/>
      <c r="H399" s="8"/>
      <c r="I399" s="8"/>
      <c r="J399" s="8" t="str">
        <f t="shared" si="13"/>
        <v>借</v>
      </c>
      <c r="K399" s="9">
        <f t="shared" si="12"/>
        <v>100</v>
      </c>
    </row>
    <row r="400" spans="2:11" ht="20.100000000000001" customHeight="1" x14ac:dyDescent="0.15">
      <c r="B400" s="5">
        <v>4</v>
      </c>
      <c r="C400" s="10"/>
      <c r="D400" s="10"/>
      <c r="E400" s="10"/>
      <c r="F400" s="10"/>
      <c r="G400" s="10"/>
      <c r="H400" s="8"/>
      <c r="I400" s="8"/>
      <c r="J400" s="8" t="str">
        <f t="shared" si="13"/>
        <v>借</v>
      </c>
      <c r="K400" s="9">
        <f t="shared" si="12"/>
        <v>100</v>
      </c>
    </row>
    <row r="401" spans="2:11" ht="20.100000000000001" customHeight="1" x14ac:dyDescent="0.15">
      <c r="B401" s="5">
        <v>4</v>
      </c>
      <c r="C401" s="10"/>
      <c r="D401" s="10"/>
      <c r="E401" s="10"/>
      <c r="F401" s="10"/>
      <c r="G401" s="10"/>
      <c r="H401" s="8"/>
      <c r="I401" s="8"/>
      <c r="J401" s="8" t="str">
        <f t="shared" si="13"/>
        <v>借</v>
      </c>
      <c r="K401" s="9">
        <f t="shared" si="12"/>
        <v>100</v>
      </c>
    </row>
    <row r="402" spans="2:11" ht="20.100000000000001" customHeight="1" x14ac:dyDescent="0.15">
      <c r="B402" s="5">
        <v>4</v>
      </c>
      <c r="C402" s="10"/>
      <c r="D402" s="10"/>
      <c r="E402" s="10"/>
      <c r="F402" s="10"/>
      <c r="G402" s="10"/>
      <c r="H402" s="8"/>
      <c r="I402" s="8"/>
      <c r="J402" s="8" t="str">
        <f t="shared" si="13"/>
        <v>借</v>
      </c>
      <c r="K402" s="9">
        <f t="shared" si="12"/>
        <v>100</v>
      </c>
    </row>
    <row r="403" spans="2:11" ht="20.100000000000001" customHeight="1" x14ac:dyDescent="0.15">
      <c r="B403" s="5">
        <v>4</v>
      </c>
      <c r="C403" s="10"/>
      <c r="D403" s="10"/>
      <c r="E403" s="10"/>
      <c r="F403" s="10"/>
      <c r="G403" s="10"/>
      <c r="H403" s="8"/>
      <c r="I403" s="8"/>
      <c r="J403" s="8" t="str">
        <f t="shared" si="13"/>
        <v>借</v>
      </c>
      <c r="K403" s="9">
        <f t="shared" si="12"/>
        <v>100</v>
      </c>
    </row>
    <row r="404" spans="2:11" ht="20.100000000000001" customHeight="1" x14ac:dyDescent="0.15">
      <c r="B404" s="5">
        <v>4</v>
      </c>
      <c r="C404" s="10"/>
      <c r="D404" s="10"/>
      <c r="E404" s="10"/>
      <c r="F404" s="10"/>
      <c r="G404" s="10"/>
      <c r="H404" s="8"/>
      <c r="I404" s="8"/>
      <c r="J404" s="8" t="str">
        <f t="shared" si="13"/>
        <v>借</v>
      </c>
      <c r="K404" s="9">
        <f t="shared" si="12"/>
        <v>100</v>
      </c>
    </row>
    <row r="405" spans="2:11" ht="20.100000000000001" customHeight="1" x14ac:dyDescent="0.15">
      <c r="B405" s="5">
        <v>4</v>
      </c>
      <c r="C405" s="10"/>
      <c r="D405" s="10"/>
      <c r="E405" s="10"/>
      <c r="F405" s="10"/>
      <c r="G405" s="10"/>
      <c r="H405" s="8"/>
      <c r="I405" s="8"/>
      <c r="J405" s="8" t="str">
        <f t="shared" si="13"/>
        <v>借</v>
      </c>
      <c r="K405" s="9">
        <f t="shared" si="12"/>
        <v>100</v>
      </c>
    </row>
    <row r="406" spans="2:11" ht="20.100000000000001" customHeight="1" x14ac:dyDescent="0.15">
      <c r="B406" s="5">
        <v>4</v>
      </c>
      <c r="C406" s="10"/>
      <c r="D406" s="10"/>
      <c r="E406" s="10"/>
      <c r="F406" s="10"/>
      <c r="G406" s="10"/>
      <c r="H406" s="8"/>
      <c r="I406" s="8"/>
      <c r="J406" s="8" t="str">
        <f t="shared" si="13"/>
        <v>借</v>
      </c>
      <c r="K406" s="9">
        <f t="shared" si="12"/>
        <v>100</v>
      </c>
    </row>
    <row r="407" spans="2:11" ht="20.100000000000001" customHeight="1" x14ac:dyDescent="0.15">
      <c r="B407" s="5">
        <v>4</v>
      </c>
      <c r="C407" s="10"/>
      <c r="D407" s="10"/>
      <c r="E407" s="10"/>
      <c r="F407" s="10"/>
      <c r="G407" s="10"/>
      <c r="H407" s="8"/>
      <c r="I407" s="8"/>
      <c r="J407" s="8" t="str">
        <f t="shared" si="13"/>
        <v>借</v>
      </c>
      <c r="K407" s="9">
        <f t="shared" si="12"/>
        <v>100</v>
      </c>
    </row>
    <row r="408" spans="2:11" ht="20.100000000000001" customHeight="1" x14ac:dyDescent="0.15">
      <c r="B408" s="5">
        <v>4</v>
      </c>
      <c r="C408" s="10"/>
      <c r="D408" s="10"/>
      <c r="E408" s="10"/>
      <c r="F408" s="10"/>
      <c r="G408" s="10"/>
      <c r="H408" s="8"/>
      <c r="I408" s="8"/>
      <c r="J408" s="8" t="str">
        <f t="shared" si="13"/>
        <v>借</v>
      </c>
      <c r="K408" s="9">
        <f t="shared" si="12"/>
        <v>100</v>
      </c>
    </row>
    <row r="409" spans="2:11" ht="20.100000000000001" customHeight="1" x14ac:dyDescent="0.15">
      <c r="B409" s="5">
        <v>4</v>
      </c>
      <c r="C409" s="10"/>
      <c r="D409" s="10"/>
      <c r="E409" s="10"/>
      <c r="F409" s="10"/>
      <c r="G409" s="10"/>
      <c r="H409" s="8"/>
      <c r="I409" s="8"/>
      <c r="J409" s="8" t="str">
        <f t="shared" si="13"/>
        <v>借</v>
      </c>
      <c r="K409" s="9">
        <f t="shared" si="12"/>
        <v>100</v>
      </c>
    </row>
    <row r="410" spans="2:11" ht="20.100000000000001" customHeight="1" x14ac:dyDescent="0.15">
      <c r="B410" s="5">
        <v>4</v>
      </c>
      <c r="C410" s="10"/>
      <c r="D410" s="10"/>
      <c r="E410" s="10"/>
      <c r="F410" s="10"/>
      <c r="G410" s="10"/>
      <c r="H410" s="8"/>
      <c r="I410" s="8"/>
      <c r="J410" s="8" t="str">
        <f t="shared" si="13"/>
        <v>借</v>
      </c>
      <c r="K410" s="9">
        <f t="shared" si="12"/>
        <v>100</v>
      </c>
    </row>
    <row r="411" spans="2:11" ht="20.100000000000001" customHeight="1" x14ac:dyDescent="0.15">
      <c r="B411" s="5">
        <v>4</v>
      </c>
      <c r="C411" s="10"/>
      <c r="D411" s="10"/>
      <c r="E411" s="10"/>
      <c r="F411" s="10"/>
      <c r="G411" s="10"/>
      <c r="H411" s="8"/>
      <c r="I411" s="8"/>
      <c r="J411" s="8" t="str">
        <f t="shared" si="13"/>
        <v>借</v>
      </c>
      <c r="K411" s="9">
        <f t="shared" si="12"/>
        <v>100</v>
      </c>
    </row>
    <row r="412" spans="2:11" ht="20.100000000000001" customHeight="1" x14ac:dyDescent="0.15">
      <c r="B412" s="5">
        <v>4</v>
      </c>
      <c r="C412" s="10"/>
      <c r="D412" s="10"/>
      <c r="E412" s="10"/>
      <c r="F412" s="10"/>
      <c r="G412" s="10"/>
      <c r="H412" s="8"/>
      <c r="I412" s="8"/>
      <c r="J412" s="8" t="str">
        <f t="shared" si="13"/>
        <v>借</v>
      </c>
      <c r="K412" s="9">
        <f t="shared" si="12"/>
        <v>100</v>
      </c>
    </row>
    <row r="413" spans="2:11" ht="20.100000000000001" customHeight="1" x14ac:dyDescent="0.15">
      <c r="B413" s="5">
        <v>4</v>
      </c>
      <c r="C413" s="10"/>
      <c r="D413" s="10"/>
      <c r="E413" s="10"/>
      <c r="F413" s="10"/>
      <c r="G413" s="10"/>
      <c r="H413" s="8"/>
      <c r="I413" s="8"/>
      <c r="J413" s="8" t="str">
        <f t="shared" si="13"/>
        <v>借</v>
      </c>
      <c r="K413" s="9">
        <f t="shared" si="12"/>
        <v>100</v>
      </c>
    </row>
    <row r="414" spans="2:11" ht="20.100000000000001" customHeight="1" x14ac:dyDescent="0.15">
      <c r="B414" s="5">
        <v>4</v>
      </c>
      <c r="C414" s="10"/>
      <c r="D414" s="10"/>
      <c r="E414" s="10"/>
      <c r="F414" s="10"/>
      <c r="G414" s="10"/>
      <c r="H414" s="8"/>
      <c r="I414" s="8"/>
      <c r="J414" s="8" t="str">
        <f t="shared" si="13"/>
        <v>借</v>
      </c>
      <c r="K414" s="9">
        <f t="shared" si="12"/>
        <v>100</v>
      </c>
    </row>
    <row r="415" spans="2:11" ht="20.100000000000001" customHeight="1" x14ac:dyDescent="0.15">
      <c r="B415" s="5">
        <v>4</v>
      </c>
      <c r="C415" s="10"/>
      <c r="D415" s="10"/>
      <c r="E415" s="10"/>
      <c r="F415" s="10"/>
      <c r="G415" s="10"/>
      <c r="H415" s="8"/>
      <c r="I415" s="8"/>
      <c r="J415" s="8" t="str">
        <f t="shared" si="13"/>
        <v>借</v>
      </c>
      <c r="K415" s="9">
        <f t="shared" si="12"/>
        <v>100</v>
      </c>
    </row>
    <row r="416" spans="2:11" ht="20.100000000000001" customHeight="1" x14ac:dyDescent="0.15">
      <c r="B416" s="5">
        <v>4</v>
      </c>
      <c r="C416" s="10"/>
      <c r="D416" s="10"/>
      <c r="E416" s="10"/>
      <c r="F416" s="10"/>
      <c r="G416" s="10"/>
      <c r="H416" s="8"/>
      <c r="I416" s="8"/>
      <c r="J416" s="8" t="str">
        <f t="shared" si="13"/>
        <v>借</v>
      </c>
      <c r="K416" s="9">
        <f t="shared" si="12"/>
        <v>100</v>
      </c>
    </row>
    <row r="417" spans="2:11" ht="20.100000000000001" customHeight="1" x14ac:dyDescent="0.15">
      <c r="B417" s="5">
        <v>4</v>
      </c>
      <c r="C417" s="10"/>
      <c r="D417" s="10"/>
      <c r="E417" s="10"/>
      <c r="F417" s="10"/>
      <c r="G417" s="10"/>
      <c r="H417" s="8"/>
      <c r="I417" s="8"/>
      <c r="J417" s="8" t="str">
        <f t="shared" si="13"/>
        <v>借</v>
      </c>
      <c r="K417" s="9">
        <f t="shared" si="12"/>
        <v>100</v>
      </c>
    </row>
    <row r="418" spans="2:11" ht="20.100000000000001" customHeight="1" x14ac:dyDescent="0.15">
      <c r="B418" s="5">
        <v>4</v>
      </c>
      <c r="C418" s="10"/>
      <c r="D418" s="10"/>
      <c r="E418" s="10"/>
      <c r="F418" s="10"/>
      <c r="G418" s="10"/>
      <c r="H418" s="8"/>
      <c r="I418" s="8"/>
      <c r="J418" s="8" t="str">
        <f t="shared" si="13"/>
        <v>借</v>
      </c>
      <c r="K418" s="9">
        <f t="shared" si="12"/>
        <v>100</v>
      </c>
    </row>
    <row r="419" spans="2:11" ht="20.100000000000001" customHeight="1" x14ac:dyDescent="0.15">
      <c r="B419" s="5">
        <v>4</v>
      </c>
      <c r="C419" s="10"/>
      <c r="D419" s="10"/>
      <c r="E419" s="10"/>
      <c r="F419" s="10"/>
      <c r="G419" s="10"/>
      <c r="H419" s="8"/>
      <c r="I419" s="8"/>
      <c r="J419" s="8" t="str">
        <f t="shared" si="13"/>
        <v>借</v>
      </c>
      <c r="K419" s="9">
        <f t="shared" si="12"/>
        <v>100</v>
      </c>
    </row>
    <row r="420" spans="2:11" ht="20.100000000000001" customHeight="1" x14ac:dyDescent="0.15">
      <c r="B420" s="5">
        <v>4</v>
      </c>
      <c r="C420" s="10"/>
      <c r="D420" s="10"/>
      <c r="E420" s="10"/>
      <c r="F420" s="10"/>
      <c r="G420" s="10"/>
      <c r="H420" s="8"/>
      <c r="I420" s="8"/>
      <c r="J420" s="8" t="str">
        <f t="shared" si="13"/>
        <v>借</v>
      </c>
      <c r="K420" s="9">
        <f t="shared" si="12"/>
        <v>100</v>
      </c>
    </row>
    <row r="421" spans="2:11" ht="20.100000000000001" customHeight="1" x14ac:dyDescent="0.15">
      <c r="B421" s="5">
        <v>4</v>
      </c>
      <c r="C421" s="10"/>
      <c r="D421" s="10"/>
      <c r="E421" s="10"/>
      <c r="F421" s="10"/>
      <c r="G421" s="10"/>
      <c r="H421" s="8"/>
      <c r="I421" s="8"/>
      <c r="J421" s="8" t="str">
        <f t="shared" si="13"/>
        <v>借</v>
      </c>
      <c r="K421" s="9">
        <f t="shared" si="12"/>
        <v>100</v>
      </c>
    </row>
    <row r="422" spans="2:11" ht="20.100000000000001" customHeight="1" x14ac:dyDescent="0.15">
      <c r="B422" s="5">
        <v>4</v>
      </c>
      <c r="C422" s="10"/>
      <c r="D422" s="10"/>
      <c r="E422" s="10"/>
      <c r="F422" s="10"/>
      <c r="G422" s="10"/>
      <c r="H422" s="8"/>
      <c r="I422" s="8"/>
      <c r="J422" s="8" t="str">
        <f t="shared" si="13"/>
        <v>借</v>
      </c>
      <c r="K422" s="9">
        <f t="shared" si="12"/>
        <v>100</v>
      </c>
    </row>
    <row r="423" spans="2:11" ht="20.100000000000001" customHeight="1" x14ac:dyDescent="0.15">
      <c r="B423" s="5">
        <v>4</v>
      </c>
      <c r="C423" s="10"/>
      <c r="D423" s="10"/>
      <c r="E423" s="10"/>
      <c r="F423" s="10"/>
      <c r="G423" s="10"/>
      <c r="H423" s="8"/>
      <c r="I423" s="8"/>
      <c r="J423" s="8" t="str">
        <f t="shared" si="13"/>
        <v>借</v>
      </c>
      <c r="K423" s="9">
        <f t="shared" si="12"/>
        <v>100</v>
      </c>
    </row>
    <row r="424" spans="2:11" ht="20.100000000000001" customHeight="1" x14ac:dyDescent="0.15">
      <c r="B424" s="5">
        <v>4</v>
      </c>
      <c r="C424" s="10"/>
      <c r="D424" s="10"/>
      <c r="E424" s="10"/>
      <c r="F424" s="10"/>
      <c r="G424" s="10"/>
      <c r="H424" s="8"/>
      <c r="I424" s="8"/>
      <c r="J424" s="8" t="str">
        <f t="shared" si="13"/>
        <v>借</v>
      </c>
      <c r="K424" s="9">
        <f t="shared" si="12"/>
        <v>100</v>
      </c>
    </row>
    <row r="425" spans="2:11" ht="20.100000000000001" customHeight="1" x14ac:dyDescent="0.15">
      <c r="B425" s="5">
        <v>4</v>
      </c>
      <c r="C425" s="10"/>
      <c r="D425" s="10"/>
      <c r="E425" s="10"/>
      <c r="F425" s="10"/>
      <c r="G425" s="10"/>
      <c r="H425" s="8"/>
      <c r="I425" s="8"/>
      <c r="J425" s="8" t="str">
        <f t="shared" si="13"/>
        <v>借</v>
      </c>
      <c r="K425" s="9">
        <f t="shared" si="12"/>
        <v>100</v>
      </c>
    </row>
    <row r="426" spans="2:11" ht="20.100000000000001" customHeight="1" x14ac:dyDescent="0.15">
      <c r="B426" s="5">
        <v>4</v>
      </c>
      <c r="C426" s="10"/>
      <c r="D426" s="10"/>
      <c r="E426" s="10"/>
      <c r="F426" s="10"/>
      <c r="G426" s="10"/>
      <c r="H426" s="8"/>
      <c r="I426" s="8"/>
      <c r="J426" s="8" t="str">
        <f t="shared" si="13"/>
        <v>借</v>
      </c>
      <c r="K426" s="9">
        <f t="shared" si="12"/>
        <v>100</v>
      </c>
    </row>
    <row r="427" spans="2:11" ht="20.100000000000001" customHeight="1" x14ac:dyDescent="0.15">
      <c r="B427" s="5">
        <v>4</v>
      </c>
      <c r="C427" s="10"/>
      <c r="D427" s="10"/>
      <c r="E427" s="10"/>
      <c r="F427" s="10"/>
      <c r="G427" s="10"/>
      <c r="H427" s="8"/>
      <c r="I427" s="8"/>
      <c r="J427" s="8" t="str">
        <f t="shared" si="13"/>
        <v>借</v>
      </c>
      <c r="K427" s="9">
        <f t="shared" si="12"/>
        <v>100</v>
      </c>
    </row>
    <row r="428" spans="2:11" ht="20.100000000000001" customHeight="1" x14ac:dyDescent="0.15">
      <c r="B428" s="5">
        <v>4</v>
      </c>
      <c r="C428" s="10"/>
      <c r="D428" s="10"/>
      <c r="E428" s="10"/>
      <c r="F428" s="10"/>
      <c r="G428" s="10"/>
      <c r="H428" s="8"/>
      <c r="I428" s="8"/>
      <c r="J428" s="8" t="str">
        <f t="shared" si="13"/>
        <v>借</v>
      </c>
      <c r="K428" s="9">
        <f t="shared" si="12"/>
        <v>100</v>
      </c>
    </row>
    <row r="429" spans="2:11" ht="20.100000000000001" customHeight="1" x14ac:dyDescent="0.15">
      <c r="B429" s="5">
        <v>4</v>
      </c>
      <c r="C429" s="10"/>
      <c r="D429" s="10"/>
      <c r="E429" s="10"/>
      <c r="F429" s="10"/>
      <c r="G429" s="10"/>
      <c r="H429" s="8"/>
      <c r="I429" s="8"/>
      <c r="J429" s="8" t="str">
        <f t="shared" si="13"/>
        <v>借</v>
      </c>
      <c r="K429" s="9">
        <f t="shared" ref="K429:K492" si="14">_xlfn.IFS(J428="借",K428+H429-I429,J428="贷",H429-I429-K428)</f>
        <v>100</v>
      </c>
    </row>
    <row r="430" spans="2:11" ht="20.100000000000001" customHeight="1" x14ac:dyDescent="0.15">
      <c r="B430" s="5">
        <v>4</v>
      </c>
      <c r="C430" s="10"/>
      <c r="D430" s="10"/>
      <c r="E430" s="10"/>
      <c r="F430" s="10"/>
      <c r="G430" s="10"/>
      <c r="H430" s="8"/>
      <c r="I430" s="8"/>
      <c r="J430" s="8" t="str">
        <f t="shared" si="13"/>
        <v>借</v>
      </c>
      <c r="K430" s="9">
        <f t="shared" si="14"/>
        <v>100</v>
      </c>
    </row>
    <row r="431" spans="2:11" ht="20.100000000000001" customHeight="1" x14ac:dyDescent="0.15">
      <c r="B431" s="5">
        <v>4</v>
      </c>
      <c r="C431" s="10"/>
      <c r="D431" s="10"/>
      <c r="E431" s="10"/>
      <c r="F431" s="10"/>
      <c r="G431" s="10"/>
      <c r="H431" s="8"/>
      <c r="I431" s="8"/>
      <c r="J431" s="8" t="str">
        <f t="shared" si="13"/>
        <v>借</v>
      </c>
      <c r="K431" s="9">
        <f t="shared" si="14"/>
        <v>100</v>
      </c>
    </row>
    <row r="432" spans="2:11" ht="20.100000000000001" customHeight="1" x14ac:dyDescent="0.15">
      <c r="B432" s="5">
        <v>4</v>
      </c>
      <c r="C432" s="10"/>
      <c r="D432" s="10"/>
      <c r="E432" s="10"/>
      <c r="F432" s="10"/>
      <c r="G432" s="10"/>
      <c r="H432" s="8"/>
      <c r="I432" s="8"/>
      <c r="J432" s="8" t="str">
        <f t="shared" si="13"/>
        <v>借</v>
      </c>
      <c r="K432" s="9">
        <f t="shared" si="14"/>
        <v>100</v>
      </c>
    </row>
    <row r="433" spans="2:11" ht="20.100000000000001" customHeight="1" x14ac:dyDescent="0.15">
      <c r="B433" s="5">
        <v>4</v>
      </c>
      <c r="C433" s="10"/>
      <c r="D433" s="10"/>
      <c r="E433" s="10"/>
      <c r="F433" s="10"/>
      <c r="G433" s="10"/>
      <c r="H433" s="8"/>
      <c r="I433" s="8"/>
      <c r="J433" s="8" t="str">
        <f t="shared" si="13"/>
        <v>借</v>
      </c>
      <c r="K433" s="9">
        <f t="shared" si="14"/>
        <v>100</v>
      </c>
    </row>
    <row r="434" spans="2:11" ht="20.100000000000001" customHeight="1" x14ac:dyDescent="0.15">
      <c r="B434" s="5">
        <v>4</v>
      </c>
      <c r="C434" s="10"/>
      <c r="D434" s="10"/>
      <c r="E434" s="10"/>
      <c r="F434" s="10"/>
      <c r="G434" s="10"/>
      <c r="H434" s="8"/>
      <c r="I434" s="8"/>
      <c r="J434" s="8" t="str">
        <f t="shared" si="13"/>
        <v>借</v>
      </c>
      <c r="K434" s="9">
        <f t="shared" si="14"/>
        <v>100</v>
      </c>
    </row>
    <row r="435" spans="2:11" ht="20.100000000000001" customHeight="1" x14ac:dyDescent="0.15">
      <c r="B435" s="5">
        <v>4</v>
      </c>
      <c r="C435" s="10"/>
      <c r="D435" s="10"/>
      <c r="E435" s="10"/>
      <c r="F435" s="10"/>
      <c r="G435" s="10"/>
      <c r="H435" s="8"/>
      <c r="I435" s="8"/>
      <c r="J435" s="8" t="str">
        <f t="shared" si="13"/>
        <v>借</v>
      </c>
      <c r="K435" s="9">
        <f t="shared" si="14"/>
        <v>100</v>
      </c>
    </row>
    <row r="436" spans="2:11" ht="20.100000000000001" customHeight="1" x14ac:dyDescent="0.15">
      <c r="B436" s="5">
        <v>4</v>
      </c>
      <c r="C436" s="10"/>
      <c r="D436" s="10"/>
      <c r="E436" s="10"/>
      <c r="F436" s="10"/>
      <c r="G436" s="10"/>
      <c r="H436" s="8"/>
      <c r="I436" s="8"/>
      <c r="J436" s="8" t="str">
        <f t="shared" si="13"/>
        <v>借</v>
      </c>
      <c r="K436" s="9">
        <f t="shared" si="14"/>
        <v>100</v>
      </c>
    </row>
    <row r="437" spans="2:11" ht="20.100000000000001" customHeight="1" x14ac:dyDescent="0.15">
      <c r="B437" s="5">
        <v>4</v>
      </c>
      <c r="C437" s="10"/>
      <c r="D437" s="10"/>
      <c r="E437" s="10"/>
      <c r="F437" s="10"/>
      <c r="G437" s="10"/>
      <c r="H437" s="8"/>
      <c r="I437" s="8"/>
      <c r="J437" s="8" t="str">
        <f t="shared" si="13"/>
        <v>借</v>
      </c>
      <c r="K437" s="9">
        <f t="shared" si="14"/>
        <v>100</v>
      </c>
    </row>
    <row r="438" spans="2:11" ht="20.100000000000001" customHeight="1" x14ac:dyDescent="0.15">
      <c r="B438" s="5">
        <v>4</v>
      </c>
      <c r="C438" s="10"/>
      <c r="D438" s="10"/>
      <c r="E438" s="10"/>
      <c r="F438" s="10"/>
      <c r="G438" s="10"/>
      <c r="H438" s="8"/>
      <c r="I438" s="8"/>
      <c r="J438" s="8" t="str">
        <f t="shared" si="13"/>
        <v>借</v>
      </c>
      <c r="K438" s="9">
        <f t="shared" si="14"/>
        <v>100</v>
      </c>
    </row>
    <row r="439" spans="2:11" ht="20.100000000000001" customHeight="1" x14ac:dyDescent="0.15">
      <c r="B439" s="5">
        <v>4</v>
      </c>
      <c r="C439" s="10"/>
      <c r="D439" s="10"/>
      <c r="E439" s="10"/>
      <c r="F439" s="10"/>
      <c r="G439" s="10"/>
      <c r="H439" s="8"/>
      <c r="I439" s="8"/>
      <c r="J439" s="8" t="str">
        <f t="shared" si="13"/>
        <v>借</v>
      </c>
      <c r="K439" s="9">
        <f t="shared" si="14"/>
        <v>100</v>
      </c>
    </row>
    <row r="440" spans="2:11" ht="20.100000000000001" customHeight="1" x14ac:dyDescent="0.15">
      <c r="B440" s="5">
        <v>4</v>
      </c>
      <c r="C440" s="10"/>
      <c r="D440" s="10"/>
      <c r="E440" s="10"/>
      <c r="F440" s="10"/>
      <c r="G440" s="10"/>
      <c r="H440" s="8"/>
      <c r="I440" s="8"/>
      <c r="J440" s="8" t="str">
        <f t="shared" si="13"/>
        <v>借</v>
      </c>
      <c r="K440" s="9">
        <f t="shared" si="14"/>
        <v>100</v>
      </c>
    </row>
    <row r="441" spans="2:11" ht="20.100000000000001" customHeight="1" x14ac:dyDescent="0.15">
      <c r="B441" s="5">
        <v>4</v>
      </c>
      <c r="C441" s="10"/>
      <c r="D441" s="10"/>
      <c r="E441" s="10"/>
      <c r="F441" s="10"/>
      <c r="G441" s="10"/>
      <c r="H441" s="8"/>
      <c r="I441" s="8"/>
      <c r="J441" s="8" t="str">
        <f t="shared" si="13"/>
        <v>借</v>
      </c>
      <c r="K441" s="9">
        <f t="shared" si="14"/>
        <v>100</v>
      </c>
    </row>
    <row r="442" spans="2:11" ht="20.100000000000001" customHeight="1" x14ac:dyDescent="0.15">
      <c r="B442" s="5">
        <v>4</v>
      </c>
      <c r="C442" s="10"/>
      <c r="D442" s="10"/>
      <c r="E442" s="10"/>
      <c r="F442" s="10"/>
      <c r="G442" s="10"/>
      <c r="H442" s="8"/>
      <c r="I442" s="8"/>
      <c r="J442" s="8" t="str">
        <f t="shared" si="13"/>
        <v>借</v>
      </c>
      <c r="K442" s="9">
        <f t="shared" si="14"/>
        <v>100</v>
      </c>
    </row>
    <row r="443" spans="2:11" ht="20.100000000000001" customHeight="1" x14ac:dyDescent="0.15">
      <c r="B443" s="5">
        <v>4</v>
      </c>
      <c r="C443" s="10"/>
      <c r="D443" s="10"/>
      <c r="E443" s="10"/>
      <c r="F443" s="10"/>
      <c r="G443" s="10"/>
      <c r="H443" s="8"/>
      <c r="I443" s="8"/>
      <c r="J443" s="8" t="str">
        <f t="shared" si="13"/>
        <v>借</v>
      </c>
      <c r="K443" s="9">
        <f t="shared" si="14"/>
        <v>100</v>
      </c>
    </row>
    <row r="444" spans="2:11" ht="20.100000000000001" customHeight="1" x14ac:dyDescent="0.15">
      <c r="B444" s="5">
        <v>4</v>
      </c>
      <c r="C444" s="10"/>
      <c r="D444" s="10"/>
      <c r="E444" s="10"/>
      <c r="F444" s="10"/>
      <c r="G444" s="10"/>
      <c r="H444" s="8"/>
      <c r="I444" s="8"/>
      <c r="J444" s="8" t="str">
        <f t="shared" si="13"/>
        <v>借</v>
      </c>
      <c r="K444" s="9">
        <f t="shared" si="14"/>
        <v>100</v>
      </c>
    </row>
    <row r="445" spans="2:11" ht="20.100000000000001" customHeight="1" x14ac:dyDescent="0.15">
      <c r="B445" s="5">
        <v>4</v>
      </c>
      <c r="C445" s="10"/>
      <c r="D445" s="10"/>
      <c r="E445" s="10"/>
      <c r="F445" s="10"/>
      <c r="G445" s="10"/>
      <c r="H445" s="8"/>
      <c r="I445" s="8"/>
      <c r="J445" s="8" t="str">
        <f t="shared" si="13"/>
        <v>借</v>
      </c>
      <c r="K445" s="9">
        <f t="shared" si="14"/>
        <v>100</v>
      </c>
    </row>
    <row r="446" spans="2:11" ht="20.100000000000001" customHeight="1" x14ac:dyDescent="0.15">
      <c r="B446" s="5">
        <v>4</v>
      </c>
      <c r="C446" s="10"/>
      <c r="D446" s="10"/>
      <c r="E446" s="10"/>
      <c r="F446" s="10"/>
      <c r="G446" s="10"/>
      <c r="H446" s="8"/>
      <c r="I446" s="8"/>
      <c r="J446" s="8" t="str">
        <f t="shared" si="13"/>
        <v>借</v>
      </c>
      <c r="K446" s="9">
        <f t="shared" si="14"/>
        <v>100</v>
      </c>
    </row>
    <row r="447" spans="2:11" ht="20.100000000000001" customHeight="1" x14ac:dyDescent="0.15">
      <c r="B447" s="5">
        <v>4</v>
      </c>
      <c r="C447" s="10"/>
      <c r="D447" s="10"/>
      <c r="E447" s="10"/>
      <c r="F447" s="10"/>
      <c r="G447" s="10"/>
      <c r="H447" s="8"/>
      <c r="I447" s="8"/>
      <c r="J447" s="8" t="str">
        <f t="shared" si="13"/>
        <v>借</v>
      </c>
      <c r="K447" s="9">
        <f t="shared" si="14"/>
        <v>100</v>
      </c>
    </row>
    <row r="448" spans="2:11" ht="20.100000000000001" customHeight="1" x14ac:dyDescent="0.15">
      <c r="B448" s="5">
        <v>4</v>
      </c>
      <c r="C448" s="10"/>
      <c r="D448" s="10"/>
      <c r="E448" s="10"/>
      <c r="F448" s="10"/>
      <c r="G448" s="10"/>
      <c r="H448" s="8"/>
      <c r="I448" s="8"/>
      <c r="J448" s="8" t="str">
        <f t="shared" si="13"/>
        <v>借</v>
      </c>
      <c r="K448" s="9">
        <f t="shared" si="14"/>
        <v>100</v>
      </c>
    </row>
    <row r="449" spans="2:11" ht="20.100000000000001" customHeight="1" x14ac:dyDescent="0.15">
      <c r="B449" s="5">
        <v>4</v>
      </c>
      <c r="C449" s="10"/>
      <c r="D449" s="10"/>
      <c r="E449" s="10"/>
      <c r="F449" s="10"/>
      <c r="G449" s="10"/>
      <c r="H449" s="8"/>
      <c r="I449" s="8"/>
      <c r="J449" s="8" t="str">
        <f t="shared" si="13"/>
        <v>借</v>
      </c>
      <c r="K449" s="9">
        <f t="shared" si="14"/>
        <v>100</v>
      </c>
    </row>
    <row r="450" spans="2:11" ht="20.100000000000001" customHeight="1" x14ac:dyDescent="0.15">
      <c r="B450" s="5">
        <v>4</v>
      </c>
      <c r="C450" s="10"/>
      <c r="D450" s="10"/>
      <c r="E450" s="10"/>
      <c r="F450" s="10"/>
      <c r="G450" s="10"/>
      <c r="H450" s="8"/>
      <c r="I450" s="8"/>
      <c r="J450" s="8" t="str">
        <f t="shared" si="13"/>
        <v>借</v>
      </c>
      <c r="K450" s="9">
        <f t="shared" si="14"/>
        <v>100</v>
      </c>
    </row>
    <row r="451" spans="2:11" ht="20.100000000000001" customHeight="1" x14ac:dyDescent="0.15">
      <c r="B451" s="5">
        <v>4</v>
      </c>
      <c r="C451" s="10"/>
      <c r="D451" s="10"/>
      <c r="E451" s="10"/>
      <c r="F451" s="10"/>
      <c r="G451" s="10"/>
      <c r="H451" s="8"/>
      <c r="I451" s="8"/>
      <c r="J451" s="8" t="str">
        <f t="shared" si="13"/>
        <v>借</v>
      </c>
      <c r="K451" s="9">
        <f t="shared" si="14"/>
        <v>100</v>
      </c>
    </row>
    <row r="452" spans="2:11" ht="20.100000000000001" customHeight="1" x14ac:dyDescent="0.15">
      <c r="B452" s="5">
        <v>4</v>
      </c>
      <c r="C452" s="10"/>
      <c r="D452" s="10"/>
      <c r="E452" s="10"/>
      <c r="F452" s="10"/>
      <c r="G452" s="10"/>
      <c r="H452" s="8"/>
      <c r="I452" s="8"/>
      <c r="J452" s="8" t="str">
        <f t="shared" si="13"/>
        <v>借</v>
      </c>
      <c r="K452" s="9">
        <f t="shared" si="14"/>
        <v>100</v>
      </c>
    </row>
    <row r="453" spans="2:11" ht="20.100000000000001" customHeight="1" x14ac:dyDescent="0.15">
      <c r="B453" s="5">
        <v>4</v>
      </c>
      <c r="C453" s="10"/>
      <c r="D453" s="10"/>
      <c r="E453" s="10"/>
      <c r="F453" s="10"/>
      <c r="G453" s="10"/>
      <c r="H453" s="8"/>
      <c r="I453" s="8"/>
      <c r="J453" s="8" t="str">
        <f t="shared" si="13"/>
        <v>借</v>
      </c>
      <c r="K453" s="9">
        <f t="shared" si="14"/>
        <v>100</v>
      </c>
    </row>
    <row r="454" spans="2:11" ht="20.100000000000001" customHeight="1" x14ac:dyDescent="0.15">
      <c r="B454" s="5">
        <v>4</v>
      </c>
      <c r="C454" s="10"/>
      <c r="D454" s="10"/>
      <c r="E454" s="10"/>
      <c r="F454" s="10"/>
      <c r="G454" s="10"/>
      <c r="H454" s="8"/>
      <c r="I454" s="8"/>
      <c r="J454" s="8" t="str">
        <f t="shared" ref="J454:J497" si="15">IF((K453+H454-I454)&gt;0,"借","贷")</f>
        <v>借</v>
      </c>
      <c r="K454" s="9">
        <f t="shared" si="14"/>
        <v>100</v>
      </c>
    </row>
    <row r="455" spans="2:11" ht="20.100000000000001" customHeight="1" x14ac:dyDescent="0.15">
      <c r="B455" s="5">
        <v>4</v>
      </c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4"/>
        <v>100</v>
      </c>
    </row>
    <row r="456" spans="2:11" ht="20.100000000000001" customHeight="1" x14ac:dyDescent="0.15">
      <c r="B456" s="5">
        <v>4</v>
      </c>
      <c r="C456" s="10"/>
      <c r="D456" s="10"/>
      <c r="E456" s="10"/>
      <c r="F456" s="10"/>
      <c r="G456" s="10"/>
      <c r="H456" s="8"/>
      <c r="I456" s="8"/>
      <c r="J456" s="8" t="str">
        <f t="shared" si="15"/>
        <v>借</v>
      </c>
      <c r="K456" s="9">
        <f t="shared" si="14"/>
        <v>100</v>
      </c>
    </row>
    <row r="457" spans="2:11" ht="20.100000000000001" customHeight="1" x14ac:dyDescent="0.15">
      <c r="B457" s="5">
        <v>4</v>
      </c>
      <c r="C457" s="10"/>
      <c r="D457" s="10"/>
      <c r="E457" s="10"/>
      <c r="F457" s="10"/>
      <c r="G457" s="10"/>
      <c r="H457" s="8"/>
      <c r="I457" s="8"/>
      <c r="J457" s="8" t="str">
        <f t="shared" si="15"/>
        <v>借</v>
      </c>
      <c r="K457" s="9">
        <f t="shared" si="14"/>
        <v>100</v>
      </c>
    </row>
    <row r="458" spans="2:11" ht="20.100000000000001" customHeight="1" x14ac:dyDescent="0.15">
      <c r="B458" s="5">
        <v>4</v>
      </c>
      <c r="C458" s="10"/>
      <c r="D458" s="10"/>
      <c r="E458" s="10"/>
      <c r="F458" s="10"/>
      <c r="G458" s="10"/>
      <c r="H458" s="8"/>
      <c r="I458" s="8"/>
      <c r="J458" s="8" t="str">
        <f t="shared" si="15"/>
        <v>借</v>
      </c>
      <c r="K458" s="9">
        <f t="shared" si="14"/>
        <v>100</v>
      </c>
    </row>
    <row r="459" spans="2:11" ht="20.100000000000001" customHeight="1" x14ac:dyDescent="0.15">
      <c r="B459" s="5">
        <v>4</v>
      </c>
      <c r="C459" s="10"/>
      <c r="D459" s="10"/>
      <c r="E459" s="10"/>
      <c r="F459" s="10"/>
      <c r="G459" s="10"/>
      <c r="H459" s="8"/>
      <c r="I459" s="8"/>
      <c r="J459" s="8" t="str">
        <f t="shared" si="15"/>
        <v>借</v>
      </c>
      <c r="K459" s="9">
        <f t="shared" si="14"/>
        <v>100</v>
      </c>
    </row>
    <row r="460" spans="2:11" ht="20.100000000000001" customHeight="1" x14ac:dyDescent="0.15">
      <c r="B460" s="5">
        <v>4</v>
      </c>
      <c r="C460" s="10"/>
      <c r="D460" s="10"/>
      <c r="E460" s="10"/>
      <c r="F460" s="10"/>
      <c r="G460" s="10"/>
      <c r="H460" s="8"/>
      <c r="I460" s="8"/>
      <c r="J460" s="8" t="str">
        <f t="shared" si="15"/>
        <v>借</v>
      </c>
      <c r="K460" s="9">
        <f t="shared" si="14"/>
        <v>100</v>
      </c>
    </row>
    <row r="461" spans="2:11" ht="20.100000000000001" customHeight="1" x14ac:dyDescent="0.15">
      <c r="B461" s="5">
        <v>4</v>
      </c>
      <c r="C461" s="10"/>
      <c r="D461" s="10"/>
      <c r="E461" s="10"/>
      <c r="F461" s="10"/>
      <c r="G461" s="10"/>
      <c r="H461" s="8"/>
      <c r="I461" s="8"/>
      <c r="J461" s="8" t="str">
        <f t="shared" si="15"/>
        <v>借</v>
      </c>
      <c r="K461" s="9">
        <f t="shared" si="14"/>
        <v>100</v>
      </c>
    </row>
    <row r="462" spans="2:11" ht="20.100000000000001" customHeight="1" x14ac:dyDescent="0.15">
      <c r="B462" s="5">
        <v>4</v>
      </c>
      <c r="C462" s="10"/>
      <c r="D462" s="10"/>
      <c r="E462" s="10"/>
      <c r="F462" s="10"/>
      <c r="G462" s="10"/>
      <c r="H462" s="8"/>
      <c r="I462" s="8"/>
      <c r="J462" s="8" t="str">
        <f t="shared" si="15"/>
        <v>借</v>
      </c>
      <c r="K462" s="9">
        <f t="shared" si="14"/>
        <v>100</v>
      </c>
    </row>
    <row r="463" spans="2:11" ht="20.100000000000001" customHeight="1" x14ac:dyDescent="0.15">
      <c r="B463" s="5">
        <v>4</v>
      </c>
      <c r="C463" s="10"/>
      <c r="D463" s="10"/>
      <c r="E463" s="10"/>
      <c r="F463" s="10"/>
      <c r="G463" s="10"/>
      <c r="H463" s="8"/>
      <c r="I463" s="8"/>
      <c r="J463" s="8" t="str">
        <f t="shared" si="15"/>
        <v>借</v>
      </c>
      <c r="K463" s="9">
        <f t="shared" si="14"/>
        <v>100</v>
      </c>
    </row>
    <row r="464" spans="2:11" ht="20.100000000000001" customHeight="1" x14ac:dyDescent="0.15">
      <c r="B464" s="5">
        <v>4</v>
      </c>
      <c r="C464" s="10"/>
      <c r="D464" s="10"/>
      <c r="E464" s="10"/>
      <c r="F464" s="10"/>
      <c r="G464" s="10"/>
      <c r="H464" s="8"/>
      <c r="I464" s="8"/>
      <c r="J464" s="8" t="str">
        <f t="shared" si="15"/>
        <v>借</v>
      </c>
      <c r="K464" s="9">
        <f t="shared" si="14"/>
        <v>100</v>
      </c>
    </row>
    <row r="465" spans="2:11" ht="20.100000000000001" customHeight="1" x14ac:dyDescent="0.15">
      <c r="B465" s="5">
        <v>4</v>
      </c>
      <c r="C465" s="10"/>
      <c r="D465" s="10"/>
      <c r="E465" s="10"/>
      <c r="F465" s="10"/>
      <c r="G465" s="10"/>
      <c r="H465" s="8"/>
      <c r="I465" s="8"/>
      <c r="J465" s="8" t="str">
        <f t="shared" si="15"/>
        <v>借</v>
      </c>
      <c r="K465" s="9">
        <f t="shared" si="14"/>
        <v>100</v>
      </c>
    </row>
    <row r="466" spans="2:11" ht="20.100000000000001" customHeight="1" x14ac:dyDescent="0.15">
      <c r="B466" s="5">
        <v>4</v>
      </c>
      <c r="C466" s="10"/>
      <c r="D466" s="10"/>
      <c r="E466" s="10"/>
      <c r="F466" s="10"/>
      <c r="G466" s="10"/>
      <c r="H466" s="8"/>
      <c r="I466" s="8"/>
      <c r="J466" s="8" t="str">
        <f t="shared" si="15"/>
        <v>借</v>
      </c>
      <c r="K466" s="9">
        <f t="shared" si="14"/>
        <v>100</v>
      </c>
    </row>
    <row r="467" spans="2:11" ht="20.100000000000001" customHeight="1" x14ac:dyDescent="0.15">
      <c r="B467" s="5">
        <v>4</v>
      </c>
      <c r="C467" s="10"/>
      <c r="D467" s="10"/>
      <c r="E467" s="10"/>
      <c r="F467" s="10"/>
      <c r="G467" s="10"/>
      <c r="H467" s="8"/>
      <c r="I467" s="8"/>
      <c r="J467" s="8" t="str">
        <f t="shared" si="15"/>
        <v>借</v>
      </c>
      <c r="K467" s="9">
        <f t="shared" si="14"/>
        <v>100</v>
      </c>
    </row>
    <row r="468" spans="2:11" ht="20.100000000000001" customHeight="1" x14ac:dyDescent="0.15">
      <c r="B468" s="5">
        <v>4</v>
      </c>
      <c r="C468" s="10"/>
      <c r="D468" s="10"/>
      <c r="E468" s="10"/>
      <c r="F468" s="10"/>
      <c r="G468" s="10"/>
      <c r="H468" s="8"/>
      <c r="I468" s="8"/>
      <c r="J468" s="8" t="str">
        <f t="shared" si="15"/>
        <v>借</v>
      </c>
      <c r="K468" s="9">
        <f t="shared" si="14"/>
        <v>100</v>
      </c>
    </row>
    <row r="469" spans="2:11" ht="20.100000000000001" customHeight="1" x14ac:dyDescent="0.15">
      <c r="B469" s="5">
        <v>4</v>
      </c>
      <c r="C469" s="10"/>
      <c r="D469" s="10"/>
      <c r="E469" s="10"/>
      <c r="F469" s="10"/>
      <c r="G469" s="10"/>
      <c r="H469" s="8"/>
      <c r="I469" s="8"/>
      <c r="J469" s="8" t="str">
        <f t="shared" si="15"/>
        <v>借</v>
      </c>
      <c r="K469" s="9">
        <f t="shared" si="14"/>
        <v>100</v>
      </c>
    </row>
    <row r="470" spans="2:11" ht="20.100000000000001" customHeight="1" x14ac:dyDescent="0.15">
      <c r="B470" s="5">
        <v>4</v>
      </c>
      <c r="C470" s="10"/>
      <c r="D470" s="10"/>
      <c r="E470" s="10"/>
      <c r="F470" s="10"/>
      <c r="G470" s="10"/>
      <c r="H470" s="8"/>
      <c r="I470" s="8"/>
      <c r="J470" s="8" t="str">
        <f t="shared" si="15"/>
        <v>借</v>
      </c>
      <c r="K470" s="9">
        <f t="shared" si="14"/>
        <v>100</v>
      </c>
    </row>
    <row r="471" spans="2:11" ht="20.100000000000001" customHeight="1" x14ac:dyDescent="0.15">
      <c r="B471" s="5">
        <v>4</v>
      </c>
      <c r="C471" s="10"/>
      <c r="D471" s="10"/>
      <c r="E471" s="10"/>
      <c r="F471" s="10"/>
      <c r="G471" s="10"/>
      <c r="H471" s="8"/>
      <c r="I471" s="8"/>
      <c r="J471" s="8" t="str">
        <f t="shared" si="15"/>
        <v>借</v>
      </c>
      <c r="K471" s="9">
        <f t="shared" si="14"/>
        <v>100</v>
      </c>
    </row>
    <row r="472" spans="2:11" ht="20.100000000000001" customHeight="1" x14ac:dyDescent="0.15">
      <c r="B472" s="5">
        <v>4</v>
      </c>
      <c r="C472" s="10"/>
      <c r="D472" s="10"/>
      <c r="E472" s="10"/>
      <c r="F472" s="10"/>
      <c r="G472" s="10"/>
      <c r="H472" s="8"/>
      <c r="I472" s="8"/>
      <c r="J472" s="8" t="str">
        <f t="shared" si="15"/>
        <v>借</v>
      </c>
      <c r="K472" s="9">
        <f t="shared" si="14"/>
        <v>100</v>
      </c>
    </row>
    <row r="473" spans="2:11" ht="20.100000000000001" customHeight="1" x14ac:dyDescent="0.15">
      <c r="B473" s="5">
        <v>4</v>
      </c>
      <c r="C473" s="10"/>
      <c r="D473" s="10"/>
      <c r="E473" s="10"/>
      <c r="F473" s="10"/>
      <c r="G473" s="10"/>
      <c r="H473" s="8"/>
      <c r="I473" s="8"/>
      <c r="J473" s="8" t="str">
        <f t="shared" si="15"/>
        <v>借</v>
      </c>
      <c r="K473" s="9">
        <f t="shared" si="14"/>
        <v>100</v>
      </c>
    </row>
    <row r="474" spans="2:11" ht="20.100000000000001" customHeight="1" x14ac:dyDescent="0.15">
      <c r="B474" s="5">
        <v>4</v>
      </c>
      <c r="C474" s="10"/>
      <c r="D474" s="10"/>
      <c r="E474" s="10"/>
      <c r="F474" s="10"/>
      <c r="G474" s="10"/>
      <c r="H474" s="8"/>
      <c r="I474" s="8"/>
      <c r="J474" s="8" t="str">
        <f t="shared" si="15"/>
        <v>借</v>
      </c>
      <c r="K474" s="9">
        <f t="shared" si="14"/>
        <v>100</v>
      </c>
    </row>
    <row r="475" spans="2:11" ht="20.100000000000001" customHeight="1" x14ac:dyDescent="0.15">
      <c r="B475" s="5">
        <v>4</v>
      </c>
      <c r="C475" s="10"/>
      <c r="D475" s="10"/>
      <c r="E475" s="10"/>
      <c r="F475" s="10"/>
      <c r="G475" s="10"/>
      <c r="H475" s="8"/>
      <c r="I475" s="8"/>
      <c r="J475" s="8" t="str">
        <f t="shared" si="15"/>
        <v>借</v>
      </c>
      <c r="K475" s="9">
        <f t="shared" si="14"/>
        <v>100</v>
      </c>
    </row>
    <row r="476" spans="2:11" ht="20.100000000000001" customHeight="1" x14ac:dyDescent="0.15">
      <c r="B476" s="5">
        <v>4</v>
      </c>
      <c r="C476" s="10"/>
      <c r="D476" s="10"/>
      <c r="E476" s="10"/>
      <c r="F476" s="10"/>
      <c r="G476" s="10"/>
      <c r="H476" s="8"/>
      <c r="I476" s="8"/>
      <c r="J476" s="8" t="str">
        <f t="shared" si="15"/>
        <v>借</v>
      </c>
      <c r="K476" s="9">
        <f t="shared" si="14"/>
        <v>100</v>
      </c>
    </row>
    <row r="477" spans="2:11" ht="20.100000000000001" customHeight="1" x14ac:dyDescent="0.15">
      <c r="B477" s="5">
        <v>4</v>
      </c>
      <c r="C477" s="10"/>
      <c r="D477" s="10"/>
      <c r="E477" s="10"/>
      <c r="F477" s="10"/>
      <c r="G477" s="10"/>
      <c r="H477" s="8"/>
      <c r="I477" s="8"/>
      <c r="J477" s="8" t="str">
        <f t="shared" si="15"/>
        <v>借</v>
      </c>
      <c r="K477" s="9">
        <f t="shared" si="14"/>
        <v>100</v>
      </c>
    </row>
    <row r="478" spans="2:11" ht="20.100000000000001" customHeight="1" x14ac:dyDescent="0.15">
      <c r="B478" s="5">
        <v>4</v>
      </c>
      <c r="C478" s="10"/>
      <c r="D478" s="10"/>
      <c r="E478" s="10"/>
      <c r="F478" s="10"/>
      <c r="G478" s="10"/>
      <c r="H478" s="8"/>
      <c r="I478" s="8"/>
      <c r="J478" s="8" t="str">
        <f t="shared" si="15"/>
        <v>借</v>
      </c>
      <c r="K478" s="9">
        <f t="shared" si="14"/>
        <v>100</v>
      </c>
    </row>
    <row r="479" spans="2:11" ht="20.100000000000001" customHeight="1" x14ac:dyDescent="0.15">
      <c r="B479" s="5">
        <v>4</v>
      </c>
      <c r="C479" s="10"/>
      <c r="D479" s="10"/>
      <c r="E479" s="10"/>
      <c r="F479" s="10"/>
      <c r="G479" s="10"/>
      <c r="H479" s="8"/>
      <c r="I479" s="8"/>
      <c r="J479" s="8" t="str">
        <f t="shared" si="15"/>
        <v>借</v>
      </c>
      <c r="K479" s="9">
        <f t="shared" si="14"/>
        <v>100</v>
      </c>
    </row>
    <row r="480" spans="2:11" ht="20.100000000000001" customHeight="1" x14ac:dyDescent="0.15">
      <c r="B480" s="5">
        <v>4</v>
      </c>
      <c r="C480" s="10"/>
      <c r="D480" s="10"/>
      <c r="E480" s="10"/>
      <c r="F480" s="10"/>
      <c r="G480" s="10"/>
      <c r="H480" s="8"/>
      <c r="I480" s="8"/>
      <c r="J480" s="8" t="str">
        <f t="shared" si="15"/>
        <v>借</v>
      </c>
      <c r="K480" s="9">
        <f t="shared" si="14"/>
        <v>100</v>
      </c>
    </row>
    <row r="481" spans="2:11" ht="20.100000000000001" customHeight="1" x14ac:dyDescent="0.15">
      <c r="B481" s="5">
        <v>4</v>
      </c>
      <c r="C481" s="10"/>
      <c r="D481" s="10"/>
      <c r="E481" s="10"/>
      <c r="F481" s="10"/>
      <c r="G481" s="10"/>
      <c r="H481" s="8"/>
      <c r="I481" s="8"/>
      <c r="J481" s="8" t="str">
        <f t="shared" si="15"/>
        <v>借</v>
      </c>
      <c r="K481" s="9">
        <f t="shared" si="14"/>
        <v>100</v>
      </c>
    </row>
    <row r="482" spans="2:11" ht="20.100000000000001" customHeight="1" x14ac:dyDescent="0.15">
      <c r="B482" s="5">
        <v>4</v>
      </c>
      <c r="C482" s="10"/>
      <c r="D482" s="10"/>
      <c r="E482" s="10"/>
      <c r="F482" s="10"/>
      <c r="G482" s="10"/>
      <c r="H482" s="8"/>
      <c r="I482" s="8"/>
      <c r="J482" s="8" t="str">
        <f t="shared" si="15"/>
        <v>借</v>
      </c>
      <c r="K482" s="9">
        <f t="shared" si="14"/>
        <v>100</v>
      </c>
    </row>
    <row r="483" spans="2:11" ht="20.100000000000001" customHeight="1" x14ac:dyDescent="0.15">
      <c r="B483" s="5">
        <v>4</v>
      </c>
      <c r="C483" s="10"/>
      <c r="D483" s="10"/>
      <c r="E483" s="10"/>
      <c r="F483" s="10"/>
      <c r="G483" s="10"/>
      <c r="H483" s="8"/>
      <c r="I483" s="8"/>
      <c r="J483" s="8" t="str">
        <f t="shared" si="15"/>
        <v>借</v>
      </c>
      <c r="K483" s="9">
        <f t="shared" si="14"/>
        <v>100</v>
      </c>
    </row>
    <row r="484" spans="2:11" ht="20.100000000000001" customHeight="1" x14ac:dyDescent="0.15">
      <c r="B484" s="5">
        <v>4</v>
      </c>
      <c r="C484" s="10"/>
      <c r="D484" s="10"/>
      <c r="E484" s="10"/>
      <c r="F484" s="10"/>
      <c r="G484" s="10"/>
      <c r="H484" s="8"/>
      <c r="I484" s="8"/>
      <c r="J484" s="8" t="str">
        <f t="shared" si="15"/>
        <v>借</v>
      </c>
      <c r="K484" s="9">
        <f t="shared" si="14"/>
        <v>100</v>
      </c>
    </row>
    <row r="485" spans="2:11" ht="20.100000000000001" customHeight="1" x14ac:dyDescent="0.15">
      <c r="B485" s="5">
        <v>4</v>
      </c>
      <c r="C485" s="10"/>
      <c r="D485" s="10"/>
      <c r="E485" s="10"/>
      <c r="F485" s="10"/>
      <c r="G485" s="10"/>
      <c r="H485" s="8"/>
      <c r="I485" s="8"/>
      <c r="J485" s="8" t="str">
        <f t="shared" si="15"/>
        <v>借</v>
      </c>
      <c r="K485" s="9">
        <f t="shared" si="14"/>
        <v>100</v>
      </c>
    </row>
    <row r="486" spans="2:11" ht="20.100000000000001" customHeight="1" x14ac:dyDescent="0.15">
      <c r="B486" s="5">
        <v>4</v>
      </c>
      <c r="C486" s="10"/>
      <c r="D486" s="10"/>
      <c r="E486" s="10"/>
      <c r="F486" s="10"/>
      <c r="G486" s="10"/>
      <c r="H486" s="8"/>
      <c r="I486" s="8"/>
      <c r="J486" s="8" t="str">
        <f t="shared" si="15"/>
        <v>借</v>
      </c>
      <c r="K486" s="9">
        <f t="shared" si="14"/>
        <v>100</v>
      </c>
    </row>
    <row r="487" spans="2:11" ht="20.100000000000001" customHeight="1" x14ac:dyDescent="0.15">
      <c r="B487" s="5">
        <v>4</v>
      </c>
      <c r="C487" s="10"/>
      <c r="D487" s="10"/>
      <c r="E487" s="10"/>
      <c r="F487" s="10"/>
      <c r="G487" s="10"/>
      <c r="H487" s="8"/>
      <c r="I487" s="8"/>
      <c r="J487" s="8" t="str">
        <f t="shared" si="15"/>
        <v>借</v>
      </c>
      <c r="K487" s="9">
        <f t="shared" si="14"/>
        <v>100</v>
      </c>
    </row>
    <row r="488" spans="2:11" ht="20.100000000000001" customHeight="1" x14ac:dyDescent="0.15">
      <c r="B488" s="5">
        <v>4</v>
      </c>
      <c r="C488" s="10"/>
      <c r="D488" s="10"/>
      <c r="E488" s="10"/>
      <c r="F488" s="10"/>
      <c r="G488" s="10"/>
      <c r="H488" s="8"/>
      <c r="I488" s="8"/>
      <c r="J488" s="8" t="str">
        <f t="shared" si="15"/>
        <v>借</v>
      </c>
      <c r="K488" s="9">
        <f t="shared" si="14"/>
        <v>100</v>
      </c>
    </row>
    <row r="489" spans="2:11" ht="20.100000000000001" customHeight="1" x14ac:dyDescent="0.15">
      <c r="B489" s="5">
        <v>4</v>
      </c>
      <c r="C489" s="10"/>
      <c r="D489" s="10"/>
      <c r="E489" s="10"/>
      <c r="F489" s="10"/>
      <c r="G489" s="10"/>
      <c r="H489" s="8"/>
      <c r="I489" s="8"/>
      <c r="J489" s="8" t="str">
        <f t="shared" si="15"/>
        <v>借</v>
      </c>
      <c r="K489" s="9">
        <f t="shared" si="14"/>
        <v>100</v>
      </c>
    </row>
    <row r="490" spans="2:11" ht="20.100000000000001" customHeight="1" x14ac:dyDescent="0.15">
      <c r="B490" s="5">
        <v>4</v>
      </c>
      <c r="C490" s="10"/>
      <c r="D490" s="10"/>
      <c r="E490" s="10"/>
      <c r="F490" s="10"/>
      <c r="G490" s="10"/>
      <c r="H490" s="8"/>
      <c r="I490" s="8"/>
      <c r="J490" s="8" t="str">
        <f t="shared" si="15"/>
        <v>借</v>
      </c>
      <c r="K490" s="9">
        <f t="shared" si="14"/>
        <v>100</v>
      </c>
    </row>
    <row r="491" spans="2:11" ht="20.100000000000001" customHeight="1" x14ac:dyDescent="0.15">
      <c r="B491" s="5">
        <v>4</v>
      </c>
      <c r="C491" s="10"/>
      <c r="D491" s="10"/>
      <c r="E491" s="10"/>
      <c r="F491" s="10"/>
      <c r="G491" s="10"/>
      <c r="H491" s="8"/>
      <c r="I491" s="8"/>
      <c r="J491" s="8" t="str">
        <f t="shared" si="15"/>
        <v>借</v>
      </c>
      <c r="K491" s="9">
        <f t="shared" si="14"/>
        <v>100</v>
      </c>
    </row>
    <row r="492" spans="2:11" ht="20.100000000000001" customHeight="1" x14ac:dyDescent="0.15">
      <c r="B492" s="5">
        <v>4</v>
      </c>
      <c r="C492" s="10"/>
      <c r="D492" s="10"/>
      <c r="E492" s="10"/>
      <c r="F492" s="10"/>
      <c r="G492" s="10"/>
      <c r="H492" s="8"/>
      <c r="I492" s="8"/>
      <c r="J492" s="8" t="str">
        <f t="shared" si="15"/>
        <v>借</v>
      </c>
      <c r="K492" s="9">
        <f t="shared" si="14"/>
        <v>100</v>
      </c>
    </row>
    <row r="493" spans="2:11" ht="20.100000000000001" customHeight="1" x14ac:dyDescent="0.15">
      <c r="B493" s="5">
        <v>4</v>
      </c>
      <c r="C493" s="10"/>
      <c r="D493" s="10"/>
      <c r="E493" s="10"/>
      <c r="F493" s="10"/>
      <c r="G493" s="10"/>
      <c r="H493" s="8"/>
      <c r="I493" s="8"/>
      <c r="J493" s="8" t="str">
        <f t="shared" si="15"/>
        <v>借</v>
      </c>
      <c r="K493" s="9">
        <f t="shared" ref="K493:K497" si="16">_xlfn.IFS(J492="借",K492+H493-I493,J492="贷",H493-I493-K492)</f>
        <v>100</v>
      </c>
    </row>
    <row r="494" spans="2:11" ht="20.100000000000001" customHeight="1" x14ac:dyDescent="0.15">
      <c r="B494" s="5">
        <v>4</v>
      </c>
      <c r="C494" s="10"/>
      <c r="D494" s="10"/>
      <c r="E494" s="10"/>
      <c r="F494" s="10"/>
      <c r="G494" s="10"/>
      <c r="H494" s="8"/>
      <c r="I494" s="8"/>
      <c r="J494" s="8" t="str">
        <f t="shared" si="15"/>
        <v>借</v>
      </c>
      <c r="K494" s="9">
        <f t="shared" si="16"/>
        <v>100</v>
      </c>
    </row>
    <row r="495" spans="2:11" ht="20.100000000000001" customHeight="1" x14ac:dyDescent="0.15">
      <c r="B495" s="5">
        <v>4</v>
      </c>
      <c r="C495" s="10"/>
      <c r="D495" s="10"/>
      <c r="E495" s="10"/>
      <c r="F495" s="10"/>
      <c r="G495" s="10"/>
      <c r="H495" s="8"/>
      <c r="I495" s="8"/>
      <c r="J495" s="8" t="str">
        <f t="shared" si="15"/>
        <v>借</v>
      </c>
      <c r="K495" s="9">
        <f t="shared" si="16"/>
        <v>100</v>
      </c>
    </row>
    <row r="496" spans="2:11" ht="20.100000000000001" customHeight="1" x14ac:dyDescent="0.15">
      <c r="B496" s="5">
        <v>4</v>
      </c>
      <c r="C496" s="10"/>
      <c r="D496" s="10"/>
      <c r="E496" s="10"/>
      <c r="F496" s="10"/>
      <c r="G496" s="10"/>
      <c r="H496" s="8"/>
      <c r="I496" s="8"/>
      <c r="J496" s="8" t="str">
        <f t="shared" si="15"/>
        <v>借</v>
      </c>
      <c r="K496" s="9">
        <f t="shared" si="16"/>
        <v>100</v>
      </c>
    </row>
    <row r="497" spans="2:11" ht="20.100000000000001" customHeight="1" x14ac:dyDescent="0.15">
      <c r="B497" s="5">
        <v>4</v>
      </c>
      <c r="C497" s="10"/>
      <c r="D497" s="10"/>
      <c r="E497" s="10"/>
      <c r="F497" s="10"/>
      <c r="G497" s="10"/>
      <c r="H497" s="8"/>
      <c r="I497" s="8"/>
      <c r="J497" s="8" t="str">
        <f t="shared" si="15"/>
        <v>借</v>
      </c>
      <c r="K497" s="9">
        <f t="shared" si="16"/>
        <v>100</v>
      </c>
    </row>
  </sheetData>
  <mergeCells count="2">
    <mergeCell ref="A1:K1"/>
    <mergeCell ref="A2:K2"/>
  </mergeCells>
  <phoneticPr fontId="22" type="noConversion"/>
  <pageMargins left="0.75" right="0.75" top="1" bottom="1" header="0.5" footer="0.5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499"/>
  <sheetViews>
    <sheetView topLeftCell="B1" workbookViewId="0">
      <selection activeCell="F10" sqref="F10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40.37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97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SUM(H5:H13002)</f>
        <v>0</v>
      </c>
      <c r="I3" s="4">
        <f>SUM(I5:I13002)</f>
        <v>0</v>
      </c>
      <c r="J3" s="4"/>
      <c r="K3" s="3">
        <f>K5+H3-I3</f>
        <v>100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28" si="0">IF((K5+H6-I6)&gt;0,"借","贷")</f>
        <v>借</v>
      </c>
      <c r="K6" s="9">
        <f t="shared" ref="K6:K28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tr">
        <f t="shared" si="0"/>
        <v>借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</v>
      </c>
    </row>
    <row r="26" spans="1:11" ht="20.100000000000001" customHeight="1" x14ac:dyDescent="0.15">
      <c r="A26" s="5"/>
      <c r="B26" s="5"/>
      <c r="C26" s="5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5"/>
      <c r="D27" s="10"/>
      <c r="E27" s="10"/>
      <c r="F27" s="10"/>
      <c r="G27" s="10"/>
      <c r="H27" s="8"/>
      <c r="I27" s="8"/>
      <c r="J27" s="8" t="str">
        <f t="shared" si="0"/>
        <v>借</v>
      </c>
      <c r="K27" s="9">
        <f t="shared" si="1"/>
        <v>100</v>
      </c>
    </row>
    <row r="28" spans="1:11" ht="20.100000000000001" customHeight="1" x14ac:dyDescent="0.15">
      <c r="A28" s="5"/>
      <c r="B28" s="5"/>
      <c r="C28" s="5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5"/>
      <c r="D29" s="10"/>
      <c r="E29" s="10"/>
      <c r="F29" s="10"/>
      <c r="G29" s="10"/>
      <c r="H29" s="8"/>
      <c r="I29" s="8"/>
      <c r="J29" s="8" t="str">
        <f t="shared" ref="J29:J71" si="2">IF((K28+H29-I29)&gt;0,"借","贷")</f>
        <v>借</v>
      </c>
      <c r="K29" s="9">
        <f t="shared" ref="K29:K71" si="3">K28+H29-I29</f>
        <v>100</v>
      </c>
    </row>
    <row r="30" spans="1:11" ht="20.100000000000001" customHeight="1" x14ac:dyDescent="0.15">
      <c r="A30" s="5"/>
      <c r="B30" s="5"/>
      <c r="C30" s="10"/>
      <c r="D30" s="10"/>
      <c r="E30" s="11"/>
      <c r="F30" s="10"/>
      <c r="G30" s="10"/>
      <c r="H30" s="8"/>
      <c r="I30" s="8"/>
      <c r="J30" s="8" t="str">
        <f t="shared" si="2"/>
        <v>借</v>
      </c>
      <c r="K30" s="9">
        <f t="shared" si="3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2"/>
        <v>借</v>
      </c>
      <c r="K31" s="9">
        <f t="shared" si="3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2"/>
        <v>借</v>
      </c>
      <c r="K32" s="9">
        <f t="shared" si="3"/>
        <v>100</v>
      </c>
    </row>
    <row r="33" spans="1:11" ht="20.100000000000001" customHeight="1" x14ac:dyDescent="0.15">
      <c r="A33" s="5"/>
      <c r="B33" s="5"/>
      <c r="C33" s="10"/>
      <c r="D33" s="10"/>
      <c r="E33" s="11"/>
      <c r="F33" s="10"/>
      <c r="G33" s="10"/>
      <c r="H33" s="8"/>
      <c r="I33" s="8"/>
      <c r="J33" s="8" t="str">
        <f t="shared" si="2"/>
        <v>借</v>
      </c>
      <c r="K33" s="9">
        <f t="shared" si="3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2"/>
        <v>借</v>
      </c>
      <c r="K34" s="9">
        <f t="shared" si="3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2"/>
        <v>借</v>
      </c>
      <c r="K35" s="9">
        <f t="shared" si="3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2"/>
        <v>借</v>
      </c>
      <c r="K36" s="9">
        <f t="shared" si="3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2"/>
        <v>借</v>
      </c>
      <c r="K37" s="9">
        <f t="shared" si="3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2"/>
        <v>借</v>
      </c>
      <c r="K38" s="9">
        <f t="shared" si="3"/>
        <v>100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2"/>
        <v>借</v>
      </c>
      <c r="K39" s="9">
        <f t="shared" si="3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2"/>
        <v>借</v>
      </c>
      <c r="K40" s="9">
        <f t="shared" si="3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2"/>
        <v>借</v>
      </c>
      <c r="K41" s="9">
        <f t="shared" si="3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2"/>
        <v>借</v>
      </c>
      <c r="K42" s="9">
        <f t="shared" si="3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2"/>
        <v>借</v>
      </c>
      <c r="K43" s="9">
        <f t="shared" si="3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2"/>
        <v>借</v>
      </c>
      <c r="K44" s="9">
        <f t="shared" si="3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2"/>
        <v>借</v>
      </c>
      <c r="K45" s="9">
        <f t="shared" si="3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2"/>
        <v>借</v>
      </c>
      <c r="K46" s="9">
        <f t="shared" si="3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2"/>
        <v>借</v>
      </c>
      <c r="K47" s="9">
        <f t="shared" si="3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2"/>
        <v>借</v>
      </c>
      <c r="K48" s="9">
        <f t="shared" si="3"/>
        <v>100</v>
      </c>
    </row>
    <row r="49" spans="1:11" ht="20.100000000000001" customHeight="1" x14ac:dyDescent="0.15">
      <c r="A49" s="5"/>
      <c r="B49" s="5"/>
      <c r="C49" s="5"/>
      <c r="D49" s="10"/>
      <c r="E49" s="10"/>
      <c r="F49" s="10"/>
      <c r="G49" s="10"/>
      <c r="H49" s="8"/>
      <c r="I49" s="8"/>
      <c r="J49" s="8" t="str">
        <f t="shared" si="2"/>
        <v>借</v>
      </c>
      <c r="K49" s="9">
        <f t="shared" si="3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2"/>
        <v>借</v>
      </c>
      <c r="K50" s="9">
        <f t="shared" si="3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2"/>
        <v>借</v>
      </c>
      <c r="K51" s="9">
        <f t="shared" si="3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2"/>
        <v>借</v>
      </c>
      <c r="K52" s="9">
        <f t="shared" si="3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2"/>
        <v>借</v>
      </c>
      <c r="K53" s="9">
        <f t="shared" si="3"/>
        <v>100</v>
      </c>
    </row>
    <row r="54" spans="1:11" ht="20.100000000000001" customHeight="1" x14ac:dyDescent="0.15">
      <c r="A54" s="5"/>
      <c r="B54" s="5"/>
      <c r="C54" s="10"/>
      <c r="D54" s="10"/>
      <c r="E54" s="10"/>
      <c r="F54" s="10"/>
      <c r="G54" s="10"/>
      <c r="H54" s="8"/>
      <c r="I54" s="8"/>
      <c r="J54" s="8" t="str">
        <f t="shared" si="2"/>
        <v>借</v>
      </c>
      <c r="K54" s="9">
        <f t="shared" si="3"/>
        <v>100</v>
      </c>
    </row>
    <row r="55" spans="1:11" ht="20.100000000000001" customHeight="1" x14ac:dyDescent="0.15">
      <c r="A55" s="5"/>
      <c r="B55" s="5"/>
      <c r="C55" s="10"/>
      <c r="D55" s="10"/>
      <c r="E55" s="10"/>
      <c r="F55" s="10"/>
      <c r="G55" s="10"/>
      <c r="H55" s="8"/>
      <c r="I55" s="8"/>
      <c r="J55" s="8" t="str">
        <f t="shared" si="2"/>
        <v>借</v>
      </c>
      <c r="K55" s="9">
        <f t="shared" si="3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2"/>
        <v>借</v>
      </c>
      <c r="K56" s="9">
        <f t="shared" si="3"/>
        <v>100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2"/>
        <v>借</v>
      </c>
      <c r="K57" s="9">
        <f t="shared" si="3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2"/>
        <v>借</v>
      </c>
      <c r="K58" s="9">
        <f t="shared" si="3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2"/>
        <v>借</v>
      </c>
      <c r="K59" s="9">
        <f t="shared" si="3"/>
        <v>100</v>
      </c>
    </row>
    <row r="60" spans="1:11" ht="20.100000000000001" customHeight="1" x14ac:dyDescent="0.15">
      <c r="A60" s="10"/>
      <c r="B60" s="5"/>
      <c r="C60" s="10"/>
      <c r="D60" s="13"/>
      <c r="E60" s="10"/>
      <c r="F60" s="10"/>
      <c r="G60" s="10"/>
      <c r="H60" s="8"/>
      <c r="I60" s="8"/>
      <c r="J60" s="8" t="str">
        <f t="shared" si="2"/>
        <v>借</v>
      </c>
      <c r="K60" s="9">
        <f t="shared" si="3"/>
        <v>100</v>
      </c>
    </row>
    <row r="61" spans="1:11" ht="20.100000000000001" customHeight="1" x14ac:dyDescent="0.15">
      <c r="A61" s="10"/>
      <c r="B61" s="5"/>
      <c r="C61" s="10"/>
      <c r="D61" s="10"/>
      <c r="E61" s="10"/>
      <c r="F61" s="10"/>
      <c r="G61" s="10"/>
      <c r="H61" s="8"/>
      <c r="I61" s="8"/>
      <c r="J61" s="8" t="str">
        <f t="shared" si="2"/>
        <v>借</v>
      </c>
      <c r="K61" s="9">
        <f t="shared" si="3"/>
        <v>100</v>
      </c>
    </row>
    <row r="62" spans="1:11" ht="20.100000000000001" customHeight="1" x14ac:dyDescent="0.15">
      <c r="A62" s="10"/>
      <c r="B62" s="5"/>
      <c r="C62" s="10"/>
      <c r="D62" s="10"/>
      <c r="E62" s="10"/>
      <c r="F62" s="10"/>
      <c r="G62" s="10"/>
      <c r="H62" s="8"/>
      <c r="I62" s="8"/>
      <c r="J62" s="8" t="str">
        <f t="shared" si="2"/>
        <v>借</v>
      </c>
      <c r="K62" s="9">
        <f t="shared" si="3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2"/>
        <v>借</v>
      </c>
      <c r="K63" s="9">
        <f t="shared" si="3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2"/>
        <v>借</v>
      </c>
      <c r="K64" s="9">
        <f t="shared" si="3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2"/>
        <v>借</v>
      </c>
      <c r="K65" s="9">
        <f t="shared" si="3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2"/>
        <v>借</v>
      </c>
      <c r="K66" s="9">
        <f t="shared" si="3"/>
        <v>100</v>
      </c>
    </row>
    <row r="67" spans="1:11" ht="20.100000000000001" customHeight="1" x14ac:dyDescent="0.15">
      <c r="A67" s="5"/>
      <c r="B67" s="5"/>
      <c r="C67" s="10"/>
      <c r="D67" s="10"/>
      <c r="E67" s="10"/>
      <c r="F67" s="10"/>
      <c r="G67" s="10"/>
      <c r="H67" s="8"/>
      <c r="I67" s="8"/>
      <c r="J67" s="8" t="str">
        <f t="shared" si="2"/>
        <v>借</v>
      </c>
      <c r="K67" s="9">
        <f t="shared" si="3"/>
        <v>100</v>
      </c>
    </row>
    <row r="68" spans="1:11" ht="20.100000000000001" customHeight="1" x14ac:dyDescent="0.15">
      <c r="A68" s="5"/>
      <c r="B68" s="5"/>
      <c r="C68" s="10"/>
      <c r="D68" s="10"/>
      <c r="E68" s="10"/>
      <c r="F68" s="10"/>
      <c r="G68" s="10"/>
      <c r="H68" s="8"/>
      <c r="I68" s="8"/>
      <c r="J68" s="8" t="str">
        <f t="shared" si="2"/>
        <v>借</v>
      </c>
      <c r="K68" s="9">
        <f t="shared" si="3"/>
        <v>100</v>
      </c>
    </row>
    <row r="69" spans="1:11" ht="20.100000000000001" customHeight="1" x14ac:dyDescent="0.15">
      <c r="A69" s="10"/>
      <c r="B69" s="5"/>
      <c r="C69" s="10"/>
      <c r="D69" s="10"/>
      <c r="E69" s="10"/>
      <c r="F69" s="10"/>
      <c r="G69" s="10"/>
      <c r="H69" s="8"/>
      <c r="I69" s="8"/>
      <c r="J69" s="8" t="str">
        <f t="shared" si="2"/>
        <v>借</v>
      </c>
      <c r="K69" s="9">
        <f t="shared" si="3"/>
        <v>100</v>
      </c>
    </row>
    <row r="70" spans="1:11" ht="20.100000000000001" customHeight="1" x14ac:dyDescent="0.15">
      <c r="A70" s="10"/>
      <c r="B70" s="5"/>
      <c r="C70" s="10"/>
      <c r="D70" s="10"/>
      <c r="E70" s="10"/>
      <c r="F70" s="14"/>
      <c r="G70" s="14"/>
      <c r="H70" s="8"/>
      <c r="I70" s="8"/>
      <c r="J70" s="8" t="str">
        <f t="shared" si="2"/>
        <v>借</v>
      </c>
      <c r="K70" s="9">
        <f t="shared" si="3"/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8"/>
      <c r="J71" s="8" t="str">
        <f t="shared" si="2"/>
        <v>借</v>
      </c>
      <c r="K71" s="9">
        <f t="shared" si="3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4"/>
      <c r="G72" s="14"/>
      <c r="H72" s="8"/>
      <c r="I72" s="15"/>
      <c r="J72" s="8" t="str">
        <f t="shared" ref="J72:J135" si="4">IF((K71+H72-I72)&gt;0,"借","贷")</f>
        <v>借</v>
      </c>
      <c r="K72" s="9">
        <f t="shared" ref="K72:K135" si="5">K71+H72-I72</f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4"/>
        <v>借</v>
      </c>
      <c r="K73" s="9">
        <f t="shared" si="5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15"/>
      <c r="J74" s="8" t="str">
        <f t="shared" si="4"/>
        <v>借</v>
      </c>
      <c r="K74" s="9">
        <f t="shared" si="5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15"/>
      <c r="J75" s="8" t="str">
        <f t="shared" si="4"/>
        <v>借</v>
      </c>
      <c r="K75" s="9">
        <f t="shared" si="5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4"/>
        <v>借</v>
      </c>
      <c r="K76" s="9">
        <f t="shared" si="5"/>
        <v>100</v>
      </c>
    </row>
    <row r="77" spans="1:11" ht="20.100000000000001" customHeight="1" x14ac:dyDescent="0.15">
      <c r="A77" s="5"/>
      <c r="B77" s="5"/>
      <c r="C77" s="10"/>
      <c r="D77" s="10"/>
      <c r="E77" s="10"/>
      <c r="F77" s="10"/>
      <c r="G77" s="10"/>
      <c r="H77" s="8"/>
      <c r="I77" s="8"/>
      <c r="J77" s="8" t="str">
        <f t="shared" si="4"/>
        <v>借</v>
      </c>
      <c r="K77" s="9">
        <f t="shared" si="5"/>
        <v>100</v>
      </c>
    </row>
    <row r="78" spans="1:11" ht="20.100000000000001" customHeight="1" x14ac:dyDescent="0.15">
      <c r="A78" s="5"/>
      <c r="B78" s="5"/>
      <c r="C78" s="10"/>
      <c r="D78" s="10"/>
      <c r="E78" s="10"/>
      <c r="F78" s="14"/>
      <c r="G78" s="14"/>
      <c r="H78" s="8"/>
      <c r="I78" s="8"/>
      <c r="J78" s="8" t="str">
        <f t="shared" si="4"/>
        <v>借</v>
      </c>
      <c r="K78" s="9">
        <f t="shared" si="5"/>
        <v>100</v>
      </c>
    </row>
    <row r="79" spans="1:11" ht="20.100000000000001" customHeight="1" x14ac:dyDescent="0.15">
      <c r="A79" s="10"/>
      <c r="B79" s="5"/>
      <c r="C79" s="10"/>
      <c r="D79" s="10"/>
      <c r="E79" s="10"/>
      <c r="F79" s="10"/>
      <c r="G79" s="10"/>
      <c r="H79" s="8"/>
      <c r="I79" s="8"/>
      <c r="J79" s="8" t="str">
        <f t="shared" si="4"/>
        <v>借</v>
      </c>
      <c r="K79" s="9">
        <f t="shared" si="5"/>
        <v>100</v>
      </c>
    </row>
    <row r="80" spans="1:11" ht="20.100000000000001" customHeight="1" x14ac:dyDescent="0.15">
      <c r="A80" s="10"/>
      <c r="B80" s="5"/>
      <c r="C80" s="5"/>
      <c r="D80" s="10"/>
      <c r="E80" s="10"/>
      <c r="F80" s="14"/>
      <c r="G80" s="14"/>
      <c r="H80" s="8"/>
      <c r="I80" s="8"/>
      <c r="J80" s="8" t="str">
        <f t="shared" si="4"/>
        <v>借</v>
      </c>
      <c r="K80" s="9">
        <f t="shared" si="5"/>
        <v>100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15"/>
      <c r="J81" s="8" t="str">
        <f t="shared" si="4"/>
        <v>借</v>
      </c>
      <c r="K81" s="9">
        <f t="shared" si="5"/>
        <v>100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15"/>
      <c r="J82" s="8" t="str">
        <f t="shared" si="4"/>
        <v>借</v>
      </c>
      <c r="K82" s="9">
        <f t="shared" si="5"/>
        <v>100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15"/>
      <c r="J83" s="8" t="str">
        <f t="shared" si="4"/>
        <v>借</v>
      </c>
      <c r="K83" s="9">
        <f t="shared" si="5"/>
        <v>100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4"/>
        <v>借</v>
      </c>
      <c r="K84" s="9">
        <f t="shared" si="5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4"/>
        <v>借</v>
      </c>
      <c r="K85" s="9">
        <f t="shared" si="5"/>
        <v>100</v>
      </c>
    </row>
    <row r="86" spans="1:11" ht="20.100000000000001" customHeight="1" x14ac:dyDescent="0.15">
      <c r="A86" s="5"/>
      <c r="B86" s="5"/>
      <c r="C86" s="5"/>
      <c r="D86" s="10"/>
      <c r="E86" s="10"/>
      <c r="F86" s="10"/>
      <c r="G86" s="10"/>
      <c r="H86" s="8"/>
      <c r="I86" s="8"/>
      <c r="J86" s="8" t="str">
        <f t="shared" si="4"/>
        <v>借</v>
      </c>
      <c r="K86" s="9">
        <f t="shared" si="5"/>
        <v>100</v>
      </c>
    </row>
    <row r="87" spans="1:11" ht="20.100000000000001" customHeight="1" x14ac:dyDescent="0.15">
      <c r="A87" s="5"/>
      <c r="B87" s="5"/>
      <c r="C87" s="5"/>
      <c r="D87" s="10"/>
      <c r="E87" s="10"/>
      <c r="F87" s="10"/>
      <c r="G87" s="10"/>
      <c r="H87" s="8"/>
      <c r="I87" s="8"/>
      <c r="J87" s="8" t="str">
        <f t="shared" si="4"/>
        <v>借</v>
      </c>
      <c r="K87" s="9">
        <f t="shared" si="5"/>
        <v>100</v>
      </c>
    </row>
    <row r="88" spans="1:11" ht="20.100000000000001" customHeight="1" x14ac:dyDescent="0.15">
      <c r="A88" s="10"/>
      <c r="B88" s="5"/>
      <c r="C88" s="5"/>
      <c r="D88" s="10"/>
      <c r="E88" s="10"/>
      <c r="F88" s="10"/>
      <c r="G88" s="10"/>
      <c r="H88" s="8"/>
      <c r="I88" s="8"/>
      <c r="J88" s="8" t="str">
        <f t="shared" si="4"/>
        <v>借</v>
      </c>
      <c r="K88" s="9">
        <f t="shared" si="5"/>
        <v>100</v>
      </c>
    </row>
    <row r="89" spans="1:11" ht="20.100000000000001" customHeight="1" x14ac:dyDescent="0.15">
      <c r="A89" s="10"/>
      <c r="B89" s="5"/>
      <c r="C89" s="5"/>
      <c r="D89" s="10"/>
      <c r="E89" s="10"/>
      <c r="F89" s="10"/>
      <c r="G89" s="10"/>
      <c r="H89" s="8"/>
      <c r="I89" s="8"/>
      <c r="J89" s="8" t="str">
        <f t="shared" si="4"/>
        <v>借</v>
      </c>
      <c r="K89" s="9">
        <f t="shared" si="5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4"/>
        <v>借</v>
      </c>
      <c r="K90" s="9">
        <f t="shared" si="5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4"/>
        <v>借</v>
      </c>
      <c r="K91" s="9">
        <f t="shared" si="5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4"/>
        <v>借</v>
      </c>
      <c r="K92" s="9">
        <f t="shared" si="5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4"/>
        <v>借</v>
      </c>
      <c r="K93" s="9">
        <f t="shared" si="5"/>
        <v>100</v>
      </c>
    </row>
    <row r="94" spans="1:11" ht="20.100000000000001" customHeight="1" x14ac:dyDescent="0.15">
      <c r="A94" s="5"/>
      <c r="B94" s="5"/>
      <c r="C94" s="5"/>
      <c r="D94" s="10"/>
      <c r="E94" s="10"/>
      <c r="F94" s="10"/>
      <c r="G94" s="10"/>
      <c r="H94" s="8"/>
      <c r="I94" s="8"/>
      <c r="J94" s="8" t="str">
        <f t="shared" si="4"/>
        <v>借</v>
      </c>
      <c r="K94" s="9">
        <f t="shared" si="5"/>
        <v>100</v>
      </c>
    </row>
    <row r="95" spans="1:11" ht="20.100000000000001" customHeight="1" x14ac:dyDescent="0.15">
      <c r="A95" s="5"/>
      <c r="B95" s="5"/>
      <c r="C95" s="5"/>
      <c r="D95" s="10"/>
      <c r="E95" s="10"/>
      <c r="F95" s="10"/>
      <c r="G95" s="10"/>
      <c r="H95" s="8"/>
      <c r="I95" s="8"/>
      <c r="J95" s="8" t="str">
        <f t="shared" si="4"/>
        <v>借</v>
      </c>
      <c r="K95" s="9">
        <f t="shared" si="5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4"/>
        <v>借</v>
      </c>
      <c r="K96" s="9">
        <f t="shared" si="5"/>
        <v>100</v>
      </c>
    </row>
    <row r="97" spans="1:11" ht="20.100000000000001" customHeight="1" x14ac:dyDescent="0.15">
      <c r="A97" s="10"/>
      <c r="B97" s="5"/>
      <c r="C97" s="5"/>
      <c r="D97" s="10"/>
      <c r="E97" s="10"/>
      <c r="F97" s="10"/>
      <c r="G97" s="10"/>
      <c r="H97" s="8"/>
      <c r="I97" s="8"/>
      <c r="J97" s="8" t="str">
        <f t="shared" si="4"/>
        <v>借</v>
      </c>
      <c r="K97" s="9">
        <f t="shared" si="5"/>
        <v>100</v>
      </c>
    </row>
    <row r="98" spans="1:11" ht="20.100000000000001" customHeight="1" x14ac:dyDescent="0.15">
      <c r="A98" s="10"/>
      <c r="B98" s="5"/>
      <c r="C98" s="5"/>
      <c r="D98" s="10"/>
      <c r="E98" s="10"/>
      <c r="F98" s="10"/>
      <c r="G98" s="10"/>
      <c r="H98" s="8"/>
      <c r="I98" s="8"/>
      <c r="J98" s="8" t="str">
        <f t="shared" si="4"/>
        <v>借</v>
      </c>
      <c r="K98" s="9">
        <f t="shared" si="5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4"/>
        <v>借</v>
      </c>
      <c r="K99" s="9">
        <f t="shared" si="5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4"/>
        <v>借</v>
      </c>
      <c r="K100" s="9">
        <f t="shared" si="5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4"/>
        <v>借</v>
      </c>
      <c r="K101" s="9">
        <f t="shared" si="5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4"/>
        <v>借</v>
      </c>
      <c r="K102" s="9">
        <f t="shared" si="5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4"/>
        <v>借</v>
      </c>
      <c r="K103" s="9">
        <f t="shared" si="5"/>
        <v>100</v>
      </c>
    </row>
    <row r="104" spans="1:11" ht="20.100000000000001" customHeight="1" x14ac:dyDescent="0.15">
      <c r="A104" s="5"/>
      <c r="B104" s="5"/>
      <c r="C104" s="5"/>
      <c r="D104" s="10"/>
      <c r="E104" s="10"/>
      <c r="F104" s="10"/>
      <c r="G104" s="10"/>
      <c r="H104" s="8"/>
      <c r="I104" s="8"/>
      <c r="J104" s="8" t="str">
        <f t="shared" si="4"/>
        <v>借</v>
      </c>
      <c r="K104" s="9">
        <f t="shared" si="5"/>
        <v>100</v>
      </c>
    </row>
    <row r="105" spans="1:11" ht="20.100000000000001" customHeight="1" x14ac:dyDescent="0.15">
      <c r="A105" s="5"/>
      <c r="B105" s="5"/>
      <c r="C105" s="5"/>
      <c r="D105" s="10"/>
      <c r="E105" s="10"/>
      <c r="F105" s="10"/>
      <c r="G105" s="10"/>
      <c r="H105" s="8"/>
      <c r="I105" s="8"/>
      <c r="J105" s="8" t="str">
        <f t="shared" si="4"/>
        <v>借</v>
      </c>
      <c r="K105" s="9">
        <f t="shared" si="5"/>
        <v>100</v>
      </c>
    </row>
    <row r="106" spans="1:11" ht="20.100000000000001" customHeight="1" x14ac:dyDescent="0.15">
      <c r="A106" s="10"/>
      <c r="B106" s="5"/>
      <c r="C106" s="5"/>
      <c r="D106" s="10"/>
      <c r="E106" s="10"/>
      <c r="F106" s="10"/>
      <c r="G106" s="10"/>
      <c r="H106" s="8"/>
      <c r="I106" s="8"/>
      <c r="J106" s="8" t="str">
        <f t="shared" si="4"/>
        <v>借</v>
      </c>
      <c r="K106" s="9">
        <f t="shared" si="5"/>
        <v>100</v>
      </c>
    </row>
    <row r="107" spans="1:11" ht="20.100000000000001" customHeight="1" x14ac:dyDescent="0.15">
      <c r="A107" s="10"/>
      <c r="B107" s="5"/>
      <c r="C107" s="5"/>
      <c r="D107" s="10"/>
      <c r="E107" s="10"/>
      <c r="F107" s="10"/>
      <c r="G107" s="10"/>
      <c r="H107" s="8"/>
      <c r="I107" s="8"/>
      <c r="J107" s="8" t="str">
        <f t="shared" si="4"/>
        <v>借</v>
      </c>
      <c r="K107" s="9">
        <f t="shared" si="5"/>
        <v>100</v>
      </c>
    </row>
    <row r="108" spans="1:11" ht="20.100000000000001" customHeight="1" x14ac:dyDescent="0.15">
      <c r="A108" s="5"/>
      <c r="B108" s="5"/>
      <c r="C108" s="5"/>
      <c r="D108" s="10"/>
      <c r="E108" s="16"/>
      <c r="F108" s="10"/>
      <c r="G108" s="10"/>
      <c r="H108" s="8"/>
      <c r="I108" s="8"/>
      <c r="J108" s="8" t="str">
        <f t="shared" si="4"/>
        <v>借</v>
      </c>
      <c r="K108" s="9">
        <f t="shared" si="5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si="4"/>
        <v>借</v>
      </c>
      <c r="K109" s="9">
        <f t="shared" si="5"/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4"/>
        <v>借</v>
      </c>
      <c r="K110" s="9">
        <f t="shared" si="5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4"/>
        <v>借</v>
      </c>
      <c r="K111" s="9">
        <f t="shared" si="5"/>
        <v>100</v>
      </c>
    </row>
    <row r="112" spans="1:11" ht="20.100000000000001" customHeight="1" x14ac:dyDescent="0.15">
      <c r="A112" s="5"/>
      <c r="B112" s="5"/>
      <c r="C112" s="5"/>
      <c r="D112" s="10"/>
      <c r="E112" s="10"/>
      <c r="F112" s="10"/>
      <c r="G112" s="10"/>
      <c r="H112" s="8"/>
      <c r="I112" s="8"/>
      <c r="J112" s="8" t="str">
        <f t="shared" si="4"/>
        <v>借</v>
      </c>
      <c r="K112" s="9">
        <f t="shared" si="5"/>
        <v>100</v>
      </c>
    </row>
    <row r="113" spans="1:11" ht="20.100000000000001" customHeight="1" x14ac:dyDescent="0.15">
      <c r="A113" s="5"/>
      <c r="B113" s="5"/>
      <c r="C113" s="5"/>
      <c r="D113" s="10"/>
      <c r="E113" s="10"/>
      <c r="F113" s="10"/>
      <c r="G113" s="10"/>
      <c r="H113" s="8"/>
      <c r="I113" s="8"/>
      <c r="J113" s="8" t="str">
        <f t="shared" si="4"/>
        <v>借</v>
      </c>
      <c r="K113" s="9">
        <f t="shared" si="5"/>
        <v>100</v>
      </c>
    </row>
    <row r="114" spans="1:11" ht="20.100000000000001" customHeight="1" x14ac:dyDescent="0.15">
      <c r="A114" s="10"/>
      <c r="B114" s="5"/>
      <c r="C114" s="5"/>
      <c r="D114" s="10"/>
      <c r="E114" s="10"/>
      <c r="F114" s="10"/>
      <c r="G114" s="10"/>
      <c r="H114" s="8"/>
      <c r="I114" s="8"/>
      <c r="J114" s="8" t="str">
        <f t="shared" si="4"/>
        <v>借</v>
      </c>
      <c r="K114" s="9">
        <f t="shared" si="5"/>
        <v>100</v>
      </c>
    </row>
    <row r="115" spans="1:11" ht="20.100000000000001" customHeight="1" x14ac:dyDescent="0.15">
      <c r="A115" s="10"/>
      <c r="B115" s="5"/>
      <c r="C115" s="5"/>
      <c r="D115" s="10"/>
      <c r="E115" s="10"/>
      <c r="F115" s="10"/>
      <c r="G115" s="10"/>
      <c r="H115" s="8"/>
      <c r="I115" s="8"/>
      <c r="J115" s="8" t="str">
        <f t="shared" si="4"/>
        <v>借</v>
      </c>
      <c r="K115" s="9">
        <f t="shared" si="5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4"/>
        <v>借</v>
      </c>
      <c r="K116" s="9">
        <f t="shared" si="5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4"/>
        <v>借</v>
      </c>
      <c r="K117" s="9">
        <f t="shared" si="5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4"/>
        <v>借</v>
      </c>
      <c r="K118" s="9">
        <f t="shared" si="5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4"/>
        <v>借</v>
      </c>
      <c r="K119" s="9">
        <f t="shared" si="5"/>
        <v>100</v>
      </c>
    </row>
    <row r="120" spans="1:11" ht="20.100000000000001" customHeight="1" x14ac:dyDescent="0.15">
      <c r="A120" s="5"/>
      <c r="B120" s="5"/>
      <c r="C120" s="5"/>
      <c r="D120" s="10"/>
      <c r="E120" s="10"/>
      <c r="F120" s="10"/>
      <c r="G120" s="10"/>
      <c r="H120" s="8"/>
      <c r="I120" s="8"/>
      <c r="J120" s="8" t="str">
        <f t="shared" si="4"/>
        <v>借</v>
      </c>
      <c r="K120" s="9">
        <f t="shared" si="5"/>
        <v>100</v>
      </c>
    </row>
    <row r="121" spans="1:11" ht="20.100000000000001" customHeight="1" x14ac:dyDescent="0.15">
      <c r="A121" s="5"/>
      <c r="B121" s="5"/>
      <c r="C121" s="5"/>
      <c r="D121" s="10"/>
      <c r="E121" s="10"/>
      <c r="F121" s="10"/>
      <c r="G121" s="10"/>
      <c r="H121" s="8"/>
      <c r="I121" s="8"/>
      <c r="J121" s="8" t="str">
        <f t="shared" si="4"/>
        <v>借</v>
      </c>
      <c r="K121" s="9">
        <f t="shared" si="5"/>
        <v>100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4"/>
        <v>借</v>
      </c>
      <c r="K122" s="9">
        <f t="shared" si="5"/>
        <v>100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4"/>
        <v>借</v>
      </c>
      <c r="K123" s="9">
        <f t="shared" si="5"/>
        <v>100</v>
      </c>
    </row>
    <row r="124" spans="1:11" ht="20.100000000000001" customHeight="1" x14ac:dyDescent="0.15">
      <c r="A124" s="10"/>
      <c r="B124" s="5"/>
      <c r="C124" s="10"/>
      <c r="D124" s="10"/>
      <c r="E124" s="10"/>
      <c r="F124" s="10"/>
      <c r="G124" s="10"/>
      <c r="H124" s="8"/>
      <c r="I124" s="8"/>
      <c r="J124" s="8" t="str">
        <f t="shared" si="4"/>
        <v>借</v>
      </c>
      <c r="K124" s="9">
        <f t="shared" si="5"/>
        <v>100</v>
      </c>
    </row>
    <row r="125" spans="1:11" ht="20.100000000000001" customHeight="1" x14ac:dyDescent="0.15">
      <c r="A125" s="10"/>
      <c r="B125" s="5"/>
      <c r="C125" s="10"/>
      <c r="D125" s="10"/>
      <c r="E125" s="17"/>
      <c r="F125" s="10"/>
      <c r="G125" s="10"/>
      <c r="H125" s="8"/>
      <c r="I125" s="8"/>
      <c r="J125" s="8" t="str">
        <f t="shared" si="4"/>
        <v>借</v>
      </c>
      <c r="K125" s="9">
        <f t="shared" si="5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4"/>
        <v>借</v>
      </c>
      <c r="K126" s="9">
        <f t="shared" si="5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4"/>
        <v>借</v>
      </c>
      <c r="K127" s="9">
        <f t="shared" si="5"/>
        <v>100</v>
      </c>
    </row>
    <row r="128" spans="1:11" ht="20.100000000000001" customHeight="1" x14ac:dyDescent="0.15">
      <c r="A128" s="5"/>
      <c r="B128" s="5"/>
      <c r="C128" s="10"/>
      <c r="D128" s="10"/>
      <c r="E128" s="10"/>
      <c r="F128" s="10"/>
      <c r="G128" s="10"/>
      <c r="H128" s="8"/>
      <c r="I128" s="8"/>
      <c r="J128" s="8" t="str">
        <f t="shared" si="4"/>
        <v>借</v>
      </c>
      <c r="K128" s="9">
        <f t="shared" si="5"/>
        <v>100</v>
      </c>
    </row>
    <row r="129" spans="1:11" ht="20.100000000000001" customHeight="1" x14ac:dyDescent="0.15">
      <c r="A129" s="5"/>
      <c r="B129" s="5"/>
      <c r="C129" s="10"/>
      <c r="D129" s="10"/>
      <c r="E129" s="10"/>
      <c r="F129" s="10"/>
      <c r="G129" s="10"/>
      <c r="H129" s="8"/>
      <c r="I129" s="8"/>
      <c r="J129" s="8" t="str">
        <f t="shared" si="4"/>
        <v>借</v>
      </c>
      <c r="K129" s="9">
        <f t="shared" si="5"/>
        <v>100</v>
      </c>
    </row>
    <row r="130" spans="1:11" ht="20.100000000000001" customHeight="1" x14ac:dyDescent="0.15">
      <c r="A130" s="5"/>
      <c r="B130" s="5"/>
      <c r="C130" s="5"/>
      <c r="D130" s="10"/>
      <c r="E130" s="10"/>
      <c r="F130" s="10"/>
      <c r="G130" s="10"/>
      <c r="H130" s="8"/>
      <c r="I130" s="8"/>
      <c r="J130" s="8" t="str">
        <f t="shared" si="4"/>
        <v>借</v>
      </c>
      <c r="K130" s="9">
        <f t="shared" si="5"/>
        <v>100</v>
      </c>
    </row>
    <row r="131" spans="1:11" ht="20.100000000000001" customHeight="1" x14ac:dyDescent="0.15">
      <c r="A131" s="5"/>
      <c r="B131" s="5"/>
      <c r="C131" s="5"/>
      <c r="D131" s="10"/>
      <c r="E131" s="16"/>
      <c r="F131" s="10"/>
      <c r="G131" s="10"/>
      <c r="H131" s="8"/>
      <c r="I131" s="8"/>
      <c r="J131" s="8" t="str">
        <f t="shared" si="4"/>
        <v>借</v>
      </c>
      <c r="K131" s="9">
        <f t="shared" si="5"/>
        <v>100</v>
      </c>
    </row>
    <row r="132" spans="1:11" ht="20.100000000000001" customHeight="1" x14ac:dyDescent="0.15">
      <c r="A132" s="10"/>
      <c r="B132" s="5"/>
      <c r="C132" s="5"/>
      <c r="D132" s="10"/>
      <c r="E132" s="16"/>
      <c r="F132" s="10"/>
      <c r="G132" s="10"/>
      <c r="H132" s="8"/>
      <c r="I132" s="8"/>
      <c r="J132" s="8" t="str">
        <f t="shared" si="4"/>
        <v>借</v>
      </c>
      <c r="K132" s="9">
        <f t="shared" si="5"/>
        <v>100</v>
      </c>
    </row>
    <row r="133" spans="1:11" ht="20.100000000000001" customHeight="1" x14ac:dyDescent="0.15">
      <c r="A133" s="10"/>
      <c r="B133" s="5"/>
      <c r="C133" s="5"/>
      <c r="D133" s="10"/>
      <c r="E133" s="16"/>
      <c r="F133" s="10"/>
      <c r="G133" s="10"/>
      <c r="H133" s="8"/>
      <c r="I133" s="8"/>
      <c r="J133" s="8" t="str">
        <f t="shared" si="4"/>
        <v>借</v>
      </c>
      <c r="K133" s="9">
        <f t="shared" si="5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4"/>
        <v>借</v>
      </c>
      <c r="K134" s="9">
        <f t="shared" si="5"/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si="5"/>
        <v>100</v>
      </c>
    </row>
    <row r="136" spans="1:11" ht="20.100000000000001" customHeight="1" x14ac:dyDescent="0.15">
      <c r="A136" s="5"/>
      <c r="B136" s="5"/>
      <c r="C136" s="5"/>
      <c r="D136" s="10"/>
      <c r="E136" s="16"/>
      <c r="F136" s="10"/>
      <c r="G136" s="10"/>
      <c r="H136" s="8"/>
      <c r="I136" s="8"/>
      <c r="J136" s="8" t="str">
        <f t="shared" ref="J136:J199" si="6">IF((K135+H136-I136)&gt;0,"借","贷")</f>
        <v>借</v>
      </c>
      <c r="K136" s="9">
        <f t="shared" ref="K136:K174" si="7">K135+H136-I136</f>
        <v>100</v>
      </c>
    </row>
    <row r="137" spans="1:11" ht="20.100000000000001" customHeight="1" x14ac:dyDescent="0.15">
      <c r="A137" s="5"/>
      <c r="B137" s="5"/>
      <c r="C137" s="5"/>
      <c r="D137" s="10"/>
      <c r="E137" s="16"/>
      <c r="F137" s="10"/>
      <c r="G137" s="10"/>
      <c r="H137" s="8"/>
      <c r="I137" s="8"/>
      <c r="J137" s="8" t="str">
        <f t="shared" si="6"/>
        <v>借</v>
      </c>
      <c r="K137" s="9">
        <f t="shared" si="7"/>
        <v>100</v>
      </c>
    </row>
    <row r="138" spans="1:11" ht="20.100000000000001" customHeight="1" x14ac:dyDescent="0.15">
      <c r="A138" s="5"/>
      <c r="B138" s="5"/>
      <c r="C138" s="5"/>
      <c r="D138" s="10"/>
      <c r="E138" s="10"/>
      <c r="F138" s="10"/>
      <c r="G138" s="10"/>
      <c r="H138" s="8"/>
      <c r="I138" s="8"/>
      <c r="J138" s="8" t="str">
        <f t="shared" si="6"/>
        <v>借</v>
      </c>
      <c r="K138" s="9">
        <f t="shared" si="7"/>
        <v>100</v>
      </c>
    </row>
    <row r="139" spans="1:11" ht="20.100000000000001" customHeight="1" x14ac:dyDescent="0.15">
      <c r="A139" s="5"/>
      <c r="B139" s="5"/>
      <c r="C139" s="5"/>
      <c r="D139" s="10"/>
      <c r="E139" s="10"/>
      <c r="F139" s="10"/>
      <c r="G139" s="10"/>
      <c r="H139" s="8"/>
      <c r="I139" s="8"/>
      <c r="J139" s="8" t="str">
        <f t="shared" si="6"/>
        <v>借</v>
      </c>
      <c r="K139" s="9">
        <f t="shared" si="7"/>
        <v>100</v>
      </c>
    </row>
    <row r="140" spans="1:11" ht="20.100000000000001" customHeight="1" x14ac:dyDescent="0.15">
      <c r="A140" s="10"/>
      <c r="B140" s="5"/>
      <c r="C140" s="5"/>
      <c r="D140" s="10"/>
      <c r="E140" s="10"/>
      <c r="F140" s="10"/>
      <c r="G140" s="10"/>
      <c r="H140" s="8"/>
      <c r="I140" s="8"/>
      <c r="J140" s="8" t="str">
        <f t="shared" si="6"/>
        <v>借</v>
      </c>
      <c r="K140" s="9">
        <f t="shared" si="7"/>
        <v>100</v>
      </c>
    </row>
    <row r="141" spans="1:11" ht="20.100000000000001" customHeight="1" x14ac:dyDescent="0.15">
      <c r="A141" s="10"/>
      <c r="B141" s="5"/>
      <c r="C141" s="5"/>
      <c r="D141" s="10"/>
      <c r="E141" s="10"/>
      <c r="F141" s="10"/>
      <c r="G141" s="10"/>
      <c r="H141" s="8"/>
      <c r="I141" s="8"/>
      <c r="J141" s="8" t="str">
        <f t="shared" si="6"/>
        <v>借</v>
      </c>
      <c r="K141" s="9">
        <f t="shared" si="7"/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6"/>
        <v>借</v>
      </c>
      <c r="K142" s="9">
        <f t="shared" si="7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6"/>
        <v>借</v>
      </c>
      <c r="K143" s="9">
        <f t="shared" si="7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6"/>
        <v>借</v>
      </c>
      <c r="K144" s="9">
        <f t="shared" si="7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6"/>
        <v>借</v>
      </c>
      <c r="K145" s="9">
        <f t="shared" si="7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6"/>
        <v>借</v>
      </c>
      <c r="K146" s="9">
        <f t="shared" si="7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6"/>
        <v>借</v>
      </c>
      <c r="K147" s="9">
        <f t="shared" si="7"/>
        <v>100</v>
      </c>
    </row>
    <row r="148" spans="1:11" ht="20.100000000000001" customHeight="1" x14ac:dyDescent="0.15">
      <c r="A148" s="5"/>
      <c r="B148" s="5"/>
      <c r="C148" s="5"/>
      <c r="D148" s="10"/>
      <c r="E148" s="10"/>
      <c r="F148" s="10"/>
      <c r="G148" s="10"/>
      <c r="H148" s="8"/>
      <c r="I148" s="8"/>
      <c r="J148" s="8" t="str">
        <f t="shared" si="6"/>
        <v>借</v>
      </c>
      <c r="K148" s="9">
        <f t="shared" si="7"/>
        <v>100</v>
      </c>
    </row>
    <row r="149" spans="1:11" ht="20.100000000000001" customHeight="1" x14ac:dyDescent="0.15">
      <c r="A149" s="5"/>
      <c r="B149" s="5"/>
      <c r="C149" s="5"/>
      <c r="D149" s="10"/>
      <c r="E149" s="10"/>
      <c r="F149" s="10"/>
      <c r="G149" s="10"/>
      <c r="H149" s="8"/>
      <c r="I149" s="8"/>
      <c r="J149" s="8" t="str">
        <f t="shared" si="6"/>
        <v>借</v>
      </c>
      <c r="K149" s="9">
        <f t="shared" si="7"/>
        <v>100</v>
      </c>
    </row>
    <row r="150" spans="1:11" ht="20.100000000000001" customHeight="1" x14ac:dyDescent="0.15">
      <c r="A150" s="10"/>
      <c r="B150" s="5"/>
      <c r="C150" s="5"/>
      <c r="D150" s="10"/>
      <c r="E150" s="10"/>
      <c r="F150" s="10"/>
      <c r="G150" s="10"/>
      <c r="H150" s="8"/>
      <c r="I150" s="8"/>
      <c r="J150" s="8" t="str">
        <f t="shared" si="6"/>
        <v>借</v>
      </c>
      <c r="K150" s="9">
        <f t="shared" si="7"/>
        <v>100</v>
      </c>
    </row>
    <row r="151" spans="1:11" ht="20.100000000000001" customHeight="1" x14ac:dyDescent="0.15">
      <c r="A151" s="10"/>
      <c r="B151" s="5"/>
      <c r="C151" s="5"/>
      <c r="D151" s="10"/>
      <c r="E151" s="10"/>
      <c r="F151" s="10"/>
      <c r="G151" s="10"/>
      <c r="H151" s="8"/>
      <c r="I151" s="8"/>
      <c r="J151" s="8" t="str">
        <f t="shared" si="6"/>
        <v>借</v>
      </c>
      <c r="K151" s="9">
        <f t="shared" si="7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6"/>
        <v>借</v>
      </c>
      <c r="K152" s="9">
        <f t="shared" si="7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6"/>
        <v>借</v>
      </c>
      <c r="K153" s="9">
        <f t="shared" si="7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6"/>
        <v>借</v>
      </c>
      <c r="K154" s="9">
        <f t="shared" si="7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6"/>
        <v>借</v>
      </c>
      <c r="K155" s="9">
        <f t="shared" si="7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6"/>
        <v>借</v>
      </c>
      <c r="K156" s="9">
        <f t="shared" si="7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6"/>
        <v>借</v>
      </c>
      <c r="K157" s="9">
        <f t="shared" si="7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6"/>
        <v>借</v>
      </c>
      <c r="K158" s="9">
        <f t="shared" si="7"/>
        <v>100</v>
      </c>
    </row>
    <row r="159" spans="1:11" ht="20.100000000000001" customHeight="1" x14ac:dyDescent="0.15">
      <c r="A159" s="5"/>
      <c r="B159" s="5"/>
      <c r="C159" s="5"/>
      <c r="D159" s="10"/>
      <c r="E159" s="10"/>
      <c r="F159" s="10"/>
      <c r="G159" s="10"/>
      <c r="H159" s="8"/>
      <c r="I159" s="8"/>
      <c r="J159" s="8" t="str">
        <f t="shared" si="6"/>
        <v>借</v>
      </c>
      <c r="K159" s="9">
        <f t="shared" si="7"/>
        <v>100</v>
      </c>
    </row>
    <row r="160" spans="1:11" ht="20.100000000000001" customHeight="1" x14ac:dyDescent="0.15">
      <c r="A160" s="5"/>
      <c r="B160" s="5"/>
      <c r="C160" s="5"/>
      <c r="D160" s="10"/>
      <c r="E160" s="10"/>
      <c r="F160" s="10"/>
      <c r="G160" s="10"/>
      <c r="H160" s="8"/>
      <c r="I160" s="8"/>
      <c r="J160" s="8" t="str">
        <f t="shared" si="6"/>
        <v>借</v>
      </c>
      <c r="K160" s="9">
        <f t="shared" si="7"/>
        <v>100</v>
      </c>
    </row>
    <row r="161" spans="1:11" ht="20.100000000000001" customHeight="1" x14ac:dyDescent="0.15">
      <c r="A161" s="10"/>
      <c r="B161" s="5"/>
      <c r="C161" s="5"/>
      <c r="D161" s="10"/>
      <c r="E161" s="10"/>
      <c r="F161" s="10"/>
      <c r="G161" s="10"/>
      <c r="H161" s="8"/>
      <c r="I161" s="8"/>
      <c r="J161" s="8" t="str">
        <f t="shared" si="6"/>
        <v>借</v>
      </c>
      <c r="K161" s="9">
        <f t="shared" si="7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6"/>
        <v>借</v>
      </c>
      <c r="K162" s="9">
        <f t="shared" si="7"/>
        <v>100</v>
      </c>
    </row>
    <row r="163" spans="1:11" ht="20.100000000000001" customHeight="1" x14ac:dyDescent="0.15">
      <c r="A163" s="10"/>
      <c r="B163" s="5"/>
      <c r="C163" s="5"/>
      <c r="D163" s="10"/>
      <c r="E163" s="18"/>
      <c r="F163" s="10"/>
      <c r="G163" s="10"/>
      <c r="H163" s="8"/>
      <c r="I163" s="8"/>
      <c r="J163" s="8" t="str">
        <f t="shared" si="6"/>
        <v>借</v>
      </c>
      <c r="K163" s="9">
        <f t="shared" si="7"/>
        <v>100</v>
      </c>
    </row>
    <row r="164" spans="1:11" ht="20.100000000000001" customHeight="1" x14ac:dyDescent="0.15">
      <c r="A164" s="10"/>
      <c r="B164" s="5"/>
      <c r="C164" s="5"/>
      <c r="D164" s="10"/>
      <c r="E164" s="10"/>
      <c r="F164" s="10"/>
      <c r="G164" s="10"/>
      <c r="H164" s="8"/>
      <c r="I164" s="8"/>
      <c r="J164" s="8" t="str">
        <f t="shared" si="6"/>
        <v>借</v>
      </c>
      <c r="K164" s="9">
        <f t="shared" si="7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6"/>
        <v>借</v>
      </c>
      <c r="K165" s="9">
        <f t="shared" si="7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6"/>
        <v>借</v>
      </c>
      <c r="K166" s="9">
        <f t="shared" si="7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6"/>
        <v>借</v>
      </c>
      <c r="K167" s="9">
        <f t="shared" si="7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6"/>
        <v>借</v>
      </c>
      <c r="K168" s="9">
        <f t="shared" si="7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6"/>
        <v>借</v>
      </c>
      <c r="K169" s="9">
        <f t="shared" si="7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6"/>
        <v>借</v>
      </c>
      <c r="K170" s="9">
        <f t="shared" si="7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6"/>
        <v>借</v>
      </c>
      <c r="K171" s="9">
        <f t="shared" si="7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6"/>
        <v>借</v>
      </c>
      <c r="K172" s="9">
        <f t="shared" si="7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6"/>
        <v>借</v>
      </c>
      <c r="K173" s="9">
        <f t="shared" si="7"/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6"/>
        <v>借</v>
      </c>
      <c r="K174" s="9">
        <f t="shared" si="7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6"/>
        <v>借</v>
      </c>
      <c r="K175" s="9">
        <f t="shared" ref="K175:K238" si="8">_xlfn.IFS(J174="借",K174+H175-I175,J174="贷",H175-I175-K174)</f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6"/>
        <v>借</v>
      </c>
      <c r="K176" s="9">
        <f t="shared" si="8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6"/>
        <v>借</v>
      </c>
      <c r="K177" s="9">
        <f t="shared" si="8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6"/>
        <v>借</v>
      </c>
      <c r="K178" s="9">
        <f t="shared" si="8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6"/>
        <v>借</v>
      </c>
      <c r="K179" s="9">
        <f t="shared" si="8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6"/>
        <v>借</v>
      </c>
      <c r="K180" s="9">
        <f t="shared" si="8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6"/>
        <v>借</v>
      </c>
      <c r="K181" s="9">
        <f t="shared" si="8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6"/>
        <v>借</v>
      </c>
      <c r="K182" s="9">
        <f t="shared" si="8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6"/>
        <v>借</v>
      </c>
      <c r="K183" s="9">
        <f t="shared" si="8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6"/>
        <v>借</v>
      </c>
      <c r="K184" s="9">
        <f t="shared" si="8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6"/>
        <v>借</v>
      </c>
      <c r="K185" s="9">
        <f t="shared" si="8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6"/>
        <v>借</v>
      </c>
      <c r="K186" s="9">
        <f t="shared" si="8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6"/>
        <v>借</v>
      </c>
      <c r="K187" s="9">
        <f t="shared" si="8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6"/>
        <v>借</v>
      </c>
      <c r="K188" s="9">
        <f t="shared" si="8"/>
        <v>100</v>
      </c>
    </row>
    <row r="189" spans="1:11" ht="20.100000000000001" customHeight="1" x14ac:dyDescent="0.15">
      <c r="A189" s="10"/>
      <c r="B189" s="5"/>
      <c r="C189" s="10"/>
      <c r="D189" s="10"/>
      <c r="E189" s="10"/>
      <c r="F189" s="10"/>
      <c r="G189" s="10"/>
      <c r="H189" s="8"/>
      <c r="I189" s="8"/>
      <c r="J189" s="8" t="str">
        <f t="shared" si="6"/>
        <v>借</v>
      </c>
      <c r="K189" s="9">
        <f t="shared" si="8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6"/>
        <v>借</v>
      </c>
      <c r="K190" s="9">
        <f t="shared" si="8"/>
        <v>100</v>
      </c>
    </row>
    <row r="191" spans="1:11" ht="20.100000000000001" customHeight="1" x14ac:dyDescent="0.15">
      <c r="A191" s="10"/>
      <c r="B191" s="5"/>
      <c r="C191" s="10"/>
      <c r="D191" s="10"/>
      <c r="E191" s="19"/>
      <c r="F191" s="10"/>
      <c r="G191" s="10"/>
      <c r="H191" s="8"/>
      <c r="I191" s="8"/>
      <c r="J191" s="8" t="str">
        <f t="shared" si="6"/>
        <v>借</v>
      </c>
      <c r="K191" s="9">
        <f t="shared" si="8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6"/>
        <v>借</v>
      </c>
      <c r="K192" s="9">
        <f t="shared" si="8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6"/>
        <v>借</v>
      </c>
      <c r="K193" s="9">
        <f t="shared" si="8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6"/>
        <v>借</v>
      </c>
      <c r="K194" s="9">
        <f t="shared" si="8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6"/>
        <v>借</v>
      </c>
      <c r="K195" s="9">
        <f t="shared" si="8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6"/>
        <v>借</v>
      </c>
      <c r="K196" s="9">
        <f t="shared" si="8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6"/>
        <v>借</v>
      </c>
      <c r="K197" s="9">
        <f t="shared" si="8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si="6"/>
        <v>借</v>
      </c>
      <c r="K198" s="9">
        <f t="shared" si="8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si="8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ref="J200:J263" si="9">IF((K199+H200-I200)&gt;0,"借","贷")</f>
        <v>借</v>
      </c>
      <c r="K200" s="9">
        <f t="shared" si="8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9"/>
        <v>借</v>
      </c>
      <c r="K201" s="9">
        <f t="shared" si="8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9"/>
        <v>借</v>
      </c>
      <c r="K202" s="9">
        <f t="shared" si="8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9"/>
        <v>借</v>
      </c>
      <c r="K203" s="9">
        <f t="shared" si="8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9"/>
        <v>借</v>
      </c>
      <c r="K204" s="9">
        <f t="shared" si="8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9"/>
        <v>借</v>
      </c>
      <c r="K205" s="9">
        <f t="shared" si="8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9"/>
        <v>借</v>
      </c>
      <c r="K206" s="9">
        <f t="shared" si="8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9"/>
        <v>借</v>
      </c>
      <c r="K207" s="9">
        <f t="shared" si="8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9"/>
        <v>借</v>
      </c>
      <c r="K208" s="9">
        <f t="shared" si="8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9"/>
        <v>借</v>
      </c>
      <c r="K209" s="9">
        <f t="shared" si="8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9"/>
        <v>借</v>
      </c>
      <c r="K210" s="9">
        <f t="shared" si="8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9"/>
        <v>借</v>
      </c>
      <c r="K211" s="9">
        <f t="shared" si="8"/>
        <v>100</v>
      </c>
    </row>
    <row r="212" spans="1:11" ht="20.100000000000001" customHeight="1" x14ac:dyDescent="0.15">
      <c r="A212" s="10"/>
      <c r="B212" s="5"/>
      <c r="C212" s="10"/>
      <c r="D212" s="10"/>
      <c r="E212" s="10"/>
      <c r="F212" s="10"/>
      <c r="G212" s="10"/>
      <c r="H212" s="8"/>
      <c r="I212" s="8"/>
      <c r="J212" s="8" t="str">
        <f t="shared" si="9"/>
        <v>借</v>
      </c>
      <c r="K212" s="9">
        <f t="shared" si="8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9"/>
        <v>借</v>
      </c>
      <c r="K213" s="9">
        <f t="shared" si="8"/>
        <v>100</v>
      </c>
    </row>
    <row r="214" spans="1:11" ht="20.100000000000001" customHeight="1" x14ac:dyDescent="0.15">
      <c r="A214" s="10"/>
      <c r="B214" s="5"/>
      <c r="C214" s="10"/>
      <c r="D214" s="10"/>
      <c r="E214" s="20"/>
      <c r="F214" s="10"/>
      <c r="G214" s="10"/>
      <c r="H214" s="8"/>
      <c r="I214" s="8"/>
      <c r="J214" s="8" t="str">
        <f t="shared" si="9"/>
        <v>借</v>
      </c>
      <c r="K214" s="9">
        <f t="shared" si="8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9"/>
        <v>借</v>
      </c>
      <c r="K215" s="9">
        <f t="shared" si="8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9"/>
        <v>借</v>
      </c>
      <c r="K216" s="9">
        <f t="shared" si="8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9"/>
        <v>借</v>
      </c>
      <c r="K217" s="9">
        <f t="shared" si="8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9"/>
        <v>借</v>
      </c>
      <c r="K218" s="9">
        <f t="shared" si="8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9"/>
        <v>借</v>
      </c>
      <c r="K219" s="9">
        <f t="shared" si="8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9"/>
        <v>借</v>
      </c>
      <c r="K220" s="9">
        <f t="shared" si="8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9"/>
        <v>借</v>
      </c>
      <c r="K221" s="9">
        <f t="shared" si="8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9"/>
        <v>借</v>
      </c>
      <c r="K222" s="9">
        <f t="shared" si="8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9"/>
        <v>借</v>
      </c>
      <c r="K223" s="9">
        <f t="shared" si="8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9"/>
        <v>借</v>
      </c>
      <c r="K224" s="9">
        <f t="shared" si="8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9"/>
        <v>借</v>
      </c>
      <c r="K225" s="9">
        <f t="shared" si="8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9"/>
        <v>借</v>
      </c>
      <c r="K226" s="9">
        <f t="shared" si="8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9"/>
        <v>借</v>
      </c>
      <c r="K227" s="9">
        <f t="shared" si="8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9"/>
        <v>借</v>
      </c>
      <c r="K228" s="9">
        <f t="shared" si="8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9"/>
        <v>借</v>
      </c>
      <c r="K229" s="9">
        <f t="shared" si="8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9"/>
        <v>借</v>
      </c>
      <c r="K230" s="9">
        <f t="shared" si="8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9"/>
        <v>借</v>
      </c>
      <c r="K231" s="9">
        <f t="shared" si="8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9"/>
        <v>借</v>
      </c>
      <c r="K232" s="21">
        <f t="shared" si="8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9"/>
        <v>借</v>
      </c>
      <c r="K233" s="9">
        <f t="shared" si="8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9"/>
        <v>借</v>
      </c>
      <c r="K234" s="9">
        <f t="shared" si="8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9"/>
        <v>借</v>
      </c>
      <c r="K235" s="9">
        <f t="shared" si="8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9"/>
        <v>借</v>
      </c>
      <c r="K236" s="21">
        <f t="shared" si="8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9"/>
        <v>借</v>
      </c>
      <c r="K237" s="9">
        <f t="shared" si="8"/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9"/>
        <v>借</v>
      </c>
      <c r="K238" s="9">
        <f t="shared" si="8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9"/>
        <v>借</v>
      </c>
      <c r="K239" s="9">
        <f t="shared" ref="K239:K302" si="10">_xlfn.IFS(J238="借",K238+H239-I239,J238="贷",H239-I239-K238)</f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9"/>
        <v>借</v>
      </c>
      <c r="K240" s="9">
        <f t="shared" si="10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9"/>
        <v>借</v>
      </c>
      <c r="K241" s="9">
        <f t="shared" si="10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9"/>
        <v>借</v>
      </c>
      <c r="K242" s="9">
        <f t="shared" si="10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tr">
        <f t="shared" si="9"/>
        <v>借</v>
      </c>
      <c r="K243" s="9">
        <f t="shared" si="10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9"/>
        <v>借</v>
      </c>
      <c r="K244" s="9">
        <f t="shared" si="10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9"/>
        <v>借</v>
      </c>
      <c r="K245" s="9">
        <f t="shared" si="10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9"/>
        <v>借</v>
      </c>
      <c r="K246" s="9">
        <f t="shared" si="10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9"/>
        <v>借</v>
      </c>
      <c r="K247" s="9">
        <f t="shared" si="10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23" t="str">
        <f t="shared" si="9"/>
        <v>借</v>
      </c>
      <c r="K248" s="9">
        <f t="shared" si="10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23" t="str">
        <f t="shared" si="9"/>
        <v>借</v>
      </c>
      <c r="K249" s="9">
        <f t="shared" si="10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9"/>
        <v>借</v>
      </c>
      <c r="K250" s="9">
        <f t="shared" si="10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9"/>
        <v>借</v>
      </c>
      <c r="K251" s="9">
        <f t="shared" si="10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9"/>
        <v>借</v>
      </c>
      <c r="K252" s="9">
        <f t="shared" si="10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9"/>
        <v>借</v>
      </c>
      <c r="K253" s="9">
        <f t="shared" si="10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9"/>
        <v>借</v>
      </c>
      <c r="K254" s="9">
        <f t="shared" si="10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9"/>
        <v>借</v>
      </c>
      <c r="K255" s="9">
        <f t="shared" si="10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9"/>
        <v>借</v>
      </c>
      <c r="K256" s="9">
        <f t="shared" si="10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9"/>
        <v>借</v>
      </c>
      <c r="K257" s="9">
        <f t="shared" si="10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9"/>
        <v>借</v>
      </c>
      <c r="K258" s="9">
        <f t="shared" si="10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9"/>
        <v>借</v>
      </c>
      <c r="K259" s="9">
        <f t="shared" si="10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9"/>
        <v>借</v>
      </c>
      <c r="K260" s="9">
        <f t="shared" si="10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9"/>
        <v>借</v>
      </c>
      <c r="K261" s="9">
        <f t="shared" si="10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9"/>
        <v>借</v>
      </c>
      <c r="K262" s="9">
        <f t="shared" si="10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9"/>
        <v>借</v>
      </c>
      <c r="K263" s="9">
        <f t="shared" si="10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327" si="11">IF((K263+H264-I264)&gt;0,"借","贷")</f>
        <v>借</v>
      </c>
      <c r="K264" s="9">
        <f t="shared" si="10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11"/>
        <v>借</v>
      </c>
      <c r="K265" s="9">
        <f t="shared" si="10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11"/>
        <v>借</v>
      </c>
      <c r="K266" s="9">
        <f t="shared" si="10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11"/>
        <v>借</v>
      </c>
      <c r="K267" s="9">
        <f t="shared" si="10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11"/>
        <v>借</v>
      </c>
      <c r="K268" s="9">
        <f t="shared" si="10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11"/>
        <v>借</v>
      </c>
      <c r="K269" s="9">
        <f t="shared" si="10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11"/>
        <v>借</v>
      </c>
      <c r="K270" s="9">
        <f t="shared" si="10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11"/>
        <v>借</v>
      </c>
      <c r="K271" s="9">
        <f t="shared" si="10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11"/>
        <v>借</v>
      </c>
      <c r="K272" s="9">
        <f t="shared" si="10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11"/>
        <v>借</v>
      </c>
      <c r="K273" s="9">
        <f t="shared" si="10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11"/>
        <v>借</v>
      </c>
      <c r="K274" s="9">
        <f t="shared" si="10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11"/>
        <v>借</v>
      </c>
      <c r="K275" s="9">
        <f t="shared" si="10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11"/>
        <v>借</v>
      </c>
      <c r="K276" s="9">
        <f t="shared" si="10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11"/>
        <v>借</v>
      </c>
      <c r="K277" s="9">
        <f t="shared" si="10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11"/>
        <v>借</v>
      </c>
      <c r="K278" s="9">
        <f t="shared" si="10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11"/>
        <v>借</v>
      </c>
      <c r="K279" s="9">
        <f t="shared" si="10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11"/>
        <v>借</v>
      </c>
      <c r="K280" s="9">
        <f t="shared" si="10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11"/>
        <v>借</v>
      </c>
      <c r="K281" s="9">
        <f t="shared" si="10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11"/>
        <v>借</v>
      </c>
      <c r="K282" s="9">
        <f t="shared" si="10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11"/>
        <v>借</v>
      </c>
      <c r="K283" s="9">
        <f t="shared" si="10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11"/>
        <v>借</v>
      </c>
      <c r="K284" s="9">
        <f t="shared" si="10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11"/>
        <v>借</v>
      </c>
      <c r="K285" s="9">
        <f t="shared" si="10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11"/>
        <v>借</v>
      </c>
      <c r="K286" s="9">
        <f t="shared" si="10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11"/>
        <v>借</v>
      </c>
      <c r="K287" s="9">
        <f t="shared" si="10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11"/>
        <v>借</v>
      </c>
      <c r="K288" s="9">
        <f t="shared" si="10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11"/>
        <v>借</v>
      </c>
      <c r="K289" s="9">
        <f t="shared" si="10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11"/>
        <v>借</v>
      </c>
      <c r="K290" s="9">
        <f t="shared" si="10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11"/>
        <v>借</v>
      </c>
      <c r="K291" s="9">
        <f t="shared" si="10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11"/>
        <v>借</v>
      </c>
      <c r="K292" s="9">
        <f t="shared" si="10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11"/>
        <v>借</v>
      </c>
      <c r="K293" s="9">
        <f t="shared" si="10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11"/>
        <v>借</v>
      </c>
      <c r="K294" s="9">
        <f t="shared" si="10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11"/>
        <v>借</v>
      </c>
      <c r="K295" s="9">
        <f t="shared" si="10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11"/>
        <v>借</v>
      </c>
      <c r="K296" s="9">
        <f t="shared" si="10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11"/>
        <v>借</v>
      </c>
      <c r="K297" s="9">
        <f t="shared" si="10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11"/>
        <v>借</v>
      </c>
      <c r="K298" s="9">
        <f t="shared" si="10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11"/>
        <v>借</v>
      </c>
      <c r="K299" s="9">
        <f t="shared" si="10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11"/>
        <v>借</v>
      </c>
      <c r="K300" s="9">
        <f t="shared" si="10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11"/>
        <v>借</v>
      </c>
      <c r="K301" s="9">
        <f t="shared" si="10"/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11"/>
        <v>借</v>
      </c>
      <c r="K302" s="9">
        <f t="shared" si="10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11"/>
        <v>借</v>
      </c>
      <c r="K303" s="9">
        <f t="shared" ref="K303:K366" si="12">_xlfn.IFS(J302="借",K302+H303-I303,J302="贷",H303-I303-K302)</f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11"/>
        <v>借</v>
      </c>
      <c r="K304" s="9">
        <f t="shared" si="12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11"/>
        <v>借</v>
      </c>
      <c r="K305" s="9">
        <f t="shared" si="12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11"/>
        <v>借</v>
      </c>
      <c r="K306" s="9">
        <f t="shared" si="12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11"/>
        <v>借</v>
      </c>
      <c r="K307" s="9">
        <f t="shared" si="12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11"/>
        <v>借</v>
      </c>
      <c r="K308" s="9">
        <f t="shared" si="12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11"/>
        <v>借</v>
      </c>
      <c r="K309" s="9">
        <f t="shared" si="12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11"/>
        <v>借</v>
      </c>
      <c r="K310" s="9">
        <f t="shared" si="12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11"/>
        <v>借</v>
      </c>
      <c r="K311" s="9">
        <f t="shared" si="12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11"/>
        <v>借</v>
      </c>
      <c r="K312" s="9">
        <f t="shared" si="12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11"/>
        <v>借</v>
      </c>
      <c r="K313" s="9">
        <f t="shared" si="12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11"/>
        <v>借</v>
      </c>
      <c r="K314" s="9">
        <f t="shared" si="12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11"/>
        <v>借</v>
      </c>
      <c r="K315" s="9">
        <f t="shared" si="12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11"/>
        <v>借</v>
      </c>
      <c r="K316" s="9">
        <f t="shared" si="12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11"/>
        <v>借</v>
      </c>
      <c r="K317" s="9">
        <f t="shared" si="12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11"/>
        <v>借</v>
      </c>
      <c r="K318" s="9">
        <f t="shared" si="12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11"/>
        <v>借</v>
      </c>
      <c r="K319" s="9">
        <f t="shared" si="12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11"/>
        <v>借</v>
      </c>
      <c r="K320" s="9">
        <f t="shared" si="12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11"/>
        <v>借</v>
      </c>
      <c r="K321" s="9">
        <f t="shared" si="12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11"/>
        <v>借</v>
      </c>
      <c r="K322" s="9">
        <f t="shared" si="12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11"/>
        <v>借</v>
      </c>
      <c r="K323" s="9">
        <f t="shared" si="12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11"/>
        <v>借</v>
      </c>
      <c r="K324" s="9">
        <f t="shared" si="12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11"/>
        <v>借</v>
      </c>
      <c r="K325" s="9">
        <f t="shared" si="12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11"/>
        <v>借</v>
      </c>
      <c r="K326" s="9">
        <f t="shared" si="12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1"/>
        <v>借</v>
      </c>
      <c r="K327" s="9">
        <f t="shared" si="12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ref="J328:J391" si="13">IF((K327+H328-I328)&gt;0,"借","贷")</f>
        <v>借</v>
      </c>
      <c r="K328" s="9">
        <f t="shared" si="12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3"/>
        <v>借</v>
      </c>
      <c r="K329" s="9">
        <f t="shared" si="12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3"/>
        <v>借</v>
      </c>
      <c r="K330" s="9">
        <f t="shared" si="12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3"/>
        <v>借</v>
      </c>
      <c r="K331" s="9">
        <f t="shared" si="12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3"/>
        <v>借</v>
      </c>
      <c r="K332" s="9">
        <f t="shared" si="12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3"/>
        <v>借</v>
      </c>
      <c r="K333" s="9">
        <f t="shared" si="12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3"/>
        <v>借</v>
      </c>
      <c r="K334" s="9">
        <f t="shared" si="12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3"/>
        <v>借</v>
      </c>
      <c r="K335" s="9">
        <f t="shared" si="12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3"/>
        <v>借</v>
      </c>
      <c r="K336" s="9">
        <f t="shared" si="12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3"/>
        <v>借</v>
      </c>
      <c r="K337" s="9">
        <f t="shared" si="12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3"/>
        <v>借</v>
      </c>
      <c r="K338" s="9">
        <f t="shared" si="12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3"/>
        <v>借</v>
      </c>
      <c r="K339" s="9">
        <f t="shared" si="12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3"/>
        <v>借</v>
      </c>
      <c r="K340" s="9">
        <f t="shared" si="12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3"/>
        <v>借</v>
      </c>
      <c r="K341" s="9">
        <f t="shared" si="12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3"/>
        <v>借</v>
      </c>
      <c r="K342" s="9">
        <f t="shared" si="12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3"/>
        <v>借</v>
      </c>
      <c r="K343" s="9">
        <f t="shared" si="12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3"/>
        <v>借</v>
      </c>
      <c r="K344" s="9">
        <f t="shared" si="12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3"/>
        <v>借</v>
      </c>
      <c r="K345" s="9">
        <f t="shared" si="12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3"/>
        <v>借</v>
      </c>
      <c r="K346" s="9">
        <f t="shared" si="12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3"/>
        <v>借</v>
      </c>
      <c r="K347" s="9">
        <f t="shared" si="12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3"/>
        <v>借</v>
      </c>
      <c r="K348" s="9">
        <f t="shared" si="12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3"/>
        <v>借</v>
      </c>
      <c r="K349" s="9">
        <f t="shared" si="12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3"/>
        <v>借</v>
      </c>
      <c r="K350" s="9">
        <f t="shared" si="12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3"/>
        <v>借</v>
      </c>
      <c r="K351" s="9">
        <f t="shared" si="12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3"/>
        <v>借</v>
      </c>
      <c r="K352" s="9">
        <f t="shared" si="12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3"/>
        <v>借</v>
      </c>
      <c r="K353" s="9">
        <f t="shared" si="12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3"/>
        <v>借</v>
      </c>
      <c r="K354" s="9">
        <f t="shared" si="12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3"/>
        <v>借</v>
      </c>
      <c r="K355" s="9">
        <f t="shared" si="12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3"/>
        <v>借</v>
      </c>
      <c r="K356" s="9">
        <f t="shared" si="12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3"/>
        <v>借</v>
      </c>
      <c r="K357" s="9">
        <f t="shared" si="12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3"/>
        <v>借</v>
      </c>
      <c r="K358" s="9">
        <f t="shared" si="12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3"/>
        <v>借</v>
      </c>
      <c r="K359" s="9">
        <f t="shared" si="12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3"/>
        <v>借</v>
      </c>
      <c r="K360" s="9">
        <f t="shared" si="12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3"/>
        <v>借</v>
      </c>
      <c r="K361" s="9">
        <f t="shared" si="12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3"/>
        <v>借</v>
      </c>
      <c r="K362" s="9">
        <f t="shared" si="12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3"/>
        <v>借</v>
      </c>
      <c r="K363" s="9">
        <f t="shared" si="12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3"/>
        <v>借</v>
      </c>
      <c r="K364" s="9">
        <f t="shared" si="12"/>
        <v>100</v>
      </c>
    </row>
    <row r="365" spans="1:11" ht="20.100000000000001" customHeight="1" x14ac:dyDescent="0.15">
      <c r="A365" s="10"/>
      <c r="B365" s="5"/>
      <c r="C365" s="10"/>
      <c r="D365" s="10"/>
      <c r="E365" s="10"/>
      <c r="F365" s="10"/>
      <c r="G365" s="10"/>
      <c r="H365" s="8"/>
      <c r="I365" s="8"/>
      <c r="J365" s="8" t="str">
        <f t="shared" si="13"/>
        <v>借</v>
      </c>
      <c r="K365" s="9">
        <f t="shared" si="12"/>
        <v>100</v>
      </c>
    </row>
    <row r="366" spans="1:11" ht="20.100000000000001" customHeight="1" x14ac:dyDescent="0.15">
      <c r="A366" s="10"/>
      <c r="B366" s="5"/>
      <c r="C366" s="10"/>
      <c r="D366" s="10"/>
      <c r="E366" s="10"/>
      <c r="F366" s="10"/>
      <c r="G366" s="10"/>
      <c r="H366" s="8"/>
      <c r="I366" s="8"/>
      <c r="J366" s="8" t="str">
        <f t="shared" si="13"/>
        <v>借</v>
      </c>
      <c r="K366" s="9">
        <f t="shared" si="12"/>
        <v>100</v>
      </c>
    </row>
    <row r="367" spans="1:11" ht="20.100000000000001" customHeight="1" x14ac:dyDescent="0.15">
      <c r="B367" s="5"/>
      <c r="C367" s="10"/>
      <c r="D367" s="10"/>
      <c r="E367" s="10"/>
      <c r="F367" s="10"/>
      <c r="G367" s="10"/>
      <c r="H367" s="8"/>
      <c r="I367" s="8"/>
      <c r="J367" s="8" t="str">
        <f t="shared" si="13"/>
        <v>借</v>
      </c>
      <c r="K367" s="9">
        <f t="shared" ref="K367:K430" si="14">_xlfn.IFS(J366="借",K366+H367-I367,J366="贷",H367-I367-K366)</f>
        <v>100</v>
      </c>
    </row>
    <row r="368" spans="1:11" ht="20.100000000000001" customHeight="1" x14ac:dyDescent="0.15">
      <c r="B368" s="5"/>
      <c r="C368" s="10"/>
      <c r="D368" s="10"/>
      <c r="E368" s="10"/>
      <c r="F368" s="10"/>
      <c r="G368" s="10"/>
      <c r="H368" s="8"/>
      <c r="I368" s="8"/>
      <c r="J368" s="8" t="str">
        <f t="shared" si="13"/>
        <v>借</v>
      </c>
      <c r="K368" s="9">
        <f t="shared" si="14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3"/>
        <v>借</v>
      </c>
      <c r="K369" s="9">
        <f t="shared" si="14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3"/>
        <v>借</v>
      </c>
      <c r="K370" s="9">
        <f t="shared" si="14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3"/>
        <v>借</v>
      </c>
      <c r="K371" s="9">
        <f t="shared" si="14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3"/>
        <v>借</v>
      </c>
      <c r="K372" s="9">
        <f t="shared" si="14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3"/>
        <v>借</v>
      </c>
      <c r="K373" s="9">
        <f t="shared" si="14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3"/>
        <v>借</v>
      </c>
      <c r="K374" s="9">
        <f t="shared" si="14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3"/>
        <v>借</v>
      </c>
      <c r="K375" s="9">
        <f t="shared" si="14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3"/>
        <v>借</v>
      </c>
      <c r="K376" s="9">
        <f t="shared" si="14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3"/>
        <v>借</v>
      </c>
      <c r="K377" s="9">
        <f t="shared" si="14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3"/>
        <v>借</v>
      </c>
      <c r="K378" s="9">
        <f t="shared" si="14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3"/>
        <v>借</v>
      </c>
      <c r="K379" s="9">
        <f t="shared" si="14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3"/>
        <v>借</v>
      </c>
      <c r="K380" s="9">
        <f t="shared" si="14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3"/>
        <v>借</v>
      </c>
      <c r="K381" s="9">
        <f t="shared" si="14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3"/>
        <v>借</v>
      </c>
      <c r="K382" s="9">
        <f t="shared" si="14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3"/>
        <v>借</v>
      </c>
      <c r="K383" s="9">
        <f t="shared" si="14"/>
        <v>100</v>
      </c>
    </row>
    <row r="384" spans="2:11" ht="20.100000000000001" customHeight="1" x14ac:dyDescent="0.15">
      <c r="B384" s="5"/>
      <c r="C384" s="7"/>
      <c r="D384" s="10"/>
      <c r="E384" s="10"/>
      <c r="F384" s="10"/>
      <c r="G384" s="10"/>
      <c r="H384" s="8"/>
      <c r="I384" s="8"/>
      <c r="J384" s="8" t="str">
        <f t="shared" si="13"/>
        <v>借</v>
      </c>
      <c r="K384" s="9">
        <f t="shared" si="14"/>
        <v>100</v>
      </c>
    </row>
    <row r="385" spans="2:11" ht="20.100000000000001" customHeight="1" x14ac:dyDescent="0.15">
      <c r="B385" s="5"/>
      <c r="C385" s="7"/>
      <c r="D385" s="10"/>
      <c r="E385" s="10"/>
      <c r="F385" s="10"/>
      <c r="G385" s="10"/>
      <c r="H385" s="8"/>
      <c r="I385" s="8"/>
      <c r="J385" s="8" t="str">
        <f t="shared" si="13"/>
        <v>借</v>
      </c>
      <c r="K385" s="9">
        <f t="shared" si="14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3"/>
        <v>借</v>
      </c>
      <c r="K386" s="9">
        <f t="shared" si="14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3"/>
        <v>借</v>
      </c>
      <c r="K387" s="9">
        <f t="shared" si="14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3"/>
        <v>借</v>
      </c>
      <c r="K388" s="9">
        <f t="shared" si="14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3"/>
        <v>借</v>
      </c>
      <c r="K389" s="9">
        <f t="shared" si="14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si="13"/>
        <v>借</v>
      </c>
      <c r="K390" s="9">
        <f t="shared" si="14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3"/>
        <v>借</v>
      </c>
      <c r="K391" s="9">
        <f t="shared" si="14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ref="J392:J455" si="15">IF((K391+H392-I392)&gt;0,"借","贷")</f>
        <v>借</v>
      </c>
      <c r="K392" s="9">
        <f t="shared" si="14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5"/>
        <v>借</v>
      </c>
      <c r="K393" s="9">
        <f t="shared" si="14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5"/>
        <v>借</v>
      </c>
      <c r="K394" s="9">
        <f t="shared" si="14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5"/>
        <v>借</v>
      </c>
      <c r="K395" s="9">
        <f t="shared" si="14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5"/>
        <v>借</v>
      </c>
      <c r="K396" s="9">
        <f t="shared" si="14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5"/>
        <v>借</v>
      </c>
      <c r="K397" s="9">
        <f t="shared" si="14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5"/>
        <v>借</v>
      </c>
      <c r="K398" s="9">
        <f t="shared" si="14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5"/>
        <v>借</v>
      </c>
      <c r="K399" s="9">
        <f t="shared" si="14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5"/>
        <v>借</v>
      </c>
      <c r="K400" s="9">
        <f t="shared" si="14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5"/>
        <v>借</v>
      </c>
      <c r="K401" s="9">
        <f t="shared" si="14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5"/>
        <v>借</v>
      </c>
      <c r="K402" s="9">
        <f t="shared" si="14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5"/>
        <v>借</v>
      </c>
      <c r="K403" s="9">
        <f t="shared" si="14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5"/>
        <v>借</v>
      </c>
      <c r="K404" s="9">
        <f t="shared" si="14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5"/>
        <v>借</v>
      </c>
      <c r="K405" s="9">
        <f t="shared" si="14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5"/>
        <v>借</v>
      </c>
      <c r="K406" s="9">
        <f t="shared" si="14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5"/>
        <v>借</v>
      </c>
      <c r="K407" s="9">
        <f t="shared" si="14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5"/>
        <v>借</v>
      </c>
      <c r="K408" s="9">
        <f t="shared" si="14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5"/>
        <v>借</v>
      </c>
      <c r="K409" s="9">
        <f t="shared" si="14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5"/>
        <v>借</v>
      </c>
      <c r="K410" s="9">
        <f t="shared" si="14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5"/>
        <v>借</v>
      </c>
      <c r="K411" s="9">
        <f t="shared" si="14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5"/>
        <v>借</v>
      </c>
      <c r="K412" s="9">
        <f t="shared" si="14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5"/>
        <v>借</v>
      </c>
      <c r="K413" s="9">
        <f t="shared" si="14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5"/>
        <v>借</v>
      </c>
      <c r="K414" s="9">
        <f t="shared" si="14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5"/>
        <v>借</v>
      </c>
      <c r="K415" s="9">
        <f t="shared" si="14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5"/>
        <v>借</v>
      </c>
      <c r="K416" s="9">
        <f t="shared" si="14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5"/>
        <v>借</v>
      </c>
      <c r="K417" s="9">
        <f t="shared" si="14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5"/>
        <v>借</v>
      </c>
      <c r="K418" s="9">
        <f t="shared" si="14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5"/>
        <v>借</v>
      </c>
      <c r="K419" s="9">
        <f t="shared" si="14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5"/>
        <v>借</v>
      </c>
      <c r="K420" s="9">
        <f t="shared" si="14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5"/>
        <v>借</v>
      </c>
      <c r="K421" s="9">
        <f t="shared" si="14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5"/>
        <v>借</v>
      </c>
      <c r="K422" s="9">
        <f t="shared" si="14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5"/>
        <v>借</v>
      </c>
      <c r="K423" s="9">
        <f t="shared" si="14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5"/>
        <v>借</v>
      </c>
      <c r="K424" s="9">
        <f t="shared" si="14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5"/>
        <v>借</v>
      </c>
      <c r="K425" s="9">
        <f t="shared" si="14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5"/>
        <v>借</v>
      </c>
      <c r="K426" s="9">
        <f t="shared" si="14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5"/>
        <v>借</v>
      </c>
      <c r="K427" s="9">
        <f t="shared" si="14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5"/>
        <v>借</v>
      </c>
      <c r="K428" s="9">
        <f t="shared" si="14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5"/>
        <v>借</v>
      </c>
      <c r="K429" s="9">
        <f t="shared" si="14"/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5"/>
        <v>借</v>
      </c>
      <c r="K430" s="9">
        <f t="shared" si="14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5"/>
        <v>借</v>
      </c>
      <c r="K431" s="9">
        <f t="shared" ref="K431:K494" si="16">_xlfn.IFS(J430="借",K430+H431-I431,J430="贷",H431-I431-K430)</f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5"/>
        <v>借</v>
      </c>
      <c r="K432" s="9">
        <f t="shared" si="16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5"/>
        <v>借</v>
      </c>
      <c r="K433" s="9">
        <f t="shared" si="16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5"/>
        <v>借</v>
      </c>
      <c r="K434" s="9">
        <f t="shared" si="16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5"/>
        <v>借</v>
      </c>
      <c r="K435" s="9">
        <f t="shared" si="16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5"/>
        <v>借</v>
      </c>
      <c r="K436" s="9">
        <f t="shared" si="16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5"/>
        <v>借</v>
      </c>
      <c r="K437" s="9">
        <f t="shared" si="16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5"/>
        <v>借</v>
      </c>
      <c r="K438" s="9">
        <f t="shared" si="16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5"/>
        <v>借</v>
      </c>
      <c r="K439" s="9">
        <f t="shared" si="16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5"/>
        <v>借</v>
      </c>
      <c r="K440" s="9">
        <f t="shared" si="16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5"/>
        <v>借</v>
      </c>
      <c r="K441" s="9">
        <f t="shared" si="16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5"/>
        <v>借</v>
      </c>
      <c r="K442" s="9">
        <f t="shared" si="16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5"/>
        <v>借</v>
      </c>
      <c r="K443" s="9">
        <f t="shared" si="16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5"/>
        <v>借</v>
      </c>
      <c r="K444" s="9">
        <f t="shared" si="16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5"/>
        <v>借</v>
      </c>
      <c r="K445" s="9">
        <f t="shared" si="16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5"/>
        <v>借</v>
      </c>
      <c r="K446" s="9">
        <f t="shared" si="16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5"/>
        <v>借</v>
      </c>
      <c r="K447" s="9">
        <f t="shared" si="16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5"/>
        <v>借</v>
      </c>
      <c r="K448" s="9">
        <f t="shared" si="16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5"/>
        <v>借</v>
      </c>
      <c r="K449" s="9">
        <f t="shared" si="16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5"/>
        <v>借</v>
      </c>
      <c r="K450" s="9">
        <f t="shared" si="16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5"/>
        <v>借</v>
      </c>
      <c r="K451" s="9">
        <f t="shared" si="16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5"/>
        <v>借</v>
      </c>
      <c r="K452" s="9">
        <f t="shared" si="16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5"/>
        <v>借</v>
      </c>
      <c r="K453" s="9">
        <f t="shared" si="16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15"/>
        <v>借</v>
      </c>
      <c r="K454" s="9">
        <f t="shared" si="16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5"/>
        <v>借</v>
      </c>
      <c r="K455" s="9">
        <f t="shared" si="16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ref="J456:J499" si="17">IF((K455+H456-I456)&gt;0,"借","贷")</f>
        <v>借</v>
      </c>
      <c r="K456" s="9">
        <f t="shared" si="16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7"/>
        <v>借</v>
      </c>
      <c r="K457" s="9">
        <f t="shared" si="16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7"/>
        <v>借</v>
      </c>
      <c r="K458" s="9">
        <f t="shared" si="16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7"/>
        <v>借</v>
      </c>
      <c r="K459" s="9">
        <f t="shared" si="16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7"/>
        <v>借</v>
      </c>
      <c r="K460" s="9">
        <f t="shared" si="16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7"/>
        <v>借</v>
      </c>
      <c r="K461" s="9">
        <f t="shared" si="16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7"/>
        <v>借</v>
      </c>
      <c r="K462" s="9">
        <f t="shared" si="16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7"/>
        <v>借</v>
      </c>
      <c r="K463" s="9">
        <f t="shared" si="16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7"/>
        <v>借</v>
      </c>
      <c r="K464" s="9">
        <f t="shared" si="16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7"/>
        <v>借</v>
      </c>
      <c r="K465" s="9">
        <f t="shared" si="16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7"/>
        <v>借</v>
      </c>
      <c r="K466" s="9">
        <f t="shared" si="16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7"/>
        <v>借</v>
      </c>
      <c r="K467" s="9">
        <f t="shared" si="16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7"/>
        <v>借</v>
      </c>
      <c r="K468" s="9">
        <f t="shared" si="16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7"/>
        <v>借</v>
      </c>
      <c r="K469" s="9">
        <f t="shared" si="16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7"/>
        <v>借</v>
      </c>
      <c r="K470" s="9">
        <f t="shared" si="16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7"/>
        <v>借</v>
      </c>
      <c r="K471" s="9">
        <f t="shared" si="16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7"/>
        <v>借</v>
      </c>
      <c r="K472" s="9">
        <f t="shared" si="16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7"/>
        <v>借</v>
      </c>
      <c r="K473" s="9">
        <f t="shared" si="16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7"/>
        <v>借</v>
      </c>
      <c r="K474" s="9">
        <f t="shared" si="16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7"/>
        <v>借</v>
      </c>
      <c r="K475" s="9">
        <f t="shared" si="16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7"/>
        <v>借</v>
      </c>
      <c r="K476" s="9">
        <f t="shared" si="16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7"/>
        <v>借</v>
      </c>
      <c r="K477" s="9">
        <f t="shared" si="16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7"/>
        <v>借</v>
      </c>
      <c r="K478" s="9">
        <f t="shared" si="16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7"/>
        <v>借</v>
      </c>
      <c r="K479" s="9">
        <f t="shared" si="16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7"/>
        <v>借</v>
      </c>
      <c r="K480" s="9">
        <f t="shared" si="16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7"/>
        <v>借</v>
      </c>
      <c r="K481" s="9">
        <f t="shared" si="16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7"/>
        <v>借</v>
      </c>
      <c r="K482" s="9">
        <f t="shared" si="16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7"/>
        <v>借</v>
      </c>
      <c r="K483" s="9">
        <f t="shared" si="16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7"/>
        <v>借</v>
      </c>
      <c r="K484" s="9">
        <f t="shared" si="16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7"/>
        <v>借</v>
      </c>
      <c r="K485" s="9">
        <f t="shared" si="16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7"/>
        <v>借</v>
      </c>
      <c r="K486" s="9">
        <f t="shared" si="16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7"/>
        <v>借</v>
      </c>
      <c r="K487" s="9">
        <f t="shared" si="16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7"/>
        <v>借</v>
      </c>
      <c r="K488" s="9">
        <f t="shared" si="16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7"/>
        <v>借</v>
      </c>
      <c r="K489" s="9">
        <f t="shared" si="16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7"/>
        <v>借</v>
      </c>
      <c r="K490" s="9">
        <f t="shared" si="16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7"/>
        <v>借</v>
      </c>
      <c r="K491" s="9">
        <f t="shared" si="16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7"/>
        <v>借</v>
      </c>
      <c r="K492" s="9">
        <f t="shared" si="16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7"/>
        <v>借</v>
      </c>
      <c r="K493" s="9">
        <f t="shared" si="16"/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7"/>
        <v>借</v>
      </c>
      <c r="K494" s="9">
        <f t="shared" si="16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7"/>
        <v>借</v>
      </c>
      <c r="K495" s="9">
        <f t="shared" ref="K495:K499" si="18">_xlfn.IFS(J494="借",K494+H495-I495,J494="贷",H495-I495-K494)</f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7"/>
        <v>借</v>
      </c>
      <c r="K496" s="9">
        <f t="shared" si="18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7"/>
        <v>借</v>
      </c>
      <c r="K497" s="9">
        <f t="shared" si="18"/>
        <v>100</v>
      </c>
    </row>
    <row r="498" spans="2:11" ht="20.100000000000001" customHeight="1" x14ac:dyDescent="0.15">
      <c r="B498" s="5"/>
      <c r="C498" s="10"/>
      <c r="D498" s="10"/>
      <c r="E498" s="10"/>
      <c r="F498" s="10"/>
      <c r="G498" s="10"/>
      <c r="H498" s="8"/>
      <c r="I498" s="8"/>
      <c r="J498" s="8" t="str">
        <f t="shared" si="17"/>
        <v>借</v>
      </c>
      <c r="K498" s="9">
        <f t="shared" si="18"/>
        <v>100</v>
      </c>
    </row>
    <row r="499" spans="2:11" ht="20.100000000000001" customHeight="1" x14ac:dyDescent="0.15">
      <c r="B499" s="5"/>
      <c r="C499" s="10"/>
      <c r="D499" s="10"/>
      <c r="E499" s="10"/>
      <c r="F499" s="10"/>
      <c r="G499" s="10"/>
      <c r="H499" s="8"/>
      <c r="I499" s="8"/>
      <c r="J499" s="8" t="str">
        <f t="shared" si="17"/>
        <v>借</v>
      </c>
      <c r="K499" s="9">
        <f t="shared" si="18"/>
        <v>100</v>
      </c>
    </row>
  </sheetData>
  <autoFilter ref="A4:L499" xr:uid="{00000000-0009-0000-0000-000025000000}"/>
  <mergeCells count="2">
    <mergeCell ref="A1:K1"/>
    <mergeCell ref="A2:K2"/>
  </mergeCells>
  <phoneticPr fontId="22" type="noConversion"/>
  <pageMargins left="0.75" right="0.75" top="1" bottom="1" header="0.5" footer="0.5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497"/>
  <sheetViews>
    <sheetView workbookViewId="0">
      <selection activeCell="H11" sqref="H11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46.75" customWidth="1"/>
    <col min="5" max="5" width="16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108" t="s">
        <v>98</v>
      </c>
      <c r="B2" s="95"/>
      <c r="C2" s="95"/>
      <c r="D2" s="95"/>
      <c r="E2" s="95"/>
      <c r="F2" s="102"/>
      <c r="G2" s="102"/>
      <c r="H2" s="102"/>
      <c r="I2" s="95"/>
      <c r="L2" t="s">
        <v>26</v>
      </c>
    </row>
    <row r="3" spans="1:12" ht="20.100000000000001" customHeight="1" x14ac:dyDescent="0.15">
      <c r="A3" s="22"/>
      <c r="B3" s="3"/>
      <c r="C3" s="3"/>
      <c r="D3" s="3"/>
      <c r="E3" s="3"/>
      <c r="F3" s="4"/>
      <c r="G3" s="4"/>
      <c r="H3" s="4">
        <f>SUM(H5:H13000)</f>
        <v>0.45</v>
      </c>
      <c r="I3" s="4">
        <f>SUM(I5:I13000)</f>
        <v>0</v>
      </c>
      <c r="K3">
        <f>K5+H3-I3</f>
        <v>100.45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2025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>
        <v>0</v>
      </c>
      <c r="C6" s="5">
        <v>21</v>
      </c>
      <c r="D6" s="10" t="s">
        <v>99</v>
      </c>
      <c r="E6" s="10"/>
      <c r="F6" s="10" t="s">
        <v>49</v>
      </c>
      <c r="G6" s="10" t="s">
        <v>49</v>
      </c>
      <c r="H6" s="8">
        <v>0.22</v>
      </c>
      <c r="I6" s="8"/>
      <c r="J6" s="8" t="str">
        <f t="shared" ref="J6:J69" si="0">IF((K5+H6-I6)&gt;0,"借","贷")</f>
        <v>借</v>
      </c>
      <c r="K6" s="9">
        <f>K5+H6-I6</f>
        <v>100.22</v>
      </c>
    </row>
    <row r="7" spans="1:12" ht="20.100000000000001" customHeight="1" x14ac:dyDescent="0.15">
      <c r="A7" s="5"/>
      <c r="B7" s="5">
        <v>6</v>
      </c>
      <c r="C7" s="5">
        <v>21</v>
      </c>
      <c r="D7" s="10" t="s">
        <v>99</v>
      </c>
      <c r="E7" s="10"/>
      <c r="F7" s="10" t="s">
        <v>49</v>
      </c>
      <c r="G7" s="10" t="s">
        <v>49</v>
      </c>
      <c r="H7" s="8">
        <v>0.23</v>
      </c>
      <c r="I7" s="8"/>
      <c r="J7" s="8" t="str">
        <f t="shared" si="0"/>
        <v>借</v>
      </c>
      <c r="K7" s="9">
        <f t="shared" ref="K7:K70" si="1">K6+H7-I7</f>
        <v>100.45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100.45</v>
      </c>
    </row>
    <row r="9" spans="1:12" ht="20.100000000000001" customHeight="1" x14ac:dyDescent="0.15">
      <c r="A9" s="5"/>
      <c r="B9" s="10"/>
      <c r="C9" s="10"/>
      <c r="D9" s="10"/>
      <c r="E9" s="10"/>
      <c r="F9" s="10"/>
      <c r="G9" s="10"/>
      <c r="H9" s="8"/>
      <c r="I9" s="8"/>
      <c r="J9" s="8" t="str">
        <f t="shared" si="0"/>
        <v>借</v>
      </c>
      <c r="K9" s="9">
        <f t="shared" si="1"/>
        <v>100.45</v>
      </c>
    </row>
    <row r="10" spans="1:12" ht="20.100000000000001" customHeight="1" x14ac:dyDescent="0.15">
      <c r="A10" s="5"/>
      <c r="B10" s="10"/>
      <c r="C10" s="10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100.45</v>
      </c>
    </row>
    <row r="11" spans="1:12" ht="20.100000000000001" customHeight="1" x14ac:dyDescent="0.15">
      <c r="A11" s="5"/>
      <c r="B11" s="10"/>
      <c r="C11" s="10"/>
      <c r="D11" s="10"/>
      <c r="E11" s="10"/>
      <c r="F11" s="10"/>
      <c r="G11" s="10"/>
      <c r="H11" s="8"/>
      <c r="I11" s="8"/>
      <c r="J11" s="8" t="str">
        <f t="shared" si="0"/>
        <v>借</v>
      </c>
      <c r="K11" s="9">
        <f t="shared" si="1"/>
        <v>100.45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si="0"/>
        <v>借</v>
      </c>
      <c r="K12" s="9">
        <f t="shared" si="1"/>
        <v>100.45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tr">
        <f t="shared" si="0"/>
        <v>借</v>
      </c>
      <c r="K13" s="9">
        <f t="shared" si="1"/>
        <v>100.45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0"/>
        <v>借</v>
      </c>
      <c r="K14" s="9">
        <f t="shared" si="1"/>
        <v>100.45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tr">
        <f t="shared" si="0"/>
        <v>借</v>
      </c>
      <c r="K15" s="9">
        <f t="shared" si="1"/>
        <v>100.45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0"/>
        <v>借</v>
      </c>
      <c r="K16" s="9">
        <f t="shared" si="1"/>
        <v>100.45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tr">
        <f t="shared" si="0"/>
        <v>借</v>
      </c>
      <c r="K17" s="9">
        <f t="shared" si="1"/>
        <v>100.45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si="0"/>
        <v>借</v>
      </c>
      <c r="K18" s="9">
        <f t="shared" si="1"/>
        <v>100.45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tr">
        <f t="shared" si="0"/>
        <v>借</v>
      </c>
      <c r="K19" s="9">
        <f t="shared" si="1"/>
        <v>100.45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0"/>
        <v>借</v>
      </c>
      <c r="K20" s="9">
        <f t="shared" si="1"/>
        <v>100.45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tr">
        <f t="shared" si="0"/>
        <v>借</v>
      </c>
      <c r="K21" s="9">
        <f t="shared" si="1"/>
        <v>100.45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0"/>
        <v>借</v>
      </c>
      <c r="K22" s="9">
        <f t="shared" si="1"/>
        <v>100.45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tr">
        <f t="shared" si="0"/>
        <v>借</v>
      </c>
      <c r="K23" s="9">
        <f t="shared" si="1"/>
        <v>100.45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si="0"/>
        <v>借</v>
      </c>
      <c r="K24" s="9">
        <f t="shared" si="1"/>
        <v>100.45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tr">
        <f t="shared" si="0"/>
        <v>借</v>
      </c>
      <c r="K25" s="9">
        <f t="shared" si="1"/>
        <v>100.45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0"/>
        <v>借</v>
      </c>
      <c r="K26" s="9">
        <f t="shared" si="1"/>
        <v>100.45</v>
      </c>
    </row>
    <row r="27" spans="1:11" ht="20.100000000000001" customHeight="1" x14ac:dyDescent="0.15">
      <c r="A27" s="5"/>
      <c r="B27" s="5"/>
      <c r="C27" s="10"/>
      <c r="D27" s="10"/>
      <c r="E27" s="11"/>
      <c r="F27" s="10"/>
      <c r="G27" s="10"/>
      <c r="H27" s="8"/>
      <c r="I27" s="8"/>
      <c r="J27" s="8" t="str">
        <f t="shared" si="0"/>
        <v>借</v>
      </c>
      <c r="K27" s="9">
        <f t="shared" si="1"/>
        <v>100.45</v>
      </c>
    </row>
    <row r="28" spans="1:11" ht="20.100000000000001" customHeight="1" x14ac:dyDescent="0.15">
      <c r="A28" s="5"/>
      <c r="B28" s="5"/>
      <c r="C28" s="10"/>
      <c r="D28" s="10"/>
      <c r="E28" s="10"/>
      <c r="F28" s="10"/>
      <c r="G28" s="10"/>
      <c r="H28" s="8"/>
      <c r="I28" s="8"/>
      <c r="J28" s="8" t="str">
        <f t="shared" si="0"/>
        <v>借</v>
      </c>
      <c r="K28" s="9">
        <f t="shared" si="1"/>
        <v>100.45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tr">
        <f t="shared" si="0"/>
        <v>借</v>
      </c>
      <c r="K29" s="9">
        <f t="shared" si="1"/>
        <v>100.45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si="0"/>
        <v>借</v>
      </c>
      <c r="K30" s="9">
        <f t="shared" si="1"/>
        <v>100.45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tr">
        <f t="shared" si="0"/>
        <v>借</v>
      </c>
      <c r="K31" s="9">
        <f t="shared" si="1"/>
        <v>100.45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0"/>
        <v>借</v>
      </c>
      <c r="K32" s="9">
        <f t="shared" si="1"/>
        <v>100.45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tr">
        <f t="shared" si="0"/>
        <v>借</v>
      </c>
      <c r="K33" s="9">
        <f t="shared" si="1"/>
        <v>100.45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0"/>
        <v>借</v>
      </c>
      <c r="K34" s="9">
        <f t="shared" si="1"/>
        <v>100.45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tr">
        <f t="shared" si="0"/>
        <v>借</v>
      </c>
      <c r="K35" s="9">
        <f t="shared" si="1"/>
        <v>100.45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si="0"/>
        <v>借</v>
      </c>
      <c r="K36" s="9">
        <f t="shared" si="1"/>
        <v>100.45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tr">
        <f t="shared" si="0"/>
        <v>借</v>
      </c>
      <c r="K37" s="9">
        <f t="shared" si="1"/>
        <v>100.45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0"/>
        <v>借</v>
      </c>
      <c r="K38" s="9">
        <f t="shared" si="1"/>
        <v>100.45</v>
      </c>
    </row>
    <row r="39" spans="1:11" ht="20.100000000000001" customHeight="1" x14ac:dyDescent="0.15">
      <c r="A39" s="5"/>
      <c r="B39" s="5"/>
      <c r="C39" s="10"/>
      <c r="D39" s="10"/>
      <c r="E39" s="10"/>
      <c r="F39" s="10"/>
      <c r="G39" s="10"/>
      <c r="H39" s="8"/>
      <c r="I39" s="8"/>
      <c r="J39" s="8" t="str">
        <f t="shared" si="0"/>
        <v>借</v>
      </c>
      <c r="K39" s="9">
        <f t="shared" si="1"/>
        <v>100.45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0"/>
        <v>借</v>
      </c>
      <c r="K40" s="9">
        <f t="shared" si="1"/>
        <v>100.45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0"/>
      <c r="H41" s="8"/>
      <c r="I41" s="8"/>
      <c r="J41" s="8" t="str">
        <f t="shared" si="0"/>
        <v>借</v>
      </c>
      <c r="K41" s="9">
        <f t="shared" si="1"/>
        <v>100.45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si="0"/>
        <v>借</v>
      </c>
      <c r="K42" s="9">
        <f t="shared" si="1"/>
        <v>100.45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tr">
        <f t="shared" si="0"/>
        <v>借</v>
      </c>
      <c r="K43" s="9">
        <f t="shared" si="1"/>
        <v>100.45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0"/>
        <v>借</v>
      </c>
      <c r="K44" s="9">
        <f t="shared" si="1"/>
        <v>100.45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tr">
        <f t="shared" si="0"/>
        <v>借</v>
      </c>
      <c r="K45" s="9">
        <f t="shared" si="1"/>
        <v>100.45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0"/>
        <v>借</v>
      </c>
      <c r="K46" s="9">
        <f t="shared" si="1"/>
        <v>100.45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tr">
        <f t="shared" si="0"/>
        <v>借</v>
      </c>
      <c r="K47" s="9">
        <f t="shared" si="1"/>
        <v>100.45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si="0"/>
        <v>借</v>
      </c>
      <c r="K48" s="9">
        <f t="shared" si="1"/>
        <v>100.45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tr">
        <f t="shared" si="0"/>
        <v>借</v>
      </c>
      <c r="K49" s="9">
        <f t="shared" si="1"/>
        <v>100.45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0"/>
        <v>借</v>
      </c>
      <c r="K50" s="9">
        <f t="shared" si="1"/>
        <v>100.45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tr">
        <f t="shared" si="0"/>
        <v>借</v>
      </c>
      <c r="K51" s="9">
        <f t="shared" si="1"/>
        <v>100.45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0"/>
        <v>借</v>
      </c>
      <c r="K52" s="9">
        <f t="shared" si="1"/>
        <v>100.45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tr">
        <f t="shared" si="0"/>
        <v>借</v>
      </c>
      <c r="K53" s="9">
        <f t="shared" si="1"/>
        <v>100.45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si="0"/>
        <v>借</v>
      </c>
      <c r="K54" s="9">
        <f t="shared" si="1"/>
        <v>100.45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tr">
        <f t="shared" si="0"/>
        <v>借</v>
      </c>
      <c r="K55" s="9">
        <f t="shared" si="1"/>
        <v>100.45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0"/>
        <v>借</v>
      </c>
      <c r="K56" s="9">
        <f t="shared" si="1"/>
        <v>100.45</v>
      </c>
    </row>
    <row r="57" spans="1:11" ht="20.100000000000001" customHeight="1" x14ac:dyDescent="0.15">
      <c r="A57" s="10"/>
      <c r="B57" s="5"/>
      <c r="C57" s="10"/>
      <c r="D57" s="10"/>
      <c r="E57" s="10"/>
      <c r="F57" s="10"/>
      <c r="G57" s="10"/>
      <c r="H57" s="8"/>
      <c r="I57" s="8"/>
      <c r="J57" s="8" t="str">
        <f t="shared" si="0"/>
        <v>借</v>
      </c>
      <c r="K57" s="9">
        <f t="shared" si="1"/>
        <v>100.45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0"/>
        <v>借</v>
      </c>
      <c r="K58" s="9">
        <f t="shared" si="1"/>
        <v>100.45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tr">
        <f t="shared" si="0"/>
        <v>借</v>
      </c>
      <c r="K59" s="9">
        <f t="shared" si="1"/>
        <v>100.45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si="0"/>
        <v>借</v>
      </c>
      <c r="K60" s="9">
        <f t="shared" si="1"/>
        <v>100.45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tr">
        <f t="shared" si="0"/>
        <v>借</v>
      </c>
      <c r="K61" s="9">
        <f t="shared" si="1"/>
        <v>100.45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0"/>
        <v>借</v>
      </c>
      <c r="K62" s="9">
        <f t="shared" si="1"/>
        <v>100.45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tr">
        <f t="shared" si="0"/>
        <v>借</v>
      </c>
      <c r="K63" s="9">
        <f t="shared" si="1"/>
        <v>100.45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0"/>
        <v>借</v>
      </c>
      <c r="K64" s="9">
        <f t="shared" si="1"/>
        <v>100.45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tr">
        <f t="shared" si="0"/>
        <v>借</v>
      </c>
      <c r="K65" s="9">
        <f t="shared" si="1"/>
        <v>100.45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si="0"/>
        <v>借</v>
      </c>
      <c r="K66" s="9">
        <f t="shared" si="1"/>
        <v>100.45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tr">
        <f t="shared" si="0"/>
        <v>借</v>
      </c>
      <c r="K67" s="9">
        <f t="shared" si="1"/>
        <v>100.45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0"/>
        <v>借</v>
      </c>
      <c r="K68" s="9">
        <f t="shared" si="1"/>
        <v>100.45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tr">
        <f t="shared" si="0"/>
        <v>借</v>
      </c>
      <c r="K69" s="9">
        <f t="shared" si="1"/>
        <v>100.45</v>
      </c>
    </row>
    <row r="70" spans="1:11" ht="20.100000000000001" customHeight="1" x14ac:dyDescent="0.15">
      <c r="A70" s="5"/>
      <c r="B70" s="5"/>
      <c r="C70" s="10"/>
      <c r="D70" s="10"/>
      <c r="E70" s="10"/>
      <c r="F70" s="10"/>
      <c r="G70" s="10"/>
      <c r="H70" s="8"/>
      <c r="I70" s="15"/>
      <c r="J70" s="8" t="str">
        <f t="shared" ref="J70:J133" si="2">IF((K69+H70-I70)&gt;0,"借","贷")</f>
        <v>借</v>
      </c>
      <c r="K70" s="9">
        <f t="shared" si="1"/>
        <v>100.45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tr">
        <f t="shared" si="2"/>
        <v>借</v>
      </c>
      <c r="K71" s="9">
        <f t="shared" ref="K71:K134" si="3">K70+H71-I71</f>
        <v>100.45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si="2"/>
        <v>借</v>
      </c>
      <c r="K72" s="9">
        <f t="shared" si="3"/>
        <v>100.45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tr">
        <f t="shared" si="2"/>
        <v>借</v>
      </c>
      <c r="K73" s="9">
        <f t="shared" si="3"/>
        <v>100.45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2"/>
        <v>借</v>
      </c>
      <c r="K74" s="9">
        <f t="shared" si="3"/>
        <v>100.45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tr">
        <f t="shared" si="2"/>
        <v>借</v>
      </c>
      <c r="K75" s="9">
        <f t="shared" si="3"/>
        <v>100.45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2"/>
        <v>借</v>
      </c>
      <c r="K76" s="9">
        <f t="shared" si="3"/>
        <v>100.45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si="2"/>
        <v>借</v>
      </c>
      <c r="K77" s="9">
        <f t="shared" si="3"/>
        <v>100.45</v>
      </c>
    </row>
    <row r="78" spans="1:11" ht="20.100000000000001" customHeight="1" x14ac:dyDescent="0.15">
      <c r="A78" s="10"/>
      <c r="B78" s="5"/>
      <c r="C78" s="5"/>
      <c r="D78" s="10"/>
      <c r="E78" s="10"/>
      <c r="F78" s="10"/>
      <c r="G78" s="10"/>
      <c r="H78" s="8"/>
      <c r="I78" s="8"/>
      <c r="J78" s="8" t="str">
        <f t="shared" si="2"/>
        <v>借</v>
      </c>
      <c r="K78" s="9">
        <f t="shared" si="3"/>
        <v>100.45</v>
      </c>
    </row>
    <row r="79" spans="1:11" ht="20.100000000000001" customHeight="1" x14ac:dyDescent="0.15">
      <c r="A79" s="5"/>
      <c r="B79" s="5"/>
      <c r="C79" s="5"/>
      <c r="D79" s="10"/>
      <c r="E79" s="10"/>
      <c r="F79" s="10"/>
      <c r="G79" s="10"/>
      <c r="H79" s="8"/>
      <c r="I79" s="15"/>
      <c r="J79" s="8" t="str">
        <f t="shared" si="2"/>
        <v>借</v>
      </c>
      <c r="K79" s="9">
        <f t="shared" si="3"/>
        <v>100.45</v>
      </c>
    </row>
    <row r="80" spans="1:11" ht="20.100000000000001" customHeight="1" x14ac:dyDescent="0.15">
      <c r="A80" s="5"/>
      <c r="B80" s="5"/>
      <c r="C80" s="5"/>
      <c r="D80" s="10"/>
      <c r="E80" s="10"/>
      <c r="F80" s="10"/>
      <c r="G80" s="10"/>
      <c r="H80" s="8"/>
      <c r="I80" s="15"/>
      <c r="J80" s="8" t="str">
        <f t="shared" si="2"/>
        <v>借</v>
      </c>
      <c r="K80" s="9">
        <f t="shared" si="3"/>
        <v>100.45</v>
      </c>
    </row>
    <row r="81" spans="1:11" ht="20.100000000000001" customHeight="1" x14ac:dyDescent="0.15">
      <c r="A81" s="5"/>
      <c r="B81" s="5"/>
      <c r="C81" s="5"/>
      <c r="D81" s="10"/>
      <c r="E81" s="10"/>
      <c r="F81" s="10"/>
      <c r="G81" s="10"/>
      <c r="H81" s="8"/>
      <c r="I81" s="8"/>
      <c r="J81" s="8" t="str">
        <f t="shared" si="2"/>
        <v>借</v>
      </c>
      <c r="K81" s="9">
        <f t="shared" si="3"/>
        <v>100.45</v>
      </c>
    </row>
    <row r="82" spans="1:11" ht="20.100000000000001" customHeight="1" x14ac:dyDescent="0.15">
      <c r="A82" s="5"/>
      <c r="B82" s="5"/>
      <c r="C82" s="5"/>
      <c r="D82" s="10"/>
      <c r="E82" s="10"/>
      <c r="F82" s="10"/>
      <c r="G82" s="10"/>
      <c r="H82" s="8"/>
      <c r="I82" s="8"/>
      <c r="J82" s="8" t="str">
        <f t="shared" si="2"/>
        <v>借</v>
      </c>
      <c r="K82" s="9">
        <f t="shared" si="3"/>
        <v>100.45</v>
      </c>
    </row>
    <row r="83" spans="1:11" ht="20.100000000000001" customHeight="1" x14ac:dyDescent="0.15">
      <c r="A83" s="5"/>
      <c r="B83" s="5"/>
      <c r="C83" s="5"/>
      <c r="D83" s="10"/>
      <c r="E83" s="10"/>
      <c r="F83" s="10"/>
      <c r="G83" s="10"/>
      <c r="H83" s="8"/>
      <c r="I83" s="8"/>
      <c r="J83" s="8" t="str">
        <f t="shared" si="2"/>
        <v>借</v>
      </c>
      <c r="K83" s="9">
        <f t="shared" si="3"/>
        <v>100.45</v>
      </c>
    </row>
    <row r="84" spans="1:11" ht="20.100000000000001" customHeight="1" x14ac:dyDescent="0.15">
      <c r="A84" s="5"/>
      <c r="B84" s="5"/>
      <c r="C84" s="5"/>
      <c r="D84" s="10"/>
      <c r="E84" s="10"/>
      <c r="F84" s="10"/>
      <c r="G84" s="10"/>
      <c r="H84" s="8"/>
      <c r="I84" s="8"/>
      <c r="J84" s="8" t="str">
        <f t="shared" si="2"/>
        <v>借</v>
      </c>
      <c r="K84" s="9">
        <f t="shared" si="3"/>
        <v>100.45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2"/>
        <v>借</v>
      </c>
      <c r="K85" s="9">
        <f t="shared" si="3"/>
        <v>100.45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15"/>
      <c r="J86" s="8" t="str">
        <f t="shared" si="2"/>
        <v>借</v>
      </c>
      <c r="K86" s="9">
        <f t="shared" si="3"/>
        <v>100.45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2"/>
        <v>借</v>
      </c>
      <c r="K87" s="9">
        <f t="shared" si="3"/>
        <v>100.45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2"/>
        <v>借</v>
      </c>
      <c r="K88" s="9">
        <f t="shared" si="3"/>
        <v>100.45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2"/>
        <v>借</v>
      </c>
      <c r="K89" s="9">
        <f t="shared" si="3"/>
        <v>100.45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2"/>
        <v>借</v>
      </c>
      <c r="K90" s="9">
        <f t="shared" si="3"/>
        <v>100.45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2"/>
        <v>借</v>
      </c>
      <c r="K91" s="9">
        <f t="shared" si="3"/>
        <v>100.45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2"/>
        <v>借</v>
      </c>
      <c r="K92" s="9">
        <f t="shared" si="3"/>
        <v>100.45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2"/>
        <v>借</v>
      </c>
      <c r="K93" s="9">
        <f t="shared" si="3"/>
        <v>100.45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2"/>
        <v>借</v>
      </c>
      <c r="K94" s="9">
        <f t="shared" si="3"/>
        <v>100.45</v>
      </c>
    </row>
    <row r="95" spans="1:11" ht="20.100000000000001" customHeight="1" x14ac:dyDescent="0.15">
      <c r="A95" s="5"/>
      <c r="B95" s="5"/>
      <c r="C95" s="10"/>
      <c r="D95" s="10"/>
      <c r="E95" s="10"/>
      <c r="F95" s="10"/>
      <c r="G95" s="10"/>
      <c r="H95" s="8"/>
      <c r="I95" s="8"/>
      <c r="J95" s="8" t="str">
        <f t="shared" si="2"/>
        <v>借</v>
      </c>
      <c r="K95" s="9">
        <f t="shared" si="3"/>
        <v>100.45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2"/>
        <v>借</v>
      </c>
      <c r="K96" s="9">
        <f t="shared" si="3"/>
        <v>100.45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2"/>
        <v>借</v>
      </c>
      <c r="K97" s="9">
        <f t="shared" si="3"/>
        <v>100.45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2"/>
        <v>借</v>
      </c>
      <c r="K98" s="9">
        <f t="shared" si="3"/>
        <v>100.45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2"/>
        <v>借</v>
      </c>
      <c r="K99" s="9">
        <f t="shared" si="3"/>
        <v>100.45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2"/>
        <v>借</v>
      </c>
      <c r="K100" s="9">
        <f t="shared" si="3"/>
        <v>100.45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2"/>
        <v>借</v>
      </c>
      <c r="K101" s="9">
        <f t="shared" si="3"/>
        <v>100.45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2"/>
        <v>借</v>
      </c>
      <c r="K102" s="9">
        <f t="shared" si="3"/>
        <v>100.45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2"/>
        <v>借</v>
      </c>
      <c r="K103" s="9">
        <f t="shared" si="3"/>
        <v>100.45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2"/>
        <v>借</v>
      </c>
      <c r="K104" s="9">
        <f t="shared" si="3"/>
        <v>100.45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2"/>
        <v>借</v>
      </c>
      <c r="K105" s="9">
        <f t="shared" si="3"/>
        <v>100.45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2"/>
        <v>借</v>
      </c>
      <c r="K106" s="9">
        <f t="shared" si="3"/>
        <v>100.45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2"/>
        <v>借</v>
      </c>
      <c r="K107" s="9">
        <f t="shared" si="3"/>
        <v>100.45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2"/>
        <v>借</v>
      </c>
      <c r="K108" s="9">
        <f t="shared" si="3"/>
        <v>100.45</v>
      </c>
    </row>
    <row r="109" spans="1:11" ht="20.100000000000001" customHeight="1" x14ac:dyDescent="0.15">
      <c r="A109" s="5"/>
      <c r="B109" s="5"/>
      <c r="C109" s="5"/>
      <c r="D109" s="10"/>
      <c r="E109" s="16"/>
      <c r="F109" s="10"/>
      <c r="G109" s="10"/>
      <c r="H109" s="8"/>
      <c r="I109" s="8"/>
      <c r="J109" s="8" t="str">
        <f t="shared" si="2"/>
        <v>借</v>
      </c>
      <c r="K109" s="9">
        <f t="shared" si="3"/>
        <v>100.45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2"/>
        <v>借</v>
      </c>
      <c r="K110" s="9">
        <f t="shared" si="3"/>
        <v>100.45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2"/>
        <v>借</v>
      </c>
      <c r="K111" s="9">
        <f t="shared" si="3"/>
        <v>100.45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2"/>
        <v>借</v>
      </c>
      <c r="K112" s="9">
        <f t="shared" si="3"/>
        <v>100.45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2"/>
        <v>借</v>
      </c>
      <c r="K113" s="9">
        <f t="shared" si="3"/>
        <v>100.45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2"/>
        <v>借</v>
      </c>
      <c r="K114" s="9">
        <f t="shared" si="3"/>
        <v>100.45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2"/>
        <v>借</v>
      </c>
      <c r="K115" s="9">
        <f t="shared" si="3"/>
        <v>100.45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2"/>
        <v>借</v>
      </c>
      <c r="K116" s="9">
        <f t="shared" si="3"/>
        <v>100.45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2"/>
        <v>借</v>
      </c>
      <c r="K117" s="9">
        <f t="shared" si="3"/>
        <v>100.45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2"/>
        <v>借</v>
      </c>
      <c r="K118" s="9">
        <f t="shared" si="3"/>
        <v>100.45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2"/>
        <v>借</v>
      </c>
      <c r="K119" s="9">
        <f t="shared" si="3"/>
        <v>100.45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2"/>
        <v>借</v>
      </c>
      <c r="K120" s="9">
        <f t="shared" si="3"/>
        <v>100.45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2"/>
        <v>借</v>
      </c>
      <c r="K121" s="9">
        <f t="shared" si="3"/>
        <v>100.45</v>
      </c>
    </row>
    <row r="122" spans="1:11" ht="20.100000000000001" customHeight="1" x14ac:dyDescent="0.15">
      <c r="A122" s="10"/>
      <c r="B122" s="5"/>
      <c r="C122" s="5"/>
      <c r="D122" s="10"/>
      <c r="E122" s="10"/>
      <c r="F122" s="10"/>
      <c r="G122" s="10"/>
      <c r="H122" s="8"/>
      <c r="I122" s="8"/>
      <c r="J122" s="8" t="str">
        <f t="shared" si="2"/>
        <v>借</v>
      </c>
      <c r="K122" s="9">
        <f t="shared" si="3"/>
        <v>100.45</v>
      </c>
    </row>
    <row r="123" spans="1:11" ht="20.100000000000001" customHeight="1" x14ac:dyDescent="0.15">
      <c r="A123" s="10"/>
      <c r="B123" s="5"/>
      <c r="C123" s="5"/>
      <c r="D123" s="10"/>
      <c r="E123" s="10"/>
      <c r="F123" s="10"/>
      <c r="G123" s="10"/>
      <c r="H123" s="8"/>
      <c r="I123" s="8"/>
      <c r="J123" s="8" t="str">
        <f t="shared" si="2"/>
        <v>借</v>
      </c>
      <c r="K123" s="9">
        <f t="shared" si="3"/>
        <v>100.45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2"/>
        <v>借</v>
      </c>
      <c r="K124" s="9">
        <f t="shared" si="3"/>
        <v>100.45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2"/>
        <v>借</v>
      </c>
      <c r="K125" s="9">
        <f t="shared" si="3"/>
        <v>100.45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2"/>
        <v>借</v>
      </c>
      <c r="K126" s="9">
        <f t="shared" si="3"/>
        <v>100.45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2"/>
        <v>借</v>
      </c>
      <c r="K127" s="9">
        <f t="shared" si="3"/>
        <v>100.45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2"/>
        <v>借</v>
      </c>
      <c r="K128" s="9">
        <f t="shared" si="3"/>
        <v>100.45</v>
      </c>
    </row>
    <row r="129" spans="1:11" ht="20.100000000000001" customHeight="1" x14ac:dyDescent="0.15">
      <c r="A129" s="5"/>
      <c r="B129" s="5"/>
      <c r="C129" s="5"/>
      <c r="D129" s="10"/>
      <c r="E129" s="10"/>
      <c r="F129" s="10"/>
      <c r="G129" s="10"/>
      <c r="H129" s="8"/>
      <c r="I129" s="8"/>
      <c r="J129" s="8" t="str">
        <f t="shared" si="2"/>
        <v>借</v>
      </c>
      <c r="K129" s="9">
        <f t="shared" si="3"/>
        <v>100.45</v>
      </c>
    </row>
    <row r="130" spans="1:11" ht="20.100000000000001" customHeight="1" x14ac:dyDescent="0.15">
      <c r="A130" s="10"/>
      <c r="B130" s="5"/>
      <c r="C130" s="5"/>
      <c r="D130" s="10"/>
      <c r="E130" s="10"/>
      <c r="F130" s="10"/>
      <c r="G130" s="10"/>
      <c r="H130" s="8"/>
      <c r="I130" s="8"/>
      <c r="J130" s="8" t="str">
        <f t="shared" si="2"/>
        <v>借</v>
      </c>
      <c r="K130" s="9">
        <f t="shared" si="3"/>
        <v>100.45</v>
      </c>
    </row>
    <row r="131" spans="1:11" ht="20.100000000000001" customHeight="1" x14ac:dyDescent="0.15">
      <c r="A131" s="10"/>
      <c r="B131" s="5"/>
      <c r="C131" s="5"/>
      <c r="D131" s="10"/>
      <c r="E131" s="10"/>
      <c r="F131" s="10"/>
      <c r="G131" s="10"/>
      <c r="H131" s="8"/>
      <c r="I131" s="8"/>
      <c r="J131" s="8" t="str">
        <f t="shared" si="2"/>
        <v>借</v>
      </c>
      <c r="K131" s="9">
        <f t="shared" si="3"/>
        <v>100.45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2"/>
        <v>借</v>
      </c>
      <c r="K132" s="9">
        <f t="shared" si="3"/>
        <v>100.45</v>
      </c>
    </row>
    <row r="133" spans="1:11" ht="20.100000000000001" customHeight="1" x14ac:dyDescent="0.15">
      <c r="B133" s="5"/>
      <c r="C133" s="5"/>
      <c r="D133" s="10"/>
      <c r="E133" s="16"/>
      <c r="F133" s="10"/>
      <c r="G133" s="10"/>
      <c r="H133" s="8"/>
      <c r="I133" s="8"/>
      <c r="J133" s="8" t="str">
        <f t="shared" si="2"/>
        <v>借</v>
      </c>
      <c r="K133" s="9">
        <f t="shared" si="3"/>
        <v>100.45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ref="J134:J197" si="4">IF((K133+H134-I134)&gt;0,"借","贷")</f>
        <v>借</v>
      </c>
      <c r="K134" s="9">
        <f t="shared" si="3"/>
        <v>100.45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4"/>
        <v>借</v>
      </c>
      <c r="K135" s="9">
        <f t="shared" ref="K135:K198" si="5">K134+H135-I135</f>
        <v>100.45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4"/>
        <v>借</v>
      </c>
      <c r="K136" s="9">
        <f t="shared" si="5"/>
        <v>100.45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4"/>
        <v>借</v>
      </c>
      <c r="K137" s="9">
        <f t="shared" si="5"/>
        <v>100.45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4"/>
        <v>借</v>
      </c>
      <c r="K138" s="9">
        <f t="shared" si="5"/>
        <v>100.45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4"/>
        <v>借</v>
      </c>
      <c r="K139" s="9">
        <f t="shared" si="5"/>
        <v>100.45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4"/>
        <v>借</v>
      </c>
      <c r="K140" s="9">
        <f t="shared" si="5"/>
        <v>100.45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si="4"/>
        <v>借</v>
      </c>
      <c r="K141" s="9">
        <f t="shared" si="5"/>
        <v>100.45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4"/>
        <v>借</v>
      </c>
      <c r="K142" s="9">
        <f t="shared" si="5"/>
        <v>100.45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4"/>
        <v>借</v>
      </c>
      <c r="K143" s="9">
        <f t="shared" si="5"/>
        <v>100.45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4"/>
        <v>借</v>
      </c>
      <c r="K144" s="9">
        <f t="shared" si="5"/>
        <v>100.45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4"/>
        <v>借</v>
      </c>
      <c r="K145" s="9">
        <f t="shared" si="5"/>
        <v>100.45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4"/>
        <v>借</v>
      </c>
      <c r="K146" s="9">
        <f t="shared" si="5"/>
        <v>100.45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4"/>
        <v>借</v>
      </c>
      <c r="K147" s="9">
        <f t="shared" si="5"/>
        <v>100.45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4"/>
        <v>借</v>
      </c>
      <c r="K148" s="9">
        <f t="shared" si="5"/>
        <v>100.45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4"/>
        <v>借</v>
      </c>
      <c r="K149" s="9">
        <f t="shared" si="5"/>
        <v>100.45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4"/>
        <v>借</v>
      </c>
      <c r="K150" s="9">
        <f t="shared" si="5"/>
        <v>100.45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4"/>
        <v>借</v>
      </c>
      <c r="K151" s="9">
        <f t="shared" si="5"/>
        <v>100.45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4"/>
        <v>借</v>
      </c>
      <c r="K152" s="9">
        <f t="shared" si="5"/>
        <v>100.45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4"/>
        <v>借</v>
      </c>
      <c r="K153" s="9">
        <f t="shared" si="5"/>
        <v>100.45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4"/>
        <v>借</v>
      </c>
      <c r="K154" s="9">
        <f t="shared" si="5"/>
        <v>100.45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4"/>
        <v>借</v>
      </c>
      <c r="K155" s="9">
        <f t="shared" si="5"/>
        <v>100.45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4"/>
        <v>借</v>
      </c>
      <c r="K156" s="9">
        <f t="shared" si="5"/>
        <v>100.45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4"/>
        <v>借</v>
      </c>
      <c r="K157" s="9">
        <f t="shared" si="5"/>
        <v>100.45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4"/>
        <v>借</v>
      </c>
      <c r="K158" s="9">
        <f t="shared" si="5"/>
        <v>100.45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4"/>
        <v>借</v>
      </c>
      <c r="K159" s="9">
        <f t="shared" si="5"/>
        <v>100.45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4"/>
        <v>借</v>
      </c>
      <c r="K160" s="9">
        <f t="shared" si="5"/>
        <v>100.45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4"/>
        <v>借</v>
      </c>
      <c r="K161" s="9">
        <f t="shared" si="5"/>
        <v>100.45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4"/>
        <v>借</v>
      </c>
      <c r="K162" s="9">
        <f t="shared" si="5"/>
        <v>100.45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4"/>
        <v>借</v>
      </c>
      <c r="K163" s="9">
        <f t="shared" si="5"/>
        <v>100.45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4"/>
        <v>借</v>
      </c>
      <c r="K164" s="9">
        <f t="shared" si="5"/>
        <v>100.45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4"/>
        <v>借</v>
      </c>
      <c r="K165" s="9">
        <f t="shared" si="5"/>
        <v>100.45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4"/>
        <v>借</v>
      </c>
      <c r="K166" s="9">
        <f t="shared" si="5"/>
        <v>100.45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4"/>
        <v>借</v>
      </c>
      <c r="K167" s="9">
        <f t="shared" si="5"/>
        <v>100.45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4"/>
        <v>借</v>
      </c>
      <c r="K168" s="9">
        <f t="shared" si="5"/>
        <v>100.45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4"/>
        <v>借</v>
      </c>
      <c r="K169" s="9">
        <f t="shared" si="5"/>
        <v>100.45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si="4"/>
        <v>借</v>
      </c>
      <c r="K170" s="9">
        <f t="shared" si="5"/>
        <v>100.45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tr">
        <f t="shared" si="4"/>
        <v>借</v>
      </c>
      <c r="K171" s="9">
        <f t="shared" si="5"/>
        <v>100.45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4"/>
        <v>借</v>
      </c>
      <c r="K172" s="9">
        <f t="shared" si="5"/>
        <v>100.45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tr">
        <f t="shared" si="4"/>
        <v>借</v>
      </c>
      <c r="K173" s="9">
        <f t="shared" si="5"/>
        <v>100.45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si="4"/>
        <v>借</v>
      </c>
      <c r="K174" s="9">
        <f t="shared" si="5"/>
        <v>100.45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tr">
        <f t="shared" si="4"/>
        <v>借</v>
      </c>
      <c r="K175" s="9">
        <f t="shared" si="5"/>
        <v>100.45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4"/>
        <v>借</v>
      </c>
      <c r="K176" s="9">
        <f t="shared" si="5"/>
        <v>100.45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tr">
        <f t="shared" si="4"/>
        <v>借</v>
      </c>
      <c r="K177" s="9">
        <f t="shared" si="5"/>
        <v>100.45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4"/>
        <v>借</v>
      </c>
      <c r="K178" s="9">
        <f t="shared" si="5"/>
        <v>100.45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tr">
        <f t="shared" si="4"/>
        <v>借</v>
      </c>
      <c r="K179" s="9">
        <f t="shared" si="5"/>
        <v>100.45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si="4"/>
        <v>借</v>
      </c>
      <c r="K180" s="9">
        <f t="shared" si="5"/>
        <v>100.45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tr">
        <f t="shared" si="4"/>
        <v>借</v>
      </c>
      <c r="K181" s="9">
        <f t="shared" si="5"/>
        <v>100.45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4"/>
        <v>借</v>
      </c>
      <c r="K182" s="9">
        <f t="shared" si="5"/>
        <v>100.45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tr">
        <f t="shared" si="4"/>
        <v>借</v>
      </c>
      <c r="K183" s="9">
        <f t="shared" si="5"/>
        <v>100.45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4"/>
        <v>借</v>
      </c>
      <c r="K184" s="9">
        <f t="shared" si="5"/>
        <v>100.45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tr">
        <f t="shared" si="4"/>
        <v>借</v>
      </c>
      <c r="K185" s="9">
        <f t="shared" si="5"/>
        <v>100.45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si="4"/>
        <v>借</v>
      </c>
      <c r="K186" s="9">
        <f t="shared" si="5"/>
        <v>100.45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tr">
        <f t="shared" si="4"/>
        <v>借</v>
      </c>
      <c r="K187" s="9">
        <f t="shared" si="5"/>
        <v>100.45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4"/>
        <v>借</v>
      </c>
      <c r="K188" s="9">
        <f t="shared" si="5"/>
        <v>100.45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tr">
        <f t="shared" si="4"/>
        <v>借</v>
      </c>
      <c r="K189" s="9">
        <f t="shared" si="5"/>
        <v>100.45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4"/>
        <v>借</v>
      </c>
      <c r="K190" s="9">
        <f t="shared" si="5"/>
        <v>100.45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tr">
        <f t="shared" si="4"/>
        <v>借</v>
      </c>
      <c r="K191" s="9">
        <f t="shared" si="5"/>
        <v>100.45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si="4"/>
        <v>借</v>
      </c>
      <c r="K192" s="9">
        <f t="shared" si="5"/>
        <v>100.45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tr">
        <f t="shared" si="4"/>
        <v>借</v>
      </c>
      <c r="K193" s="9">
        <f t="shared" si="5"/>
        <v>100.45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4"/>
        <v>借</v>
      </c>
      <c r="K194" s="9">
        <f t="shared" si="5"/>
        <v>100.45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tr">
        <f t="shared" si="4"/>
        <v>借</v>
      </c>
      <c r="K195" s="9">
        <f t="shared" si="5"/>
        <v>100.45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4"/>
        <v>借</v>
      </c>
      <c r="K196" s="9">
        <f t="shared" si="5"/>
        <v>100.45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tr">
        <f t="shared" si="4"/>
        <v>借</v>
      </c>
      <c r="K197" s="9">
        <f t="shared" si="5"/>
        <v>100.45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61" si="6">IF((K197+H198-I198)&gt;0,"借","贷")</f>
        <v>借</v>
      </c>
      <c r="K198" s="9">
        <f t="shared" si="5"/>
        <v>100.45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tr">
        <f t="shared" si="6"/>
        <v>借</v>
      </c>
      <c r="K199" s="9">
        <f t="shared" ref="K199:K262" si="7">K198+H199-I199</f>
        <v>100.45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6"/>
        <v>借</v>
      </c>
      <c r="K200" s="9">
        <f t="shared" si="7"/>
        <v>100.45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tr">
        <f t="shared" si="6"/>
        <v>借</v>
      </c>
      <c r="K201" s="9">
        <f t="shared" si="7"/>
        <v>100.45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6"/>
        <v>借</v>
      </c>
      <c r="K202" s="9">
        <f t="shared" si="7"/>
        <v>100.45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tr">
        <f t="shared" si="6"/>
        <v>借</v>
      </c>
      <c r="K203" s="9">
        <f t="shared" si="7"/>
        <v>100.45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si="6"/>
        <v>借</v>
      </c>
      <c r="K204" s="9">
        <f t="shared" si="7"/>
        <v>100.45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tr">
        <f t="shared" si="6"/>
        <v>借</v>
      </c>
      <c r="K205" s="9">
        <f t="shared" si="7"/>
        <v>100.45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6"/>
        <v>借</v>
      </c>
      <c r="K206" s="9">
        <f t="shared" si="7"/>
        <v>100.45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tr">
        <f t="shared" si="6"/>
        <v>借</v>
      </c>
      <c r="K207" s="9">
        <f t="shared" si="7"/>
        <v>100.45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6"/>
        <v>借</v>
      </c>
      <c r="K208" s="9">
        <f t="shared" si="7"/>
        <v>100.45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tr">
        <f t="shared" si="6"/>
        <v>借</v>
      </c>
      <c r="K209" s="9">
        <f t="shared" si="7"/>
        <v>100.45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si="6"/>
        <v>借</v>
      </c>
      <c r="K210" s="9">
        <f t="shared" si="7"/>
        <v>100.45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tr">
        <f t="shared" si="6"/>
        <v>借</v>
      </c>
      <c r="K211" s="9">
        <f t="shared" si="7"/>
        <v>100.45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6"/>
        <v>借</v>
      </c>
      <c r="K212" s="9">
        <f t="shared" si="7"/>
        <v>100.45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tr">
        <f t="shared" si="6"/>
        <v>借</v>
      </c>
      <c r="K213" s="9">
        <f t="shared" si="7"/>
        <v>100.45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6"/>
        <v>借</v>
      </c>
      <c r="K214" s="9">
        <f t="shared" si="7"/>
        <v>100.45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tr">
        <f t="shared" si="6"/>
        <v>借</v>
      </c>
      <c r="K215" s="9">
        <f t="shared" si="7"/>
        <v>100.45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si="6"/>
        <v>借</v>
      </c>
      <c r="K216" s="9">
        <f t="shared" si="7"/>
        <v>100.45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tr">
        <f t="shared" si="6"/>
        <v>借</v>
      </c>
      <c r="K217" s="9">
        <f t="shared" si="7"/>
        <v>100.45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6"/>
        <v>借</v>
      </c>
      <c r="K218" s="9">
        <f t="shared" si="7"/>
        <v>100.45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tr">
        <f t="shared" si="6"/>
        <v>借</v>
      </c>
      <c r="K219" s="9">
        <f t="shared" si="7"/>
        <v>100.45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6"/>
        <v>借</v>
      </c>
      <c r="K220" s="9">
        <f t="shared" si="7"/>
        <v>100.45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tr">
        <f t="shared" si="6"/>
        <v>借</v>
      </c>
      <c r="K221" s="9">
        <f t="shared" si="7"/>
        <v>100.45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si="6"/>
        <v>借</v>
      </c>
      <c r="K222" s="9">
        <f t="shared" si="7"/>
        <v>100.45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tr">
        <f t="shared" si="6"/>
        <v>借</v>
      </c>
      <c r="K223" s="9">
        <f t="shared" si="7"/>
        <v>100.45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6"/>
        <v>借</v>
      </c>
      <c r="K224" s="9">
        <f t="shared" si="7"/>
        <v>100.45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tr">
        <f t="shared" si="6"/>
        <v>借</v>
      </c>
      <c r="K225" s="9">
        <f t="shared" si="7"/>
        <v>100.45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6"/>
        <v>借</v>
      </c>
      <c r="K226" s="9">
        <f t="shared" si="7"/>
        <v>100.45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tr">
        <f t="shared" si="6"/>
        <v>借</v>
      </c>
      <c r="K227" s="9">
        <f t="shared" si="7"/>
        <v>100.45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si="6"/>
        <v>借</v>
      </c>
      <c r="K228" s="9">
        <f t="shared" si="7"/>
        <v>100.45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tr">
        <f t="shared" si="6"/>
        <v>借</v>
      </c>
      <c r="K229" s="9">
        <f t="shared" si="7"/>
        <v>100.45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6"/>
        <v>借</v>
      </c>
      <c r="K230" s="9">
        <f t="shared" si="7"/>
        <v>100.45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tr">
        <f t="shared" si="6"/>
        <v>借</v>
      </c>
      <c r="K231" s="9">
        <f t="shared" si="7"/>
        <v>100.45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6"/>
        <v>借</v>
      </c>
      <c r="K232" s="9">
        <f t="shared" si="7"/>
        <v>100.45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tr">
        <f t="shared" si="6"/>
        <v>借</v>
      </c>
      <c r="K233" s="9">
        <f t="shared" si="7"/>
        <v>100.45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si="6"/>
        <v>借</v>
      </c>
      <c r="K234" s="9">
        <f t="shared" si="7"/>
        <v>100.45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tr">
        <f t="shared" si="6"/>
        <v>借</v>
      </c>
      <c r="K235" s="9">
        <f t="shared" si="7"/>
        <v>100.45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6"/>
        <v>借</v>
      </c>
      <c r="K236" s="9">
        <f t="shared" si="7"/>
        <v>100.45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tr">
        <f t="shared" si="6"/>
        <v>借</v>
      </c>
      <c r="K237" s="9">
        <f t="shared" si="7"/>
        <v>100.45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6"/>
        <v>借</v>
      </c>
      <c r="K238" s="9">
        <f t="shared" si="7"/>
        <v>100.45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tr">
        <f t="shared" si="6"/>
        <v>借</v>
      </c>
      <c r="K239" s="9">
        <f t="shared" si="7"/>
        <v>100.45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si="6"/>
        <v>借</v>
      </c>
      <c r="K240" s="9">
        <f t="shared" si="7"/>
        <v>100.45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tr">
        <f t="shared" si="6"/>
        <v>借</v>
      </c>
      <c r="K241" s="9">
        <f t="shared" si="7"/>
        <v>100.45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23" t="str">
        <f t="shared" si="6"/>
        <v>借</v>
      </c>
      <c r="K242" s="9">
        <f t="shared" si="7"/>
        <v>100.45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23" t="str">
        <f t="shared" si="6"/>
        <v>借</v>
      </c>
      <c r="K243" s="9">
        <f t="shared" si="7"/>
        <v>100.45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23" t="str">
        <f t="shared" si="6"/>
        <v>借</v>
      </c>
      <c r="K244" s="9">
        <f t="shared" si="7"/>
        <v>100.45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23" t="str">
        <f t="shared" si="6"/>
        <v>借</v>
      </c>
      <c r="K245" s="9">
        <f t="shared" si="7"/>
        <v>100.45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23" t="str">
        <f t="shared" si="6"/>
        <v>借</v>
      </c>
      <c r="K246" s="9">
        <f t="shared" si="7"/>
        <v>100.45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23" t="str">
        <f t="shared" si="6"/>
        <v>借</v>
      </c>
      <c r="K247" s="9">
        <f t="shared" si="7"/>
        <v>100.45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6"/>
        <v>借</v>
      </c>
      <c r="K248" s="9">
        <f t="shared" si="7"/>
        <v>100.45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tr">
        <f t="shared" si="6"/>
        <v>借</v>
      </c>
      <c r="K249" s="9">
        <f t="shared" si="7"/>
        <v>100.45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6"/>
        <v>借</v>
      </c>
      <c r="K250" s="9">
        <f t="shared" si="7"/>
        <v>100.45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tr">
        <f t="shared" si="6"/>
        <v>借</v>
      </c>
      <c r="K251" s="9">
        <f t="shared" si="7"/>
        <v>100.45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si="6"/>
        <v>借</v>
      </c>
      <c r="K252" s="9">
        <f t="shared" si="7"/>
        <v>100.45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tr">
        <f t="shared" si="6"/>
        <v>借</v>
      </c>
      <c r="K253" s="9">
        <f t="shared" si="7"/>
        <v>100.45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6"/>
        <v>借</v>
      </c>
      <c r="K254" s="9">
        <f t="shared" si="7"/>
        <v>100.45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tr">
        <f t="shared" si="6"/>
        <v>借</v>
      </c>
      <c r="K255" s="9">
        <f t="shared" si="7"/>
        <v>100.45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6"/>
        <v>借</v>
      </c>
      <c r="K256" s="9">
        <f t="shared" si="7"/>
        <v>100.45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tr">
        <f t="shared" si="6"/>
        <v>借</v>
      </c>
      <c r="K257" s="9">
        <f t="shared" si="7"/>
        <v>100.45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si="6"/>
        <v>借</v>
      </c>
      <c r="K258" s="9">
        <f t="shared" si="7"/>
        <v>100.45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tr">
        <f t="shared" si="6"/>
        <v>借</v>
      </c>
      <c r="K259" s="9">
        <f t="shared" si="7"/>
        <v>100.45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6"/>
        <v>借</v>
      </c>
      <c r="K260" s="9">
        <f t="shared" si="7"/>
        <v>100.45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tr">
        <f t="shared" si="6"/>
        <v>借</v>
      </c>
      <c r="K261" s="9">
        <f t="shared" si="7"/>
        <v>100.45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ref="J262:J325" si="8">IF((K261+H262-I262)&gt;0,"借","贷")</f>
        <v>借</v>
      </c>
      <c r="K262" s="9">
        <f t="shared" si="7"/>
        <v>100.45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tr">
        <f t="shared" si="8"/>
        <v>借</v>
      </c>
      <c r="K263" s="9">
        <f t="shared" ref="K263:K326" si="9">K262+H263-I263</f>
        <v>100.45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si="8"/>
        <v>借</v>
      </c>
      <c r="K264" s="9">
        <f t="shared" si="9"/>
        <v>100.45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tr">
        <f t="shared" si="8"/>
        <v>借</v>
      </c>
      <c r="K265" s="9">
        <f t="shared" si="9"/>
        <v>100.45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8"/>
        <v>借</v>
      </c>
      <c r="K266" s="9">
        <f t="shared" si="9"/>
        <v>100.45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tr">
        <f t="shared" si="8"/>
        <v>借</v>
      </c>
      <c r="K267" s="9">
        <f t="shared" si="9"/>
        <v>100.45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8"/>
        <v>借</v>
      </c>
      <c r="K268" s="9">
        <f t="shared" si="9"/>
        <v>100.45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tr">
        <f t="shared" si="8"/>
        <v>借</v>
      </c>
      <c r="K269" s="9">
        <f t="shared" si="9"/>
        <v>100.45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si="8"/>
        <v>借</v>
      </c>
      <c r="K270" s="9">
        <f t="shared" si="9"/>
        <v>100.45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tr">
        <f t="shared" si="8"/>
        <v>借</v>
      </c>
      <c r="K271" s="9">
        <f t="shared" si="9"/>
        <v>100.45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8"/>
        <v>借</v>
      </c>
      <c r="K272" s="9">
        <f t="shared" si="9"/>
        <v>100.45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tr">
        <f t="shared" si="8"/>
        <v>借</v>
      </c>
      <c r="K273" s="9">
        <f t="shared" si="9"/>
        <v>100.45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8"/>
        <v>借</v>
      </c>
      <c r="K274" s="9">
        <f t="shared" si="9"/>
        <v>100.45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tr">
        <f t="shared" si="8"/>
        <v>借</v>
      </c>
      <c r="K275" s="9">
        <f t="shared" si="9"/>
        <v>100.45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si="8"/>
        <v>借</v>
      </c>
      <c r="K276" s="9">
        <f t="shared" si="9"/>
        <v>100.45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tr">
        <f t="shared" si="8"/>
        <v>借</v>
      </c>
      <c r="K277" s="9">
        <f t="shared" si="9"/>
        <v>100.45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8"/>
        <v>借</v>
      </c>
      <c r="K278" s="9">
        <f t="shared" si="9"/>
        <v>100.45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tr">
        <f t="shared" si="8"/>
        <v>借</v>
      </c>
      <c r="K279" s="9">
        <f t="shared" si="9"/>
        <v>100.45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8"/>
        <v>借</v>
      </c>
      <c r="K280" s="9">
        <f t="shared" si="9"/>
        <v>100.45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tr">
        <f t="shared" si="8"/>
        <v>借</v>
      </c>
      <c r="K281" s="9">
        <f t="shared" si="9"/>
        <v>100.45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si="8"/>
        <v>借</v>
      </c>
      <c r="K282" s="9">
        <f t="shared" si="9"/>
        <v>100.45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tr">
        <f t="shared" si="8"/>
        <v>借</v>
      </c>
      <c r="K283" s="9">
        <f t="shared" si="9"/>
        <v>100.45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8"/>
        <v>借</v>
      </c>
      <c r="K284" s="9">
        <f t="shared" si="9"/>
        <v>100.45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tr">
        <f t="shared" si="8"/>
        <v>借</v>
      </c>
      <c r="K285" s="9">
        <f t="shared" si="9"/>
        <v>100.45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8"/>
        <v>借</v>
      </c>
      <c r="K286" s="9">
        <f t="shared" si="9"/>
        <v>100.45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tr">
        <f t="shared" si="8"/>
        <v>借</v>
      </c>
      <c r="K287" s="9">
        <f t="shared" si="9"/>
        <v>100.45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si="8"/>
        <v>借</v>
      </c>
      <c r="K288" s="9">
        <f t="shared" si="9"/>
        <v>100.45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tr">
        <f t="shared" si="8"/>
        <v>借</v>
      </c>
      <c r="K289" s="9">
        <f t="shared" si="9"/>
        <v>100.45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8"/>
        <v>借</v>
      </c>
      <c r="K290" s="9">
        <f t="shared" si="9"/>
        <v>100.45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tr">
        <f t="shared" si="8"/>
        <v>借</v>
      </c>
      <c r="K291" s="9">
        <f t="shared" si="9"/>
        <v>100.45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8"/>
        <v>借</v>
      </c>
      <c r="K292" s="9">
        <f t="shared" si="9"/>
        <v>100.45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tr">
        <f t="shared" si="8"/>
        <v>借</v>
      </c>
      <c r="K293" s="9">
        <f t="shared" si="9"/>
        <v>100.45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si="8"/>
        <v>借</v>
      </c>
      <c r="K294" s="9">
        <f t="shared" si="9"/>
        <v>100.45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tr">
        <f t="shared" si="8"/>
        <v>借</v>
      </c>
      <c r="K295" s="9">
        <f t="shared" si="9"/>
        <v>100.45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8"/>
        <v>借</v>
      </c>
      <c r="K296" s="9">
        <f t="shared" si="9"/>
        <v>100.45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tr">
        <f t="shared" si="8"/>
        <v>借</v>
      </c>
      <c r="K297" s="9">
        <f t="shared" si="9"/>
        <v>100.45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8"/>
        <v>借</v>
      </c>
      <c r="K298" s="9">
        <f t="shared" si="9"/>
        <v>100.45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tr">
        <f t="shared" si="8"/>
        <v>借</v>
      </c>
      <c r="K299" s="9">
        <f t="shared" si="9"/>
        <v>100.45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si="8"/>
        <v>借</v>
      </c>
      <c r="K300" s="9">
        <f t="shared" si="9"/>
        <v>100.45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tr">
        <f t="shared" si="8"/>
        <v>借</v>
      </c>
      <c r="K301" s="9">
        <f t="shared" si="9"/>
        <v>100.45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8"/>
        <v>借</v>
      </c>
      <c r="K302" s="9">
        <f t="shared" si="9"/>
        <v>100.45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tr">
        <f t="shared" si="8"/>
        <v>借</v>
      </c>
      <c r="K303" s="9">
        <f t="shared" si="9"/>
        <v>100.45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8"/>
        <v>借</v>
      </c>
      <c r="K304" s="9">
        <f t="shared" si="9"/>
        <v>100.45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tr">
        <f t="shared" si="8"/>
        <v>借</v>
      </c>
      <c r="K305" s="9">
        <f t="shared" si="9"/>
        <v>100.45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si="8"/>
        <v>借</v>
      </c>
      <c r="K306" s="9">
        <f t="shared" si="9"/>
        <v>100.45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tr">
        <f t="shared" si="8"/>
        <v>借</v>
      </c>
      <c r="K307" s="9">
        <f t="shared" si="9"/>
        <v>100.45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8"/>
        <v>借</v>
      </c>
      <c r="K308" s="9">
        <f t="shared" si="9"/>
        <v>100.45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tr">
        <f t="shared" si="8"/>
        <v>借</v>
      </c>
      <c r="K309" s="9">
        <f t="shared" si="9"/>
        <v>100.45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8"/>
        <v>借</v>
      </c>
      <c r="K310" s="9">
        <f t="shared" si="9"/>
        <v>100.45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tr">
        <f t="shared" si="8"/>
        <v>借</v>
      </c>
      <c r="K311" s="9">
        <f t="shared" si="9"/>
        <v>100.45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si="8"/>
        <v>借</v>
      </c>
      <c r="K312" s="9">
        <f t="shared" si="9"/>
        <v>100.45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tr">
        <f t="shared" si="8"/>
        <v>借</v>
      </c>
      <c r="K313" s="9">
        <f t="shared" si="9"/>
        <v>100.45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8"/>
        <v>借</v>
      </c>
      <c r="K314" s="9">
        <f t="shared" si="9"/>
        <v>100.45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tr">
        <f t="shared" si="8"/>
        <v>借</v>
      </c>
      <c r="K315" s="9">
        <f t="shared" si="9"/>
        <v>100.45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8"/>
        <v>借</v>
      </c>
      <c r="K316" s="9">
        <f t="shared" si="9"/>
        <v>100.45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tr">
        <f t="shared" si="8"/>
        <v>借</v>
      </c>
      <c r="K317" s="9">
        <f t="shared" si="9"/>
        <v>100.45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si="8"/>
        <v>借</v>
      </c>
      <c r="K318" s="9">
        <f t="shared" si="9"/>
        <v>100.45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tr">
        <f t="shared" si="8"/>
        <v>借</v>
      </c>
      <c r="K319" s="9">
        <f t="shared" si="9"/>
        <v>100.45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8"/>
        <v>借</v>
      </c>
      <c r="K320" s="9">
        <f t="shared" si="9"/>
        <v>100.45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tr">
        <f t="shared" si="8"/>
        <v>借</v>
      </c>
      <c r="K321" s="9">
        <f t="shared" si="9"/>
        <v>100.45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8"/>
        <v>借</v>
      </c>
      <c r="K322" s="9">
        <f t="shared" si="9"/>
        <v>100.45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tr">
        <f t="shared" si="8"/>
        <v>借</v>
      </c>
      <c r="K323" s="9">
        <f t="shared" si="9"/>
        <v>100.45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si="8"/>
        <v>借</v>
      </c>
      <c r="K324" s="9">
        <f t="shared" si="9"/>
        <v>100.45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tr">
        <f t="shared" si="8"/>
        <v>借</v>
      </c>
      <c r="K325" s="9">
        <f t="shared" si="9"/>
        <v>100.45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ref="J326:J389" si="10">IF((K325+H326-I326)&gt;0,"借","贷")</f>
        <v>借</v>
      </c>
      <c r="K326" s="9">
        <f t="shared" si="9"/>
        <v>100.45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tr">
        <f t="shared" si="10"/>
        <v>借</v>
      </c>
      <c r="K327" s="9">
        <f t="shared" ref="K327:K390" si="11">K326+H327-I327</f>
        <v>100.45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10"/>
        <v>借</v>
      </c>
      <c r="K328" s="9">
        <f t="shared" si="11"/>
        <v>100.45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tr">
        <f t="shared" si="10"/>
        <v>借</v>
      </c>
      <c r="K329" s="9">
        <f t="shared" si="11"/>
        <v>100.45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si="10"/>
        <v>借</v>
      </c>
      <c r="K330" s="9">
        <f t="shared" si="11"/>
        <v>100.45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tr">
        <f t="shared" si="10"/>
        <v>借</v>
      </c>
      <c r="K331" s="9">
        <f t="shared" si="11"/>
        <v>100.45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10"/>
        <v>借</v>
      </c>
      <c r="K332" s="9">
        <f t="shared" si="11"/>
        <v>100.45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tr">
        <f t="shared" si="10"/>
        <v>借</v>
      </c>
      <c r="K333" s="9">
        <f t="shared" si="11"/>
        <v>100.45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10"/>
        <v>借</v>
      </c>
      <c r="K334" s="9">
        <f t="shared" si="11"/>
        <v>100.45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tr">
        <f t="shared" si="10"/>
        <v>借</v>
      </c>
      <c r="K335" s="9">
        <f t="shared" si="11"/>
        <v>100.45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si="10"/>
        <v>借</v>
      </c>
      <c r="K336" s="9">
        <f t="shared" si="11"/>
        <v>100.45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tr">
        <f t="shared" si="10"/>
        <v>借</v>
      </c>
      <c r="K337" s="9">
        <f t="shared" si="11"/>
        <v>100.45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10"/>
        <v>借</v>
      </c>
      <c r="K338" s="9">
        <f t="shared" si="11"/>
        <v>100.45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tr">
        <f t="shared" si="10"/>
        <v>借</v>
      </c>
      <c r="K339" s="9">
        <f t="shared" si="11"/>
        <v>100.45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10"/>
        <v>借</v>
      </c>
      <c r="K340" s="9">
        <f t="shared" si="11"/>
        <v>100.45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tr">
        <f t="shared" si="10"/>
        <v>借</v>
      </c>
      <c r="K341" s="9">
        <f t="shared" si="11"/>
        <v>100.45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si="10"/>
        <v>借</v>
      </c>
      <c r="K342" s="9">
        <f t="shared" si="11"/>
        <v>100.45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tr">
        <f t="shared" si="10"/>
        <v>借</v>
      </c>
      <c r="K343" s="9">
        <f t="shared" si="11"/>
        <v>100.45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10"/>
        <v>借</v>
      </c>
      <c r="K344" s="9">
        <f t="shared" si="11"/>
        <v>100.45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tr">
        <f t="shared" si="10"/>
        <v>借</v>
      </c>
      <c r="K345" s="9">
        <f t="shared" si="11"/>
        <v>100.45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10"/>
        <v>借</v>
      </c>
      <c r="K346" s="9">
        <f t="shared" si="11"/>
        <v>100.45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tr">
        <f t="shared" si="10"/>
        <v>借</v>
      </c>
      <c r="K347" s="9">
        <f t="shared" si="11"/>
        <v>100.45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si="10"/>
        <v>借</v>
      </c>
      <c r="K348" s="9">
        <f t="shared" si="11"/>
        <v>100.45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tr">
        <f t="shared" si="10"/>
        <v>借</v>
      </c>
      <c r="K349" s="9">
        <f t="shared" si="11"/>
        <v>100.45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10"/>
        <v>借</v>
      </c>
      <c r="K350" s="9">
        <f t="shared" si="11"/>
        <v>100.45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tr">
        <f t="shared" si="10"/>
        <v>借</v>
      </c>
      <c r="K351" s="9">
        <f t="shared" si="11"/>
        <v>100.45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10"/>
        <v>借</v>
      </c>
      <c r="K352" s="9">
        <f t="shared" si="11"/>
        <v>100.45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tr">
        <f t="shared" si="10"/>
        <v>借</v>
      </c>
      <c r="K353" s="9">
        <f t="shared" si="11"/>
        <v>100.45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si="10"/>
        <v>借</v>
      </c>
      <c r="K354" s="9">
        <f t="shared" si="11"/>
        <v>100.45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tr">
        <f t="shared" si="10"/>
        <v>借</v>
      </c>
      <c r="K355" s="9">
        <f t="shared" si="11"/>
        <v>100.45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10"/>
        <v>借</v>
      </c>
      <c r="K356" s="9">
        <f t="shared" si="11"/>
        <v>100.45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tr">
        <f t="shared" si="10"/>
        <v>借</v>
      </c>
      <c r="K357" s="9">
        <f t="shared" si="11"/>
        <v>100.45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10"/>
        <v>借</v>
      </c>
      <c r="K358" s="9">
        <f t="shared" si="11"/>
        <v>100.45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tr">
        <f t="shared" si="10"/>
        <v>借</v>
      </c>
      <c r="K359" s="9">
        <f t="shared" si="11"/>
        <v>100.45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si="10"/>
        <v>借</v>
      </c>
      <c r="K360" s="9">
        <f t="shared" si="11"/>
        <v>100.45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tr">
        <f t="shared" si="10"/>
        <v>借</v>
      </c>
      <c r="K361" s="9">
        <f t="shared" si="11"/>
        <v>100.45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10"/>
        <v>借</v>
      </c>
      <c r="K362" s="9">
        <f t="shared" si="11"/>
        <v>100.45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tr">
        <f t="shared" si="10"/>
        <v>借</v>
      </c>
      <c r="K363" s="9">
        <f t="shared" si="11"/>
        <v>100.45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10"/>
        <v>借</v>
      </c>
      <c r="K364" s="9">
        <f t="shared" si="11"/>
        <v>100.45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tr">
        <f t="shared" si="10"/>
        <v>借</v>
      </c>
      <c r="K365" s="9">
        <f t="shared" si="11"/>
        <v>100.45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si="10"/>
        <v>借</v>
      </c>
      <c r="K366" s="9">
        <f t="shared" si="11"/>
        <v>100.45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tr">
        <f t="shared" si="10"/>
        <v>借</v>
      </c>
      <c r="K367" s="9">
        <f t="shared" si="11"/>
        <v>100.45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10"/>
        <v>借</v>
      </c>
      <c r="K368" s="9">
        <f t="shared" si="11"/>
        <v>100.45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tr">
        <f t="shared" si="10"/>
        <v>借</v>
      </c>
      <c r="K369" s="9">
        <f t="shared" si="11"/>
        <v>100.45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10"/>
        <v>借</v>
      </c>
      <c r="K370" s="9">
        <f t="shared" si="11"/>
        <v>100.45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tr">
        <f t="shared" si="10"/>
        <v>借</v>
      </c>
      <c r="K371" s="9">
        <f t="shared" si="11"/>
        <v>100.45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si="10"/>
        <v>借</v>
      </c>
      <c r="K372" s="9">
        <f t="shared" si="11"/>
        <v>100.45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tr">
        <f t="shared" si="10"/>
        <v>借</v>
      </c>
      <c r="K373" s="9">
        <f t="shared" si="11"/>
        <v>100.45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10"/>
        <v>借</v>
      </c>
      <c r="K374" s="9">
        <f t="shared" si="11"/>
        <v>100.45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tr">
        <f t="shared" si="10"/>
        <v>借</v>
      </c>
      <c r="K375" s="9">
        <f t="shared" si="11"/>
        <v>100.45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10"/>
        <v>借</v>
      </c>
      <c r="K376" s="9">
        <f t="shared" si="11"/>
        <v>100.45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tr">
        <f t="shared" si="10"/>
        <v>借</v>
      </c>
      <c r="K377" s="9">
        <f t="shared" si="11"/>
        <v>100.45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si="10"/>
        <v>借</v>
      </c>
      <c r="K378" s="9">
        <f t="shared" si="11"/>
        <v>100.45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tr">
        <f t="shared" si="10"/>
        <v>借</v>
      </c>
      <c r="K379" s="9">
        <f t="shared" si="11"/>
        <v>100.45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10"/>
        <v>借</v>
      </c>
      <c r="K380" s="9">
        <f t="shared" si="11"/>
        <v>100.45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tr">
        <f t="shared" si="10"/>
        <v>借</v>
      </c>
      <c r="K381" s="9">
        <f t="shared" si="11"/>
        <v>100.45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10"/>
        <v>借</v>
      </c>
      <c r="K382" s="9">
        <f t="shared" si="11"/>
        <v>100.45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tr">
        <f t="shared" si="10"/>
        <v>借</v>
      </c>
      <c r="K383" s="9">
        <f t="shared" si="11"/>
        <v>100.45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si="10"/>
        <v>借</v>
      </c>
      <c r="K384" s="9">
        <f t="shared" si="11"/>
        <v>100.45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tr">
        <f t="shared" si="10"/>
        <v>借</v>
      </c>
      <c r="K385" s="9">
        <f t="shared" si="11"/>
        <v>100.45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10"/>
        <v>借</v>
      </c>
      <c r="K386" s="9">
        <f t="shared" si="11"/>
        <v>100.45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tr">
        <f t="shared" si="10"/>
        <v>借</v>
      </c>
      <c r="K387" s="9">
        <f t="shared" si="11"/>
        <v>100.45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10"/>
        <v>借</v>
      </c>
      <c r="K388" s="9">
        <f t="shared" si="11"/>
        <v>100.45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tr">
        <f t="shared" si="10"/>
        <v>借</v>
      </c>
      <c r="K389" s="9">
        <f t="shared" si="11"/>
        <v>100.45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453" si="12">IF((K389+H390-I390)&gt;0,"借","贷")</f>
        <v>借</v>
      </c>
      <c r="K390" s="9">
        <f t="shared" si="11"/>
        <v>100.45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tr">
        <f t="shared" si="12"/>
        <v>借</v>
      </c>
      <c r="K391" s="9">
        <f t="shared" ref="K391:K454" si="13">K390+H391-I391</f>
        <v>100.45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12"/>
        <v>借</v>
      </c>
      <c r="K392" s="9">
        <f t="shared" si="13"/>
        <v>100.45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tr">
        <f t="shared" si="12"/>
        <v>借</v>
      </c>
      <c r="K393" s="9">
        <f t="shared" si="13"/>
        <v>100.45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12"/>
        <v>借</v>
      </c>
      <c r="K394" s="9">
        <f t="shared" si="13"/>
        <v>100.45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tr">
        <f t="shared" si="12"/>
        <v>借</v>
      </c>
      <c r="K395" s="9">
        <f t="shared" si="13"/>
        <v>100.45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si="12"/>
        <v>借</v>
      </c>
      <c r="K396" s="9">
        <f t="shared" si="13"/>
        <v>100.45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tr">
        <f t="shared" si="12"/>
        <v>借</v>
      </c>
      <c r="K397" s="9">
        <f t="shared" si="13"/>
        <v>100.45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12"/>
        <v>借</v>
      </c>
      <c r="K398" s="9">
        <f t="shared" si="13"/>
        <v>100.45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tr">
        <f t="shared" si="12"/>
        <v>借</v>
      </c>
      <c r="K399" s="9">
        <f t="shared" si="13"/>
        <v>100.45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12"/>
        <v>借</v>
      </c>
      <c r="K400" s="9">
        <f t="shared" si="13"/>
        <v>100.45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tr">
        <f t="shared" si="12"/>
        <v>借</v>
      </c>
      <c r="K401" s="9">
        <f t="shared" si="13"/>
        <v>100.45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si="12"/>
        <v>借</v>
      </c>
      <c r="K402" s="9">
        <f t="shared" si="13"/>
        <v>100.45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tr">
        <f t="shared" si="12"/>
        <v>借</v>
      </c>
      <c r="K403" s="9">
        <f t="shared" si="13"/>
        <v>100.45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12"/>
        <v>借</v>
      </c>
      <c r="K404" s="9">
        <f t="shared" si="13"/>
        <v>100.45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tr">
        <f t="shared" si="12"/>
        <v>借</v>
      </c>
      <c r="K405" s="9">
        <f t="shared" si="13"/>
        <v>100.45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12"/>
        <v>借</v>
      </c>
      <c r="K406" s="9">
        <f t="shared" si="13"/>
        <v>100.45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tr">
        <f t="shared" si="12"/>
        <v>借</v>
      </c>
      <c r="K407" s="9">
        <f t="shared" si="13"/>
        <v>100.45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si="12"/>
        <v>借</v>
      </c>
      <c r="K408" s="9">
        <f t="shared" si="13"/>
        <v>100.45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tr">
        <f t="shared" si="12"/>
        <v>借</v>
      </c>
      <c r="K409" s="9">
        <f t="shared" si="13"/>
        <v>100.45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12"/>
        <v>借</v>
      </c>
      <c r="K410" s="9">
        <f t="shared" si="13"/>
        <v>100.45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tr">
        <f t="shared" si="12"/>
        <v>借</v>
      </c>
      <c r="K411" s="9">
        <f t="shared" si="13"/>
        <v>100.45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12"/>
        <v>借</v>
      </c>
      <c r="K412" s="9">
        <f t="shared" si="13"/>
        <v>100.45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tr">
        <f t="shared" si="12"/>
        <v>借</v>
      </c>
      <c r="K413" s="9">
        <f t="shared" si="13"/>
        <v>100.45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si="12"/>
        <v>借</v>
      </c>
      <c r="K414" s="9">
        <f t="shared" si="13"/>
        <v>100.45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tr">
        <f t="shared" si="12"/>
        <v>借</v>
      </c>
      <c r="K415" s="9">
        <f t="shared" si="13"/>
        <v>100.45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12"/>
        <v>借</v>
      </c>
      <c r="K416" s="9">
        <f t="shared" si="13"/>
        <v>100.45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tr">
        <f t="shared" si="12"/>
        <v>借</v>
      </c>
      <c r="K417" s="9">
        <f t="shared" si="13"/>
        <v>100.45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12"/>
        <v>借</v>
      </c>
      <c r="K418" s="9">
        <f t="shared" si="13"/>
        <v>100.45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tr">
        <f t="shared" si="12"/>
        <v>借</v>
      </c>
      <c r="K419" s="9">
        <f t="shared" si="13"/>
        <v>100.45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si="12"/>
        <v>借</v>
      </c>
      <c r="K420" s="9">
        <f t="shared" si="13"/>
        <v>100.45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tr">
        <f t="shared" si="12"/>
        <v>借</v>
      </c>
      <c r="K421" s="9">
        <f t="shared" si="13"/>
        <v>100.45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12"/>
        <v>借</v>
      </c>
      <c r="K422" s="9">
        <f t="shared" si="13"/>
        <v>100.45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tr">
        <f t="shared" si="12"/>
        <v>借</v>
      </c>
      <c r="K423" s="9">
        <f t="shared" si="13"/>
        <v>100.45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12"/>
        <v>借</v>
      </c>
      <c r="K424" s="9">
        <f t="shared" si="13"/>
        <v>100.45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tr">
        <f t="shared" si="12"/>
        <v>借</v>
      </c>
      <c r="K425" s="9">
        <f t="shared" si="13"/>
        <v>100.45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si="12"/>
        <v>借</v>
      </c>
      <c r="K426" s="9">
        <f t="shared" si="13"/>
        <v>100.45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tr">
        <f t="shared" si="12"/>
        <v>借</v>
      </c>
      <c r="K427" s="9">
        <f t="shared" si="13"/>
        <v>100.45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12"/>
        <v>借</v>
      </c>
      <c r="K428" s="9">
        <f t="shared" si="13"/>
        <v>100.45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tr">
        <f t="shared" si="12"/>
        <v>借</v>
      </c>
      <c r="K429" s="9">
        <f t="shared" si="13"/>
        <v>100.45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12"/>
        <v>借</v>
      </c>
      <c r="K430" s="9">
        <f t="shared" si="13"/>
        <v>100.45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tr">
        <f t="shared" si="12"/>
        <v>借</v>
      </c>
      <c r="K431" s="9">
        <f t="shared" si="13"/>
        <v>100.45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si="12"/>
        <v>借</v>
      </c>
      <c r="K432" s="9">
        <f t="shared" si="13"/>
        <v>100.45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tr">
        <f t="shared" si="12"/>
        <v>借</v>
      </c>
      <c r="K433" s="9">
        <f t="shared" si="13"/>
        <v>100.45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12"/>
        <v>借</v>
      </c>
      <c r="K434" s="9">
        <f t="shared" si="13"/>
        <v>100.45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tr">
        <f t="shared" si="12"/>
        <v>借</v>
      </c>
      <c r="K435" s="9">
        <f t="shared" si="13"/>
        <v>100.45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12"/>
        <v>借</v>
      </c>
      <c r="K436" s="9">
        <f t="shared" si="13"/>
        <v>100.45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tr">
        <f t="shared" si="12"/>
        <v>借</v>
      </c>
      <c r="K437" s="9">
        <f t="shared" si="13"/>
        <v>100.45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si="12"/>
        <v>借</v>
      </c>
      <c r="K438" s="9">
        <f t="shared" si="13"/>
        <v>100.45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tr">
        <f t="shared" si="12"/>
        <v>借</v>
      </c>
      <c r="K439" s="9">
        <f t="shared" si="13"/>
        <v>100.45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12"/>
        <v>借</v>
      </c>
      <c r="K440" s="9">
        <f t="shared" si="13"/>
        <v>100.45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tr">
        <f t="shared" si="12"/>
        <v>借</v>
      </c>
      <c r="K441" s="9">
        <f t="shared" si="13"/>
        <v>100.45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12"/>
        <v>借</v>
      </c>
      <c r="K442" s="9">
        <f t="shared" si="13"/>
        <v>100.45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tr">
        <f t="shared" si="12"/>
        <v>借</v>
      </c>
      <c r="K443" s="9">
        <f t="shared" si="13"/>
        <v>100.45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si="12"/>
        <v>借</v>
      </c>
      <c r="K444" s="9">
        <f t="shared" si="13"/>
        <v>100.45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tr">
        <f t="shared" si="12"/>
        <v>借</v>
      </c>
      <c r="K445" s="9">
        <f t="shared" si="13"/>
        <v>100.45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12"/>
        <v>借</v>
      </c>
      <c r="K446" s="9">
        <f t="shared" si="13"/>
        <v>100.45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tr">
        <f t="shared" si="12"/>
        <v>借</v>
      </c>
      <c r="K447" s="9">
        <f t="shared" si="13"/>
        <v>100.45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12"/>
        <v>借</v>
      </c>
      <c r="K448" s="9">
        <f t="shared" si="13"/>
        <v>100.45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tr">
        <f t="shared" si="12"/>
        <v>借</v>
      </c>
      <c r="K449" s="9">
        <f t="shared" si="13"/>
        <v>100.45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si="12"/>
        <v>借</v>
      </c>
      <c r="K450" s="9">
        <f t="shared" si="13"/>
        <v>100.45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tr">
        <f t="shared" si="12"/>
        <v>借</v>
      </c>
      <c r="K451" s="9">
        <f t="shared" si="13"/>
        <v>100.45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12"/>
        <v>借</v>
      </c>
      <c r="K452" s="9">
        <f t="shared" si="13"/>
        <v>100.45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tr">
        <f t="shared" si="12"/>
        <v>借</v>
      </c>
      <c r="K453" s="9">
        <f t="shared" si="13"/>
        <v>100.45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ref="J454:J497" si="14">IF((K453+H454-I454)&gt;0,"借","贷")</f>
        <v>借</v>
      </c>
      <c r="K454" s="9">
        <f t="shared" si="13"/>
        <v>100.45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tr">
        <f t="shared" si="14"/>
        <v>借</v>
      </c>
      <c r="K455" s="9">
        <f t="shared" ref="K455:K497" si="15">K454+H455-I455</f>
        <v>100.45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si="14"/>
        <v>借</v>
      </c>
      <c r="K456" s="9">
        <f t="shared" si="15"/>
        <v>100.45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tr">
        <f t="shared" si="14"/>
        <v>借</v>
      </c>
      <c r="K457" s="9">
        <f t="shared" si="15"/>
        <v>100.45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14"/>
        <v>借</v>
      </c>
      <c r="K458" s="9">
        <f t="shared" si="15"/>
        <v>100.45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tr">
        <f t="shared" si="14"/>
        <v>借</v>
      </c>
      <c r="K459" s="9">
        <f t="shared" si="15"/>
        <v>100.45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14"/>
        <v>借</v>
      </c>
      <c r="K460" s="9">
        <f t="shared" si="15"/>
        <v>100.45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tr">
        <f t="shared" si="14"/>
        <v>借</v>
      </c>
      <c r="K461" s="9">
        <f t="shared" si="15"/>
        <v>100.45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si="14"/>
        <v>借</v>
      </c>
      <c r="K462" s="9">
        <f t="shared" si="15"/>
        <v>100.45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tr">
        <f t="shared" si="14"/>
        <v>借</v>
      </c>
      <c r="K463" s="9">
        <f t="shared" si="15"/>
        <v>100.45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14"/>
        <v>借</v>
      </c>
      <c r="K464" s="9">
        <f t="shared" si="15"/>
        <v>100.45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tr">
        <f t="shared" si="14"/>
        <v>借</v>
      </c>
      <c r="K465" s="9">
        <f t="shared" si="15"/>
        <v>100.45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14"/>
        <v>借</v>
      </c>
      <c r="K466" s="9">
        <f t="shared" si="15"/>
        <v>100.45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tr">
        <f t="shared" si="14"/>
        <v>借</v>
      </c>
      <c r="K467" s="9">
        <f t="shared" si="15"/>
        <v>100.45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si="14"/>
        <v>借</v>
      </c>
      <c r="K468" s="9">
        <f t="shared" si="15"/>
        <v>100.45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tr">
        <f t="shared" si="14"/>
        <v>借</v>
      </c>
      <c r="K469" s="9">
        <f t="shared" si="15"/>
        <v>100.45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14"/>
        <v>借</v>
      </c>
      <c r="K470" s="9">
        <f t="shared" si="15"/>
        <v>100.45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tr">
        <f t="shared" si="14"/>
        <v>借</v>
      </c>
      <c r="K471" s="9">
        <f t="shared" si="15"/>
        <v>100.45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14"/>
        <v>借</v>
      </c>
      <c r="K472" s="9">
        <f t="shared" si="15"/>
        <v>100.45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tr">
        <f t="shared" si="14"/>
        <v>借</v>
      </c>
      <c r="K473" s="9">
        <f t="shared" si="15"/>
        <v>100.45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si="14"/>
        <v>借</v>
      </c>
      <c r="K474" s="9">
        <f t="shared" si="15"/>
        <v>100.45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tr">
        <f t="shared" si="14"/>
        <v>借</v>
      </c>
      <c r="K475" s="9">
        <f t="shared" si="15"/>
        <v>100.45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14"/>
        <v>借</v>
      </c>
      <c r="K476" s="9">
        <f t="shared" si="15"/>
        <v>100.45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tr">
        <f t="shared" si="14"/>
        <v>借</v>
      </c>
      <c r="K477" s="9">
        <f t="shared" si="15"/>
        <v>100.45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14"/>
        <v>借</v>
      </c>
      <c r="K478" s="9">
        <f t="shared" si="15"/>
        <v>100.45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tr">
        <f t="shared" si="14"/>
        <v>借</v>
      </c>
      <c r="K479" s="9">
        <f t="shared" si="15"/>
        <v>100.45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si="14"/>
        <v>借</v>
      </c>
      <c r="K480" s="9">
        <f t="shared" si="15"/>
        <v>100.45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tr">
        <f t="shared" si="14"/>
        <v>借</v>
      </c>
      <c r="K481" s="9">
        <f t="shared" si="15"/>
        <v>100.45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14"/>
        <v>借</v>
      </c>
      <c r="K482" s="9">
        <f t="shared" si="15"/>
        <v>100.45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tr">
        <f t="shared" si="14"/>
        <v>借</v>
      </c>
      <c r="K483" s="9">
        <f t="shared" si="15"/>
        <v>100.45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14"/>
        <v>借</v>
      </c>
      <c r="K484" s="9">
        <f t="shared" si="15"/>
        <v>100.45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tr">
        <f t="shared" si="14"/>
        <v>借</v>
      </c>
      <c r="K485" s="9">
        <f t="shared" si="15"/>
        <v>100.45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si="14"/>
        <v>借</v>
      </c>
      <c r="K486" s="9">
        <f t="shared" si="15"/>
        <v>100.45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tr">
        <f t="shared" si="14"/>
        <v>借</v>
      </c>
      <c r="K487" s="9">
        <f t="shared" si="15"/>
        <v>100.45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14"/>
        <v>借</v>
      </c>
      <c r="K488" s="9">
        <f t="shared" si="15"/>
        <v>100.45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tr">
        <f t="shared" si="14"/>
        <v>借</v>
      </c>
      <c r="K489" s="9">
        <f t="shared" si="15"/>
        <v>100.45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14"/>
        <v>借</v>
      </c>
      <c r="K490" s="9">
        <f t="shared" si="15"/>
        <v>100.45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tr">
        <f t="shared" si="14"/>
        <v>借</v>
      </c>
      <c r="K491" s="9">
        <f t="shared" si="15"/>
        <v>100.45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si="14"/>
        <v>借</v>
      </c>
      <c r="K492" s="9">
        <f t="shared" si="15"/>
        <v>100.45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tr">
        <f t="shared" si="14"/>
        <v>借</v>
      </c>
      <c r="K493" s="9">
        <f t="shared" si="15"/>
        <v>100.45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14"/>
        <v>借</v>
      </c>
      <c r="K494" s="9">
        <f t="shared" si="15"/>
        <v>100.45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tr">
        <f t="shared" si="14"/>
        <v>借</v>
      </c>
      <c r="K495" s="9">
        <f t="shared" si="15"/>
        <v>100.45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14"/>
        <v>借</v>
      </c>
      <c r="K496" s="9">
        <f t="shared" si="15"/>
        <v>100.45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tr">
        <f t="shared" si="14"/>
        <v>借</v>
      </c>
      <c r="K497" s="9">
        <f t="shared" si="15"/>
        <v>100.45</v>
      </c>
    </row>
  </sheetData>
  <autoFilter ref="A4:L497" xr:uid="{00000000-0009-0000-0000-000026000000}"/>
  <mergeCells count="2">
    <mergeCell ref="A1:K1"/>
    <mergeCell ref="A2:I2"/>
  </mergeCells>
  <phoneticPr fontId="22" type="noConversion"/>
  <dataValidations count="1">
    <dataValidation type="list" allowBlank="1" showInputMessage="1" showErrorMessage="1" sqref="G5:G1048576" xr:uid="{00000000-0002-0000-26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497"/>
  <sheetViews>
    <sheetView workbookViewId="0">
      <selection activeCell="H15" sqref="H15"/>
    </sheetView>
  </sheetViews>
  <sheetFormatPr defaultColWidth="9" defaultRowHeight="13.5" x14ac:dyDescent="0.15"/>
  <cols>
    <col min="1" max="1" width="5" customWidth="1"/>
    <col min="2" max="2" width="2.75" customWidth="1"/>
    <col min="3" max="3" width="2.625" customWidth="1"/>
    <col min="4" max="4" width="28.75" customWidth="1"/>
    <col min="5" max="5" width="17.25" customWidth="1"/>
    <col min="6" max="7" width="16.75" customWidth="1"/>
    <col min="8" max="8" width="19.875" style="1" customWidth="1"/>
    <col min="9" max="9" width="18.5" style="1" customWidth="1"/>
    <col min="10" max="10" width="6.375" style="1" customWidth="1"/>
    <col min="11" max="11" width="20" customWidth="1"/>
    <col min="12" max="12" width="15.75" customWidth="1"/>
  </cols>
  <sheetData>
    <row r="1" spans="1:12" ht="22.5" customHeight="1" x14ac:dyDescent="0.15">
      <c r="A1" s="100" t="s">
        <v>24</v>
      </c>
      <c r="B1" s="100"/>
      <c r="C1" s="100"/>
      <c r="D1" s="100"/>
      <c r="E1" s="100"/>
      <c r="F1" s="100"/>
      <c r="G1" s="100"/>
      <c r="H1" s="101"/>
      <c r="I1" s="101"/>
      <c r="J1" s="101"/>
      <c r="K1" s="100"/>
    </row>
    <row r="2" spans="1:12" ht="20.100000000000001" customHeight="1" x14ac:dyDescent="0.15">
      <c r="A2" s="95" t="s">
        <v>100</v>
      </c>
      <c r="B2" s="95"/>
      <c r="C2" s="95"/>
      <c r="D2" s="95"/>
      <c r="E2" s="95"/>
      <c r="F2" s="95"/>
      <c r="G2" s="95"/>
      <c r="H2" s="102"/>
      <c r="I2" s="102"/>
      <c r="J2" s="102"/>
      <c r="K2" s="95"/>
      <c r="L2" t="s">
        <v>26</v>
      </c>
    </row>
    <row r="3" spans="1:12" ht="20.100000000000001" customHeight="1" x14ac:dyDescent="0.15">
      <c r="A3" s="3"/>
      <c r="B3" s="3"/>
      <c r="C3" s="3"/>
      <c r="D3" s="3"/>
      <c r="E3" s="3"/>
      <c r="F3" s="3"/>
      <c r="G3" s="3"/>
      <c r="H3" s="4">
        <f>SUM(H5:H9000)</f>
        <v>0</v>
      </c>
      <c r="I3" s="4">
        <f>SUM(I5:I9000)</f>
        <v>0</v>
      </c>
      <c r="J3" s="4"/>
      <c r="K3" s="3">
        <f>K5+H3-I3</f>
        <v>100</v>
      </c>
      <c r="L3" t="s">
        <v>61</v>
      </c>
    </row>
    <row r="4" spans="1:12" ht="20.100000000000001" customHeight="1" x14ac:dyDescent="0.1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101</v>
      </c>
      <c r="H4" s="6" t="s">
        <v>34</v>
      </c>
      <c r="I4" s="6" t="s">
        <v>35</v>
      </c>
      <c r="J4" s="6" t="s">
        <v>36</v>
      </c>
      <c r="K4" s="5"/>
    </row>
    <row r="5" spans="1:12" ht="20.100000000000001" customHeight="1" x14ac:dyDescent="0.15">
      <c r="A5" s="5">
        <v>2026</v>
      </c>
      <c r="B5" s="5">
        <v>1</v>
      </c>
      <c r="C5" s="5">
        <v>1</v>
      </c>
      <c r="D5" s="7" t="s">
        <v>75</v>
      </c>
      <c r="E5" s="7"/>
      <c r="F5" s="7"/>
      <c r="G5" s="7"/>
      <c r="H5" s="8"/>
      <c r="I5" s="8"/>
      <c r="J5" s="8" t="s">
        <v>39</v>
      </c>
      <c r="K5" s="9">
        <v>100</v>
      </c>
    </row>
    <row r="6" spans="1:12" ht="20.100000000000001" customHeight="1" x14ac:dyDescent="0.15">
      <c r="A6" s="5"/>
      <c r="B6" s="5"/>
      <c r="C6" s="5"/>
      <c r="D6" s="10"/>
      <c r="E6" s="10"/>
      <c r="F6" s="10"/>
      <c r="G6" s="10"/>
      <c r="H6" s="8"/>
      <c r="I6" s="8"/>
      <c r="J6" s="8" t="str">
        <f t="shared" ref="J6:J10" si="0">IF((K5+H6-I6)&gt;0,"借","贷")</f>
        <v>借</v>
      </c>
      <c r="K6" s="9">
        <f t="shared" ref="K6:K69" si="1">K5+H6-I6</f>
        <v>100</v>
      </c>
    </row>
    <row r="7" spans="1:12" ht="20.100000000000001" customHeight="1" x14ac:dyDescent="0.15">
      <c r="A7" s="5"/>
      <c r="B7" s="5"/>
      <c r="C7" s="5"/>
      <c r="D7" s="10"/>
      <c r="E7" s="10"/>
      <c r="F7" s="10"/>
      <c r="G7" s="10"/>
      <c r="H7" s="8"/>
      <c r="I7" s="8"/>
      <c r="J7" s="8" t="s">
        <v>39</v>
      </c>
      <c r="K7" s="9">
        <f t="shared" si="1"/>
        <v>100</v>
      </c>
    </row>
    <row r="8" spans="1:12" ht="20.100000000000001" customHeight="1" x14ac:dyDescent="0.15">
      <c r="A8" s="5"/>
      <c r="B8" s="5"/>
      <c r="C8" s="5"/>
      <c r="D8" s="10"/>
      <c r="E8" s="10"/>
      <c r="F8" s="10"/>
      <c r="G8" s="10"/>
      <c r="H8" s="8"/>
      <c r="I8" s="8"/>
      <c r="J8" s="8" t="str">
        <f t="shared" si="0"/>
        <v>借</v>
      </c>
      <c r="K8" s="9">
        <f t="shared" si="1"/>
        <v>100</v>
      </c>
    </row>
    <row r="9" spans="1:12" ht="20.100000000000001" customHeight="1" x14ac:dyDescent="0.15">
      <c r="A9" s="5"/>
      <c r="B9" s="5"/>
      <c r="C9" s="5"/>
      <c r="D9" s="10"/>
      <c r="E9" s="10"/>
      <c r="F9" s="10"/>
      <c r="G9" s="10"/>
      <c r="H9" s="8"/>
      <c r="I9" s="8"/>
      <c r="J9" s="8" t="s">
        <v>39</v>
      </c>
      <c r="K9" s="9">
        <f t="shared" si="1"/>
        <v>100</v>
      </c>
    </row>
    <row r="10" spans="1:12" ht="20.100000000000001" customHeight="1" x14ac:dyDescent="0.15">
      <c r="A10" s="5"/>
      <c r="B10" s="5"/>
      <c r="C10" s="5"/>
      <c r="D10" s="10"/>
      <c r="E10" s="10"/>
      <c r="F10" s="10"/>
      <c r="G10" s="10"/>
      <c r="H10" s="8"/>
      <c r="I10" s="8"/>
      <c r="J10" s="8" t="str">
        <f t="shared" si="0"/>
        <v>借</v>
      </c>
      <c r="K10" s="9">
        <f t="shared" si="1"/>
        <v>100</v>
      </c>
    </row>
    <row r="11" spans="1:12" ht="20.100000000000001" customHeight="1" x14ac:dyDescent="0.15">
      <c r="A11" s="5"/>
      <c r="B11" s="5"/>
      <c r="C11" s="5"/>
      <c r="D11" s="10"/>
      <c r="E11" s="10"/>
      <c r="F11" s="10"/>
      <c r="G11" s="10"/>
      <c r="H11" s="8"/>
      <c r="I11" s="8"/>
      <c r="J11" s="8" t="s">
        <v>39</v>
      </c>
      <c r="K11" s="9">
        <f t="shared" si="1"/>
        <v>100</v>
      </c>
    </row>
    <row r="12" spans="1:12" ht="20.100000000000001" customHeight="1" x14ac:dyDescent="0.15">
      <c r="A12" s="5"/>
      <c r="B12" s="5"/>
      <c r="C12" s="5"/>
      <c r="D12" s="10"/>
      <c r="E12" s="10"/>
      <c r="F12" s="10"/>
      <c r="G12" s="10"/>
      <c r="H12" s="8"/>
      <c r="I12" s="8"/>
      <c r="J12" s="8" t="str">
        <f t="shared" ref="J12:J16" si="2">IF((K11+H12-I12)&gt;0,"借","贷")</f>
        <v>借</v>
      </c>
      <c r="K12" s="9">
        <f t="shared" si="1"/>
        <v>100</v>
      </c>
    </row>
    <row r="13" spans="1:12" ht="20.100000000000001" customHeight="1" x14ac:dyDescent="0.15">
      <c r="A13" s="5"/>
      <c r="B13" s="5"/>
      <c r="C13" s="5"/>
      <c r="D13" s="10"/>
      <c r="E13" s="10"/>
      <c r="F13" s="10"/>
      <c r="G13" s="10"/>
      <c r="H13" s="8"/>
      <c r="I13" s="8"/>
      <c r="J13" s="8" t="s">
        <v>39</v>
      </c>
      <c r="K13" s="9">
        <f t="shared" si="1"/>
        <v>100</v>
      </c>
    </row>
    <row r="14" spans="1:12" ht="20.100000000000001" customHeight="1" x14ac:dyDescent="0.15">
      <c r="A14" s="5"/>
      <c r="B14" s="5"/>
      <c r="C14" s="5"/>
      <c r="D14" s="10"/>
      <c r="E14" s="10"/>
      <c r="F14" s="10"/>
      <c r="G14" s="10"/>
      <c r="H14" s="8"/>
      <c r="I14" s="8"/>
      <c r="J14" s="8" t="str">
        <f t="shared" si="2"/>
        <v>借</v>
      </c>
      <c r="K14" s="9">
        <f t="shared" si="1"/>
        <v>100</v>
      </c>
    </row>
    <row r="15" spans="1:12" ht="20.100000000000001" customHeight="1" x14ac:dyDescent="0.15">
      <c r="A15" s="5"/>
      <c r="B15" s="5"/>
      <c r="C15" s="5"/>
      <c r="D15" s="10"/>
      <c r="E15" s="10"/>
      <c r="F15" s="10"/>
      <c r="G15" s="10"/>
      <c r="H15" s="8"/>
      <c r="I15" s="8"/>
      <c r="J15" s="8" t="s">
        <v>39</v>
      </c>
      <c r="K15" s="9">
        <f t="shared" si="1"/>
        <v>100</v>
      </c>
    </row>
    <row r="16" spans="1:12" ht="20.100000000000001" customHeight="1" x14ac:dyDescent="0.15">
      <c r="A16" s="5"/>
      <c r="B16" s="5"/>
      <c r="C16" s="5"/>
      <c r="D16" s="10"/>
      <c r="E16" s="10"/>
      <c r="F16" s="10"/>
      <c r="G16" s="10"/>
      <c r="H16" s="8"/>
      <c r="I16" s="8"/>
      <c r="J16" s="8" t="str">
        <f t="shared" si="2"/>
        <v>借</v>
      </c>
      <c r="K16" s="9">
        <f t="shared" si="1"/>
        <v>100</v>
      </c>
    </row>
    <row r="17" spans="1:11" ht="20.100000000000001" customHeight="1" x14ac:dyDescent="0.15">
      <c r="A17" s="5"/>
      <c r="B17" s="5"/>
      <c r="C17" s="5"/>
      <c r="D17" s="10"/>
      <c r="E17" s="10"/>
      <c r="F17" s="10"/>
      <c r="G17" s="10"/>
      <c r="H17" s="8"/>
      <c r="I17" s="8"/>
      <c r="J17" s="8" t="s">
        <v>39</v>
      </c>
      <c r="K17" s="9">
        <f t="shared" si="1"/>
        <v>100</v>
      </c>
    </row>
    <row r="18" spans="1:11" ht="20.100000000000001" customHeight="1" x14ac:dyDescent="0.15">
      <c r="A18" s="5"/>
      <c r="B18" s="5"/>
      <c r="C18" s="5"/>
      <c r="D18" s="10"/>
      <c r="E18" s="10"/>
      <c r="F18" s="10"/>
      <c r="G18" s="10"/>
      <c r="H18" s="8"/>
      <c r="I18" s="8"/>
      <c r="J18" s="8" t="str">
        <f t="shared" ref="J18:J22" si="3">IF((K17+H18-I18)&gt;0,"借","贷")</f>
        <v>借</v>
      </c>
      <c r="K18" s="9">
        <f t="shared" si="1"/>
        <v>100</v>
      </c>
    </row>
    <row r="19" spans="1:11" ht="20.100000000000001" customHeight="1" x14ac:dyDescent="0.15">
      <c r="A19" s="5"/>
      <c r="B19" s="5"/>
      <c r="C19" s="5"/>
      <c r="D19" s="10"/>
      <c r="E19" s="10"/>
      <c r="F19" s="10"/>
      <c r="G19" s="10"/>
      <c r="H19" s="8"/>
      <c r="I19" s="8"/>
      <c r="J19" s="8" t="s">
        <v>39</v>
      </c>
      <c r="K19" s="9">
        <f t="shared" si="1"/>
        <v>100</v>
      </c>
    </row>
    <row r="20" spans="1:11" ht="20.100000000000001" customHeight="1" x14ac:dyDescent="0.15">
      <c r="A20" s="5"/>
      <c r="B20" s="5"/>
      <c r="C20" s="5"/>
      <c r="D20" s="10"/>
      <c r="E20" s="10"/>
      <c r="F20" s="10"/>
      <c r="G20" s="10"/>
      <c r="H20" s="8"/>
      <c r="I20" s="8"/>
      <c r="J20" s="8" t="str">
        <f t="shared" si="3"/>
        <v>借</v>
      </c>
      <c r="K20" s="9">
        <f t="shared" si="1"/>
        <v>100</v>
      </c>
    </row>
    <row r="21" spans="1:11" ht="20.100000000000001" customHeight="1" x14ac:dyDescent="0.15">
      <c r="A21" s="5"/>
      <c r="B21" s="5"/>
      <c r="C21" s="5"/>
      <c r="D21" s="10"/>
      <c r="E21" s="10"/>
      <c r="F21" s="10"/>
      <c r="G21" s="10"/>
      <c r="H21" s="8"/>
      <c r="I21" s="8"/>
      <c r="J21" s="8" t="s">
        <v>39</v>
      </c>
      <c r="K21" s="9">
        <f t="shared" si="1"/>
        <v>100</v>
      </c>
    </row>
    <row r="22" spans="1:11" ht="20.100000000000001" customHeight="1" x14ac:dyDescent="0.15">
      <c r="A22" s="5"/>
      <c r="B22" s="5"/>
      <c r="C22" s="5"/>
      <c r="D22" s="10"/>
      <c r="E22" s="10"/>
      <c r="F22" s="10"/>
      <c r="G22" s="10"/>
      <c r="H22" s="8"/>
      <c r="I22" s="8"/>
      <c r="J22" s="8" t="str">
        <f t="shared" si="3"/>
        <v>借</v>
      </c>
      <c r="K22" s="9">
        <f t="shared" si="1"/>
        <v>100</v>
      </c>
    </row>
    <row r="23" spans="1:11" ht="20.100000000000001" customHeight="1" x14ac:dyDescent="0.15">
      <c r="A23" s="5"/>
      <c r="B23" s="5"/>
      <c r="C23" s="5"/>
      <c r="D23" s="10"/>
      <c r="E23" s="10"/>
      <c r="F23" s="10"/>
      <c r="G23" s="10"/>
      <c r="H23" s="8"/>
      <c r="I23" s="8"/>
      <c r="J23" s="8" t="s">
        <v>39</v>
      </c>
      <c r="K23" s="9">
        <f t="shared" si="1"/>
        <v>100</v>
      </c>
    </row>
    <row r="24" spans="1:11" ht="20.100000000000001" customHeight="1" x14ac:dyDescent="0.15">
      <c r="A24" s="5"/>
      <c r="B24" s="5"/>
      <c r="C24" s="5"/>
      <c r="D24" s="10"/>
      <c r="E24" s="10"/>
      <c r="F24" s="10"/>
      <c r="G24" s="10"/>
      <c r="H24" s="8"/>
      <c r="I24" s="8"/>
      <c r="J24" s="8" t="str">
        <f t="shared" ref="J24:J28" si="4">IF((K23+H24-I24)&gt;0,"借","贷")</f>
        <v>借</v>
      </c>
      <c r="K24" s="9">
        <f t="shared" si="1"/>
        <v>100</v>
      </c>
    </row>
    <row r="25" spans="1:11" ht="20.100000000000001" customHeight="1" x14ac:dyDescent="0.15">
      <c r="A25" s="5"/>
      <c r="B25" s="5"/>
      <c r="C25" s="5"/>
      <c r="D25" s="10"/>
      <c r="E25" s="10"/>
      <c r="F25" s="10"/>
      <c r="G25" s="10"/>
      <c r="H25" s="8"/>
      <c r="I25" s="8"/>
      <c r="J25" s="8" t="s">
        <v>39</v>
      </c>
      <c r="K25" s="9">
        <f t="shared" si="1"/>
        <v>100</v>
      </c>
    </row>
    <row r="26" spans="1:11" ht="20.100000000000001" customHeight="1" x14ac:dyDescent="0.15">
      <c r="A26" s="5"/>
      <c r="B26" s="5"/>
      <c r="C26" s="10"/>
      <c r="D26" s="10"/>
      <c r="E26" s="10"/>
      <c r="F26" s="10"/>
      <c r="G26" s="10"/>
      <c r="H26" s="8"/>
      <c r="I26" s="8"/>
      <c r="J26" s="8" t="str">
        <f t="shared" si="4"/>
        <v>借</v>
      </c>
      <c r="K26" s="9">
        <f t="shared" si="1"/>
        <v>100</v>
      </c>
    </row>
    <row r="27" spans="1:11" ht="20.100000000000001" customHeight="1" x14ac:dyDescent="0.15">
      <c r="A27" s="5"/>
      <c r="B27" s="5"/>
      <c r="C27" s="10"/>
      <c r="D27" s="10"/>
      <c r="E27" s="10"/>
      <c r="F27" s="10"/>
      <c r="G27" s="10"/>
      <c r="H27" s="8"/>
      <c r="I27" s="8"/>
      <c r="J27" s="8" t="s">
        <v>39</v>
      </c>
      <c r="K27" s="9">
        <f t="shared" si="1"/>
        <v>100</v>
      </c>
    </row>
    <row r="28" spans="1:11" ht="20.100000000000001" customHeight="1" x14ac:dyDescent="0.15">
      <c r="A28" s="5"/>
      <c r="B28" s="5"/>
      <c r="C28" s="10"/>
      <c r="D28" s="10"/>
      <c r="E28" s="11"/>
      <c r="F28" s="10"/>
      <c r="G28" s="10"/>
      <c r="H28" s="8"/>
      <c r="I28" s="8"/>
      <c r="J28" s="8" t="str">
        <f t="shared" si="4"/>
        <v>借</v>
      </c>
      <c r="K28" s="9">
        <f t="shared" si="1"/>
        <v>100</v>
      </c>
    </row>
    <row r="29" spans="1:11" ht="20.100000000000001" customHeight="1" x14ac:dyDescent="0.15">
      <c r="A29" s="5"/>
      <c r="B29" s="5"/>
      <c r="C29" s="10"/>
      <c r="D29" s="10"/>
      <c r="E29" s="10"/>
      <c r="F29" s="10"/>
      <c r="G29" s="10"/>
      <c r="H29" s="8"/>
      <c r="I29" s="8"/>
      <c r="J29" s="8" t="s">
        <v>39</v>
      </c>
      <c r="K29" s="9">
        <f t="shared" si="1"/>
        <v>100</v>
      </c>
    </row>
    <row r="30" spans="1:11" ht="20.100000000000001" customHeight="1" x14ac:dyDescent="0.15">
      <c r="A30" s="5"/>
      <c r="B30" s="5"/>
      <c r="C30" s="10"/>
      <c r="D30" s="10"/>
      <c r="E30" s="10"/>
      <c r="F30" s="10"/>
      <c r="G30" s="10"/>
      <c r="H30" s="8"/>
      <c r="I30" s="8"/>
      <c r="J30" s="8" t="str">
        <f t="shared" ref="J30:J34" si="5">IF((K29+H30-I30)&gt;0,"借","贷")</f>
        <v>借</v>
      </c>
      <c r="K30" s="9">
        <f t="shared" si="1"/>
        <v>100</v>
      </c>
    </row>
    <row r="31" spans="1:11" ht="20.100000000000001" customHeight="1" x14ac:dyDescent="0.15">
      <c r="A31" s="5"/>
      <c r="B31" s="5"/>
      <c r="C31" s="10"/>
      <c r="D31" s="10"/>
      <c r="E31" s="10"/>
      <c r="F31" s="10"/>
      <c r="G31" s="10"/>
      <c r="H31" s="8"/>
      <c r="I31" s="8"/>
      <c r="J31" s="8" t="s">
        <v>39</v>
      </c>
      <c r="K31" s="9">
        <f t="shared" si="1"/>
        <v>100</v>
      </c>
    </row>
    <row r="32" spans="1:11" ht="20.100000000000001" customHeight="1" x14ac:dyDescent="0.15">
      <c r="A32" s="5"/>
      <c r="B32" s="5"/>
      <c r="C32" s="10"/>
      <c r="D32" s="10"/>
      <c r="E32" s="10"/>
      <c r="F32" s="10"/>
      <c r="G32" s="10"/>
      <c r="H32" s="8"/>
      <c r="I32" s="8"/>
      <c r="J32" s="8" t="str">
        <f t="shared" si="5"/>
        <v>借</v>
      </c>
      <c r="K32" s="9">
        <f t="shared" si="1"/>
        <v>100</v>
      </c>
    </row>
    <row r="33" spans="1:11" ht="20.100000000000001" customHeight="1" x14ac:dyDescent="0.15">
      <c r="A33" s="5"/>
      <c r="B33" s="5"/>
      <c r="C33" s="10"/>
      <c r="D33" s="10"/>
      <c r="E33" s="10"/>
      <c r="F33" s="10"/>
      <c r="G33" s="10"/>
      <c r="H33" s="8"/>
      <c r="I33" s="8"/>
      <c r="J33" s="8" t="s">
        <v>39</v>
      </c>
      <c r="K33" s="9">
        <f t="shared" si="1"/>
        <v>100</v>
      </c>
    </row>
    <row r="34" spans="1:11" ht="20.100000000000001" customHeight="1" x14ac:dyDescent="0.15">
      <c r="A34" s="5"/>
      <c r="B34" s="5"/>
      <c r="C34" s="10"/>
      <c r="D34" s="10"/>
      <c r="E34" s="10"/>
      <c r="F34" s="10"/>
      <c r="G34" s="10"/>
      <c r="H34" s="8"/>
      <c r="I34" s="8"/>
      <c r="J34" s="8" t="str">
        <f t="shared" si="5"/>
        <v>借</v>
      </c>
      <c r="K34" s="9">
        <f t="shared" si="1"/>
        <v>100</v>
      </c>
    </row>
    <row r="35" spans="1:11" ht="20.100000000000001" customHeight="1" x14ac:dyDescent="0.15">
      <c r="A35" s="5"/>
      <c r="B35" s="5"/>
      <c r="C35" s="10"/>
      <c r="D35" s="10"/>
      <c r="E35" s="10"/>
      <c r="F35" s="10"/>
      <c r="G35" s="10"/>
      <c r="H35" s="8"/>
      <c r="I35" s="8"/>
      <c r="J35" s="8" t="s">
        <v>39</v>
      </c>
      <c r="K35" s="9">
        <f t="shared" si="1"/>
        <v>100</v>
      </c>
    </row>
    <row r="36" spans="1:11" ht="20.100000000000001" customHeight="1" x14ac:dyDescent="0.15">
      <c r="A36" s="5"/>
      <c r="B36" s="5"/>
      <c r="C36" s="10"/>
      <c r="D36" s="10"/>
      <c r="E36" s="10"/>
      <c r="F36" s="10"/>
      <c r="G36" s="10"/>
      <c r="H36" s="8"/>
      <c r="I36" s="8"/>
      <c r="J36" s="8" t="str">
        <f t="shared" ref="J36:J40" si="6">IF((K35+H36-I36)&gt;0,"借","贷")</f>
        <v>借</v>
      </c>
      <c r="K36" s="9">
        <f t="shared" si="1"/>
        <v>100</v>
      </c>
    </row>
    <row r="37" spans="1:11" ht="20.100000000000001" customHeight="1" x14ac:dyDescent="0.15">
      <c r="A37" s="5"/>
      <c r="B37" s="5"/>
      <c r="C37" s="10"/>
      <c r="D37" s="10"/>
      <c r="E37" s="10"/>
      <c r="F37" s="10"/>
      <c r="G37" s="10"/>
      <c r="H37" s="8"/>
      <c r="I37" s="8"/>
      <c r="J37" s="8" t="s">
        <v>39</v>
      </c>
      <c r="K37" s="9">
        <f t="shared" si="1"/>
        <v>100</v>
      </c>
    </row>
    <row r="38" spans="1:11" ht="20.100000000000001" customHeight="1" x14ac:dyDescent="0.15">
      <c r="A38" s="5"/>
      <c r="B38" s="5"/>
      <c r="C38" s="10"/>
      <c r="D38" s="10"/>
      <c r="E38" s="10"/>
      <c r="F38" s="10"/>
      <c r="G38" s="10"/>
      <c r="H38" s="8"/>
      <c r="I38" s="8"/>
      <c r="J38" s="8" t="str">
        <f t="shared" si="6"/>
        <v>借</v>
      </c>
      <c r="K38" s="9">
        <f t="shared" si="1"/>
        <v>100</v>
      </c>
    </row>
    <row r="39" spans="1:11" ht="20.100000000000001" customHeight="1" x14ac:dyDescent="0.15">
      <c r="A39" s="5"/>
      <c r="B39" s="5"/>
      <c r="C39" s="10"/>
      <c r="D39" s="10"/>
      <c r="E39" s="11"/>
      <c r="F39" s="10"/>
      <c r="G39" s="10"/>
      <c r="H39" s="8"/>
      <c r="I39" s="8"/>
      <c r="J39" s="8" t="s">
        <v>39</v>
      </c>
      <c r="K39" s="9">
        <f t="shared" si="1"/>
        <v>100</v>
      </c>
    </row>
    <row r="40" spans="1:11" ht="20.100000000000001" customHeight="1" x14ac:dyDescent="0.15">
      <c r="A40" s="5"/>
      <c r="B40" s="5"/>
      <c r="C40" s="10"/>
      <c r="D40" s="10"/>
      <c r="E40" s="10"/>
      <c r="F40" s="10"/>
      <c r="G40" s="10"/>
      <c r="H40" s="8"/>
      <c r="I40" s="8"/>
      <c r="J40" s="8" t="str">
        <f t="shared" si="6"/>
        <v>借</v>
      </c>
      <c r="K40" s="9">
        <f t="shared" si="1"/>
        <v>100</v>
      </c>
    </row>
    <row r="41" spans="1:11" ht="20.100000000000001" customHeight="1" x14ac:dyDescent="0.15">
      <c r="A41" s="5"/>
      <c r="B41" s="5"/>
      <c r="C41" s="10"/>
      <c r="D41" s="10"/>
      <c r="E41" s="10"/>
      <c r="F41" s="10"/>
      <c r="G41" s="12"/>
      <c r="H41" s="8"/>
      <c r="I41" s="8"/>
      <c r="J41" s="8" t="s">
        <v>39</v>
      </c>
      <c r="K41" s="9">
        <f t="shared" si="1"/>
        <v>100</v>
      </c>
    </row>
    <row r="42" spans="1:11" ht="20.100000000000001" customHeight="1" x14ac:dyDescent="0.15">
      <c r="A42" s="5"/>
      <c r="B42" s="5"/>
      <c r="C42" s="10"/>
      <c r="D42" s="10"/>
      <c r="E42" s="10"/>
      <c r="F42" s="10"/>
      <c r="G42" s="10"/>
      <c r="H42" s="8"/>
      <c r="I42" s="8"/>
      <c r="J42" s="8" t="str">
        <f t="shared" ref="J42:J46" si="7">IF((K41+H42-I42)&gt;0,"借","贷")</f>
        <v>借</v>
      </c>
      <c r="K42" s="9">
        <f t="shared" si="1"/>
        <v>100</v>
      </c>
    </row>
    <row r="43" spans="1:11" ht="20.100000000000001" customHeight="1" x14ac:dyDescent="0.15">
      <c r="A43" s="5"/>
      <c r="B43" s="5"/>
      <c r="C43" s="10"/>
      <c r="D43" s="10"/>
      <c r="E43" s="10"/>
      <c r="F43" s="10"/>
      <c r="G43" s="10"/>
      <c r="H43" s="8"/>
      <c r="I43" s="8"/>
      <c r="J43" s="8" t="s">
        <v>39</v>
      </c>
      <c r="K43" s="9">
        <f t="shared" si="1"/>
        <v>100</v>
      </c>
    </row>
    <row r="44" spans="1:11" ht="20.100000000000001" customHeight="1" x14ac:dyDescent="0.15">
      <c r="A44" s="5"/>
      <c r="B44" s="5"/>
      <c r="C44" s="10"/>
      <c r="D44" s="10"/>
      <c r="E44" s="10"/>
      <c r="F44" s="10"/>
      <c r="G44" s="10"/>
      <c r="H44" s="8"/>
      <c r="I44" s="8"/>
      <c r="J44" s="8" t="str">
        <f t="shared" si="7"/>
        <v>借</v>
      </c>
      <c r="K44" s="9">
        <f t="shared" si="1"/>
        <v>100</v>
      </c>
    </row>
    <row r="45" spans="1:11" ht="20.100000000000001" customHeight="1" x14ac:dyDescent="0.15">
      <c r="A45" s="5"/>
      <c r="B45" s="5"/>
      <c r="C45" s="10"/>
      <c r="D45" s="10"/>
      <c r="E45" s="10"/>
      <c r="F45" s="10"/>
      <c r="G45" s="10"/>
      <c r="H45" s="8"/>
      <c r="I45" s="8"/>
      <c r="J45" s="8" t="s">
        <v>39</v>
      </c>
      <c r="K45" s="9">
        <f t="shared" si="1"/>
        <v>100</v>
      </c>
    </row>
    <row r="46" spans="1:11" ht="20.100000000000001" customHeight="1" x14ac:dyDescent="0.15">
      <c r="A46" s="5"/>
      <c r="B46" s="5"/>
      <c r="C46" s="10"/>
      <c r="D46" s="10"/>
      <c r="E46" s="10"/>
      <c r="F46" s="10"/>
      <c r="G46" s="10"/>
      <c r="H46" s="8"/>
      <c r="I46" s="8"/>
      <c r="J46" s="8" t="str">
        <f t="shared" si="7"/>
        <v>借</v>
      </c>
      <c r="K46" s="9">
        <f t="shared" si="1"/>
        <v>100</v>
      </c>
    </row>
    <row r="47" spans="1:11" ht="20.100000000000001" customHeight="1" x14ac:dyDescent="0.15">
      <c r="A47" s="5"/>
      <c r="B47" s="5"/>
      <c r="C47" s="10"/>
      <c r="D47" s="10"/>
      <c r="E47" s="10"/>
      <c r="F47" s="10"/>
      <c r="G47" s="10"/>
      <c r="H47" s="8"/>
      <c r="I47" s="8"/>
      <c r="J47" s="8" t="s">
        <v>39</v>
      </c>
      <c r="K47" s="9">
        <f t="shared" si="1"/>
        <v>100</v>
      </c>
    </row>
    <row r="48" spans="1:11" ht="20.100000000000001" customHeight="1" x14ac:dyDescent="0.15">
      <c r="A48" s="5"/>
      <c r="B48" s="5"/>
      <c r="C48" s="10"/>
      <c r="D48" s="10"/>
      <c r="E48" s="10"/>
      <c r="F48" s="10"/>
      <c r="G48" s="10"/>
      <c r="H48" s="8"/>
      <c r="I48" s="8"/>
      <c r="J48" s="8" t="str">
        <f t="shared" ref="J48:J52" si="8">IF((K47+H48-I48)&gt;0,"借","贷")</f>
        <v>借</v>
      </c>
      <c r="K48" s="9">
        <f t="shared" si="1"/>
        <v>100</v>
      </c>
    </row>
    <row r="49" spans="1:11" ht="20.100000000000001" customHeight="1" x14ac:dyDescent="0.15">
      <c r="A49" s="5"/>
      <c r="B49" s="5"/>
      <c r="C49" s="10"/>
      <c r="D49" s="10"/>
      <c r="E49" s="10"/>
      <c r="F49" s="10"/>
      <c r="G49" s="10"/>
      <c r="H49" s="8"/>
      <c r="I49" s="8"/>
      <c r="J49" s="8" t="s">
        <v>39</v>
      </c>
      <c r="K49" s="9">
        <f t="shared" si="1"/>
        <v>100</v>
      </c>
    </row>
    <row r="50" spans="1:11" ht="20.100000000000001" customHeight="1" x14ac:dyDescent="0.15">
      <c r="A50" s="5"/>
      <c r="B50" s="5"/>
      <c r="C50" s="10"/>
      <c r="D50" s="10"/>
      <c r="E50" s="10"/>
      <c r="F50" s="10"/>
      <c r="G50" s="10"/>
      <c r="H50" s="8"/>
      <c r="I50" s="8"/>
      <c r="J50" s="8" t="str">
        <f t="shared" si="8"/>
        <v>借</v>
      </c>
      <c r="K50" s="9">
        <f t="shared" si="1"/>
        <v>100</v>
      </c>
    </row>
    <row r="51" spans="1:11" ht="20.100000000000001" customHeight="1" x14ac:dyDescent="0.15">
      <c r="A51" s="5"/>
      <c r="B51" s="5"/>
      <c r="C51" s="10"/>
      <c r="D51" s="10"/>
      <c r="E51" s="10"/>
      <c r="F51" s="10"/>
      <c r="G51" s="10"/>
      <c r="H51" s="8"/>
      <c r="I51" s="8"/>
      <c r="J51" s="8" t="s">
        <v>39</v>
      </c>
      <c r="K51" s="9">
        <f t="shared" si="1"/>
        <v>100</v>
      </c>
    </row>
    <row r="52" spans="1:11" ht="20.100000000000001" customHeight="1" x14ac:dyDescent="0.15">
      <c r="A52" s="5"/>
      <c r="B52" s="5"/>
      <c r="C52" s="10"/>
      <c r="D52" s="10"/>
      <c r="E52" s="10"/>
      <c r="F52" s="10"/>
      <c r="G52" s="10"/>
      <c r="H52" s="8"/>
      <c r="I52" s="8"/>
      <c r="J52" s="8" t="str">
        <f t="shared" si="8"/>
        <v>借</v>
      </c>
      <c r="K52" s="9">
        <f t="shared" si="1"/>
        <v>100</v>
      </c>
    </row>
    <row r="53" spans="1:11" ht="20.100000000000001" customHeight="1" x14ac:dyDescent="0.15">
      <c r="A53" s="5"/>
      <c r="B53" s="5"/>
      <c r="C53" s="10"/>
      <c r="D53" s="10"/>
      <c r="E53" s="10"/>
      <c r="F53" s="10"/>
      <c r="G53" s="10"/>
      <c r="H53" s="8"/>
      <c r="I53" s="8"/>
      <c r="J53" s="8" t="s">
        <v>39</v>
      </c>
      <c r="K53" s="9">
        <f t="shared" si="1"/>
        <v>100</v>
      </c>
    </row>
    <row r="54" spans="1:11" ht="20.100000000000001" customHeight="1" x14ac:dyDescent="0.15">
      <c r="A54" s="10"/>
      <c r="B54" s="5"/>
      <c r="C54" s="10"/>
      <c r="D54" s="10"/>
      <c r="E54" s="10"/>
      <c r="F54" s="10"/>
      <c r="G54" s="10"/>
      <c r="H54" s="8"/>
      <c r="I54" s="8"/>
      <c r="J54" s="8" t="str">
        <f t="shared" ref="J54:J58" si="9">IF((K53+H54-I54)&gt;0,"借","贷")</f>
        <v>借</v>
      </c>
      <c r="K54" s="9">
        <f t="shared" si="1"/>
        <v>100</v>
      </c>
    </row>
    <row r="55" spans="1:11" ht="20.100000000000001" customHeight="1" x14ac:dyDescent="0.15">
      <c r="A55" s="10"/>
      <c r="B55" s="5"/>
      <c r="C55" s="10"/>
      <c r="D55" s="10"/>
      <c r="E55" s="10"/>
      <c r="F55" s="10"/>
      <c r="G55" s="10"/>
      <c r="H55" s="8"/>
      <c r="I55" s="8"/>
      <c r="J55" s="8" t="s">
        <v>39</v>
      </c>
      <c r="K55" s="9">
        <f t="shared" si="1"/>
        <v>100</v>
      </c>
    </row>
    <row r="56" spans="1:11" ht="20.100000000000001" customHeight="1" x14ac:dyDescent="0.15">
      <c r="A56" s="10"/>
      <c r="B56" s="5"/>
      <c r="C56" s="10"/>
      <c r="D56" s="10"/>
      <c r="E56" s="10"/>
      <c r="F56" s="10"/>
      <c r="G56" s="10"/>
      <c r="H56" s="8"/>
      <c r="I56" s="8"/>
      <c r="J56" s="8" t="str">
        <f t="shared" si="9"/>
        <v>借</v>
      </c>
      <c r="K56" s="9">
        <f t="shared" si="1"/>
        <v>100</v>
      </c>
    </row>
    <row r="57" spans="1:11" ht="20.100000000000001" customHeight="1" x14ac:dyDescent="0.15">
      <c r="A57" s="10"/>
      <c r="B57" s="5"/>
      <c r="C57" s="10"/>
      <c r="D57" s="13"/>
      <c r="E57" s="10"/>
      <c r="F57" s="10"/>
      <c r="G57" s="10"/>
      <c r="H57" s="8"/>
      <c r="I57" s="8"/>
      <c r="J57" s="8" t="s">
        <v>39</v>
      </c>
      <c r="K57" s="9">
        <f t="shared" si="1"/>
        <v>100</v>
      </c>
    </row>
    <row r="58" spans="1:11" ht="20.100000000000001" customHeight="1" x14ac:dyDescent="0.15">
      <c r="A58" s="10"/>
      <c r="B58" s="5"/>
      <c r="C58" s="10"/>
      <c r="D58" s="10"/>
      <c r="E58" s="10"/>
      <c r="F58" s="10"/>
      <c r="G58" s="10"/>
      <c r="H58" s="8"/>
      <c r="I58" s="8"/>
      <c r="J58" s="8" t="str">
        <f t="shared" si="9"/>
        <v>借</v>
      </c>
      <c r="K58" s="9">
        <f t="shared" si="1"/>
        <v>100</v>
      </c>
    </row>
    <row r="59" spans="1:11" ht="20.100000000000001" customHeight="1" x14ac:dyDescent="0.15">
      <c r="A59" s="10"/>
      <c r="B59" s="5"/>
      <c r="C59" s="10"/>
      <c r="D59" s="10"/>
      <c r="E59" s="10"/>
      <c r="F59" s="10"/>
      <c r="G59" s="10"/>
      <c r="H59" s="8"/>
      <c r="I59" s="8"/>
      <c r="J59" s="8" t="s">
        <v>39</v>
      </c>
      <c r="K59" s="9">
        <f t="shared" si="1"/>
        <v>100</v>
      </c>
    </row>
    <row r="60" spans="1:11" ht="20.100000000000001" customHeight="1" x14ac:dyDescent="0.15">
      <c r="A60" s="10"/>
      <c r="B60" s="5"/>
      <c r="C60" s="10"/>
      <c r="D60" s="10"/>
      <c r="E60" s="10"/>
      <c r="F60" s="10"/>
      <c r="G60" s="10"/>
      <c r="H60" s="8"/>
      <c r="I60" s="8"/>
      <c r="J60" s="8" t="str">
        <f t="shared" ref="J60:J64" si="10">IF((K59+H60-I60)&gt;0,"借","贷")</f>
        <v>借</v>
      </c>
      <c r="K60" s="9">
        <f t="shared" si="1"/>
        <v>100</v>
      </c>
    </row>
    <row r="61" spans="1:11" ht="20.100000000000001" customHeight="1" x14ac:dyDescent="0.15">
      <c r="A61" s="5"/>
      <c r="B61" s="5"/>
      <c r="C61" s="10"/>
      <c r="D61" s="10"/>
      <c r="E61" s="10"/>
      <c r="F61" s="10"/>
      <c r="G61" s="10"/>
      <c r="H61" s="8"/>
      <c r="I61" s="8"/>
      <c r="J61" s="8" t="s">
        <v>39</v>
      </c>
      <c r="K61" s="9">
        <f t="shared" si="1"/>
        <v>100</v>
      </c>
    </row>
    <row r="62" spans="1:11" ht="20.100000000000001" customHeight="1" x14ac:dyDescent="0.15">
      <c r="A62" s="5"/>
      <c r="B62" s="5"/>
      <c r="C62" s="10"/>
      <c r="D62" s="10"/>
      <c r="E62" s="10"/>
      <c r="F62" s="10"/>
      <c r="G62" s="10"/>
      <c r="H62" s="8"/>
      <c r="I62" s="8"/>
      <c r="J62" s="8" t="str">
        <f t="shared" si="10"/>
        <v>借</v>
      </c>
      <c r="K62" s="9">
        <f t="shared" si="1"/>
        <v>100</v>
      </c>
    </row>
    <row r="63" spans="1:11" ht="20.100000000000001" customHeight="1" x14ac:dyDescent="0.15">
      <c r="A63" s="5"/>
      <c r="B63" s="5"/>
      <c r="C63" s="10"/>
      <c r="D63" s="10"/>
      <c r="E63" s="10"/>
      <c r="F63" s="10"/>
      <c r="G63" s="10"/>
      <c r="H63" s="8"/>
      <c r="I63" s="8"/>
      <c r="J63" s="8" t="s">
        <v>39</v>
      </c>
      <c r="K63" s="9">
        <f t="shared" si="1"/>
        <v>100</v>
      </c>
    </row>
    <row r="64" spans="1:11" ht="20.100000000000001" customHeight="1" x14ac:dyDescent="0.15">
      <c r="A64" s="5"/>
      <c r="B64" s="5"/>
      <c r="C64" s="10"/>
      <c r="D64" s="10"/>
      <c r="E64" s="10"/>
      <c r="F64" s="10"/>
      <c r="G64" s="10"/>
      <c r="H64" s="8"/>
      <c r="I64" s="8"/>
      <c r="J64" s="8" t="str">
        <f t="shared" si="10"/>
        <v>借</v>
      </c>
      <c r="K64" s="9">
        <f t="shared" si="1"/>
        <v>100</v>
      </c>
    </row>
    <row r="65" spans="1:11" ht="20.100000000000001" customHeight="1" x14ac:dyDescent="0.15">
      <c r="A65" s="5"/>
      <c r="B65" s="5"/>
      <c r="C65" s="10"/>
      <c r="D65" s="10"/>
      <c r="E65" s="10"/>
      <c r="F65" s="10"/>
      <c r="G65" s="10"/>
      <c r="H65" s="8"/>
      <c r="I65" s="8"/>
      <c r="J65" s="8" t="s">
        <v>39</v>
      </c>
      <c r="K65" s="9">
        <f t="shared" si="1"/>
        <v>100</v>
      </c>
    </row>
    <row r="66" spans="1:11" ht="20.100000000000001" customHeight="1" x14ac:dyDescent="0.15">
      <c r="A66" s="5"/>
      <c r="B66" s="5"/>
      <c r="C66" s="10"/>
      <c r="D66" s="10"/>
      <c r="E66" s="10"/>
      <c r="F66" s="10"/>
      <c r="G66" s="10"/>
      <c r="H66" s="8"/>
      <c r="I66" s="8"/>
      <c r="J66" s="8" t="str">
        <f t="shared" ref="J66:J70" si="11">IF((K65+H66-I66)&gt;0,"借","贷")</f>
        <v>借</v>
      </c>
      <c r="K66" s="9">
        <f t="shared" si="1"/>
        <v>100</v>
      </c>
    </row>
    <row r="67" spans="1:11" ht="20.100000000000001" customHeight="1" x14ac:dyDescent="0.15">
      <c r="A67" s="10"/>
      <c r="B67" s="5"/>
      <c r="C67" s="10"/>
      <c r="D67" s="10"/>
      <c r="E67" s="10"/>
      <c r="F67" s="10"/>
      <c r="G67" s="10"/>
      <c r="H67" s="8"/>
      <c r="I67" s="8"/>
      <c r="J67" s="8" t="s">
        <v>39</v>
      </c>
      <c r="K67" s="9">
        <f t="shared" si="1"/>
        <v>100</v>
      </c>
    </row>
    <row r="68" spans="1:11" ht="20.100000000000001" customHeight="1" x14ac:dyDescent="0.15">
      <c r="A68" s="10"/>
      <c r="B68" s="5"/>
      <c r="C68" s="10"/>
      <c r="D68" s="10"/>
      <c r="E68" s="10"/>
      <c r="F68" s="14"/>
      <c r="G68" s="14"/>
      <c r="H68" s="8"/>
      <c r="I68" s="8"/>
      <c r="J68" s="8" t="str">
        <f t="shared" si="11"/>
        <v>借</v>
      </c>
      <c r="K68" s="9">
        <f t="shared" si="1"/>
        <v>100</v>
      </c>
    </row>
    <row r="69" spans="1:11" ht="20.100000000000001" customHeight="1" x14ac:dyDescent="0.15">
      <c r="A69" s="5"/>
      <c r="B69" s="5"/>
      <c r="C69" s="10"/>
      <c r="D69" s="10"/>
      <c r="E69" s="10"/>
      <c r="F69" s="10"/>
      <c r="G69" s="10"/>
      <c r="H69" s="8"/>
      <c r="I69" s="8"/>
      <c r="J69" s="8" t="s">
        <v>39</v>
      </c>
      <c r="K69" s="9">
        <f t="shared" si="1"/>
        <v>100</v>
      </c>
    </row>
    <row r="70" spans="1:11" ht="20.100000000000001" customHeight="1" x14ac:dyDescent="0.15">
      <c r="A70" s="5"/>
      <c r="B70" s="5"/>
      <c r="C70" s="10"/>
      <c r="D70" s="10"/>
      <c r="E70" s="10"/>
      <c r="F70" s="14"/>
      <c r="G70" s="14"/>
      <c r="H70" s="8"/>
      <c r="I70" s="15"/>
      <c r="J70" s="8" t="str">
        <f t="shared" si="11"/>
        <v>借</v>
      </c>
      <c r="K70" s="9">
        <f t="shared" ref="K70:K76" si="12">K69+H70-I70</f>
        <v>100</v>
      </c>
    </row>
    <row r="71" spans="1:11" ht="20.100000000000001" customHeight="1" x14ac:dyDescent="0.15">
      <c r="A71" s="5"/>
      <c r="B71" s="5"/>
      <c r="C71" s="10"/>
      <c r="D71" s="10"/>
      <c r="E71" s="10"/>
      <c r="F71" s="10"/>
      <c r="G71" s="10"/>
      <c r="H71" s="8"/>
      <c r="I71" s="15"/>
      <c r="J71" s="8" t="s">
        <v>39</v>
      </c>
      <c r="K71" s="9">
        <f t="shared" si="12"/>
        <v>100</v>
      </c>
    </row>
    <row r="72" spans="1:11" ht="20.100000000000001" customHeight="1" x14ac:dyDescent="0.15">
      <c r="A72" s="5"/>
      <c r="B72" s="5"/>
      <c r="C72" s="10"/>
      <c r="D72" s="10"/>
      <c r="E72" s="10"/>
      <c r="F72" s="10"/>
      <c r="G72" s="10"/>
      <c r="H72" s="8"/>
      <c r="I72" s="15"/>
      <c r="J72" s="8" t="str">
        <f t="shared" ref="J72:J76" si="13">IF((K71+H72-I72)&gt;0,"借","贷")</f>
        <v>借</v>
      </c>
      <c r="K72" s="9">
        <f t="shared" si="12"/>
        <v>100</v>
      </c>
    </row>
    <row r="73" spans="1:11" ht="20.100000000000001" customHeight="1" x14ac:dyDescent="0.15">
      <c r="A73" s="5"/>
      <c r="B73" s="5"/>
      <c r="C73" s="10"/>
      <c r="D73" s="10"/>
      <c r="E73" s="10"/>
      <c r="F73" s="10"/>
      <c r="G73" s="10"/>
      <c r="H73" s="8"/>
      <c r="I73" s="15"/>
      <c r="J73" s="8" t="s">
        <v>39</v>
      </c>
      <c r="K73" s="9">
        <f t="shared" si="12"/>
        <v>100</v>
      </c>
    </row>
    <row r="74" spans="1:11" ht="20.100000000000001" customHeight="1" x14ac:dyDescent="0.15">
      <c r="A74" s="5"/>
      <c r="B74" s="5"/>
      <c r="C74" s="10"/>
      <c r="D74" s="10"/>
      <c r="E74" s="10"/>
      <c r="F74" s="10"/>
      <c r="G74" s="10"/>
      <c r="H74" s="8"/>
      <c r="I74" s="8"/>
      <c r="J74" s="8" t="str">
        <f t="shared" si="13"/>
        <v>借</v>
      </c>
      <c r="K74" s="9">
        <f t="shared" si="12"/>
        <v>100</v>
      </c>
    </row>
    <row r="75" spans="1:11" ht="20.100000000000001" customHeight="1" x14ac:dyDescent="0.15">
      <c r="A75" s="5"/>
      <c r="B75" s="5"/>
      <c r="C75" s="10"/>
      <c r="D75" s="10"/>
      <c r="E75" s="10"/>
      <c r="F75" s="10"/>
      <c r="G75" s="10"/>
      <c r="H75" s="8"/>
      <c r="I75" s="8"/>
      <c r="J75" s="8" t="s">
        <v>39</v>
      </c>
      <c r="K75" s="9">
        <f t="shared" si="12"/>
        <v>100</v>
      </c>
    </row>
    <row r="76" spans="1:11" ht="20.100000000000001" customHeight="1" x14ac:dyDescent="0.15">
      <c r="A76" s="5"/>
      <c r="B76" s="5"/>
      <c r="C76" s="10"/>
      <c r="D76" s="10"/>
      <c r="E76" s="10"/>
      <c r="F76" s="10"/>
      <c r="G76" s="10"/>
      <c r="H76" s="8"/>
      <c r="I76" s="8"/>
      <c r="J76" s="8" t="str">
        <f t="shared" si="13"/>
        <v>借</v>
      </c>
      <c r="K76" s="9">
        <f t="shared" si="12"/>
        <v>100</v>
      </c>
    </row>
    <row r="77" spans="1:11" ht="20.100000000000001" customHeight="1" x14ac:dyDescent="0.15">
      <c r="A77" s="10"/>
      <c r="B77" s="5"/>
      <c r="C77" s="10"/>
      <c r="D77" s="10"/>
      <c r="E77" s="10"/>
      <c r="F77" s="10"/>
      <c r="G77" s="10"/>
      <c r="H77" s="8"/>
      <c r="I77" s="8"/>
      <c r="J77" s="8" t="str">
        <f t="shared" ref="J77:J108" si="14">IF((K76+H77-I77)&gt;0,"借","贷")</f>
        <v>借</v>
      </c>
      <c r="K77" s="9">
        <f t="shared" ref="K77:K108" si="15">K76+H77-I77</f>
        <v>100</v>
      </c>
    </row>
    <row r="78" spans="1:11" ht="20.100000000000001" customHeight="1" x14ac:dyDescent="0.15">
      <c r="A78" s="10"/>
      <c r="B78" s="5"/>
      <c r="C78" s="10"/>
      <c r="D78" s="10"/>
      <c r="E78" s="10"/>
      <c r="F78" s="14"/>
      <c r="G78" s="14"/>
      <c r="H78" s="8"/>
      <c r="I78" s="8"/>
      <c r="J78" s="8" t="str">
        <f t="shared" si="14"/>
        <v>借</v>
      </c>
      <c r="K78" s="9">
        <f t="shared" si="15"/>
        <v>100</v>
      </c>
    </row>
    <row r="79" spans="1:11" ht="20.100000000000001" customHeight="1" x14ac:dyDescent="0.15">
      <c r="A79" s="5"/>
      <c r="B79" s="5"/>
      <c r="C79" s="10"/>
      <c r="D79" s="10"/>
      <c r="E79" s="10"/>
      <c r="F79" s="10"/>
      <c r="G79" s="10"/>
      <c r="H79" s="8"/>
      <c r="I79" s="15"/>
      <c r="J79" s="8" t="str">
        <f t="shared" si="14"/>
        <v>借</v>
      </c>
      <c r="K79" s="9">
        <f t="shared" si="15"/>
        <v>100</v>
      </c>
    </row>
    <row r="80" spans="1:11" ht="20.100000000000001" customHeight="1" x14ac:dyDescent="0.15">
      <c r="A80" s="5"/>
      <c r="B80" s="5"/>
      <c r="C80" s="10"/>
      <c r="D80" s="10"/>
      <c r="E80" s="10"/>
      <c r="F80" s="14"/>
      <c r="G80" s="14"/>
      <c r="H80" s="8"/>
      <c r="I80" s="15"/>
      <c r="J80" s="8" t="str">
        <f t="shared" si="14"/>
        <v>借</v>
      </c>
      <c r="K80" s="9">
        <f t="shared" si="15"/>
        <v>100</v>
      </c>
    </row>
    <row r="81" spans="1:11" ht="20.100000000000001" customHeight="1" x14ac:dyDescent="0.15">
      <c r="A81" s="5"/>
      <c r="B81" s="5"/>
      <c r="C81" s="10"/>
      <c r="D81" s="10"/>
      <c r="E81" s="10"/>
      <c r="F81" s="10"/>
      <c r="G81" s="10"/>
      <c r="H81" s="8"/>
      <c r="I81" s="15"/>
      <c r="J81" s="8" t="str">
        <f t="shared" si="14"/>
        <v>借</v>
      </c>
      <c r="K81" s="9">
        <f t="shared" si="15"/>
        <v>100</v>
      </c>
    </row>
    <row r="82" spans="1:11" ht="20.100000000000001" customHeight="1" x14ac:dyDescent="0.15">
      <c r="A82" s="5"/>
      <c r="B82" s="5"/>
      <c r="C82" s="10"/>
      <c r="D82" s="10"/>
      <c r="E82" s="10"/>
      <c r="F82" s="10"/>
      <c r="G82" s="14"/>
      <c r="H82" s="8"/>
      <c r="I82" s="8"/>
      <c r="J82" s="8" t="str">
        <f t="shared" si="14"/>
        <v>借</v>
      </c>
      <c r="K82" s="9">
        <f t="shared" si="15"/>
        <v>100</v>
      </c>
    </row>
    <row r="83" spans="1:11" ht="20.100000000000001" customHeight="1" x14ac:dyDescent="0.15">
      <c r="A83" s="5"/>
      <c r="B83" s="5"/>
      <c r="C83" s="10"/>
      <c r="D83" s="10"/>
      <c r="E83" s="10"/>
      <c r="F83" s="10"/>
      <c r="G83" s="10"/>
      <c r="H83" s="8"/>
      <c r="I83" s="8"/>
      <c r="J83" s="8" t="str">
        <f t="shared" si="14"/>
        <v>借</v>
      </c>
      <c r="K83" s="9">
        <f t="shared" si="15"/>
        <v>100</v>
      </c>
    </row>
    <row r="84" spans="1:11" ht="20.100000000000001" customHeight="1" x14ac:dyDescent="0.15">
      <c r="A84" s="5"/>
      <c r="B84" s="5"/>
      <c r="C84" s="10"/>
      <c r="D84" s="10"/>
      <c r="E84" s="10"/>
      <c r="F84" s="10"/>
      <c r="G84" s="10"/>
      <c r="H84" s="8"/>
      <c r="I84" s="8"/>
      <c r="J84" s="8" t="str">
        <f t="shared" si="14"/>
        <v>借</v>
      </c>
      <c r="K84" s="9">
        <f t="shared" si="15"/>
        <v>100</v>
      </c>
    </row>
    <row r="85" spans="1:11" ht="20.100000000000001" customHeight="1" x14ac:dyDescent="0.15">
      <c r="A85" s="5"/>
      <c r="B85" s="5"/>
      <c r="C85" s="5"/>
      <c r="D85" s="10"/>
      <c r="E85" s="10"/>
      <c r="F85" s="10"/>
      <c r="G85" s="10"/>
      <c r="H85" s="8"/>
      <c r="I85" s="8"/>
      <c r="J85" s="8" t="str">
        <f t="shared" si="14"/>
        <v>借</v>
      </c>
      <c r="K85" s="9">
        <f t="shared" si="15"/>
        <v>100</v>
      </c>
    </row>
    <row r="86" spans="1:11" ht="20.100000000000001" customHeight="1" x14ac:dyDescent="0.15">
      <c r="A86" s="10"/>
      <c r="B86" s="5"/>
      <c r="C86" s="5"/>
      <c r="D86" s="10"/>
      <c r="E86" s="10"/>
      <c r="F86" s="10"/>
      <c r="G86" s="10"/>
      <c r="H86" s="8"/>
      <c r="I86" s="8"/>
      <c r="J86" s="8" t="str">
        <f t="shared" si="14"/>
        <v>借</v>
      </c>
      <c r="K86" s="9">
        <f t="shared" si="15"/>
        <v>100</v>
      </c>
    </row>
    <row r="87" spans="1:11" ht="20.100000000000001" customHeight="1" x14ac:dyDescent="0.15">
      <c r="A87" s="10"/>
      <c r="B87" s="5"/>
      <c r="C87" s="5"/>
      <c r="D87" s="10"/>
      <c r="E87" s="10"/>
      <c r="F87" s="10"/>
      <c r="G87" s="10"/>
      <c r="H87" s="8"/>
      <c r="I87" s="8"/>
      <c r="J87" s="8" t="str">
        <f t="shared" si="14"/>
        <v>借</v>
      </c>
      <c r="K87" s="9">
        <f t="shared" si="15"/>
        <v>100</v>
      </c>
    </row>
    <row r="88" spans="1:11" ht="20.100000000000001" customHeight="1" x14ac:dyDescent="0.15">
      <c r="A88" s="5"/>
      <c r="B88" s="5"/>
      <c r="C88" s="5"/>
      <c r="D88" s="10"/>
      <c r="E88" s="10"/>
      <c r="F88" s="10"/>
      <c r="G88" s="10"/>
      <c r="H88" s="8"/>
      <c r="I88" s="8"/>
      <c r="J88" s="8" t="str">
        <f t="shared" si="14"/>
        <v>借</v>
      </c>
      <c r="K88" s="9">
        <f t="shared" si="15"/>
        <v>100</v>
      </c>
    </row>
    <row r="89" spans="1:11" ht="20.100000000000001" customHeight="1" x14ac:dyDescent="0.15">
      <c r="A89" s="5"/>
      <c r="B89" s="5"/>
      <c r="C89" s="5"/>
      <c r="D89" s="10"/>
      <c r="E89" s="10"/>
      <c r="F89" s="10"/>
      <c r="G89" s="10"/>
      <c r="H89" s="8"/>
      <c r="I89" s="8"/>
      <c r="J89" s="8" t="str">
        <f t="shared" si="14"/>
        <v>借</v>
      </c>
      <c r="K89" s="9">
        <f t="shared" si="15"/>
        <v>100</v>
      </c>
    </row>
    <row r="90" spans="1:11" ht="20.100000000000001" customHeight="1" x14ac:dyDescent="0.15">
      <c r="A90" s="5"/>
      <c r="B90" s="5"/>
      <c r="C90" s="5"/>
      <c r="D90" s="10"/>
      <c r="E90" s="10"/>
      <c r="F90" s="10"/>
      <c r="G90" s="10"/>
      <c r="H90" s="8"/>
      <c r="I90" s="8"/>
      <c r="J90" s="8" t="str">
        <f t="shared" si="14"/>
        <v>借</v>
      </c>
      <c r="K90" s="9">
        <f t="shared" si="15"/>
        <v>100</v>
      </c>
    </row>
    <row r="91" spans="1:11" ht="20.100000000000001" customHeight="1" x14ac:dyDescent="0.15">
      <c r="A91" s="5"/>
      <c r="B91" s="5"/>
      <c r="C91" s="5"/>
      <c r="D91" s="10"/>
      <c r="E91" s="10"/>
      <c r="F91" s="10"/>
      <c r="G91" s="10"/>
      <c r="H91" s="8"/>
      <c r="I91" s="8"/>
      <c r="J91" s="8" t="str">
        <f t="shared" si="14"/>
        <v>借</v>
      </c>
      <c r="K91" s="9">
        <f t="shared" si="15"/>
        <v>100</v>
      </c>
    </row>
    <row r="92" spans="1:11" ht="20.100000000000001" customHeight="1" x14ac:dyDescent="0.15">
      <c r="A92" s="5"/>
      <c r="B92" s="5"/>
      <c r="C92" s="5"/>
      <c r="D92" s="10"/>
      <c r="E92" s="10"/>
      <c r="F92" s="10"/>
      <c r="G92" s="10"/>
      <c r="H92" s="8"/>
      <c r="I92" s="8"/>
      <c r="J92" s="8" t="str">
        <f t="shared" si="14"/>
        <v>借</v>
      </c>
      <c r="K92" s="9">
        <f t="shared" si="15"/>
        <v>100</v>
      </c>
    </row>
    <row r="93" spans="1:11" ht="20.100000000000001" customHeight="1" x14ac:dyDescent="0.15">
      <c r="A93" s="5"/>
      <c r="B93" s="5"/>
      <c r="C93" s="5"/>
      <c r="D93" s="10"/>
      <c r="E93" s="10"/>
      <c r="F93" s="10"/>
      <c r="G93" s="10"/>
      <c r="H93" s="8"/>
      <c r="I93" s="8"/>
      <c r="J93" s="8" t="str">
        <f t="shared" si="14"/>
        <v>借</v>
      </c>
      <c r="K93" s="9">
        <f t="shared" si="15"/>
        <v>100</v>
      </c>
    </row>
    <row r="94" spans="1:11" ht="20.100000000000001" customHeight="1" x14ac:dyDescent="0.15">
      <c r="A94" s="10"/>
      <c r="B94" s="5"/>
      <c r="C94" s="5"/>
      <c r="D94" s="10"/>
      <c r="E94" s="10"/>
      <c r="F94" s="10"/>
      <c r="G94" s="10"/>
      <c r="H94" s="8"/>
      <c r="I94" s="8"/>
      <c r="J94" s="8" t="str">
        <f t="shared" si="14"/>
        <v>借</v>
      </c>
      <c r="K94" s="9">
        <f t="shared" si="15"/>
        <v>100</v>
      </c>
    </row>
    <row r="95" spans="1:11" ht="20.100000000000001" customHeight="1" x14ac:dyDescent="0.15">
      <c r="A95" s="10"/>
      <c r="B95" s="5"/>
      <c r="C95" s="5"/>
      <c r="D95" s="10"/>
      <c r="E95" s="10"/>
      <c r="F95" s="10"/>
      <c r="G95" s="10"/>
      <c r="H95" s="8"/>
      <c r="I95" s="8"/>
      <c r="J95" s="8" t="str">
        <f t="shared" si="14"/>
        <v>借</v>
      </c>
      <c r="K95" s="9">
        <f t="shared" si="15"/>
        <v>100</v>
      </c>
    </row>
    <row r="96" spans="1:11" ht="20.100000000000001" customHeight="1" x14ac:dyDescent="0.15">
      <c r="A96" s="10"/>
      <c r="B96" s="5"/>
      <c r="C96" s="5"/>
      <c r="D96" s="10"/>
      <c r="E96" s="10"/>
      <c r="F96" s="10"/>
      <c r="G96" s="10"/>
      <c r="H96" s="8"/>
      <c r="I96" s="8"/>
      <c r="J96" s="8" t="str">
        <f t="shared" si="14"/>
        <v>借</v>
      </c>
      <c r="K96" s="9">
        <f t="shared" si="15"/>
        <v>100</v>
      </c>
    </row>
    <row r="97" spans="1:11" ht="20.100000000000001" customHeight="1" x14ac:dyDescent="0.15">
      <c r="A97" s="5"/>
      <c r="B97" s="5"/>
      <c r="C97" s="5"/>
      <c r="D97" s="10"/>
      <c r="E97" s="10"/>
      <c r="F97" s="10"/>
      <c r="G97" s="10"/>
      <c r="H97" s="8"/>
      <c r="I97" s="8"/>
      <c r="J97" s="8" t="str">
        <f t="shared" si="14"/>
        <v>借</v>
      </c>
      <c r="K97" s="9">
        <f t="shared" si="15"/>
        <v>100</v>
      </c>
    </row>
    <row r="98" spans="1:11" ht="20.100000000000001" customHeight="1" x14ac:dyDescent="0.15">
      <c r="A98" s="5"/>
      <c r="B98" s="5"/>
      <c r="C98" s="5"/>
      <c r="D98" s="10"/>
      <c r="E98" s="10"/>
      <c r="F98" s="10"/>
      <c r="G98" s="10"/>
      <c r="H98" s="8"/>
      <c r="I98" s="8"/>
      <c r="J98" s="8" t="str">
        <f t="shared" si="14"/>
        <v>借</v>
      </c>
      <c r="K98" s="9">
        <f t="shared" si="15"/>
        <v>100</v>
      </c>
    </row>
    <row r="99" spans="1:11" ht="20.100000000000001" customHeight="1" x14ac:dyDescent="0.15">
      <c r="A99" s="5"/>
      <c r="B99" s="5"/>
      <c r="C99" s="5"/>
      <c r="D99" s="10"/>
      <c r="E99" s="10"/>
      <c r="F99" s="10"/>
      <c r="G99" s="10"/>
      <c r="H99" s="8"/>
      <c r="I99" s="8"/>
      <c r="J99" s="8" t="str">
        <f t="shared" si="14"/>
        <v>借</v>
      </c>
      <c r="K99" s="9">
        <f t="shared" si="15"/>
        <v>100</v>
      </c>
    </row>
    <row r="100" spans="1:11" ht="20.100000000000001" customHeight="1" x14ac:dyDescent="0.15">
      <c r="A100" s="5"/>
      <c r="B100" s="5"/>
      <c r="C100" s="5"/>
      <c r="D100" s="10"/>
      <c r="E100" s="10"/>
      <c r="F100" s="10"/>
      <c r="G100" s="10"/>
      <c r="H100" s="8"/>
      <c r="I100" s="8"/>
      <c r="J100" s="8" t="str">
        <f t="shared" si="14"/>
        <v>借</v>
      </c>
      <c r="K100" s="9">
        <f t="shared" si="15"/>
        <v>100</v>
      </c>
    </row>
    <row r="101" spans="1:11" ht="20.100000000000001" customHeight="1" x14ac:dyDescent="0.15">
      <c r="A101" s="5"/>
      <c r="B101" s="5"/>
      <c r="C101" s="5"/>
      <c r="D101" s="10"/>
      <c r="E101" s="10"/>
      <c r="F101" s="10"/>
      <c r="G101" s="10"/>
      <c r="H101" s="8"/>
      <c r="I101" s="8"/>
      <c r="J101" s="8" t="str">
        <f t="shared" si="14"/>
        <v>借</v>
      </c>
      <c r="K101" s="9">
        <f t="shared" si="15"/>
        <v>100</v>
      </c>
    </row>
    <row r="102" spans="1:11" ht="20.100000000000001" customHeight="1" x14ac:dyDescent="0.15">
      <c r="A102" s="5"/>
      <c r="B102" s="5"/>
      <c r="C102" s="5"/>
      <c r="D102" s="10"/>
      <c r="E102" s="10"/>
      <c r="F102" s="10"/>
      <c r="G102" s="10"/>
      <c r="H102" s="8"/>
      <c r="I102" s="8"/>
      <c r="J102" s="8" t="str">
        <f t="shared" si="14"/>
        <v>借</v>
      </c>
      <c r="K102" s="9">
        <f t="shared" si="15"/>
        <v>100</v>
      </c>
    </row>
    <row r="103" spans="1:11" ht="20.100000000000001" customHeight="1" x14ac:dyDescent="0.15">
      <c r="A103" s="5"/>
      <c r="B103" s="5"/>
      <c r="C103" s="5"/>
      <c r="D103" s="10"/>
      <c r="E103" s="10"/>
      <c r="F103" s="10"/>
      <c r="G103" s="10"/>
      <c r="H103" s="8"/>
      <c r="I103" s="8"/>
      <c r="J103" s="8" t="str">
        <f t="shared" si="14"/>
        <v>借</v>
      </c>
      <c r="K103" s="9">
        <f t="shared" si="15"/>
        <v>100</v>
      </c>
    </row>
    <row r="104" spans="1:11" ht="20.100000000000001" customHeight="1" x14ac:dyDescent="0.15">
      <c r="A104" s="10"/>
      <c r="B104" s="5"/>
      <c r="C104" s="5"/>
      <c r="D104" s="10"/>
      <c r="E104" s="10"/>
      <c r="F104" s="10"/>
      <c r="G104" s="10"/>
      <c r="H104" s="8"/>
      <c r="I104" s="8"/>
      <c r="J104" s="8" t="str">
        <f t="shared" si="14"/>
        <v>借</v>
      </c>
      <c r="K104" s="9">
        <f t="shared" si="15"/>
        <v>100</v>
      </c>
    </row>
    <row r="105" spans="1:11" ht="20.100000000000001" customHeight="1" x14ac:dyDescent="0.15">
      <c r="A105" s="10"/>
      <c r="B105" s="5"/>
      <c r="C105" s="5"/>
      <c r="D105" s="10"/>
      <c r="E105" s="10"/>
      <c r="F105" s="10"/>
      <c r="G105" s="10"/>
      <c r="H105" s="8"/>
      <c r="I105" s="8"/>
      <c r="J105" s="8" t="str">
        <f t="shared" si="14"/>
        <v>借</v>
      </c>
      <c r="K105" s="9">
        <f t="shared" si="15"/>
        <v>100</v>
      </c>
    </row>
    <row r="106" spans="1:11" ht="20.100000000000001" customHeight="1" x14ac:dyDescent="0.15">
      <c r="A106" s="5"/>
      <c r="B106" s="5"/>
      <c r="C106" s="5"/>
      <c r="D106" s="10"/>
      <c r="E106" s="16"/>
      <c r="F106" s="10"/>
      <c r="G106" s="10"/>
      <c r="H106" s="8"/>
      <c r="I106" s="8"/>
      <c r="J106" s="8" t="str">
        <f t="shared" si="14"/>
        <v>借</v>
      </c>
      <c r="K106" s="9">
        <f t="shared" si="15"/>
        <v>100</v>
      </c>
    </row>
    <row r="107" spans="1:11" ht="20.100000000000001" customHeight="1" x14ac:dyDescent="0.15">
      <c r="A107" s="5"/>
      <c r="B107" s="5"/>
      <c r="C107" s="5"/>
      <c r="D107" s="10"/>
      <c r="E107" s="10"/>
      <c r="F107" s="10"/>
      <c r="G107" s="10"/>
      <c r="H107" s="8"/>
      <c r="I107" s="8"/>
      <c r="J107" s="8" t="str">
        <f t="shared" si="14"/>
        <v>借</v>
      </c>
      <c r="K107" s="9">
        <f t="shared" si="15"/>
        <v>100</v>
      </c>
    </row>
    <row r="108" spans="1:11" ht="20.100000000000001" customHeight="1" x14ac:dyDescent="0.15">
      <c r="A108" s="5"/>
      <c r="B108" s="5"/>
      <c r="C108" s="5"/>
      <c r="D108" s="10"/>
      <c r="E108" s="10"/>
      <c r="F108" s="10"/>
      <c r="G108" s="10"/>
      <c r="H108" s="8"/>
      <c r="I108" s="8"/>
      <c r="J108" s="8" t="str">
        <f t="shared" si="14"/>
        <v>借</v>
      </c>
      <c r="K108" s="9">
        <f t="shared" si="15"/>
        <v>100</v>
      </c>
    </row>
    <row r="109" spans="1:11" ht="20.100000000000001" customHeight="1" x14ac:dyDescent="0.15">
      <c r="A109" s="5"/>
      <c r="B109" s="5"/>
      <c r="C109" s="5"/>
      <c r="D109" s="10"/>
      <c r="E109" s="10"/>
      <c r="F109" s="10"/>
      <c r="G109" s="10"/>
      <c r="H109" s="8"/>
      <c r="I109" s="8"/>
      <c r="J109" s="8" t="str">
        <f t="shared" ref="J109:J140" si="16">IF((K108+H109-I109)&gt;0,"借","贷")</f>
        <v>借</v>
      </c>
      <c r="K109" s="9">
        <f t="shared" ref="K109:K140" si="17">K108+H109-I109</f>
        <v>100</v>
      </c>
    </row>
    <row r="110" spans="1:11" ht="20.100000000000001" customHeight="1" x14ac:dyDescent="0.15">
      <c r="A110" s="5"/>
      <c r="B110" s="5"/>
      <c r="C110" s="5"/>
      <c r="D110" s="10"/>
      <c r="E110" s="10"/>
      <c r="F110" s="10"/>
      <c r="G110" s="10"/>
      <c r="H110" s="8"/>
      <c r="I110" s="8"/>
      <c r="J110" s="8" t="str">
        <f t="shared" si="16"/>
        <v>借</v>
      </c>
      <c r="K110" s="9">
        <f t="shared" si="17"/>
        <v>100</v>
      </c>
    </row>
    <row r="111" spans="1:11" ht="20.100000000000001" customHeight="1" x14ac:dyDescent="0.15">
      <c r="A111" s="5"/>
      <c r="B111" s="5"/>
      <c r="C111" s="5"/>
      <c r="D111" s="10"/>
      <c r="E111" s="10"/>
      <c r="F111" s="10"/>
      <c r="G111" s="10"/>
      <c r="H111" s="8"/>
      <c r="I111" s="8"/>
      <c r="J111" s="8" t="str">
        <f t="shared" si="16"/>
        <v>借</v>
      </c>
      <c r="K111" s="9">
        <f t="shared" si="17"/>
        <v>100</v>
      </c>
    </row>
    <row r="112" spans="1:11" ht="20.100000000000001" customHeight="1" x14ac:dyDescent="0.15">
      <c r="A112" s="10"/>
      <c r="B112" s="5"/>
      <c r="C112" s="5"/>
      <c r="D112" s="10"/>
      <c r="E112" s="10"/>
      <c r="F112" s="10"/>
      <c r="G112" s="10"/>
      <c r="H112" s="8"/>
      <c r="I112" s="8"/>
      <c r="J112" s="8" t="str">
        <f t="shared" si="16"/>
        <v>借</v>
      </c>
      <c r="K112" s="9">
        <f t="shared" si="17"/>
        <v>100</v>
      </c>
    </row>
    <row r="113" spans="1:11" ht="20.100000000000001" customHeight="1" x14ac:dyDescent="0.15">
      <c r="A113" s="10"/>
      <c r="B113" s="5"/>
      <c r="C113" s="5"/>
      <c r="D113" s="10"/>
      <c r="E113" s="10"/>
      <c r="F113" s="10"/>
      <c r="G113" s="10"/>
      <c r="H113" s="8"/>
      <c r="I113" s="8"/>
      <c r="J113" s="8" t="str">
        <f t="shared" si="16"/>
        <v>借</v>
      </c>
      <c r="K113" s="9">
        <f t="shared" si="17"/>
        <v>100</v>
      </c>
    </row>
    <row r="114" spans="1:11" ht="20.100000000000001" customHeight="1" x14ac:dyDescent="0.15">
      <c r="A114" s="5"/>
      <c r="B114" s="5"/>
      <c r="C114" s="5"/>
      <c r="D114" s="10"/>
      <c r="E114" s="10"/>
      <c r="F114" s="10"/>
      <c r="G114" s="10"/>
      <c r="H114" s="8"/>
      <c r="I114" s="8"/>
      <c r="J114" s="8" t="str">
        <f t="shared" si="16"/>
        <v>借</v>
      </c>
      <c r="K114" s="9">
        <f t="shared" si="17"/>
        <v>100</v>
      </c>
    </row>
    <row r="115" spans="1:11" ht="20.100000000000001" customHeight="1" x14ac:dyDescent="0.15">
      <c r="A115" s="5"/>
      <c r="B115" s="5"/>
      <c r="C115" s="5"/>
      <c r="D115" s="10"/>
      <c r="E115" s="10"/>
      <c r="F115" s="10"/>
      <c r="G115" s="10"/>
      <c r="H115" s="8"/>
      <c r="I115" s="8"/>
      <c r="J115" s="8" t="str">
        <f t="shared" si="16"/>
        <v>借</v>
      </c>
      <c r="K115" s="9">
        <f t="shared" si="17"/>
        <v>100</v>
      </c>
    </row>
    <row r="116" spans="1:11" ht="20.100000000000001" customHeight="1" x14ac:dyDescent="0.15">
      <c r="A116" s="5"/>
      <c r="B116" s="5"/>
      <c r="C116" s="5"/>
      <c r="D116" s="10"/>
      <c r="E116" s="10"/>
      <c r="F116" s="10"/>
      <c r="G116" s="10"/>
      <c r="H116" s="8"/>
      <c r="I116" s="8"/>
      <c r="J116" s="8" t="str">
        <f t="shared" si="16"/>
        <v>借</v>
      </c>
      <c r="K116" s="9">
        <f t="shared" si="17"/>
        <v>100</v>
      </c>
    </row>
    <row r="117" spans="1:11" ht="20.100000000000001" customHeight="1" x14ac:dyDescent="0.15">
      <c r="A117" s="5"/>
      <c r="B117" s="5"/>
      <c r="C117" s="5"/>
      <c r="D117" s="10"/>
      <c r="E117" s="10"/>
      <c r="F117" s="10"/>
      <c r="G117" s="10"/>
      <c r="H117" s="8"/>
      <c r="I117" s="8"/>
      <c r="J117" s="8" t="str">
        <f t="shared" si="16"/>
        <v>借</v>
      </c>
      <c r="K117" s="9">
        <f t="shared" si="17"/>
        <v>100</v>
      </c>
    </row>
    <row r="118" spans="1:11" ht="20.100000000000001" customHeight="1" x14ac:dyDescent="0.15">
      <c r="A118" s="5"/>
      <c r="B118" s="5"/>
      <c r="C118" s="5"/>
      <c r="D118" s="10"/>
      <c r="E118" s="10"/>
      <c r="F118" s="10"/>
      <c r="G118" s="10"/>
      <c r="H118" s="8"/>
      <c r="I118" s="8"/>
      <c r="J118" s="8" t="str">
        <f t="shared" si="16"/>
        <v>借</v>
      </c>
      <c r="K118" s="9">
        <f t="shared" si="17"/>
        <v>100</v>
      </c>
    </row>
    <row r="119" spans="1:11" ht="20.100000000000001" customHeight="1" x14ac:dyDescent="0.15">
      <c r="A119" s="5"/>
      <c r="B119" s="5"/>
      <c r="C119" s="5"/>
      <c r="D119" s="10"/>
      <c r="E119" s="10"/>
      <c r="F119" s="10"/>
      <c r="G119" s="10"/>
      <c r="H119" s="8"/>
      <c r="I119" s="8"/>
      <c r="J119" s="8" t="str">
        <f t="shared" si="16"/>
        <v>借</v>
      </c>
      <c r="K119" s="9">
        <f t="shared" si="17"/>
        <v>100</v>
      </c>
    </row>
    <row r="120" spans="1:11" ht="20.100000000000001" customHeight="1" x14ac:dyDescent="0.15">
      <c r="A120" s="10"/>
      <c r="B120" s="5"/>
      <c r="C120" s="5"/>
      <c r="D120" s="10"/>
      <c r="E120" s="10"/>
      <c r="F120" s="10"/>
      <c r="G120" s="10"/>
      <c r="H120" s="8"/>
      <c r="I120" s="8"/>
      <c r="J120" s="8" t="str">
        <f t="shared" si="16"/>
        <v>借</v>
      </c>
      <c r="K120" s="9">
        <f t="shared" si="17"/>
        <v>100</v>
      </c>
    </row>
    <row r="121" spans="1:11" ht="20.100000000000001" customHeight="1" x14ac:dyDescent="0.15">
      <c r="A121" s="10"/>
      <c r="B121" s="5"/>
      <c r="C121" s="5"/>
      <c r="D121" s="10"/>
      <c r="E121" s="10"/>
      <c r="F121" s="10"/>
      <c r="G121" s="10"/>
      <c r="H121" s="8"/>
      <c r="I121" s="8"/>
      <c r="J121" s="8" t="str">
        <f t="shared" si="16"/>
        <v>借</v>
      </c>
      <c r="K121" s="9">
        <f t="shared" si="17"/>
        <v>100</v>
      </c>
    </row>
    <row r="122" spans="1:11" ht="20.100000000000001" customHeight="1" x14ac:dyDescent="0.15">
      <c r="A122" s="10"/>
      <c r="B122" s="5"/>
      <c r="C122" s="10"/>
      <c r="D122" s="10"/>
      <c r="E122" s="10"/>
      <c r="F122" s="10"/>
      <c r="G122" s="10"/>
      <c r="H122" s="8"/>
      <c r="I122" s="8"/>
      <c r="J122" s="8" t="str">
        <f t="shared" si="16"/>
        <v>借</v>
      </c>
      <c r="K122" s="9">
        <f t="shared" si="17"/>
        <v>100</v>
      </c>
    </row>
    <row r="123" spans="1:11" ht="20.100000000000001" customHeight="1" x14ac:dyDescent="0.15">
      <c r="A123" s="10"/>
      <c r="B123" s="5"/>
      <c r="C123" s="10"/>
      <c r="D123" s="10"/>
      <c r="E123" s="17"/>
      <c r="F123" s="10"/>
      <c r="G123" s="10"/>
      <c r="H123" s="8"/>
      <c r="I123" s="8"/>
      <c r="J123" s="8" t="str">
        <f t="shared" si="16"/>
        <v>借</v>
      </c>
      <c r="K123" s="9">
        <f t="shared" si="17"/>
        <v>100</v>
      </c>
    </row>
    <row r="124" spans="1:11" ht="20.100000000000001" customHeight="1" x14ac:dyDescent="0.15">
      <c r="A124" s="5"/>
      <c r="B124" s="5"/>
      <c r="C124" s="10"/>
      <c r="D124" s="10"/>
      <c r="E124" s="10"/>
      <c r="F124" s="10"/>
      <c r="G124" s="10"/>
      <c r="H124" s="8"/>
      <c r="I124" s="8"/>
      <c r="J124" s="8" t="str">
        <f t="shared" si="16"/>
        <v>借</v>
      </c>
      <c r="K124" s="9">
        <f t="shared" si="17"/>
        <v>100</v>
      </c>
    </row>
    <row r="125" spans="1:11" ht="20.100000000000001" customHeight="1" x14ac:dyDescent="0.15">
      <c r="A125" s="5"/>
      <c r="B125" s="5"/>
      <c r="C125" s="10"/>
      <c r="D125" s="10"/>
      <c r="E125" s="10"/>
      <c r="F125" s="10"/>
      <c r="G125" s="10"/>
      <c r="H125" s="8"/>
      <c r="I125" s="8"/>
      <c r="J125" s="8" t="str">
        <f t="shared" si="16"/>
        <v>借</v>
      </c>
      <c r="K125" s="9">
        <f t="shared" si="17"/>
        <v>100</v>
      </c>
    </row>
    <row r="126" spans="1:11" ht="20.100000000000001" customHeight="1" x14ac:dyDescent="0.15">
      <c r="A126" s="5"/>
      <c r="B126" s="5"/>
      <c r="C126" s="10"/>
      <c r="D126" s="10"/>
      <c r="E126" s="10"/>
      <c r="F126" s="10"/>
      <c r="G126" s="10"/>
      <c r="H126" s="8"/>
      <c r="I126" s="8"/>
      <c r="J126" s="8" t="str">
        <f t="shared" si="16"/>
        <v>借</v>
      </c>
      <c r="K126" s="9">
        <f t="shared" si="17"/>
        <v>100</v>
      </c>
    </row>
    <row r="127" spans="1:11" ht="20.100000000000001" customHeight="1" x14ac:dyDescent="0.15">
      <c r="A127" s="5"/>
      <c r="B127" s="5"/>
      <c r="C127" s="10"/>
      <c r="D127" s="10"/>
      <c r="E127" s="10"/>
      <c r="F127" s="10"/>
      <c r="G127" s="10"/>
      <c r="H127" s="8"/>
      <c r="I127" s="8"/>
      <c r="J127" s="8" t="str">
        <f t="shared" si="16"/>
        <v>借</v>
      </c>
      <c r="K127" s="9">
        <f t="shared" si="17"/>
        <v>100</v>
      </c>
    </row>
    <row r="128" spans="1:11" ht="20.100000000000001" customHeight="1" x14ac:dyDescent="0.15">
      <c r="A128" s="5"/>
      <c r="B128" s="5"/>
      <c r="C128" s="5"/>
      <c r="D128" s="10"/>
      <c r="E128" s="10"/>
      <c r="F128" s="10"/>
      <c r="G128" s="10"/>
      <c r="H128" s="8"/>
      <c r="I128" s="8"/>
      <c r="J128" s="8" t="str">
        <f t="shared" si="16"/>
        <v>借</v>
      </c>
      <c r="K128" s="9">
        <f t="shared" si="17"/>
        <v>100</v>
      </c>
    </row>
    <row r="129" spans="1:11" ht="20.100000000000001" customHeight="1" x14ac:dyDescent="0.15">
      <c r="A129" s="5"/>
      <c r="B129" s="5"/>
      <c r="C129" s="5"/>
      <c r="D129" s="10"/>
      <c r="E129" s="16"/>
      <c r="F129" s="10"/>
      <c r="G129" s="10"/>
      <c r="H129" s="8"/>
      <c r="I129" s="8"/>
      <c r="J129" s="8" t="str">
        <f t="shared" si="16"/>
        <v>借</v>
      </c>
      <c r="K129" s="9">
        <f t="shared" si="17"/>
        <v>100</v>
      </c>
    </row>
    <row r="130" spans="1:11" ht="20.100000000000001" customHeight="1" x14ac:dyDescent="0.15">
      <c r="A130" s="10"/>
      <c r="B130" s="5"/>
      <c r="C130" s="5"/>
      <c r="D130" s="10"/>
      <c r="E130" s="16"/>
      <c r="F130" s="10"/>
      <c r="G130" s="10"/>
      <c r="H130" s="8"/>
      <c r="I130" s="8"/>
      <c r="J130" s="8" t="str">
        <f t="shared" si="16"/>
        <v>借</v>
      </c>
      <c r="K130" s="9">
        <f t="shared" si="17"/>
        <v>100</v>
      </c>
    </row>
    <row r="131" spans="1:11" ht="20.100000000000001" customHeight="1" x14ac:dyDescent="0.15">
      <c r="A131" s="10"/>
      <c r="B131" s="5"/>
      <c r="C131" s="5"/>
      <c r="D131" s="10"/>
      <c r="E131" s="16"/>
      <c r="F131" s="10"/>
      <c r="G131" s="10"/>
      <c r="H131" s="8"/>
      <c r="I131" s="8"/>
      <c r="J131" s="8" t="str">
        <f t="shared" si="16"/>
        <v>借</v>
      </c>
      <c r="K131" s="9">
        <f t="shared" si="17"/>
        <v>100</v>
      </c>
    </row>
    <row r="132" spans="1:11" ht="20.100000000000001" customHeight="1" x14ac:dyDescent="0.15">
      <c r="A132" s="5"/>
      <c r="B132" s="5"/>
      <c r="C132" s="5"/>
      <c r="D132" s="10"/>
      <c r="E132" s="16"/>
      <c r="F132" s="10"/>
      <c r="G132" s="10"/>
      <c r="H132" s="8"/>
      <c r="I132" s="8"/>
      <c r="J132" s="8" t="str">
        <f t="shared" si="16"/>
        <v>借</v>
      </c>
      <c r="K132" s="9">
        <f t="shared" si="17"/>
        <v>100</v>
      </c>
    </row>
    <row r="133" spans="1:11" ht="20.100000000000001" customHeight="1" x14ac:dyDescent="0.15">
      <c r="A133" s="5"/>
      <c r="B133" s="5"/>
      <c r="C133" s="5"/>
      <c r="D133" s="10"/>
      <c r="E133" s="16"/>
      <c r="F133" s="10"/>
      <c r="G133" s="10"/>
      <c r="H133" s="8"/>
      <c r="I133" s="8"/>
      <c r="J133" s="8" t="str">
        <f t="shared" si="16"/>
        <v>借</v>
      </c>
      <c r="K133" s="9">
        <f t="shared" si="17"/>
        <v>100</v>
      </c>
    </row>
    <row r="134" spans="1:11" ht="20.100000000000001" customHeight="1" x14ac:dyDescent="0.15">
      <c r="A134" s="5"/>
      <c r="B134" s="5"/>
      <c r="C134" s="5"/>
      <c r="D134" s="10"/>
      <c r="E134" s="16"/>
      <c r="F134" s="10"/>
      <c r="G134" s="10"/>
      <c r="H134" s="8"/>
      <c r="I134" s="8"/>
      <c r="J134" s="8" t="str">
        <f t="shared" si="16"/>
        <v>借</v>
      </c>
      <c r="K134" s="9">
        <f t="shared" si="17"/>
        <v>100</v>
      </c>
    </row>
    <row r="135" spans="1:11" ht="20.100000000000001" customHeight="1" x14ac:dyDescent="0.15">
      <c r="A135" s="5"/>
      <c r="B135" s="5"/>
      <c r="C135" s="5"/>
      <c r="D135" s="10"/>
      <c r="E135" s="16"/>
      <c r="F135" s="10"/>
      <c r="G135" s="10"/>
      <c r="H135" s="8"/>
      <c r="I135" s="8"/>
      <c r="J135" s="8" t="str">
        <f t="shared" si="16"/>
        <v>借</v>
      </c>
      <c r="K135" s="9">
        <f t="shared" si="17"/>
        <v>100</v>
      </c>
    </row>
    <row r="136" spans="1:11" ht="20.100000000000001" customHeight="1" x14ac:dyDescent="0.15">
      <c r="A136" s="5"/>
      <c r="B136" s="5"/>
      <c r="C136" s="5"/>
      <c r="D136" s="10"/>
      <c r="E136" s="10"/>
      <c r="F136" s="10"/>
      <c r="G136" s="10"/>
      <c r="H136" s="8"/>
      <c r="I136" s="8"/>
      <c r="J136" s="8" t="str">
        <f t="shared" si="16"/>
        <v>借</v>
      </c>
      <c r="K136" s="9">
        <f t="shared" si="17"/>
        <v>100</v>
      </c>
    </row>
    <row r="137" spans="1:11" ht="20.100000000000001" customHeight="1" x14ac:dyDescent="0.15">
      <c r="A137" s="5"/>
      <c r="B137" s="5"/>
      <c r="C137" s="5"/>
      <c r="D137" s="10"/>
      <c r="E137" s="10"/>
      <c r="F137" s="10"/>
      <c r="G137" s="10"/>
      <c r="H137" s="8"/>
      <c r="I137" s="8"/>
      <c r="J137" s="8" t="str">
        <f t="shared" si="16"/>
        <v>借</v>
      </c>
      <c r="K137" s="9">
        <f t="shared" si="17"/>
        <v>100</v>
      </c>
    </row>
    <row r="138" spans="1:11" ht="20.100000000000001" customHeight="1" x14ac:dyDescent="0.15">
      <c r="A138" s="10"/>
      <c r="B138" s="5"/>
      <c r="C138" s="5"/>
      <c r="D138" s="10"/>
      <c r="E138" s="10"/>
      <c r="F138" s="10"/>
      <c r="G138" s="10"/>
      <c r="H138" s="8"/>
      <c r="I138" s="8"/>
      <c r="J138" s="8" t="str">
        <f t="shared" si="16"/>
        <v>借</v>
      </c>
      <c r="K138" s="9">
        <f t="shared" si="17"/>
        <v>100</v>
      </c>
    </row>
    <row r="139" spans="1:11" ht="20.100000000000001" customHeight="1" x14ac:dyDescent="0.15">
      <c r="A139" s="10"/>
      <c r="B139" s="5"/>
      <c r="C139" s="5"/>
      <c r="D139" s="10"/>
      <c r="E139" s="10"/>
      <c r="F139" s="10"/>
      <c r="G139" s="10"/>
      <c r="H139" s="8"/>
      <c r="I139" s="8"/>
      <c r="J139" s="8" t="str">
        <f t="shared" si="16"/>
        <v>借</v>
      </c>
      <c r="K139" s="9">
        <f t="shared" si="17"/>
        <v>100</v>
      </c>
    </row>
    <row r="140" spans="1:11" ht="20.100000000000001" customHeight="1" x14ac:dyDescent="0.15">
      <c r="A140" s="5"/>
      <c r="B140" s="5"/>
      <c r="C140" s="5"/>
      <c r="D140" s="10"/>
      <c r="E140" s="10"/>
      <c r="F140" s="10"/>
      <c r="G140" s="10"/>
      <c r="H140" s="8"/>
      <c r="I140" s="8"/>
      <c r="J140" s="8" t="str">
        <f t="shared" si="16"/>
        <v>借</v>
      </c>
      <c r="K140" s="9">
        <f t="shared" si="17"/>
        <v>100</v>
      </c>
    </row>
    <row r="141" spans="1:11" ht="20.100000000000001" customHeight="1" x14ac:dyDescent="0.15">
      <c r="A141" s="5"/>
      <c r="B141" s="5"/>
      <c r="C141" s="5"/>
      <c r="D141" s="10"/>
      <c r="E141" s="10"/>
      <c r="F141" s="10"/>
      <c r="G141" s="10"/>
      <c r="H141" s="8"/>
      <c r="I141" s="8"/>
      <c r="J141" s="8" t="str">
        <f t="shared" ref="J141:J169" si="18">IF((K140+H141-I141)&gt;0,"借","贷")</f>
        <v>借</v>
      </c>
      <c r="K141" s="9">
        <f t="shared" ref="K141:K172" si="19">K140+H141-I141</f>
        <v>100</v>
      </c>
    </row>
    <row r="142" spans="1:11" ht="20.100000000000001" customHeight="1" x14ac:dyDescent="0.15">
      <c r="A142" s="5"/>
      <c r="B142" s="5"/>
      <c r="C142" s="5"/>
      <c r="D142" s="10"/>
      <c r="E142" s="10"/>
      <c r="F142" s="10"/>
      <c r="G142" s="10"/>
      <c r="H142" s="8"/>
      <c r="I142" s="8"/>
      <c r="J142" s="8" t="str">
        <f t="shared" si="18"/>
        <v>借</v>
      </c>
      <c r="K142" s="9">
        <f t="shared" si="19"/>
        <v>100</v>
      </c>
    </row>
    <row r="143" spans="1:11" ht="20.100000000000001" customHeight="1" x14ac:dyDescent="0.15">
      <c r="A143" s="5"/>
      <c r="B143" s="5"/>
      <c r="C143" s="5"/>
      <c r="D143" s="10"/>
      <c r="E143" s="10"/>
      <c r="F143" s="10"/>
      <c r="G143" s="10"/>
      <c r="H143" s="8"/>
      <c r="I143" s="8"/>
      <c r="J143" s="8" t="str">
        <f t="shared" si="18"/>
        <v>借</v>
      </c>
      <c r="K143" s="9">
        <f t="shared" si="19"/>
        <v>100</v>
      </c>
    </row>
    <row r="144" spans="1:11" ht="20.100000000000001" customHeight="1" x14ac:dyDescent="0.15">
      <c r="A144" s="5"/>
      <c r="B144" s="5"/>
      <c r="C144" s="5"/>
      <c r="D144" s="10"/>
      <c r="E144" s="10"/>
      <c r="F144" s="10"/>
      <c r="G144" s="10"/>
      <c r="H144" s="8"/>
      <c r="I144" s="8"/>
      <c r="J144" s="8" t="str">
        <f t="shared" si="18"/>
        <v>借</v>
      </c>
      <c r="K144" s="9">
        <f t="shared" si="19"/>
        <v>100</v>
      </c>
    </row>
    <row r="145" spans="1:11" ht="20.100000000000001" customHeight="1" x14ac:dyDescent="0.15">
      <c r="A145" s="5"/>
      <c r="B145" s="5"/>
      <c r="C145" s="5"/>
      <c r="D145" s="10"/>
      <c r="E145" s="10"/>
      <c r="F145" s="10"/>
      <c r="G145" s="10"/>
      <c r="H145" s="8"/>
      <c r="I145" s="8"/>
      <c r="J145" s="8" t="str">
        <f t="shared" si="18"/>
        <v>借</v>
      </c>
      <c r="K145" s="9">
        <f t="shared" si="19"/>
        <v>100</v>
      </c>
    </row>
    <row r="146" spans="1:11" ht="20.100000000000001" customHeight="1" x14ac:dyDescent="0.15">
      <c r="A146" s="5"/>
      <c r="B146" s="5"/>
      <c r="C146" s="5"/>
      <c r="D146" s="10"/>
      <c r="E146" s="10"/>
      <c r="F146" s="10"/>
      <c r="G146" s="10"/>
      <c r="H146" s="8"/>
      <c r="I146" s="8"/>
      <c r="J146" s="8" t="str">
        <f t="shared" si="18"/>
        <v>借</v>
      </c>
      <c r="K146" s="9">
        <f t="shared" si="19"/>
        <v>100</v>
      </c>
    </row>
    <row r="147" spans="1:11" ht="20.100000000000001" customHeight="1" x14ac:dyDescent="0.15">
      <c r="A147" s="5"/>
      <c r="B147" s="5"/>
      <c r="C147" s="5"/>
      <c r="D147" s="10"/>
      <c r="E147" s="10"/>
      <c r="F147" s="10"/>
      <c r="G147" s="10"/>
      <c r="H147" s="8"/>
      <c r="I147" s="8"/>
      <c r="J147" s="8" t="str">
        <f t="shared" si="18"/>
        <v>借</v>
      </c>
      <c r="K147" s="9">
        <f t="shared" si="19"/>
        <v>100</v>
      </c>
    </row>
    <row r="148" spans="1:11" ht="20.100000000000001" customHeight="1" x14ac:dyDescent="0.15">
      <c r="A148" s="10"/>
      <c r="B148" s="5"/>
      <c r="C148" s="5"/>
      <c r="D148" s="10"/>
      <c r="E148" s="10"/>
      <c r="F148" s="10"/>
      <c r="G148" s="10"/>
      <c r="H148" s="8"/>
      <c r="I148" s="8"/>
      <c r="J148" s="8" t="str">
        <f t="shared" si="18"/>
        <v>借</v>
      </c>
      <c r="K148" s="9">
        <f t="shared" si="19"/>
        <v>100</v>
      </c>
    </row>
    <row r="149" spans="1:11" ht="20.100000000000001" customHeight="1" x14ac:dyDescent="0.15">
      <c r="A149" s="10"/>
      <c r="B149" s="5"/>
      <c r="C149" s="5"/>
      <c r="D149" s="10"/>
      <c r="E149" s="10"/>
      <c r="F149" s="10"/>
      <c r="G149" s="10"/>
      <c r="H149" s="8"/>
      <c r="I149" s="8"/>
      <c r="J149" s="8" t="str">
        <f t="shared" si="18"/>
        <v>借</v>
      </c>
      <c r="K149" s="9">
        <f t="shared" si="19"/>
        <v>100</v>
      </c>
    </row>
    <row r="150" spans="1:11" ht="20.100000000000001" customHeight="1" x14ac:dyDescent="0.15">
      <c r="A150" s="5"/>
      <c r="B150" s="5"/>
      <c r="C150" s="5"/>
      <c r="D150" s="10"/>
      <c r="E150" s="10"/>
      <c r="F150" s="10"/>
      <c r="G150" s="10"/>
      <c r="H150" s="8"/>
      <c r="I150" s="8"/>
      <c r="J150" s="8" t="str">
        <f t="shared" si="18"/>
        <v>借</v>
      </c>
      <c r="K150" s="9">
        <f t="shared" si="19"/>
        <v>100</v>
      </c>
    </row>
    <row r="151" spans="1:11" ht="20.100000000000001" customHeight="1" x14ac:dyDescent="0.15">
      <c r="A151" s="5"/>
      <c r="B151" s="5"/>
      <c r="C151" s="5"/>
      <c r="D151" s="10"/>
      <c r="E151" s="10"/>
      <c r="F151" s="10"/>
      <c r="G151" s="10"/>
      <c r="H151" s="8"/>
      <c r="I151" s="8"/>
      <c r="J151" s="8" t="str">
        <f t="shared" si="18"/>
        <v>借</v>
      </c>
      <c r="K151" s="9">
        <f t="shared" si="19"/>
        <v>100</v>
      </c>
    </row>
    <row r="152" spans="1:11" ht="20.100000000000001" customHeight="1" x14ac:dyDescent="0.15">
      <c r="A152" s="5"/>
      <c r="B152" s="5"/>
      <c r="C152" s="5"/>
      <c r="D152" s="10"/>
      <c r="E152" s="10"/>
      <c r="F152" s="10"/>
      <c r="G152" s="10"/>
      <c r="H152" s="8"/>
      <c r="I152" s="8"/>
      <c r="J152" s="8" t="str">
        <f t="shared" si="18"/>
        <v>借</v>
      </c>
      <c r="K152" s="9">
        <f t="shared" si="19"/>
        <v>100</v>
      </c>
    </row>
    <row r="153" spans="1:11" ht="20.100000000000001" customHeight="1" x14ac:dyDescent="0.15">
      <c r="A153" s="5"/>
      <c r="B153" s="5"/>
      <c r="C153" s="5"/>
      <c r="D153" s="10"/>
      <c r="E153" s="10"/>
      <c r="F153" s="10"/>
      <c r="G153" s="10"/>
      <c r="H153" s="8"/>
      <c r="I153" s="8"/>
      <c r="J153" s="8" t="str">
        <f t="shared" si="18"/>
        <v>借</v>
      </c>
      <c r="K153" s="9">
        <f t="shared" si="19"/>
        <v>100</v>
      </c>
    </row>
    <row r="154" spans="1:11" ht="20.100000000000001" customHeight="1" x14ac:dyDescent="0.15">
      <c r="A154" s="5"/>
      <c r="B154" s="5"/>
      <c r="C154" s="5"/>
      <c r="D154" s="10"/>
      <c r="E154" s="10"/>
      <c r="F154" s="10"/>
      <c r="G154" s="10"/>
      <c r="H154" s="8"/>
      <c r="I154" s="8"/>
      <c r="J154" s="8" t="str">
        <f t="shared" si="18"/>
        <v>借</v>
      </c>
      <c r="K154" s="9">
        <f t="shared" si="19"/>
        <v>100</v>
      </c>
    </row>
    <row r="155" spans="1:11" ht="20.100000000000001" customHeight="1" x14ac:dyDescent="0.15">
      <c r="A155" s="5"/>
      <c r="B155" s="5"/>
      <c r="C155" s="5"/>
      <c r="D155" s="10"/>
      <c r="E155" s="10"/>
      <c r="F155" s="10"/>
      <c r="G155" s="10"/>
      <c r="H155" s="8"/>
      <c r="I155" s="8"/>
      <c r="J155" s="8" t="str">
        <f t="shared" si="18"/>
        <v>借</v>
      </c>
      <c r="K155" s="9">
        <f t="shared" si="19"/>
        <v>100</v>
      </c>
    </row>
    <row r="156" spans="1:11" ht="20.100000000000001" customHeight="1" x14ac:dyDescent="0.15">
      <c r="A156" s="5"/>
      <c r="B156" s="5"/>
      <c r="C156" s="5"/>
      <c r="D156" s="10"/>
      <c r="E156" s="10"/>
      <c r="F156" s="10"/>
      <c r="G156" s="10"/>
      <c r="H156" s="8"/>
      <c r="I156" s="8"/>
      <c r="J156" s="8" t="str">
        <f t="shared" si="18"/>
        <v>借</v>
      </c>
      <c r="K156" s="9">
        <f t="shared" si="19"/>
        <v>100</v>
      </c>
    </row>
    <row r="157" spans="1:11" ht="20.100000000000001" customHeight="1" x14ac:dyDescent="0.15">
      <c r="A157" s="5"/>
      <c r="B157" s="5"/>
      <c r="C157" s="5"/>
      <c r="D157" s="10"/>
      <c r="E157" s="10"/>
      <c r="F157" s="10"/>
      <c r="G157" s="10"/>
      <c r="H157" s="8"/>
      <c r="I157" s="8"/>
      <c r="J157" s="8" t="str">
        <f t="shared" si="18"/>
        <v>借</v>
      </c>
      <c r="K157" s="9">
        <f t="shared" si="19"/>
        <v>100</v>
      </c>
    </row>
    <row r="158" spans="1:11" ht="20.100000000000001" customHeight="1" x14ac:dyDescent="0.15">
      <c r="A158" s="5"/>
      <c r="B158" s="5"/>
      <c r="C158" s="5"/>
      <c r="D158" s="10"/>
      <c r="E158" s="10"/>
      <c r="F158" s="10"/>
      <c r="G158" s="10"/>
      <c r="H158" s="8"/>
      <c r="I158" s="8"/>
      <c r="J158" s="8" t="str">
        <f t="shared" si="18"/>
        <v>借</v>
      </c>
      <c r="K158" s="9">
        <f t="shared" si="19"/>
        <v>100</v>
      </c>
    </row>
    <row r="159" spans="1:11" ht="20.100000000000001" customHeight="1" x14ac:dyDescent="0.15">
      <c r="A159" s="10"/>
      <c r="B159" s="5"/>
      <c r="C159" s="5"/>
      <c r="D159" s="10"/>
      <c r="E159" s="10"/>
      <c r="F159" s="10"/>
      <c r="G159" s="10"/>
      <c r="H159" s="8"/>
      <c r="I159" s="8"/>
      <c r="J159" s="8" t="str">
        <f t="shared" si="18"/>
        <v>借</v>
      </c>
      <c r="K159" s="9">
        <f t="shared" si="19"/>
        <v>100</v>
      </c>
    </row>
    <row r="160" spans="1:11" ht="20.100000000000001" customHeight="1" x14ac:dyDescent="0.15">
      <c r="A160" s="10"/>
      <c r="B160" s="5"/>
      <c r="C160" s="5"/>
      <c r="D160" s="10"/>
      <c r="E160" s="10"/>
      <c r="F160" s="10"/>
      <c r="G160" s="10"/>
      <c r="H160" s="8"/>
      <c r="I160" s="8"/>
      <c r="J160" s="8" t="str">
        <f t="shared" si="18"/>
        <v>借</v>
      </c>
      <c r="K160" s="9">
        <f t="shared" si="19"/>
        <v>100</v>
      </c>
    </row>
    <row r="161" spans="1:11" ht="20.100000000000001" customHeight="1" x14ac:dyDescent="0.15">
      <c r="A161" s="10"/>
      <c r="B161" s="5"/>
      <c r="C161" s="5"/>
      <c r="D161" s="10"/>
      <c r="E161" s="18"/>
      <c r="F161" s="10"/>
      <c r="G161" s="10"/>
      <c r="H161" s="8"/>
      <c r="I161" s="8"/>
      <c r="J161" s="8" t="str">
        <f t="shared" si="18"/>
        <v>借</v>
      </c>
      <c r="K161" s="9">
        <f t="shared" si="19"/>
        <v>100</v>
      </c>
    </row>
    <row r="162" spans="1:11" ht="20.100000000000001" customHeight="1" x14ac:dyDescent="0.15">
      <c r="A162" s="10"/>
      <c r="B162" s="5"/>
      <c r="C162" s="5"/>
      <c r="D162" s="10"/>
      <c r="E162" s="10"/>
      <c r="F162" s="10"/>
      <c r="G162" s="10"/>
      <c r="H162" s="8"/>
      <c r="I162" s="8"/>
      <c r="J162" s="8" t="str">
        <f t="shared" si="18"/>
        <v>借</v>
      </c>
      <c r="K162" s="9">
        <f t="shared" si="19"/>
        <v>100</v>
      </c>
    </row>
    <row r="163" spans="1:11" ht="20.100000000000001" customHeight="1" x14ac:dyDescent="0.15">
      <c r="A163" s="10"/>
      <c r="B163" s="5"/>
      <c r="C163" s="10"/>
      <c r="D163" s="10"/>
      <c r="E163" s="10"/>
      <c r="F163" s="10"/>
      <c r="G163" s="10"/>
      <c r="H163" s="8"/>
      <c r="I163" s="8"/>
      <c r="J163" s="8" t="str">
        <f t="shared" si="18"/>
        <v>借</v>
      </c>
      <c r="K163" s="9">
        <f t="shared" si="19"/>
        <v>100</v>
      </c>
    </row>
    <row r="164" spans="1:11" ht="20.100000000000001" customHeight="1" x14ac:dyDescent="0.15">
      <c r="A164" s="10"/>
      <c r="B164" s="5"/>
      <c r="C164" s="10"/>
      <c r="D164" s="10"/>
      <c r="E164" s="10"/>
      <c r="F164" s="10"/>
      <c r="G164" s="10"/>
      <c r="H164" s="8"/>
      <c r="I164" s="8"/>
      <c r="J164" s="8" t="str">
        <f t="shared" si="18"/>
        <v>借</v>
      </c>
      <c r="K164" s="9">
        <f t="shared" si="19"/>
        <v>100</v>
      </c>
    </row>
    <row r="165" spans="1:11" ht="20.100000000000001" customHeight="1" x14ac:dyDescent="0.15">
      <c r="A165" s="10"/>
      <c r="B165" s="5"/>
      <c r="C165" s="10"/>
      <c r="D165" s="10"/>
      <c r="E165" s="10"/>
      <c r="F165" s="10"/>
      <c r="G165" s="10"/>
      <c r="H165" s="8"/>
      <c r="I165" s="8"/>
      <c r="J165" s="8" t="str">
        <f t="shared" si="18"/>
        <v>借</v>
      </c>
      <c r="K165" s="9">
        <f t="shared" si="19"/>
        <v>100</v>
      </c>
    </row>
    <row r="166" spans="1:11" ht="20.100000000000001" customHeight="1" x14ac:dyDescent="0.15">
      <c r="A166" s="10"/>
      <c r="B166" s="5"/>
      <c r="C166" s="10"/>
      <c r="D166" s="10"/>
      <c r="E166" s="10"/>
      <c r="F166" s="10"/>
      <c r="G166" s="10"/>
      <c r="H166" s="8"/>
      <c r="I166" s="8"/>
      <c r="J166" s="8" t="str">
        <f t="shared" si="18"/>
        <v>借</v>
      </c>
      <c r="K166" s="9">
        <f t="shared" si="19"/>
        <v>100</v>
      </c>
    </row>
    <row r="167" spans="1:11" ht="20.100000000000001" customHeight="1" x14ac:dyDescent="0.15">
      <c r="A167" s="10"/>
      <c r="B167" s="5"/>
      <c r="C167" s="10"/>
      <c r="D167" s="10"/>
      <c r="E167" s="10"/>
      <c r="F167" s="10"/>
      <c r="G167" s="10"/>
      <c r="H167" s="8"/>
      <c r="I167" s="8"/>
      <c r="J167" s="8" t="str">
        <f t="shared" si="18"/>
        <v>借</v>
      </c>
      <c r="K167" s="9">
        <f t="shared" si="19"/>
        <v>100</v>
      </c>
    </row>
    <row r="168" spans="1:11" ht="20.100000000000001" customHeight="1" x14ac:dyDescent="0.15">
      <c r="A168" s="10"/>
      <c r="B168" s="5"/>
      <c r="C168" s="10"/>
      <c r="D168" s="10"/>
      <c r="E168" s="10"/>
      <c r="F168" s="10"/>
      <c r="G168" s="10"/>
      <c r="H168" s="8"/>
      <c r="I168" s="8"/>
      <c r="J168" s="8" t="str">
        <f t="shared" si="18"/>
        <v>借</v>
      </c>
      <c r="K168" s="9">
        <f t="shared" si="19"/>
        <v>100</v>
      </c>
    </row>
    <row r="169" spans="1:11" ht="20.100000000000001" customHeight="1" x14ac:dyDescent="0.15">
      <c r="A169" s="10"/>
      <c r="B169" s="5"/>
      <c r="C169" s="10"/>
      <c r="D169" s="10"/>
      <c r="E169" s="10"/>
      <c r="F169" s="10"/>
      <c r="G169" s="10"/>
      <c r="H169" s="8"/>
      <c r="I169" s="8"/>
      <c r="J169" s="8" t="str">
        <f t="shared" si="18"/>
        <v>借</v>
      </c>
      <c r="K169" s="9">
        <f t="shared" si="19"/>
        <v>100</v>
      </c>
    </row>
    <row r="170" spans="1:11" ht="20.100000000000001" customHeight="1" x14ac:dyDescent="0.15">
      <c r="A170" s="10"/>
      <c r="B170" s="5"/>
      <c r="C170" s="10"/>
      <c r="D170" s="10"/>
      <c r="E170" s="10"/>
      <c r="F170" s="10"/>
      <c r="G170" s="10"/>
      <c r="H170" s="8"/>
      <c r="I170" s="8"/>
      <c r="J170" s="8" t="str">
        <f t="shared" ref="J170:J172" si="20">IF((K169+H170-I170)&gt;0,"借","贷")</f>
        <v>借</v>
      </c>
      <c r="K170" s="9">
        <f t="shared" si="19"/>
        <v>100</v>
      </c>
    </row>
    <row r="171" spans="1:11" ht="20.100000000000001" customHeight="1" x14ac:dyDescent="0.15">
      <c r="A171" s="10"/>
      <c r="B171" s="5"/>
      <c r="C171" s="10"/>
      <c r="D171" s="10"/>
      <c r="E171" s="10"/>
      <c r="F171" s="10"/>
      <c r="G171" s="10"/>
      <c r="H171" s="8"/>
      <c r="I171" s="8"/>
      <c r="J171" s="8" t="s">
        <v>39</v>
      </c>
      <c r="K171" s="9">
        <f t="shared" si="19"/>
        <v>100</v>
      </c>
    </row>
    <row r="172" spans="1:11" ht="20.100000000000001" customHeight="1" x14ac:dyDescent="0.15">
      <c r="A172" s="10"/>
      <c r="B172" s="5"/>
      <c r="C172" s="10"/>
      <c r="D172" s="10"/>
      <c r="E172" s="10"/>
      <c r="F172" s="10"/>
      <c r="G172" s="10"/>
      <c r="H172" s="8"/>
      <c r="I172" s="8"/>
      <c r="J172" s="8" t="str">
        <f t="shared" si="20"/>
        <v>借</v>
      </c>
      <c r="K172" s="9">
        <f t="shared" si="19"/>
        <v>100</v>
      </c>
    </row>
    <row r="173" spans="1:11" ht="20.100000000000001" customHeight="1" x14ac:dyDescent="0.15">
      <c r="A173" s="10"/>
      <c r="B173" s="5"/>
      <c r="C173" s="10"/>
      <c r="D173" s="10"/>
      <c r="E173" s="10"/>
      <c r="F173" s="10"/>
      <c r="G173" s="10"/>
      <c r="H173" s="8"/>
      <c r="I173" s="8"/>
      <c r="J173" s="8" t="s">
        <v>39</v>
      </c>
      <c r="K173" s="9">
        <f t="shared" ref="K173:K236" si="21">_xlfn.IFS(J172="借",K172+H173-I173,J172="贷",H173-I173-K172)</f>
        <v>100</v>
      </c>
    </row>
    <row r="174" spans="1:11" ht="20.100000000000001" customHeight="1" x14ac:dyDescent="0.15">
      <c r="A174" s="10"/>
      <c r="B174" s="5"/>
      <c r="C174" s="10"/>
      <c r="D174" s="10"/>
      <c r="E174" s="10"/>
      <c r="F174" s="10"/>
      <c r="G174" s="10"/>
      <c r="H174" s="8"/>
      <c r="I174" s="8"/>
      <c r="J174" s="8" t="str">
        <f t="shared" ref="J174:J178" si="22">IF((K173+H174-I174)&gt;0,"借","贷")</f>
        <v>借</v>
      </c>
      <c r="K174" s="9">
        <f t="shared" si="21"/>
        <v>100</v>
      </c>
    </row>
    <row r="175" spans="1:11" ht="20.100000000000001" customHeight="1" x14ac:dyDescent="0.15">
      <c r="A175" s="10"/>
      <c r="B175" s="5"/>
      <c r="C175" s="10"/>
      <c r="D175" s="10"/>
      <c r="E175" s="10"/>
      <c r="F175" s="10"/>
      <c r="G175" s="10"/>
      <c r="H175" s="8"/>
      <c r="I175" s="8"/>
      <c r="J175" s="8" t="s">
        <v>39</v>
      </c>
      <c r="K175" s="9">
        <f t="shared" si="21"/>
        <v>100</v>
      </c>
    </row>
    <row r="176" spans="1:11" ht="20.100000000000001" customHeight="1" x14ac:dyDescent="0.15">
      <c r="A176" s="10"/>
      <c r="B176" s="5"/>
      <c r="C176" s="10"/>
      <c r="D176" s="10"/>
      <c r="E176" s="10"/>
      <c r="F176" s="10"/>
      <c r="G176" s="10"/>
      <c r="H176" s="8"/>
      <c r="I176" s="8"/>
      <c r="J176" s="8" t="str">
        <f t="shared" si="22"/>
        <v>借</v>
      </c>
      <c r="K176" s="9">
        <f t="shared" si="21"/>
        <v>100</v>
      </c>
    </row>
    <row r="177" spans="1:11" ht="20.100000000000001" customHeight="1" x14ac:dyDescent="0.15">
      <c r="A177" s="10"/>
      <c r="B177" s="5"/>
      <c r="C177" s="10"/>
      <c r="D177" s="10"/>
      <c r="E177" s="10"/>
      <c r="F177" s="10"/>
      <c r="G177" s="10"/>
      <c r="H177" s="8"/>
      <c r="I177" s="8"/>
      <c r="J177" s="8" t="s">
        <v>39</v>
      </c>
      <c r="K177" s="9">
        <f t="shared" si="21"/>
        <v>100</v>
      </c>
    </row>
    <row r="178" spans="1:11" ht="20.100000000000001" customHeight="1" x14ac:dyDescent="0.15">
      <c r="A178" s="10"/>
      <c r="B178" s="5"/>
      <c r="C178" s="10"/>
      <c r="D178" s="10"/>
      <c r="E178" s="10"/>
      <c r="F178" s="10"/>
      <c r="G178" s="10"/>
      <c r="H178" s="8"/>
      <c r="I178" s="8"/>
      <c r="J178" s="8" t="str">
        <f t="shared" si="22"/>
        <v>借</v>
      </c>
      <c r="K178" s="9">
        <f t="shared" si="21"/>
        <v>100</v>
      </c>
    </row>
    <row r="179" spans="1:11" ht="20.100000000000001" customHeight="1" x14ac:dyDescent="0.15">
      <c r="A179" s="10"/>
      <c r="B179" s="5"/>
      <c r="C179" s="10"/>
      <c r="D179" s="10"/>
      <c r="E179" s="10"/>
      <c r="F179" s="10"/>
      <c r="G179" s="10"/>
      <c r="H179" s="8"/>
      <c r="I179" s="8"/>
      <c r="J179" s="8" t="s">
        <v>39</v>
      </c>
      <c r="K179" s="9">
        <f t="shared" si="21"/>
        <v>100</v>
      </c>
    </row>
    <row r="180" spans="1:11" ht="20.100000000000001" customHeight="1" x14ac:dyDescent="0.15">
      <c r="A180" s="10"/>
      <c r="B180" s="5"/>
      <c r="C180" s="10"/>
      <c r="D180" s="10"/>
      <c r="E180" s="10"/>
      <c r="F180" s="10"/>
      <c r="G180" s="10"/>
      <c r="H180" s="8"/>
      <c r="I180" s="8"/>
      <c r="J180" s="8" t="str">
        <f t="shared" ref="J180:J184" si="23">IF((K179+H180-I180)&gt;0,"借","贷")</f>
        <v>借</v>
      </c>
      <c r="K180" s="9">
        <f t="shared" si="21"/>
        <v>100</v>
      </c>
    </row>
    <row r="181" spans="1:11" ht="20.100000000000001" customHeight="1" x14ac:dyDescent="0.15">
      <c r="A181" s="10"/>
      <c r="B181" s="5"/>
      <c r="C181" s="10"/>
      <c r="D181" s="10"/>
      <c r="E181" s="10"/>
      <c r="F181" s="10"/>
      <c r="G181" s="10"/>
      <c r="H181" s="8"/>
      <c r="I181" s="8"/>
      <c r="J181" s="8" t="s">
        <v>39</v>
      </c>
      <c r="K181" s="9">
        <f t="shared" si="21"/>
        <v>100</v>
      </c>
    </row>
    <row r="182" spans="1:11" ht="20.100000000000001" customHeight="1" x14ac:dyDescent="0.15">
      <c r="A182" s="10"/>
      <c r="B182" s="5"/>
      <c r="C182" s="10"/>
      <c r="D182" s="10"/>
      <c r="E182" s="10"/>
      <c r="F182" s="10"/>
      <c r="G182" s="10"/>
      <c r="H182" s="8"/>
      <c r="I182" s="8"/>
      <c r="J182" s="8" t="str">
        <f t="shared" si="23"/>
        <v>借</v>
      </c>
      <c r="K182" s="9">
        <f t="shared" si="21"/>
        <v>100</v>
      </c>
    </row>
    <row r="183" spans="1:11" ht="20.100000000000001" customHeight="1" x14ac:dyDescent="0.15">
      <c r="A183" s="10"/>
      <c r="B183" s="5"/>
      <c r="C183" s="10"/>
      <c r="D183" s="10"/>
      <c r="E183" s="10"/>
      <c r="F183" s="10"/>
      <c r="G183" s="10"/>
      <c r="H183" s="8"/>
      <c r="I183" s="8"/>
      <c r="J183" s="8" t="s">
        <v>39</v>
      </c>
      <c r="K183" s="9">
        <f t="shared" si="21"/>
        <v>100</v>
      </c>
    </row>
    <row r="184" spans="1:11" ht="20.100000000000001" customHeight="1" x14ac:dyDescent="0.15">
      <c r="A184" s="10"/>
      <c r="B184" s="5"/>
      <c r="C184" s="10"/>
      <c r="D184" s="10"/>
      <c r="E184" s="10"/>
      <c r="F184" s="10"/>
      <c r="G184" s="10"/>
      <c r="H184" s="8"/>
      <c r="I184" s="8"/>
      <c r="J184" s="8" t="str">
        <f t="shared" si="23"/>
        <v>借</v>
      </c>
      <c r="K184" s="9">
        <f t="shared" si="21"/>
        <v>100</v>
      </c>
    </row>
    <row r="185" spans="1:11" ht="20.100000000000001" customHeight="1" x14ac:dyDescent="0.15">
      <c r="A185" s="10"/>
      <c r="B185" s="5"/>
      <c r="C185" s="10"/>
      <c r="D185" s="10"/>
      <c r="E185" s="10"/>
      <c r="F185" s="10"/>
      <c r="G185" s="10"/>
      <c r="H185" s="8"/>
      <c r="I185" s="8"/>
      <c r="J185" s="8" t="s">
        <v>39</v>
      </c>
      <c r="K185" s="9">
        <f t="shared" si="21"/>
        <v>100</v>
      </c>
    </row>
    <row r="186" spans="1:11" ht="20.100000000000001" customHeight="1" x14ac:dyDescent="0.15">
      <c r="A186" s="10"/>
      <c r="B186" s="5"/>
      <c r="C186" s="10"/>
      <c r="D186" s="10"/>
      <c r="E186" s="10"/>
      <c r="F186" s="10"/>
      <c r="G186" s="10"/>
      <c r="H186" s="8"/>
      <c r="I186" s="8"/>
      <c r="J186" s="8" t="str">
        <f t="shared" ref="J186:J190" si="24">IF((K185+H186-I186)&gt;0,"借","贷")</f>
        <v>借</v>
      </c>
      <c r="K186" s="9">
        <f t="shared" si="21"/>
        <v>100</v>
      </c>
    </row>
    <row r="187" spans="1:11" ht="20.100000000000001" customHeight="1" x14ac:dyDescent="0.15">
      <c r="A187" s="10"/>
      <c r="B187" s="5"/>
      <c r="C187" s="10"/>
      <c r="D187" s="10"/>
      <c r="E187" s="10"/>
      <c r="F187" s="10"/>
      <c r="G187" s="10"/>
      <c r="H187" s="8"/>
      <c r="I187" s="8"/>
      <c r="J187" s="8" t="s">
        <v>39</v>
      </c>
      <c r="K187" s="9">
        <f t="shared" si="21"/>
        <v>100</v>
      </c>
    </row>
    <row r="188" spans="1:11" ht="20.100000000000001" customHeight="1" x14ac:dyDescent="0.15">
      <c r="A188" s="10"/>
      <c r="B188" s="5"/>
      <c r="C188" s="10"/>
      <c r="D188" s="10"/>
      <c r="E188" s="10"/>
      <c r="F188" s="10"/>
      <c r="G188" s="10"/>
      <c r="H188" s="8"/>
      <c r="I188" s="8"/>
      <c r="J188" s="8" t="str">
        <f t="shared" si="24"/>
        <v>借</v>
      </c>
      <c r="K188" s="9">
        <f t="shared" si="21"/>
        <v>100</v>
      </c>
    </row>
    <row r="189" spans="1:11" ht="20.100000000000001" customHeight="1" x14ac:dyDescent="0.15">
      <c r="A189" s="10"/>
      <c r="B189" s="5"/>
      <c r="C189" s="10"/>
      <c r="D189" s="10"/>
      <c r="E189" s="19"/>
      <c r="F189" s="10"/>
      <c r="G189" s="10"/>
      <c r="H189" s="8"/>
      <c r="I189" s="8"/>
      <c r="J189" s="8" t="s">
        <v>39</v>
      </c>
      <c r="K189" s="9">
        <f t="shared" si="21"/>
        <v>100</v>
      </c>
    </row>
    <row r="190" spans="1:11" ht="20.100000000000001" customHeight="1" x14ac:dyDescent="0.15">
      <c r="A190" s="10"/>
      <c r="B190" s="5"/>
      <c r="C190" s="10"/>
      <c r="D190" s="10"/>
      <c r="E190" s="10"/>
      <c r="F190" s="10"/>
      <c r="G190" s="10"/>
      <c r="H190" s="8"/>
      <c r="I190" s="8"/>
      <c r="J190" s="8" t="str">
        <f t="shared" si="24"/>
        <v>借</v>
      </c>
      <c r="K190" s="9">
        <f t="shared" si="21"/>
        <v>100</v>
      </c>
    </row>
    <row r="191" spans="1:11" ht="20.100000000000001" customHeight="1" x14ac:dyDescent="0.15">
      <c r="A191" s="10"/>
      <c r="B191" s="5"/>
      <c r="C191" s="10"/>
      <c r="D191" s="10"/>
      <c r="E191" s="10"/>
      <c r="F191" s="10"/>
      <c r="G191" s="10"/>
      <c r="H191" s="8"/>
      <c r="I191" s="8"/>
      <c r="J191" s="8" t="s">
        <v>39</v>
      </c>
      <c r="K191" s="9">
        <f t="shared" si="21"/>
        <v>100</v>
      </c>
    </row>
    <row r="192" spans="1:11" ht="20.100000000000001" customHeight="1" x14ac:dyDescent="0.15">
      <c r="A192" s="10"/>
      <c r="B192" s="5"/>
      <c r="C192" s="10"/>
      <c r="D192" s="10"/>
      <c r="E192" s="10"/>
      <c r="F192" s="10"/>
      <c r="G192" s="10"/>
      <c r="H192" s="8"/>
      <c r="I192" s="8"/>
      <c r="J192" s="8" t="str">
        <f t="shared" ref="J192:J196" si="25">IF((K191+H192-I192)&gt;0,"借","贷")</f>
        <v>借</v>
      </c>
      <c r="K192" s="9">
        <f t="shared" si="21"/>
        <v>100</v>
      </c>
    </row>
    <row r="193" spans="1:11" ht="20.100000000000001" customHeight="1" x14ac:dyDescent="0.15">
      <c r="A193" s="10"/>
      <c r="B193" s="5"/>
      <c r="C193" s="10"/>
      <c r="D193" s="10"/>
      <c r="E193" s="10"/>
      <c r="F193" s="10"/>
      <c r="G193" s="10"/>
      <c r="H193" s="8"/>
      <c r="I193" s="8"/>
      <c r="J193" s="8" t="s">
        <v>39</v>
      </c>
      <c r="K193" s="9">
        <f t="shared" si="21"/>
        <v>100</v>
      </c>
    </row>
    <row r="194" spans="1:11" ht="20.100000000000001" customHeight="1" x14ac:dyDescent="0.15">
      <c r="A194" s="10"/>
      <c r="B194" s="5"/>
      <c r="C194" s="10"/>
      <c r="D194" s="10"/>
      <c r="E194" s="10"/>
      <c r="F194" s="10"/>
      <c r="G194" s="10"/>
      <c r="H194" s="8"/>
      <c r="I194" s="8"/>
      <c r="J194" s="8" t="str">
        <f t="shared" si="25"/>
        <v>借</v>
      </c>
      <c r="K194" s="9">
        <f t="shared" si="21"/>
        <v>100</v>
      </c>
    </row>
    <row r="195" spans="1:11" ht="20.100000000000001" customHeight="1" x14ac:dyDescent="0.15">
      <c r="A195" s="10"/>
      <c r="B195" s="5"/>
      <c r="C195" s="10"/>
      <c r="D195" s="10"/>
      <c r="E195" s="10"/>
      <c r="F195" s="10"/>
      <c r="G195" s="10"/>
      <c r="H195" s="8"/>
      <c r="I195" s="8"/>
      <c r="J195" s="8" t="s">
        <v>39</v>
      </c>
      <c r="K195" s="9">
        <f t="shared" si="21"/>
        <v>100</v>
      </c>
    </row>
    <row r="196" spans="1:11" ht="20.100000000000001" customHeight="1" x14ac:dyDescent="0.15">
      <c r="A196" s="10"/>
      <c r="B196" s="5"/>
      <c r="C196" s="10"/>
      <c r="D196" s="10"/>
      <c r="E196" s="10"/>
      <c r="F196" s="10"/>
      <c r="G196" s="10"/>
      <c r="H196" s="8"/>
      <c r="I196" s="8"/>
      <c r="J196" s="8" t="str">
        <f t="shared" si="25"/>
        <v>借</v>
      </c>
      <c r="K196" s="9">
        <f t="shared" si="21"/>
        <v>100</v>
      </c>
    </row>
    <row r="197" spans="1:11" ht="20.100000000000001" customHeight="1" x14ac:dyDescent="0.15">
      <c r="A197" s="10"/>
      <c r="B197" s="5"/>
      <c r="C197" s="10"/>
      <c r="D197" s="10"/>
      <c r="E197" s="10"/>
      <c r="F197" s="10"/>
      <c r="G197" s="10"/>
      <c r="H197" s="8"/>
      <c r="I197" s="8"/>
      <c r="J197" s="8" t="s">
        <v>39</v>
      </c>
      <c r="K197" s="9">
        <f t="shared" si="21"/>
        <v>100</v>
      </c>
    </row>
    <row r="198" spans="1:11" ht="20.100000000000001" customHeight="1" x14ac:dyDescent="0.15">
      <c r="A198" s="10"/>
      <c r="B198" s="5"/>
      <c r="C198" s="10"/>
      <c r="D198" s="10"/>
      <c r="E198" s="10"/>
      <c r="F198" s="10"/>
      <c r="G198" s="10"/>
      <c r="H198" s="8"/>
      <c r="I198" s="8"/>
      <c r="J198" s="8" t="str">
        <f t="shared" ref="J198:J202" si="26">IF((K197+H198-I198)&gt;0,"借","贷")</f>
        <v>借</v>
      </c>
      <c r="K198" s="9">
        <f t="shared" si="21"/>
        <v>100</v>
      </c>
    </row>
    <row r="199" spans="1:11" ht="20.100000000000001" customHeight="1" x14ac:dyDescent="0.15">
      <c r="A199" s="10"/>
      <c r="B199" s="5"/>
      <c r="C199" s="10"/>
      <c r="D199" s="10"/>
      <c r="E199" s="10"/>
      <c r="F199" s="10"/>
      <c r="G199" s="10"/>
      <c r="H199" s="8"/>
      <c r="I199" s="8"/>
      <c r="J199" s="8" t="s">
        <v>39</v>
      </c>
      <c r="K199" s="9">
        <f t="shared" si="21"/>
        <v>100</v>
      </c>
    </row>
    <row r="200" spans="1:11" ht="20.100000000000001" customHeight="1" x14ac:dyDescent="0.15">
      <c r="A200" s="10"/>
      <c r="B200" s="5"/>
      <c r="C200" s="10"/>
      <c r="D200" s="10"/>
      <c r="E200" s="10"/>
      <c r="F200" s="10"/>
      <c r="G200" s="10"/>
      <c r="H200" s="8"/>
      <c r="I200" s="8"/>
      <c r="J200" s="8" t="str">
        <f t="shared" si="26"/>
        <v>借</v>
      </c>
      <c r="K200" s="9">
        <f t="shared" si="21"/>
        <v>100</v>
      </c>
    </row>
    <row r="201" spans="1:11" ht="20.100000000000001" customHeight="1" x14ac:dyDescent="0.15">
      <c r="A201" s="10"/>
      <c r="B201" s="5"/>
      <c r="C201" s="10"/>
      <c r="D201" s="10"/>
      <c r="E201" s="10"/>
      <c r="F201" s="10"/>
      <c r="G201" s="10"/>
      <c r="H201" s="8"/>
      <c r="I201" s="8"/>
      <c r="J201" s="8" t="s">
        <v>39</v>
      </c>
      <c r="K201" s="9">
        <f t="shared" si="21"/>
        <v>100</v>
      </c>
    </row>
    <row r="202" spans="1:11" ht="20.100000000000001" customHeight="1" x14ac:dyDescent="0.15">
      <c r="A202" s="10"/>
      <c r="B202" s="5"/>
      <c r="C202" s="10"/>
      <c r="D202" s="10"/>
      <c r="E202" s="10"/>
      <c r="F202" s="10"/>
      <c r="G202" s="10"/>
      <c r="H202" s="8"/>
      <c r="I202" s="8"/>
      <c r="J202" s="8" t="str">
        <f t="shared" si="26"/>
        <v>借</v>
      </c>
      <c r="K202" s="9">
        <f t="shared" si="21"/>
        <v>100</v>
      </c>
    </row>
    <row r="203" spans="1:11" ht="20.100000000000001" customHeight="1" x14ac:dyDescent="0.15">
      <c r="A203" s="10"/>
      <c r="B203" s="5"/>
      <c r="C203" s="10"/>
      <c r="D203" s="10"/>
      <c r="E203" s="10"/>
      <c r="F203" s="10"/>
      <c r="G203" s="10"/>
      <c r="H203" s="8"/>
      <c r="I203" s="8"/>
      <c r="J203" s="8" t="s">
        <v>39</v>
      </c>
      <c r="K203" s="9">
        <f t="shared" si="21"/>
        <v>100</v>
      </c>
    </row>
    <row r="204" spans="1:11" ht="20.100000000000001" customHeight="1" x14ac:dyDescent="0.15">
      <c r="A204" s="10"/>
      <c r="B204" s="5"/>
      <c r="C204" s="10"/>
      <c r="D204" s="10"/>
      <c r="E204" s="10"/>
      <c r="F204" s="10"/>
      <c r="G204" s="10"/>
      <c r="H204" s="8"/>
      <c r="I204" s="8"/>
      <c r="J204" s="8" t="str">
        <f t="shared" ref="J204:J208" si="27">IF((K203+H204-I204)&gt;0,"借","贷")</f>
        <v>借</v>
      </c>
      <c r="K204" s="9">
        <f t="shared" si="21"/>
        <v>100</v>
      </c>
    </row>
    <row r="205" spans="1:11" ht="20.100000000000001" customHeight="1" x14ac:dyDescent="0.15">
      <c r="A205" s="10"/>
      <c r="B205" s="5"/>
      <c r="C205" s="10"/>
      <c r="D205" s="10"/>
      <c r="E205" s="10"/>
      <c r="F205" s="10"/>
      <c r="G205" s="10"/>
      <c r="H205" s="8"/>
      <c r="I205" s="8"/>
      <c r="J205" s="8" t="s">
        <v>39</v>
      </c>
      <c r="K205" s="9">
        <f t="shared" si="21"/>
        <v>100</v>
      </c>
    </row>
    <row r="206" spans="1:11" ht="20.100000000000001" customHeight="1" x14ac:dyDescent="0.15">
      <c r="A206" s="10"/>
      <c r="B206" s="5"/>
      <c r="C206" s="10"/>
      <c r="D206" s="10"/>
      <c r="E206" s="10"/>
      <c r="F206" s="10"/>
      <c r="G206" s="10"/>
      <c r="H206" s="8"/>
      <c r="I206" s="8"/>
      <c r="J206" s="8" t="str">
        <f t="shared" si="27"/>
        <v>借</v>
      </c>
      <c r="K206" s="9">
        <f t="shared" si="21"/>
        <v>100</v>
      </c>
    </row>
    <row r="207" spans="1:11" ht="20.100000000000001" customHeight="1" x14ac:dyDescent="0.15">
      <c r="A207" s="10"/>
      <c r="B207" s="5"/>
      <c r="C207" s="10"/>
      <c r="D207" s="10"/>
      <c r="E207" s="10"/>
      <c r="F207" s="10"/>
      <c r="G207" s="10"/>
      <c r="H207" s="8"/>
      <c r="I207" s="8"/>
      <c r="J207" s="8" t="s">
        <v>39</v>
      </c>
      <c r="K207" s="9">
        <f t="shared" si="21"/>
        <v>100</v>
      </c>
    </row>
    <row r="208" spans="1:11" ht="20.100000000000001" customHeight="1" x14ac:dyDescent="0.15">
      <c r="A208" s="10"/>
      <c r="B208" s="5"/>
      <c r="C208" s="10"/>
      <c r="D208" s="10"/>
      <c r="E208" s="10"/>
      <c r="F208" s="10"/>
      <c r="G208" s="10"/>
      <c r="H208" s="8"/>
      <c r="I208" s="8"/>
      <c r="J208" s="8" t="str">
        <f t="shared" si="27"/>
        <v>借</v>
      </c>
      <c r="K208" s="9">
        <f t="shared" si="21"/>
        <v>100</v>
      </c>
    </row>
    <row r="209" spans="1:11" ht="20.100000000000001" customHeight="1" x14ac:dyDescent="0.15">
      <c r="A209" s="10"/>
      <c r="B209" s="5"/>
      <c r="C209" s="10"/>
      <c r="D209" s="10"/>
      <c r="E209" s="10"/>
      <c r="F209" s="10"/>
      <c r="G209" s="10"/>
      <c r="H209" s="8"/>
      <c r="I209" s="8"/>
      <c r="J209" s="8" t="s">
        <v>39</v>
      </c>
      <c r="K209" s="9">
        <f t="shared" si="21"/>
        <v>100</v>
      </c>
    </row>
    <row r="210" spans="1:11" ht="20.100000000000001" customHeight="1" x14ac:dyDescent="0.15">
      <c r="A210" s="10"/>
      <c r="B210" s="5"/>
      <c r="C210" s="10"/>
      <c r="D210" s="10"/>
      <c r="E210" s="10"/>
      <c r="F210" s="10"/>
      <c r="G210" s="10"/>
      <c r="H210" s="8"/>
      <c r="I210" s="8"/>
      <c r="J210" s="8" t="str">
        <f t="shared" ref="J210:J214" si="28">IF((K209+H210-I210)&gt;0,"借","贷")</f>
        <v>借</v>
      </c>
      <c r="K210" s="9">
        <f t="shared" si="21"/>
        <v>100</v>
      </c>
    </row>
    <row r="211" spans="1:11" ht="20.100000000000001" customHeight="1" x14ac:dyDescent="0.15">
      <c r="A211" s="10"/>
      <c r="B211" s="5"/>
      <c r="C211" s="10"/>
      <c r="D211" s="10"/>
      <c r="E211" s="10"/>
      <c r="F211" s="10"/>
      <c r="G211" s="10"/>
      <c r="H211" s="8"/>
      <c r="I211" s="8"/>
      <c r="J211" s="8" t="s">
        <v>39</v>
      </c>
      <c r="K211" s="9">
        <f t="shared" si="21"/>
        <v>100</v>
      </c>
    </row>
    <row r="212" spans="1:11" ht="20.100000000000001" customHeight="1" x14ac:dyDescent="0.15">
      <c r="A212" s="10"/>
      <c r="B212" s="5"/>
      <c r="C212" s="10"/>
      <c r="D212" s="10"/>
      <c r="E212" s="20"/>
      <c r="F212" s="10"/>
      <c r="G212" s="10"/>
      <c r="H212" s="8"/>
      <c r="I212" s="8"/>
      <c r="J212" s="8" t="str">
        <f t="shared" si="28"/>
        <v>借</v>
      </c>
      <c r="K212" s="9">
        <f t="shared" si="21"/>
        <v>100</v>
      </c>
    </row>
    <row r="213" spans="1:11" ht="20.100000000000001" customHeight="1" x14ac:dyDescent="0.15">
      <c r="A213" s="10"/>
      <c r="B213" s="5"/>
      <c r="C213" s="10"/>
      <c r="D213" s="10"/>
      <c r="E213" s="10"/>
      <c r="F213" s="10"/>
      <c r="G213" s="10"/>
      <c r="H213" s="8"/>
      <c r="I213" s="8"/>
      <c r="J213" s="8" t="s">
        <v>39</v>
      </c>
      <c r="K213" s="9">
        <f t="shared" si="21"/>
        <v>100</v>
      </c>
    </row>
    <row r="214" spans="1:11" ht="20.100000000000001" customHeight="1" x14ac:dyDescent="0.15">
      <c r="A214" s="10"/>
      <c r="B214" s="5"/>
      <c r="C214" s="10"/>
      <c r="D214" s="10"/>
      <c r="E214" s="10"/>
      <c r="F214" s="10"/>
      <c r="G214" s="10"/>
      <c r="H214" s="8"/>
      <c r="I214" s="8"/>
      <c r="J214" s="8" t="str">
        <f t="shared" si="28"/>
        <v>借</v>
      </c>
      <c r="K214" s="9">
        <f t="shared" si="21"/>
        <v>100</v>
      </c>
    </row>
    <row r="215" spans="1:11" ht="20.100000000000001" customHeight="1" x14ac:dyDescent="0.15">
      <c r="A215" s="10"/>
      <c r="B215" s="5"/>
      <c r="C215" s="10"/>
      <c r="D215" s="10"/>
      <c r="E215" s="10"/>
      <c r="F215" s="10"/>
      <c r="G215" s="10"/>
      <c r="H215" s="8"/>
      <c r="I215" s="8"/>
      <c r="J215" s="8" t="s">
        <v>39</v>
      </c>
      <c r="K215" s="9">
        <f t="shared" si="21"/>
        <v>100</v>
      </c>
    </row>
    <row r="216" spans="1:11" ht="20.100000000000001" customHeight="1" x14ac:dyDescent="0.15">
      <c r="A216" s="10"/>
      <c r="B216" s="5"/>
      <c r="C216" s="10"/>
      <c r="D216" s="10"/>
      <c r="E216" s="10"/>
      <c r="F216" s="10"/>
      <c r="G216" s="10"/>
      <c r="H216" s="8"/>
      <c r="I216" s="8"/>
      <c r="J216" s="8" t="str">
        <f t="shared" ref="J216:J220" si="29">IF((K215+H216-I216)&gt;0,"借","贷")</f>
        <v>借</v>
      </c>
      <c r="K216" s="9">
        <f t="shared" si="21"/>
        <v>100</v>
      </c>
    </row>
    <row r="217" spans="1:11" ht="20.100000000000001" customHeight="1" x14ac:dyDescent="0.15">
      <c r="A217" s="10"/>
      <c r="B217" s="5"/>
      <c r="C217" s="10"/>
      <c r="D217" s="10"/>
      <c r="E217" s="10"/>
      <c r="F217" s="10"/>
      <c r="G217" s="10"/>
      <c r="H217" s="8"/>
      <c r="I217" s="8"/>
      <c r="J217" s="8" t="s">
        <v>39</v>
      </c>
      <c r="K217" s="9">
        <f t="shared" si="21"/>
        <v>100</v>
      </c>
    </row>
    <row r="218" spans="1:11" ht="20.100000000000001" customHeight="1" x14ac:dyDescent="0.15">
      <c r="A218" s="10"/>
      <c r="B218" s="5"/>
      <c r="C218" s="10"/>
      <c r="D218" s="10"/>
      <c r="E218" s="10"/>
      <c r="F218" s="10"/>
      <c r="G218" s="10"/>
      <c r="H218" s="8"/>
      <c r="I218" s="8"/>
      <c r="J218" s="8" t="str">
        <f t="shared" si="29"/>
        <v>借</v>
      </c>
      <c r="K218" s="9">
        <f t="shared" si="21"/>
        <v>100</v>
      </c>
    </row>
    <row r="219" spans="1:11" ht="20.100000000000001" customHeight="1" x14ac:dyDescent="0.15">
      <c r="A219" s="10"/>
      <c r="B219" s="5"/>
      <c r="C219" s="10"/>
      <c r="D219" s="10"/>
      <c r="E219" s="10"/>
      <c r="F219" s="10"/>
      <c r="G219" s="10"/>
      <c r="H219" s="8"/>
      <c r="I219" s="8"/>
      <c r="J219" s="8" t="s">
        <v>39</v>
      </c>
      <c r="K219" s="9">
        <f t="shared" si="21"/>
        <v>100</v>
      </c>
    </row>
    <row r="220" spans="1:11" ht="20.100000000000001" customHeight="1" x14ac:dyDescent="0.15">
      <c r="A220" s="10"/>
      <c r="B220" s="5"/>
      <c r="C220" s="10"/>
      <c r="D220" s="10"/>
      <c r="E220" s="10"/>
      <c r="F220" s="10"/>
      <c r="G220" s="10"/>
      <c r="H220" s="8"/>
      <c r="I220" s="8"/>
      <c r="J220" s="8" t="str">
        <f t="shared" si="29"/>
        <v>借</v>
      </c>
      <c r="K220" s="9">
        <f t="shared" si="21"/>
        <v>100</v>
      </c>
    </row>
    <row r="221" spans="1:11" ht="20.100000000000001" customHeight="1" x14ac:dyDescent="0.15">
      <c r="A221" s="10"/>
      <c r="B221" s="5"/>
      <c r="C221" s="10"/>
      <c r="D221" s="10"/>
      <c r="E221" s="10"/>
      <c r="F221" s="10"/>
      <c r="G221" s="10"/>
      <c r="H221" s="8"/>
      <c r="I221" s="8"/>
      <c r="J221" s="8" t="s">
        <v>39</v>
      </c>
      <c r="K221" s="9">
        <f t="shared" si="21"/>
        <v>100</v>
      </c>
    </row>
    <row r="222" spans="1:11" ht="20.100000000000001" customHeight="1" x14ac:dyDescent="0.15">
      <c r="A222" s="10"/>
      <c r="B222" s="5"/>
      <c r="C222" s="10"/>
      <c r="D222" s="10"/>
      <c r="E222" s="10"/>
      <c r="F222" s="10"/>
      <c r="G222" s="10"/>
      <c r="H222" s="8"/>
      <c r="I222" s="8"/>
      <c r="J222" s="8" t="str">
        <f t="shared" ref="J222:J226" si="30">IF((K221+H222-I222)&gt;0,"借","贷")</f>
        <v>借</v>
      </c>
      <c r="K222" s="9">
        <f t="shared" si="21"/>
        <v>100</v>
      </c>
    </row>
    <row r="223" spans="1:11" ht="20.100000000000001" customHeight="1" x14ac:dyDescent="0.15">
      <c r="A223" s="10"/>
      <c r="B223" s="5"/>
      <c r="C223" s="10"/>
      <c r="D223" s="10"/>
      <c r="E223" s="10"/>
      <c r="F223" s="10"/>
      <c r="G223" s="10"/>
      <c r="H223" s="8"/>
      <c r="I223" s="8"/>
      <c r="J223" s="8" t="s">
        <v>39</v>
      </c>
      <c r="K223" s="9">
        <f t="shared" si="21"/>
        <v>100</v>
      </c>
    </row>
    <row r="224" spans="1:11" ht="20.100000000000001" customHeight="1" x14ac:dyDescent="0.15">
      <c r="A224" s="10"/>
      <c r="B224" s="5"/>
      <c r="C224" s="10"/>
      <c r="D224" s="10"/>
      <c r="E224" s="10"/>
      <c r="F224" s="10"/>
      <c r="G224" s="10"/>
      <c r="H224" s="8"/>
      <c r="I224" s="8"/>
      <c r="J224" s="8" t="str">
        <f t="shared" si="30"/>
        <v>借</v>
      </c>
      <c r="K224" s="9">
        <f t="shared" si="21"/>
        <v>100</v>
      </c>
    </row>
    <row r="225" spans="1:11" ht="20.100000000000001" customHeight="1" x14ac:dyDescent="0.15">
      <c r="A225" s="10"/>
      <c r="B225" s="5"/>
      <c r="C225" s="10"/>
      <c r="D225" s="10"/>
      <c r="E225" s="10"/>
      <c r="F225" s="10"/>
      <c r="G225" s="10"/>
      <c r="H225" s="8"/>
      <c r="I225" s="8"/>
      <c r="J225" s="8" t="s">
        <v>39</v>
      </c>
      <c r="K225" s="9">
        <f t="shared" si="21"/>
        <v>100</v>
      </c>
    </row>
    <row r="226" spans="1:11" ht="20.100000000000001" customHeight="1" x14ac:dyDescent="0.15">
      <c r="A226" s="10"/>
      <c r="B226" s="5"/>
      <c r="C226" s="10"/>
      <c r="D226" s="10"/>
      <c r="E226" s="10"/>
      <c r="F226" s="10"/>
      <c r="G226" s="10"/>
      <c r="H226" s="8"/>
      <c r="I226" s="8"/>
      <c r="J226" s="8" t="str">
        <f t="shared" si="30"/>
        <v>借</v>
      </c>
      <c r="K226" s="9">
        <f t="shared" si="21"/>
        <v>100</v>
      </c>
    </row>
    <row r="227" spans="1:11" ht="20.100000000000001" customHeight="1" x14ac:dyDescent="0.15">
      <c r="A227" s="10"/>
      <c r="B227" s="5"/>
      <c r="C227" s="10"/>
      <c r="D227" s="10"/>
      <c r="E227" s="10"/>
      <c r="F227" s="10"/>
      <c r="G227" s="10"/>
      <c r="H227" s="8"/>
      <c r="I227" s="8"/>
      <c r="J227" s="8" t="s">
        <v>39</v>
      </c>
      <c r="K227" s="9">
        <f t="shared" si="21"/>
        <v>100</v>
      </c>
    </row>
    <row r="228" spans="1:11" ht="20.100000000000001" customHeight="1" x14ac:dyDescent="0.15">
      <c r="A228" s="10"/>
      <c r="B228" s="5"/>
      <c r="C228" s="10"/>
      <c r="D228" s="10"/>
      <c r="E228" s="10"/>
      <c r="F228" s="10"/>
      <c r="G228" s="10"/>
      <c r="H228" s="8"/>
      <c r="I228" s="8"/>
      <c r="J228" s="8" t="str">
        <f t="shared" ref="J228:J232" si="31">IF((K227+H228-I228)&gt;0,"借","贷")</f>
        <v>借</v>
      </c>
      <c r="K228" s="9">
        <f t="shared" si="21"/>
        <v>100</v>
      </c>
    </row>
    <row r="229" spans="1:11" ht="20.100000000000001" customHeight="1" x14ac:dyDescent="0.15">
      <c r="A229" s="10"/>
      <c r="B229" s="5"/>
      <c r="C229" s="10"/>
      <c r="D229" s="10"/>
      <c r="E229" s="10"/>
      <c r="F229" s="10"/>
      <c r="G229" s="10"/>
      <c r="H229" s="8"/>
      <c r="I229" s="8"/>
      <c r="J229" s="8" t="s">
        <v>39</v>
      </c>
      <c r="K229" s="9">
        <f t="shared" si="21"/>
        <v>100</v>
      </c>
    </row>
    <row r="230" spans="1:11" ht="20.100000000000001" customHeight="1" x14ac:dyDescent="0.15">
      <c r="A230" s="10"/>
      <c r="B230" s="5"/>
      <c r="C230" s="10"/>
      <c r="D230" s="10"/>
      <c r="E230" s="10"/>
      <c r="F230" s="10"/>
      <c r="G230" s="10"/>
      <c r="H230" s="8"/>
      <c r="I230" s="8"/>
      <c r="J230" s="8" t="str">
        <f t="shared" si="31"/>
        <v>借</v>
      </c>
      <c r="K230" s="21">
        <f t="shared" si="21"/>
        <v>100</v>
      </c>
    </row>
    <row r="231" spans="1:11" ht="20.100000000000001" customHeight="1" x14ac:dyDescent="0.15">
      <c r="A231" s="10"/>
      <c r="B231" s="5"/>
      <c r="C231" s="10"/>
      <c r="D231" s="10"/>
      <c r="E231" s="10"/>
      <c r="F231" s="10"/>
      <c r="G231" s="10"/>
      <c r="H231" s="8"/>
      <c r="I231" s="8"/>
      <c r="J231" s="8" t="s">
        <v>39</v>
      </c>
      <c r="K231" s="9">
        <f t="shared" si="21"/>
        <v>100</v>
      </c>
    </row>
    <row r="232" spans="1:11" ht="20.100000000000001" customHeight="1" x14ac:dyDescent="0.15">
      <c r="A232" s="10"/>
      <c r="B232" s="5"/>
      <c r="C232" s="10"/>
      <c r="D232" s="10"/>
      <c r="E232" s="10"/>
      <c r="F232" s="10"/>
      <c r="G232" s="10"/>
      <c r="H232" s="8"/>
      <c r="I232" s="8"/>
      <c r="J232" s="8" t="str">
        <f t="shared" si="31"/>
        <v>借</v>
      </c>
      <c r="K232" s="9">
        <f t="shared" si="21"/>
        <v>100</v>
      </c>
    </row>
    <row r="233" spans="1:11" ht="20.100000000000001" customHeight="1" x14ac:dyDescent="0.15">
      <c r="A233" s="10"/>
      <c r="B233" s="5"/>
      <c r="C233" s="10"/>
      <c r="D233" s="10"/>
      <c r="E233" s="10"/>
      <c r="F233" s="10"/>
      <c r="G233" s="10"/>
      <c r="H233" s="8"/>
      <c r="I233" s="8"/>
      <c r="J233" s="8" t="s">
        <v>39</v>
      </c>
      <c r="K233" s="9">
        <f t="shared" si="21"/>
        <v>100</v>
      </c>
    </row>
    <row r="234" spans="1:11" ht="20.100000000000001" customHeight="1" x14ac:dyDescent="0.15">
      <c r="A234" s="10"/>
      <c r="B234" s="5"/>
      <c r="C234" s="10"/>
      <c r="D234" s="10"/>
      <c r="E234" s="10"/>
      <c r="F234" s="10"/>
      <c r="G234" s="10"/>
      <c r="H234" s="8"/>
      <c r="I234" s="8"/>
      <c r="J234" s="8" t="str">
        <f t="shared" ref="J234:J238" si="32">IF((K233+H234-I234)&gt;0,"借","贷")</f>
        <v>借</v>
      </c>
      <c r="K234" s="21">
        <f t="shared" si="21"/>
        <v>100</v>
      </c>
    </row>
    <row r="235" spans="1:11" ht="20.100000000000001" customHeight="1" x14ac:dyDescent="0.15">
      <c r="A235" s="10"/>
      <c r="B235" s="5"/>
      <c r="C235" s="10"/>
      <c r="D235" s="10"/>
      <c r="E235" s="10"/>
      <c r="F235" s="10"/>
      <c r="G235" s="10"/>
      <c r="H235" s="8"/>
      <c r="I235" s="8"/>
      <c r="J235" s="8" t="s">
        <v>39</v>
      </c>
      <c r="K235" s="9">
        <f t="shared" si="21"/>
        <v>100</v>
      </c>
    </row>
    <row r="236" spans="1:11" ht="20.100000000000001" customHeight="1" x14ac:dyDescent="0.15">
      <c r="A236" s="10"/>
      <c r="B236" s="5"/>
      <c r="C236" s="10"/>
      <c r="D236" s="10"/>
      <c r="E236" s="10"/>
      <c r="F236" s="10"/>
      <c r="G236" s="10"/>
      <c r="H236" s="8"/>
      <c r="I236" s="8"/>
      <c r="J236" s="8" t="str">
        <f t="shared" si="32"/>
        <v>借</v>
      </c>
      <c r="K236" s="9">
        <f t="shared" si="21"/>
        <v>100</v>
      </c>
    </row>
    <row r="237" spans="1:11" ht="20.100000000000001" customHeight="1" x14ac:dyDescent="0.15">
      <c r="A237" s="10"/>
      <c r="B237" s="5"/>
      <c r="C237" s="10"/>
      <c r="D237" s="10"/>
      <c r="E237" s="10"/>
      <c r="F237" s="10"/>
      <c r="G237" s="10"/>
      <c r="H237" s="8"/>
      <c r="I237" s="8"/>
      <c r="J237" s="8" t="s">
        <v>39</v>
      </c>
      <c r="K237" s="9">
        <f t="shared" ref="K237:K300" si="33">_xlfn.IFS(J236="借",K236+H237-I237,J236="贷",H237-I237-K236)</f>
        <v>100</v>
      </c>
    </row>
    <row r="238" spans="1:11" ht="20.100000000000001" customHeight="1" x14ac:dyDescent="0.15">
      <c r="A238" s="10"/>
      <c r="B238" s="5"/>
      <c r="C238" s="10"/>
      <c r="D238" s="10"/>
      <c r="E238" s="10"/>
      <c r="F238" s="10"/>
      <c r="G238" s="10"/>
      <c r="H238" s="8"/>
      <c r="I238" s="8"/>
      <c r="J238" s="8" t="str">
        <f t="shared" si="32"/>
        <v>借</v>
      </c>
      <c r="K238" s="9">
        <f t="shared" si="33"/>
        <v>100</v>
      </c>
    </row>
    <row r="239" spans="1:11" ht="20.100000000000001" customHeight="1" x14ac:dyDescent="0.15">
      <c r="A239" s="10"/>
      <c r="B239" s="5"/>
      <c r="C239" s="10"/>
      <c r="D239" s="10"/>
      <c r="E239" s="10"/>
      <c r="F239" s="10"/>
      <c r="G239" s="10"/>
      <c r="H239" s="8"/>
      <c r="I239" s="8"/>
      <c r="J239" s="8" t="s">
        <v>39</v>
      </c>
      <c r="K239" s="9">
        <f t="shared" si="33"/>
        <v>100</v>
      </c>
    </row>
    <row r="240" spans="1:11" ht="20.100000000000001" customHeight="1" x14ac:dyDescent="0.15">
      <c r="A240" s="10"/>
      <c r="B240" s="5"/>
      <c r="C240" s="10"/>
      <c r="D240" s="10"/>
      <c r="E240" s="10"/>
      <c r="F240" s="10"/>
      <c r="G240" s="10"/>
      <c r="H240" s="8"/>
      <c r="I240" s="8"/>
      <c r="J240" s="8" t="str">
        <f t="shared" ref="J240:J244" si="34">IF((K239+H240-I240)&gt;0,"借","贷")</f>
        <v>借</v>
      </c>
      <c r="K240" s="9">
        <f t="shared" si="33"/>
        <v>100</v>
      </c>
    </row>
    <row r="241" spans="1:11" ht="20.100000000000001" customHeight="1" x14ac:dyDescent="0.15">
      <c r="A241" s="10"/>
      <c r="B241" s="5"/>
      <c r="C241" s="10"/>
      <c r="D241" s="10"/>
      <c r="E241" s="10"/>
      <c r="F241" s="10"/>
      <c r="G241" s="10"/>
      <c r="H241" s="8"/>
      <c r="I241" s="8"/>
      <c r="J241" s="8" t="s">
        <v>39</v>
      </c>
      <c r="K241" s="9">
        <f t="shared" si="33"/>
        <v>100</v>
      </c>
    </row>
    <row r="242" spans="1:11" ht="20.100000000000001" customHeight="1" x14ac:dyDescent="0.15">
      <c r="A242" s="10"/>
      <c r="B242" s="5"/>
      <c r="C242" s="10"/>
      <c r="D242" s="10"/>
      <c r="E242" s="10"/>
      <c r="F242" s="10"/>
      <c r="G242" s="10"/>
      <c r="H242" s="8"/>
      <c r="I242" s="8"/>
      <c r="J242" s="8" t="str">
        <f t="shared" si="34"/>
        <v>借</v>
      </c>
      <c r="K242" s="9">
        <f t="shared" si="33"/>
        <v>100</v>
      </c>
    </row>
    <row r="243" spans="1:11" ht="20.100000000000001" customHeight="1" x14ac:dyDescent="0.15">
      <c r="A243" s="10"/>
      <c r="B243" s="5"/>
      <c r="C243" s="10"/>
      <c r="D243" s="10"/>
      <c r="E243" s="10"/>
      <c r="F243" s="10"/>
      <c r="G243" s="10"/>
      <c r="H243" s="8"/>
      <c r="I243" s="8"/>
      <c r="J243" s="8" t="s">
        <v>39</v>
      </c>
      <c r="K243" s="9">
        <f t="shared" si="33"/>
        <v>100</v>
      </c>
    </row>
    <row r="244" spans="1:11" ht="20.100000000000001" customHeight="1" x14ac:dyDescent="0.15">
      <c r="A244" s="10"/>
      <c r="B244" s="5"/>
      <c r="C244" s="10"/>
      <c r="D244" s="10"/>
      <c r="E244" s="10"/>
      <c r="F244" s="10"/>
      <c r="G244" s="10"/>
      <c r="H244" s="8"/>
      <c r="I244" s="8"/>
      <c r="J244" s="8" t="str">
        <f t="shared" si="34"/>
        <v>借</v>
      </c>
      <c r="K244" s="9">
        <f t="shared" si="33"/>
        <v>100</v>
      </c>
    </row>
    <row r="245" spans="1:11" ht="20.100000000000001" customHeight="1" x14ac:dyDescent="0.15">
      <c r="A245" s="10"/>
      <c r="B245" s="5"/>
      <c r="C245" s="10"/>
      <c r="D245" s="10"/>
      <c r="E245" s="10"/>
      <c r="F245" s="10"/>
      <c r="G245" s="10"/>
      <c r="H245" s="8"/>
      <c r="I245" s="8"/>
      <c r="J245" s="8" t="s">
        <v>39</v>
      </c>
      <c r="K245" s="9">
        <f t="shared" si="33"/>
        <v>100</v>
      </c>
    </row>
    <row r="246" spans="1:11" ht="20.100000000000001" customHeight="1" x14ac:dyDescent="0.15">
      <c r="A246" s="10"/>
      <c r="B246" s="5"/>
      <c r="C246" s="10"/>
      <c r="D246" s="10"/>
      <c r="E246" s="10"/>
      <c r="F246" s="10"/>
      <c r="G246" s="10"/>
      <c r="H246" s="8"/>
      <c r="I246" s="8"/>
      <c r="J246" s="8" t="str">
        <f t="shared" ref="J246:J250" si="35">IF((K245+H246-I246)&gt;0,"借","贷")</f>
        <v>借</v>
      </c>
      <c r="K246" s="9">
        <f t="shared" si="33"/>
        <v>100</v>
      </c>
    </row>
    <row r="247" spans="1:11" ht="20.100000000000001" customHeight="1" x14ac:dyDescent="0.15">
      <c r="A247" s="10"/>
      <c r="B247" s="5"/>
      <c r="C247" s="10"/>
      <c r="D247" s="10"/>
      <c r="E247" s="10"/>
      <c r="F247" s="10"/>
      <c r="G247" s="10"/>
      <c r="H247" s="8"/>
      <c r="I247" s="8"/>
      <c r="J247" s="8" t="s">
        <v>39</v>
      </c>
      <c r="K247" s="9">
        <f t="shared" si="33"/>
        <v>100</v>
      </c>
    </row>
    <row r="248" spans="1:11" ht="20.100000000000001" customHeight="1" x14ac:dyDescent="0.15">
      <c r="A248" s="10"/>
      <c r="B248" s="5"/>
      <c r="C248" s="10"/>
      <c r="D248" s="10"/>
      <c r="E248" s="10"/>
      <c r="F248" s="10"/>
      <c r="G248" s="10"/>
      <c r="H248" s="8"/>
      <c r="I248" s="8"/>
      <c r="J248" s="8" t="str">
        <f t="shared" si="35"/>
        <v>借</v>
      </c>
      <c r="K248" s="9">
        <f t="shared" si="33"/>
        <v>100</v>
      </c>
    </row>
    <row r="249" spans="1:11" ht="20.100000000000001" customHeight="1" x14ac:dyDescent="0.15">
      <c r="A249" s="10"/>
      <c r="B249" s="5"/>
      <c r="C249" s="10"/>
      <c r="D249" s="10"/>
      <c r="E249" s="10"/>
      <c r="F249" s="10"/>
      <c r="G249" s="10"/>
      <c r="H249" s="8"/>
      <c r="I249" s="8"/>
      <c r="J249" s="8" t="s">
        <v>39</v>
      </c>
      <c r="K249" s="9">
        <f t="shared" si="33"/>
        <v>100</v>
      </c>
    </row>
    <row r="250" spans="1:11" ht="20.100000000000001" customHeight="1" x14ac:dyDescent="0.15">
      <c r="A250" s="10"/>
      <c r="B250" s="5"/>
      <c r="C250" s="10"/>
      <c r="D250" s="10"/>
      <c r="E250" s="10"/>
      <c r="F250" s="10"/>
      <c r="G250" s="10"/>
      <c r="H250" s="8"/>
      <c r="I250" s="8"/>
      <c r="J250" s="8" t="str">
        <f t="shared" si="35"/>
        <v>借</v>
      </c>
      <c r="K250" s="9">
        <f t="shared" si="33"/>
        <v>100</v>
      </c>
    </row>
    <row r="251" spans="1:11" ht="20.100000000000001" customHeight="1" x14ac:dyDescent="0.15">
      <c r="A251" s="10"/>
      <c r="B251" s="5"/>
      <c r="C251" s="10"/>
      <c r="D251" s="10"/>
      <c r="E251" s="10"/>
      <c r="F251" s="10"/>
      <c r="G251" s="10"/>
      <c r="H251" s="8"/>
      <c r="I251" s="8"/>
      <c r="J251" s="8" t="s">
        <v>39</v>
      </c>
      <c r="K251" s="9">
        <f t="shared" si="33"/>
        <v>100</v>
      </c>
    </row>
    <row r="252" spans="1:11" ht="20.100000000000001" customHeight="1" x14ac:dyDescent="0.15">
      <c r="A252" s="10"/>
      <c r="B252" s="5"/>
      <c r="C252" s="10"/>
      <c r="D252" s="10"/>
      <c r="E252" s="10"/>
      <c r="F252" s="10"/>
      <c r="G252" s="10"/>
      <c r="H252" s="8"/>
      <c r="I252" s="8"/>
      <c r="J252" s="8" t="str">
        <f t="shared" ref="J252:J256" si="36">IF((K251+H252-I252)&gt;0,"借","贷")</f>
        <v>借</v>
      </c>
      <c r="K252" s="9">
        <f t="shared" si="33"/>
        <v>100</v>
      </c>
    </row>
    <row r="253" spans="1:11" ht="20.100000000000001" customHeight="1" x14ac:dyDescent="0.15">
      <c r="A253" s="10"/>
      <c r="B253" s="5"/>
      <c r="C253" s="10"/>
      <c r="D253" s="10"/>
      <c r="E253" s="10"/>
      <c r="F253" s="10"/>
      <c r="G253" s="10"/>
      <c r="H253" s="8"/>
      <c r="I253" s="8"/>
      <c r="J253" s="8" t="s">
        <v>39</v>
      </c>
      <c r="K253" s="9">
        <f t="shared" si="33"/>
        <v>100</v>
      </c>
    </row>
    <row r="254" spans="1:11" ht="20.100000000000001" customHeight="1" x14ac:dyDescent="0.15">
      <c r="A254" s="10"/>
      <c r="B254" s="5"/>
      <c r="C254" s="10"/>
      <c r="D254" s="10"/>
      <c r="E254" s="10"/>
      <c r="F254" s="10"/>
      <c r="G254" s="10"/>
      <c r="H254" s="8"/>
      <c r="I254" s="8"/>
      <c r="J254" s="8" t="str">
        <f t="shared" si="36"/>
        <v>借</v>
      </c>
      <c r="K254" s="9">
        <f t="shared" si="33"/>
        <v>100</v>
      </c>
    </row>
    <row r="255" spans="1:11" ht="20.100000000000001" customHeight="1" x14ac:dyDescent="0.15">
      <c r="A255" s="10"/>
      <c r="B255" s="5"/>
      <c r="C255" s="10"/>
      <c r="D255" s="10"/>
      <c r="E255" s="10"/>
      <c r="F255" s="10"/>
      <c r="G255" s="10"/>
      <c r="H255" s="8"/>
      <c r="I255" s="8"/>
      <c r="J255" s="8" t="s">
        <v>39</v>
      </c>
      <c r="K255" s="9">
        <f t="shared" si="33"/>
        <v>100</v>
      </c>
    </row>
    <row r="256" spans="1:11" ht="20.100000000000001" customHeight="1" x14ac:dyDescent="0.15">
      <c r="A256" s="10"/>
      <c r="B256" s="5"/>
      <c r="C256" s="10"/>
      <c r="D256" s="10"/>
      <c r="E256" s="10"/>
      <c r="F256" s="10"/>
      <c r="G256" s="10"/>
      <c r="H256" s="8"/>
      <c r="I256" s="8"/>
      <c r="J256" s="8" t="str">
        <f t="shared" si="36"/>
        <v>借</v>
      </c>
      <c r="K256" s="9">
        <f t="shared" si="33"/>
        <v>100</v>
      </c>
    </row>
    <row r="257" spans="1:11" ht="20.100000000000001" customHeight="1" x14ac:dyDescent="0.15">
      <c r="A257" s="10"/>
      <c r="B257" s="5"/>
      <c r="C257" s="10"/>
      <c r="D257" s="10"/>
      <c r="E257" s="10"/>
      <c r="F257" s="10"/>
      <c r="G257" s="10"/>
      <c r="H257" s="8"/>
      <c r="I257" s="8"/>
      <c r="J257" s="8" t="s">
        <v>39</v>
      </c>
      <c r="K257" s="9">
        <f t="shared" si="33"/>
        <v>100</v>
      </c>
    </row>
    <row r="258" spans="1:11" ht="20.100000000000001" customHeight="1" x14ac:dyDescent="0.15">
      <c r="A258" s="10"/>
      <c r="B258" s="5"/>
      <c r="C258" s="10"/>
      <c r="D258" s="10"/>
      <c r="E258" s="10"/>
      <c r="F258" s="10"/>
      <c r="G258" s="10"/>
      <c r="H258" s="8"/>
      <c r="I258" s="8"/>
      <c r="J258" s="8" t="str">
        <f t="shared" ref="J258:J262" si="37">IF((K257+H258-I258)&gt;0,"借","贷")</f>
        <v>借</v>
      </c>
      <c r="K258" s="9">
        <f t="shared" si="33"/>
        <v>100</v>
      </c>
    </row>
    <row r="259" spans="1:11" ht="20.100000000000001" customHeight="1" x14ac:dyDescent="0.15">
      <c r="A259" s="10"/>
      <c r="B259" s="5"/>
      <c r="C259" s="10"/>
      <c r="D259" s="10"/>
      <c r="E259" s="10"/>
      <c r="F259" s="10"/>
      <c r="G259" s="10"/>
      <c r="H259" s="8"/>
      <c r="I259" s="8"/>
      <c r="J259" s="8" t="s">
        <v>39</v>
      </c>
      <c r="K259" s="9">
        <f t="shared" si="33"/>
        <v>100</v>
      </c>
    </row>
    <row r="260" spans="1:11" ht="20.100000000000001" customHeight="1" x14ac:dyDescent="0.15">
      <c r="A260" s="10"/>
      <c r="B260" s="5"/>
      <c r="C260" s="10"/>
      <c r="D260" s="10"/>
      <c r="E260" s="10"/>
      <c r="F260" s="10"/>
      <c r="G260" s="10"/>
      <c r="H260" s="8"/>
      <c r="I260" s="8"/>
      <c r="J260" s="8" t="str">
        <f t="shared" si="37"/>
        <v>借</v>
      </c>
      <c r="K260" s="9">
        <f t="shared" si="33"/>
        <v>100</v>
      </c>
    </row>
    <row r="261" spans="1:11" ht="20.100000000000001" customHeight="1" x14ac:dyDescent="0.15">
      <c r="A261" s="10"/>
      <c r="B261" s="5"/>
      <c r="C261" s="10"/>
      <c r="D261" s="10"/>
      <c r="E261" s="10"/>
      <c r="F261" s="10"/>
      <c r="G261" s="10"/>
      <c r="H261" s="8"/>
      <c r="I261" s="8"/>
      <c r="J261" s="8" t="s">
        <v>39</v>
      </c>
      <c r="K261" s="9">
        <f t="shared" si="33"/>
        <v>100</v>
      </c>
    </row>
    <row r="262" spans="1:11" ht="20.100000000000001" customHeight="1" x14ac:dyDescent="0.15">
      <c r="A262" s="10"/>
      <c r="B262" s="5"/>
      <c r="C262" s="10"/>
      <c r="D262" s="10"/>
      <c r="E262" s="10"/>
      <c r="F262" s="10"/>
      <c r="G262" s="10"/>
      <c r="H262" s="8"/>
      <c r="I262" s="8"/>
      <c r="J262" s="8" t="str">
        <f t="shared" si="37"/>
        <v>借</v>
      </c>
      <c r="K262" s="9">
        <f t="shared" si="33"/>
        <v>100</v>
      </c>
    </row>
    <row r="263" spans="1:11" ht="20.100000000000001" customHeight="1" x14ac:dyDescent="0.15">
      <c r="A263" s="10"/>
      <c r="B263" s="5"/>
      <c r="C263" s="10"/>
      <c r="D263" s="10"/>
      <c r="E263" s="10"/>
      <c r="F263" s="10"/>
      <c r="G263" s="10"/>
      <c r="H263" s="8"/>
      <c r="I263" s="8"/>
      <c r="J263" s="8" t="s">
        <v>39</v>
      </c>
      <c r="K263" s="9">
        <f t="shared" si="33"/>
        <v>100</v>
      </c>
    </row>
    <row r="264" spans="1:11" ht="20.100000000000001" customHeight="1" x14ac:dyDescent="0.15">
      <c r="A264" s="10"/>
      <c r="B264" s="5"/>
      <c r="C264" s="10"/>
      <c r="D264" s="10"/>
      <c r="E264" s="10"/>
      <c r="F264" s="10"/>
      <c r="G264" s="10"/>
      <c r="H264" s="8"/>
      <c r="I264" s="8"/>
      <c r="J264" s="8" t="str">
        <f t="shared" ref="J264:J268" si="38">IF((K263+H264-I264)&gt;0,"借","贷")</f>
        <v>借</v>
      </c>
      <c r="K264" s="9">
        <f t="shared" si="33"/>
        <v>100</v>
      </c>
    </row>
    <row r="265" spans="1:11" ht="20.100000000000001" customHeight="1" x14ac:dyDescent="0.15">
      <c r="A265" s="10"/>
      <c r="B265" s="5"/>
      <c r="C265" s="10"/>
      <c r="D265" s="10"/>
      <c r="E265" s="10"/>
      <c r="F265" s="10"/>
      <c r="G265" s="10"/>
      <c r="H265" s="8"/>
      <c r="I265" s="8"/>
      <c r="J265" s="8" t="s">
        <v>39</v>
      </c>
      <c r="K265" s="9">
        <f t="shared" si="33"/>
        <v>100</v>
      </c>
    </row>
    <row r="266" spans="1:11" ht="20.100000000000001" customHeight="1" x14ac:dyDescent="0.15">
      <c r="A266" s="10"/>
      <c r="B266" s="5"/>
      <c r="C266" s="10"/>
      <c r="D266" s="10"/>
      <c r="E266" s="10"/>
      <c r="F266" s="10"/>
      <c r="G266" s="10"/>
      <c r="H266" s="8"/>
      <c r="I266" s="8"/>
      <c r="J266" s="8" t="str">
        <f t="shared" si="38"/>
        <v>借</v>
      </c>
      <c r="K266" s="9">
        <f t="shared" si="33"/>
        <v>100</v>
      </c>
    </row>
    <row r="267" spans="1:11" ht="20.100000000000001" customHeight="1" x14ac:dyDescent="0.15">
      <c r="A267" s="10"/>
      <c r="B267" s="5"/>
      <c r="C267" s="10"/>
      <c r="D267" s="10"/>
      <c r="E267" s="10"/>
      <c r="F267" s="10"/>
      <c r="G267" s="10"/>
      <c r="H267" s="8"/>
      <c r="I267" s="8"/>
      <c r="J267" s="8" t="s">
        <v>39</v>
      </c>
      <c r="K267" s="9">
        <f t="shared" si="33"/>
        <v>100</v>
      </c>
    </row>
    <row r="268" spans="1:11" ht="20.100000000000001" customHeight="1" x14ac:dyDescent="0.15">
      <c r="A268" s="10"/>
      <c r="B268" s="5"/>
      <c r="C268" s="10"/>
      <c r="D268" s="10"/>
      <c r="E268" s="10"/>
      <c r="F268" s="10"/>
      <c r="G268" s="10"/>
      <c r="H268" s="8"/>
      <c r="I268" s="8"/>
      <c r="J268" s="8" t="str">
        <f t="shared" si="38"/>
        <v>借</v>
      </c>
      <c r="K268" s="9">
        <f t="shared" si="33"/>
        <v>100</v>
      </c>
    </row>
    <row r="269" spans="1:11" ht="20.100000000000001" customHeight="1" x14ac:dyDescent="0.15">
      <c r="A269" s="10"/>
      <c r="B269" s="5"/>
      <c r="C269" s="10"/>
      <c r="D269" s="10"/>
      <c r="E269" s="10"/>
      <c r="F269" s="10"/>
      <c r="G269" s="10"/>
      <c r="H269" s="8"/>
      <c r="I269" s="8"/>
      <c r="J269" s="8" t="s">
        <v>39</v>
      </c>
      <c r="K269" s="9">
        <f t="shared" si="33"/>
        <v>100</v>
      </c>
    </row>
    <row r="270" spans="1:11" ht="20.100000000000001" customHeight="1" x14ac:dyDescent="0.15">
      <c r="A270" s="10"/>
      <c r="B270" s="5"/>
      <c r="C270" s="10"/>
      <c r="D270" s="10"/>
      <c r="E270" s="10"/>
      <c r="F270" s="10"/>
      <c r="G270" s="10"/>
      <c r="H270" s="8"/>
      <c r="I270" s="8"/>
      <c r="J270" s="8" t="str">
        <f t="shared" ref="J270:J274" si="39">IF((K269+H270-I270)&gt;0,"借","贷")</f>
        <v>借</v>
      </c>
      <c r="K270" s="9">
        <f t="shared" si="33"/>
        <v>100</v>
      </c>
    </row>
    <row r="271" spans="1:11" ht="20.100000000000001" customHeight="1" x14ac:dyDescent="0.15">
      <c r="A271" s="10"/>
      <c r="B271" s="5"/>
      <c r="C271" s="10"/>
      <c r="D271" s="10"/>
      <c r="E271" s="10"/>
      <c r="F271" s="10"/>
      <c r="G271" s="10"/>
      <c r="H271" s="8"/>
      <c r="I271" s="8"/>
      <c r="J271" s="8" t="s">
        <v>39</v>
      </c>
      <c r="K271" s="9">
        <f t="shared" si="33"/>
        <v>100</v>
      </c>
    </row>
    <row r="272" spans="1:11" ht="20.100000000000001" customHeight="1" x14ac:dyDescent="0.15">
      <c r="A272" s="10"/>
      <c r="B272" s="5"/>
      <c r="C272" s="10"/>
      <c r="D272" s="10"/>
      <c r="E272" s="10"/>
      <c r="F272" s="10"/>
      <c r="G272" s="10"/>
      <c r="H272" s="8"/>
      <c r="I272" s="8"/>
      <c r="J272" s="8" t="str">
        <f t="shared" si="39"/>
        <v>借</v>
      </c>
      <c r="K272" s="9">
        <f t="shared" si="33"/>
        <v>100</v>
      </c>
    </row>
    <row r="273" spans="1:11" ht="20.100000000000001" customHeight="1" x14ac:dyDescent="0.15">
      <c r="A273" s="10"/>
      <c r="B273" s="5"/>
      <c r="C273" s="10"/>
      <c r="D273" s="10"/>
      <c r="E273" s="10"/>
      <c r="F273" s="10"/>
      <c r="G273" s="10"/>
      <c r="H273" s="8"/>
      <c r="I273" s="8"/>
      <c r="J273" s="8" t="s">
        <v>39</v>
      </c>
      <c r="K273" s="9">
        <f t="shared" si="33"/>
        <v>100</v>
      </c>
    </row>
    <row r="274" spans="1:11" ht="20.100000000000001" customHeight="1" x14ac:dyDescent="0.15">
      <c r="A274" s="10"/>
      <c r="B274" s="5"/>
      <c r="C274" s="10"/>
      <c r="D274" s="10"/>
      <c r="E274" s="10"/>
      <c r="F274" s="10"/>
      <c r="G274" s="10"/>
      <c r="H274" s="8"/>
      <c r="I274" s="8"/>
      <c r="J274" s="8" t="str">
        <f t="shared" si="39"/>
        <v>借</v>
      </c>
      <c r="K274" s="9">
        <f t="shared" si="33"/>
        <v>100</v>
      </c>
    </row>
    <row r="275" spans="1:11" ht="20.100000000000001" customHeight="1" x14ac:dyDescent="0.15">
      <c r="A275" s="10"/>
      <c r="B275" s="5"/>
      <c r="C275" s="10"/>
      <c r="D275" s="10"/>
      <c r="E275" s="10"/>
      <c r="F275" s="10"/>
      <c r="G275" s="10"/>
      <c r="H275" s="8"/>
      <c r="I275" s="8"/>
      <c r="J275" s="8" t="s">
        <v>39</v>
      </c>
      <c r="K275" s="9">
        <f t="shared" si="33"/>
        <v>100</v>
      </c>
    </row>
    <row r="276" spans="1:11" ht="20.100000000000001" customHeight="1" x14ac:dyDescent="0.15">
      <c r="A276" s="10"/>
      <c r="B276" s="5"/>
      <c r="C276" s="10"/>
      <c r="D276" s="10"/>
      <c r="E276" s="10"/>
      <c r="F276" s="10"/>
      <c r="G276" s="10"/>
      <c r="H276" s="8"/>
      <c r="I276" s="8"/>
      <c r="J276" s="8" t="str">
        <f t="shared" ref="J276:J280" si="40">IF((K275+H276-I276)&gt;0,"借","贷")</f>
        <v>借</v>
      </c>
      <c r="K276" s="9">
        <f t="shared" si="33"/>
        <v>100</v>
      </c>
    </row>
    <row r="277" spans="1:11" ht="20.100000000000001" customHeight="1" x14ac:dyDescent="0.15">
      <c r="A277" s="10"/>
      <c r="B277" s="5"/>
      <c r="C277" s="10"/>
      <c r="D277" s="10"/>
      <c r="E277" s="10"/>
      <c r="F277" s="10"/>
      <c r="G277" s="10"/>
      <c r="H277" s="8"/>
      <c r="I277" s="8"/>
      <c r="J277" s="8" t="s">
        <v>39</v>
      </c>
      <c r="K277" s="9">
        <f t="shared" si="33"/>
        <v>100</v>
      </c>
    </row>
    <row r="278" spans="1:11" ht="20.100000000000001" customHeight="1" x14ac:dyDescent="0.15">
      <c r="A278" s="10"/>
      <c r="B278" s="5"/>
      <c r="C278" s="10"/>
      <c r="D278" s="10"/>
      <c r="E278" s="10"/>
      <c r="F278" s="10"/>
      <c r="G278" s="10"/>
      <c r="H278" s="8"/>
      <c r="I278" s="8"/>
      <c r="J278" s="8" t="str">
        <f t="shared" si="40"/>
        <v>借</v>
      </c>
      <c r="K278" s="9">
        <f t="shared" si="33"/>
        <v>100</v>
      </c>
    </row>
    <row r="279" spans="1:11" ht="20.100000000000001" customHeight="1" x14ac:dyDescent="0.15">
      <c r="A279" s="10"/>
      <c r="B279" s="5"/>
      <c r="C279" s="10"/>
      <c r="D279" s="10"/>
      <c r="E279" s="10"/>
      <c r="F279" s="10"/>
      <c r="G279" s="10"/>
      <c r="H279" s="8"/>
      <c r="I279" s="8"/>
      <c r="J279" s="8" t="s">
        <v>39</v>
      </c>
      <c r="K279" s="9">
        <f t="shared" si="33"/>
        <v>100</v>
      </c>
    </row>
    <row r="280" spans="1:11" ht="20.100000000000001" customHeight="1" x14ac:dyDescent="0.15">
      <c r="A280" s="10"/>
      <c r="B280" s="5"/>
      <c r="C280" s="10"/>
      <c r="D280" s="10"/>
      <c r="E280" s="10"/>
      <c r="F280" s="10"/>
      <c r="G280" s="10"/>
      <c r="H280" s="8"/>
      <c r="I280" s="8"/>
      <c r="J280" s="8" t="str">
        <f t="shared" si="40"/>
        <v>借</v>
      </c>
      <c r="K280" s="9">
        <f t="shared" si="33"/>
        <v>100</v>
      </c>
    </row>
    <row r="281" spans="1:11" ht="20.100000000000001" customHeight="1" x14ac:dyDescent="0.15">
      <c r="A281" s="10"/>
      <c r="B281" s="5"/>
      <c r="C281" s="10"/>
      <c r="D281" s="10"/>
      <c r="E281" s="10"/>
      <c r="F281" s="10"/>
      <c r="G281" s="10"/>
      <c r="H281" s="8"/>
      <c r="I281" s="8"/>
      <c r="J281" s="8" t="s">
        <v>39</v>
      </c>
      <c r="K281" s="9">
        <f t="shared" si="33"/>
        <v>100</v>
      </c>
    </row>
    <row r="282" spans="1:11" ht="20.100000000000001" customHeight="1" x14ac:dyDescent="0.15">
      <c r="A282" s="10"/>
      <c r="B282" s="5"/>
      <c r="C282" s="10"/>
      <c r="D282" s="10"/>
      <c r="E282" s="10"/>
      <c r="F282" s="10"/>
      <c r="G282" s="10"/>
      <c r="H282" s="8"/>
      <c r="I282" s="8"/>
      <c r="J282" s="8" t="str">
        <f t="shared" ref="J282:J286" si="41">IF((K281+H282-I282)&gt;0,"借","贷")</f>
        <v>借</v>
      </c>
      <c r="K282" s="9">
        <f t="shared" si="33"/>
        <v>100</v>
      </c>
    </row>
    <row r="283" spans="1:11" ht="20.100000000000001" customHeight="1" x14ac:dyDescent="0.15">
      <c r="A283" s="10"/>
      <c r="B283" s="5"/>
      <c r="C283" s="10"/>
      <c r="D283" s="10"/>
      <c r="E283" s="10"/>
      <c r="F283" s="10"/>
      <c r="G283" s="10"/>
      <c r="H283" s="8"/>
      <c r="I283" s="8"/>
      <c r="J283" s="8" t="s">
        <v>39</v>
      </c>
      <c r="K283" s="9">
        <f t="shared" si="33"/>
        <v>100</v>
      </c>
    </row>
    <row r="284" spans="1:11" ht="20.100000000000001" customHeight="1" x14ac:dyDescent="0.15">
      <c r="A284" s="10"/>
      <c r="B284" s="5"/>
      <c r="C284" s="10"/>
      <c r="D284" s="10"/>
      <c r="E284" s="10"/>
      <c r="F284" s="10"/>
      <c r="G284" s="10"/>
      <c r="H284" s="8"/>
      <c r="I284" s="8"/>
      <c r="J284" s="8" t="str">
        <f t="shared" si="41"/>
        <v>借</v>
      </c>
      <c r="K284" s="9">
        <f t="shared" si="33"/>
        <v>100</v>
      </c>
    </row>
    <row r="285" spans="1:11" ht="20.100000000000001" customHeight="1" x14ac:dyDescent="0.15">
      <c r="A285" s="10"/>
      <c r="B285" s="5"/>
      <c r="C285" s="10"/>
      <c r="D285" s="10"/>
      <c r="E285" s="10"/>
      <c r="F285" s="10"/>
      <c r="G285" s="10"/>
      <c r="H285" s="8"/>
      <c r="I285" s="8"/>
      <c r="J285" s="8" t="s">
        <v>39</v>
      </c>
      <c r="K285" s="9">
        <f t="shared" si="33"/>
        <v>100</v>
      </c>
    </row>
    <row r="286" spans="1:11" ht="20.100000000000001" customHeight="1" x14ac:dyDescent="0.15">
      <c r="A286" s="10"/>
      <c r="B286" s="5"/>
      <c r="C286" s="10"/>
      <c r="D286" s="10"/>
      <c r="E286" s="10"/>
      <c r="F286" s="10"/>
      <c r="G286" s="10"/>
      <c r="H286" s="8"/>
      <c r="I286" s="8"/>
      <c r="J286" s="8" t="str">
        <f t="shared" si="41"/>
        <v>借</v>
      </c>
      <c r="K286" s="9">
        <f t="shared" si="33"/>
        <v>100</v>
      </c>
    </row>
    <row r="287" spans="1:11" ht="20.100000000000001" customHeight="1" x14ac:dyDescent="0.15">
      <c r="A287" s="10"/>
      <c r="B287" s="5"/>
      <c r="C287" s="10"/>
      <c r="D287" s="10"/>
      <c r="E287" s="10"/>
      <c r="F287" s="10"/>
      <c r="G287" s="10"/>
      <c r="H287" s="8"/>
      <c r="I287" s="8"/>
      <c r="J287" s="8" t="s">
        <v>39</v>
      </c>
      <c r="K287" s="9">
        <f t="shared" si="33"/>
        <v>100</v>
      </c>
    </row>
    <row r="288" spans="1:11" ht="20.100000000000001" customHeight="1" x14ac:dyDescent="0.15">
      <c r="A288" s="10"/>
      <c r="B288" s="5"/>
      <c r="C288" s="10"/>
      <c r="D288" s="10"/>
      <c r="E288" s="10"/>
      <c r="F288" s="10"/>
      <c r="G288" s="10"/>
      <c r="H288" s="8"/>
      <c r="I288" s="8"/>
      <c r="J288" s="8" t="str">
        <f t="shared" ref="J288:J292" si="42">IF((K287+H288-I288)&gt;0,"借","贷")</f>
        <v>借</v>
      </c>
      <c r="K288" s="9">
        <f t="shared" si="33"/>
        <v>100</v>
      </c>
    </row>
    <row r="289" spans="1:11" ht="20.100000000000001" customHeight="1" x14ac:dyDescent="0.15">
      <c r="A289" s="10"/>
      <c r="B289" s="5"/>
      <c r="C289" s="10"/>
      <c r="D289" s="10"/>
      <c r="E289" s="10"/>
      <c r="F289" s="10"/>
      <c r="G289" s="10"/>
      <c r="H289" s="8"/>
      <c r="I289" s="8"/>
      <c r="J289" s="8" t="s">
        <v>39</v>
      </c>
      <c r="K289" s="9">
        <f t="shared" si="33"/>
        <v>100</v>
      </c>
    </row>
    <row r="290" spans="1:11" ht="20.100000000000001" customHeight="1" x14ac:dyDescent="0.15">
      <c r="A290" s="10"/>
      <c r="B290" s="5"/>
      <c r="C290" s="10"/>
      <c r="D290" s="10"/>
      <c r="E290" s="10"/>
      <c r="F290" s="10"/>
      <c r="G290" s="10"/>
      <c r="H290" s="8"/>
      <c r="I290" s="8"/>
      <c r="J290" s="8" t="str">
        <f t="shared" si="42"/>
        <v>借</v>
      </c>
      <c r="K290" s="9">
        <f t="shared" si="33"/>
        <v>100</v>
      </c>
    </row>
    <row r="291" spans="1:11" ht="20.100000000000001" customHeight="1" x14ac:dyDescent="0.15">
      <c r="A291" s="10"/>
      <c r="B291" s="5"/>
      <c r="C291" s="10"/>
      <c r="D291" s="10"/>
      <c r="E291" s="10"/>
      <c r="F291" s="10"/>
      <c r="G291" s="10"/>
      <c r="H291" s="8"/>
      <c r="I291" s="8"/>
      <c r="J291" s="8" t="s">
        <v>39</v>
      </c>
      <c r="K291" s="9">
        <f t="shared" si="33"/>
        <v>100</v>
      </c>
    </row>
    <row r="292" spans="1:11" ht="20.100000000000001" customHeight="1" x14ac:dyDescent="0.15">
      <c r="A292" s="10"/>
      <c r="B292" s="5"/>
      <c r="C292" s="10"/>
      <c r="D292" s="10"/>
      <c r="E292" s="10"/>
      <c r="F292" s="10"/>
      <c r="G292" s="10"/>
      <c r="H292" s="8"/>
      <c r="I292" s="8"/>
      <c r="J292" s="8" t="str">
        <f t="shared" si="42"/>
        <v>借</v>
      </c>
      <c r="K292" s="9">
        <f t="shared" si="33"/>
        <v>100</v>
      </c>
    </row>
    <row r="293" spans="1:11" ht="20.100000000000001" customHeight="1" x14ac:dyDescent="0.15">
      <c r="A293" s="10"/>
      <c r="B293" s="5"/>
      <c r="C293" s="10"/>
      <c r="D293" s="10"/>
      <c r="E293" s="10"/>
      <c r="F293" s="10"/>
      <c r="G293" s="10"/>
      <c r="H293" s="8"/>
      <c r="I293" s="8"/>
      <c r="J293" s="8" t="s">
        <v>39</v>
      </c>
      <c r="K293" s="9">
        <f t="shared" si="33"/>
        <v>100</v>
      </c>
    </row>
    <row r="294" spans="1:11" ht="20.100000000000001" customHeight="1" x14ac:dyDescent="0.15">
      <c r="A294" s="10"/>
      <c r="B294" s="5"/>
      <c r="C294" s="10"/>
      <c r="D294" s="10"/>
      <c r="E294" s="10"/>
      <c r="F294" s="10"/>
      <c r="G294" s="10"/>
      <c r="H294" s="8"/>
      <c r="I294" s="8"/>
      <c r="J294" s="8" t="str">
        <f t="shared" ref="J294:J298" si="43">IF((K293+H294-I294)&gt;0,"借","贷")</f>
        <v>借</v>
      </c>
      <c r="K294" s="9">
        <f t="shared" si="33"/>
        <v>100</v>
      </c>
    </row>
    <row r="295" spans="1:11" ht="20.100000000000001" customHeight="1" x14ac:dyDescent="0.15">
      <c r="A295" s="10"/>
      <c r="B295" s="5"/>
      <c r="C295" s="10"/>
      <c r="D295" s="10"/>
      <c r="E295" s="10"/>
      <c r="F295" s="10"/>
      <c r="G295" s="10"/>
      <c r="H295" s="8"/>
      <c r="I295" s="8"/>
      <c r="J295" s="8" t="s">
        <v>39</v>
      </c>
      <c r="K295" s="9">
        <f t="shared" si="33"/>
        <v>100</v>
      </c>
    </row>
    <row r="296" spans="1:11" ht="20.100000000000001" customHeight="1" x14ac:dyDescent="0.15">
      <c r="A296" s="10"/>
      <c r="B296" s="5"/>
      <c r="C296" s="10"/>
      <c r="D296" s="10"/>
      <c r="E296" s="10"/>
      <c r="F296" s="10"/>
      <c r="G296" s="10"/>
      <c r="H296" s="8"/>
      <c r="I296" s="8"/>
      <c r="J296" s="8" t="str">
        <f t="shared" si="43"/>
        <v>借</v>
      </c>
      <c r="K296" s="9">
        <f t="shared" si="33"/>
        <v>100</v>
      </c>
    </row>
    <row r="297" spans="1:11" ht="20.100000000000001" customHeight="1" x14ac:dyDescent="0.15">
      <c r="A297" s="10"/>
      <c r="B297" s="5"/>
      <c r="C297" s="10"/>
      <c r="D297" s="10"/>
      <c r="E297" s="10"/>
      <c r="F297" s="10"/>
      <c r="G297" s="10"/>
      <c r="H297" s="8"/>
      <c r="I297" s="8"/>
      <c r="J297" s="8" t="s">
        <v>39</v>
      </c>
      <c r="K297" s="9">
        <f t="shared" si="33"/>
        <v>100</v>
      </c>
    </row>
    <row r="298" spans="1:11" ht="20.100000000000001" customHeight="1" x14ac:dyDescent="0.15">
      <c r="A298" s="10"/>
      <c r="B298" s="5"/>
      <c r="C298" s="10"/>
      <c r="D298" s="10"/>
      <c r="E298" s="10"/>
      <c r="F298" s="10"/>
      <c r="G298" s="10"/>
      <c r="H298" s="8"/>
      <c r="I298" s="8"/>
      <c r="J298" s="8" t="str">
        <f t="shared" si="43"/>
        <v>借</v>
      </c>
      <c r="K298" s="9">
        <f t="shared" si="33"/>
        <v>100</v>
      </c>
    </row>
    <row r="299" spans="1:11" ht="20.100000000000001" customHeight="1" x14ac:dyDescent="0.15">
      <c r="A299" s="10"/>
      <c r="B299" s="5"/>
      <c r="C299" s="10"/>
      <c r="D299" s="10"/>
      <c r="E299" s="10"/>
      <c r="F299" s="10"/>
      <c r="G299" s="10"/>
      <c r="H299" s="8"/>
      <c r="I299" s="8"/>
      <c r="J299" s="8" t="s">
        <v>39</v>
      </c>
      <c r="K299" s="9">
        <f t="shared" si="33"/>
        <v>100</v>
      </c>
    </row>
    <row r="300" spans="1:11" ht="20.100000000000001" customHeight="1" x14ac:dyDescent="0.15">
      <c r="A300" s="10"/>
      <c r="B300" s="5"/>
      <c r="C300" s="10"/>
      <c r="D300" s="10"/>
      <c r="E300" s="10"/>
      <c r="F300" s="10"/>
      <c r="G300" s="10"/>
      <c r="H300" s="8"/>
      <c r="I300" s="8"/>
      <c r="J300" s="8" t="str">
        <f t="shared" ref="J300:J304" si="44">IF((K299+H300-I300)&gt;0,"借","贷")</f>
        <v>借</v>
      </c>
      <c r="K300" s="9">
        <f t="shared" si="33"/>
        <v>100</v>
      </c>
    </row>
    <row r="301" spans="1:11" ht="20.100000000000001" customHeight="1" x14ac:dyDescent="0.15">
      <c r="A301" s="10"/>
      <c r="B301" s="5"/>
      <c r="C301" s="10"/>
      <c r="D301" s="10"/>
      <c r="E301" s="10"/>
      <c r="F301" s="10"/>
      <c r="G301" s="10"/>
      <c r="H301" s="8"/>
      <c r="I301" s="8"/>
      <c r="J301" s="8" t="s">
        <v>39</v>
      </c>
      <c r="K301" s="9">
        <f t="shared" ref="K301:K364" si="45">_xlfn.IFS(J300="借",K300+H301-I301,J300="贷",H301-I301-K300)</f>
        <v>100</v>
      </c>
    </row>
    <row r="302" spans="1:11" ht="20.100000000000001" customHeight="1" x14ac:dyDescent="0.15">
      <c r="A302" s="10"/>
      <c r="B302" s="5"/>
      <c r="C302" s="10"/>
      <c r="D302" s="10"/>
      <c r="E302" s="10"/>
      <c r="F302" s="10"/>
      <c r="G302" s="10"/>
      <c r="H302" s="8"/>
      <c r="I302" s="8"/>
      <c r="J302" s="8" t="str">
        <f t="shared" si="44"/>
        <v>借</v>
      </c>
      <c r="K302" s="9">
        <f t="shared" si="45"/>
        <v>100</v>
      </c>
    </row>
    <row r="303" spans="1:11" ht="20.100000000000001" customHeight="1" x14ac:dyDescent="0.15">
      <c r="A303" s="10"/>
      <c r="B303" s="5"/>
      <c r="C303" s="10"/>
      <c r="D303" s="10"/>
      <c r="E303" s="10"/>
      <c r="F303" s="10"/>
      <c r="G303" s="10"/>
      <c r="H303" s="8"/>
      <c r="I303" s="8"/>
      <c r="J303" s="8" t="s">
        <v>39</v>
      </c>
      <c r="K303" s="9">
        <f t="shared" si="45"/>
        <v>100</v>
      </c>
    </row>
    <row r="304" spans="1:11" ht="20.100000000000001" customHeight="1" x14ac:dyDescent="0.15">
      <c r="A304" s="10"/>
      <c r="B304" s="5"/>
      <c r="C304" s="10"/>
      <c r="D304" s="10"/>
      <c r="E304" s="10"/>
      <c r="F304" s="10"/>
      <c r="G304" s="10"/>
      <c r="H304" s="8"/>
      <c r="I304" s="8"/>
      <c r="J304" s="8" t="str">
        <f t="shared" si="44"/>
        <v>借</v>
      </c>
      <c r="K304" s="9">
        <f t="shared" si="45"/>
        <v>100</v>
      </c>
    </row>
    <row r="305" spans="1:11" ht="20.100000000000001" customHeight="1" x14ac:dyDescent="0.15">
      <c r="A305" s="10"/>
      <c r="B305" s="5"/>
      <c r="C305" s="10"/>
      <c r="D305" s="10"/>
      <c r="E305" s="10"/>
      <c r="F305" s="10"/>
      <c r="G305" s="10"/>
      <c r="H305" s="8"/>
      <c r="I305" s="8"/>
      <c r="J305" s="8" t="s">
        <v>39</v>
      </c>
      <c r="K305" s="9">
        <f t="shared" si="45"/>
        <v>100</v>
      </c>
    </row>
    <row r="306" spans="1:11" ht="20.100000000000001" customHeight="1" x14ac:dyDescent="0.15">
      <c r="A306" s="10"/>
      <c r="B306" s="5"/>
      <c r="C306" s="10"/>
      <c r="D306" s="10"/>
      <c r="E306" s="10"/>
      <c r="F306" s="10"/>
      <c r="G306" s="10"/>
      <c r="H306" s="8"/>
      <c r="I306" s="8"/>
      <c r="J306" s="8" t="str">
        <f t="shared" ref="J306:J310" si="46">IF((K305+H306-I306)&gt;0,"借","贷")</f>
        <v>借</v>
      </c>
      <c r="K306" s="9">
        <f t="shared" si="45"/>
        <v>100</v>
      </c>
    </row>
    <row r="307" spans="1:11" ht="20.100000000000001" customHeight="1" x14ac:dyDescent="0.15">
      <c r="A307" s="10"/>
      <c r="B307" s="5"/>
      <c r="C307" s="10"/>
      <c r="D307" s="10"/>
      <c r="E307" s="10"/>
      <c r="F307" s="10"/>
      <c r="G307" s="10"/>
      <c r="H307" s="8"/>
      <c r="I307" s="8"/>
      <c r="J307" s="8" t="s">
        <v>39</v>
      </c>
      <c r="K307" s="9">
        <f t="shared" si="45"/>
        <v>100</v>
      </c>
    </row>
    <row r="308" spans="1:11" ht="20.100000000000001" customHeight="1" x14ac:dyDescent="0.15">
      <c r="A308" s="10"/>
      <c r="B308" s="5"/>
      <c r="C308" s="10"/>
      <c r="D308" s="10"/>
      <c r="E308" s="10"/>
      <c r="F308" s="10"/>
      <c r="G308" s="10"/>
      <c r="H308" s="8"/>
      <c r="I308" s="8"/>
      <c r="J308" s="8" t="str">
        <f t="shared" si="46"/>
        <v>借</v>
      </c>
      <c r="K308" s="9">
        <f t="shared" si="45"/>
        <v>100</v>
      </c>
    </row>
    <row r="309" spans="1:11" ht="20.100000000000001" customHeight="1" x14ac:dyDescent="0.15">
      <c r="A309" s="10"/>
      <c r="B309" s="5"/>
      <c r="C309" s="10"/>
      <c r="D309" s="10"/>
      <c r="E309" s="10"/>
      <c r="F309" s="10"/>
      <c r="G309" s="10"/>
      <c r="H309" s="8"/>
      <c r="I309" s="8"/>
      <c r="J309" s="8" t="s">
        <v>39</v>
      </c>
      <c r="K309" s="9">
        <f t="shared" si="45"/>
        <v>100</v>
      </c>
    </row>
    <row r="310" spans="1:11" ht="20.100000000000001" customHeight="1" x14ac:dyDescent="0.15">
      <c r="A310" s="10"/>
      <c r="B310" s="5"/>
      <c r="C310" s="10"/>
      <c r="D310" s="10"/>
      <c r="E310" s="10"/>
      <c r="F310" s="10"/>
      <c r="G310" s="10"/>
      <c r="H310" s="8"/>
      <c r="I310" s="8"/>
      <c r="J310" s="8" t="str">
        <f t="shared" si="46"/>
        <v>借</v>
      </c>
      <c r="K310" s="9">
        <f t="shared" si="45"/>
        <v>100</v>
      </c>
    </row>
    <row r="311" spans="1:11" ht="20.100000000000001" customHeight="1" x14ac:dyDescent="0.15">
      <c r="A311" s="10"/>
      <c r="B311" s="5"/>
      <c r="C311" s="10"/>
      <c r="D311" s="10"/>
      <c r="E311" s="10"/>
      <c r="F311" s="10"/>
      <c r="G311" s="10"/>
      <c r="H311" s="8"/>
      <c r="I311" s="8"/>
      <c r="J311" s="8" t="s">
        <v>39</v>
      </c>
      <c r="K311" s="9">
        <f t="shared" si="45"/>
        <v>100</v>
      </c>
    </row>
    <row r="312" spans="1:11" ht="20.100000000000001" customHeight="1" x14ac:dyDescent="0.15">
      <c r="A312" s="10"/>
      <c r="B312" s="5"/>
      <c r="C312" s="10"/>
      <c r="D312" s="10"/>
      <c r="E312" s="10"/>
      <c r="F312" s="10"/>
      <c r="G312" s="10"/>
      <c r="H312" s="8"/>
      <c r="I312" s="8"/>
      <c r="J312" s="8" t="str">
        <f t="shared" ref="J312:J316" si="47">IF((K311+H312-I312)&gt;0,"借","贷")</f>
        <v>借</v>
      </c>
      <c r="K312" s="9">
        <f t="shared" si="45"/>
        <v>100</v>
      </c>
    </row>
    <row r="313" spans="1:11" ht="20.100000000000001" customHeight="1" x14ac:dyDescent="0.15">
      <c r="A313" s="10"/>
      <c r="B313" s="5"/>
      <c r="C313" s="10"/>
      <c r="D313" s="10"/>
      <c r="E313" s="10"/>
      <c r="F313" s="10"/>
      <c r="G313" s="10"/>
      <c r="H313" s="8"/>
      <c r="I313" s="8"/>
      <c r="J313" s="8" t="s">
        <v>39</v>
      </c>
      <c r="K313" s="9">
        <f t="shared" si="45"/>
        <v>100</v>
      </c>
    </row>
    <row r="314" spans="1:11" ht="20.100000000000001" customHeight="1" x14ac:dyDescent="0.15">
      <c r="A314" s="10"/>
      <c r="B314" s="5"/>
      <c r="C314" s="10"/>
      <c r="D314" s="10"/>
      <c r="E314" s="10"/>
      <c r="F314" s="10"/>
      <c r="G314" s="10"/>
      <c r="H314" s="8"/>
      <c r="I314" s="8"/>
      <c r="J314" s="8" t="str">
        <f t="shared" si="47"/>
        <v>借</v>
      </c>
      <c r="K314" s="9">
        <f t="shared" si="45"/>
        <v>100</v>
      </c>
    </row>
    <row r="315" spans="1:11" ht="20.100000000000001" customHeight="1" x14ac:dyDescent="0.15">
      <c r="A315" s="10"/>
      <c r="B315" s="5"/>
      <c r="C315" s="10"/>
      <c r="D315" s="10"/>
      <c r="E315" s="10"/>
      <c r="F315" s="10"/>
      <c r="G315" s="10"/>
      <c r="H315" s="8"/>
      <c r="I315" s="8"/>
      <c r="J315" s="8" t="s">
        <v>39</v>
      </c>
      <c r="K315" s="9">
        <f t="shared" si="45"/>
        <v>100</v>
      </c>
    </row>
    <row r="316" spans="1:11" ht="20.100000000000001" customHeight="1" x14ac:dyDescent="0.15">
      <c r="A316" s="10"/>
      <c r="B316" s="5"/>
      <c r="C316" s="10"/>
      <c r="D316" s="10"/>
      <c r="E316" s="10"/>
      <c r="F316" s="10"/>
      <c r="G316" s="10"/>
      <c r="H316" s="8"/>
      <c r="I316" s="8"/>
      <c r="J316" s="8" t="str">
        <f t="shared" si="47"/>
        <v>借</v>
      </c>
      <c r="K316" s="9">
        <f t="shared" si="45"/>
        <v>100</v>
      </c>
    </row>
    <row r="317" spans="1:11" ht="20.100000000000001" customHeight="1" x14ac:dyDescent="0.15">
      <c r="A317" s="10"/>
      <c r="B317" s="5"/>
      <c r="C317" s="10"/>
      <c r="D317" s="10"/>
      <c r="E317" s="10"/>
      <c r="F317" s="10"/>
      <c r="G317" s="10"/>
      <c r="H317" s="8"/>
      <c r="I317" s="8"/>
      <c r="J317" s="8" t="s">
        <v>39</v>
      </c>
      <c r="K317" s="9">
        <f t="shared" si="45"/>
        <v>100</v>
      </c>
    </row>
    <row r="318" spans="1:11" ht="20.100000000000001" customHeight="1" x14ac:dyDescent="0.15">
      <c r="A318" s="10"/>
      <c r="B318" s="5"/>
      <c r="C318" s="10"/>
      <c r="D318" s="10"/>
      <c r="E318" s="10"/>
      <c r="F318" s="10"/>
      <c r="G318" s="10"/>
      <c r="H318" s="8"/>
      <c r="I318" s="8"/>
      <c r="J318" s="8" t="str">
        <f t="shared" ref="J318:J322" si="48">IF((K317+H318-I318)&gt;0,"借","贷")</f>
        <v>借</v>
      </c>
      <c r="K318" s="9">
        <f t="shared" si="45"/>
        <v>100</v>
      </c>
    </row>
    <row r="319" spans="1:11" ht="20.100000000000001" customHeight="1" x14ac:dyDescent="0.15">
      <c r="A319" s="10"/>
      <c r="B319" s="5"/>
      <c r="C319" s="10"/>
      <c r="D319" s="10"/>
      <c r="E319" s="10"/>
      <c r="F319" s="10"/>
      <c r="G319" s="10"/>
      <c r="H319" s="8"/>
      <c r="I319" s="8"/>
      <c r="J319" s="8" t="s">
        <v>39</v>
      </c>
      <c r="K319" s="9">
        <f t="shared" si="45"/>
        <v>100</v>
      </c>
    </row>
    <row r="320" spans="1:11" ht="20.100000000000001" customHeight="1" x14ac:dyDescent="0.15">
      <c r="A320" s="10"/>
      <c r="B320" s="5"/>
      <c r="C320" s="10"/>
      <c r="D320" s="10"/>
      <c r="E320" s="10"/>
      <c r="F320" s="10"/>
      <c r="G320" s="10"/>
      <c r="H320" s="8"/>
      <c r="I320" s="8"/>
      <c r="J320" s="8" t="str">
        <f t="shared" si="48"/>
        <v>借</v>
      </c>
      <c r="K320" s="9">
        <f t="shared" si="45"/>
        <v>100</v>
      </c>
    </row>
    <row r="321" spans="1:11" ht="20.100000000000001" customHeight="1" x14ac:dyDescent="0.15">
      <c r="A321" s="10"/>
      <c r="B321" s="5"/>
      <c r="C321" s="10"/>
      <c r="D321" s="10"/>
      <c r="E321" s="10"/>
      <c r="F321" s="10"/>
      <c r="G321" s="10"/>
      <c r="H321" s="8"/>
      <c r="I321" s="8"/>
      <c r="J321" s="8" t="s">
        <v>39</v>
      </c>
      <c r="K321" s="9">
        <f t="shared" si="45"/>
        <v>100</v>
      </c>
    </row>
    <row r="322" spans="1:11" ht="20.100000000000001" customHeight="1" x14ac:dyDescent="0.15">
      <c r="A322" s="10"/>
      <c r="B322" s="5"/>
      <c r="C322" s="10"/>
      <c r="D322" s="10"/>
      <c r="E322" s="10"/>
      <c r="F322" s="10"/>
      <c r="G322" s="10"/>
      <c r="H322" s="8"/>
      <c r="I322" s="8"/>
      <c r="J322" s="8" t="str">
        <f t="shared" si="48"/>
        <v>借</v>
      </c>
      <c r="K322" s="9">
        <f t="shared" si="45"/>
        <v>100</v>
      </c>
    </row>
    <row r="323" spans="1:11" ht="20.100000000000001" customHeight="1" x14ac:dyDescent="0.15">
      <c r="A323" s="10"/>
      <c r="B323" s="5"/>
      <c r="C323" s="10"/>
      <c r="D323" s="10"/>
      <c r="E323" s="10"/>
      <c r="F323" s="10"/>
      <c r="G323" s="10"/>
      <c r="H323" s="8"/>
      <c r="I323" s="8"/>
      <c r="J323" s="8" t="s">
        <v>39</v>
      </c>
      <c r="K323" s="9">
        <f t="shared" si="45"/>
        <v>100</v>
      </c>
    </row>
    <row r="324" spans="1:11" ht="20.100000000000001" customHeight="1" x14ac:dyDescent="0.15">
      <c r="A324" s="10"/>
      <c r="B324" s="5"/>
      <c r="C324" s="10"/>
      <c r="D324" s="10"/>
      <c r="E324" s="10"/>
      <c r="F324" s="10"/>
      <c r="G324" s="10"/>
      <c r="H324" s="8"/>
      <c r="I324" s="8"/>
      <c r="J324" s="8" t="str">
        <f t="shared" ref="J324:J328" si="49">IF((K323+H324-I324)&gt;0,"借","贷")</f>
        <v>借</v>
      </c>
      <c r="K324" s="9">
        <f t="shared" si="45"/>
        <v>100</v>
      </c>
    </row>
    <row r="325" spans="1:11" ht="20.100000000000001" customHeight="1" x14ac:dyDescent="0.15">
      <c r="A325" s="10"/>
      <c r="B325" s="5"/>
      <c r="C325" s="10"/>
      <c r="D325" s="10"/>
      <c r="E325" s="10"/>
      <c r="F325" s="10"/>
      <c r="G325" s="10"/>
      <c r="H325" s="8"/>
      <c r="I325" s="8"/>
      <c r="J325" s="8" t="s">
        <v>39</v>
      </c>
      <c r="K325" s="9">
        <f t="shared" si="45"/>
        <v>100</v>
      </c>
    </row>
    <row r="326" spans="1:11" ht="20.100000000000001" customHeight="1" x14ac:dyDescent="0.15">
      <c r="A326" s="10"/>
      <c r="B326" s="5"/>
      <c r="C326" s="10"/>
      <c r="D326" s="10"/>
      <c r="E326" s="10"/>
      <c r="F326" s="10"/>
      <c r="G326" s="10"/>
      <c r="H326" s="8"/>
      <c r="I326" s="8"/>
      <c r="J326" s="8" t="str">
        <f t="shared" si="49"/>
        <v>借</v>
      </c>
      <c r="K326" s="9">
        <f t="shared" si="45"/>
        <v>100</v>
      </c>
    </row>
    <row r="327" spans="1:11" ht="20.100000000000001" customHeight="1" x14ac:dyDescent="0.15">
      <c r="A327" s="10"/>
      <c r="B327" s="5"/>
      <c r="C327" s="10"/>
      <c r="D327" s="10"/>
      <c r="E327" s="10"/>
      <c r="F327" s="10"/>
      <c r="G327" s="10"/>
      <c r="H327" s="8"/>
      <c r="I327" s="8"/>
      <c r="J327" s="8" t="s">
        <v>39</v>
      </c>
      <c r="K327" s="9">
        <f t="shared" si="45"/>
        <v>100</v>
      </c>
    </row>
    <row r="328" spans="1:11" ht="20.100000000000001" customHeight="1" x14ac:dyDescent="0.15">
      <c r="A328" s="10"/>
      <c r="B328" s="5"/>
      <c r="C328" s="10"/>
      <c r="D328" s="10"/>
      <c r="E328" s="10"/>
      <c r="F328" s="10"/>
      <c r="G328" s="10"/>
      <c r="H328" s="8"/>
      <c r="I328" s="8"/>
      <c r="J328" s="8" t="str">
        <f t="shared" si="49"/>
        <v>借</v>
      </c>
      <c r="K328" s="9">
        <f t="shared" si="45"/>
        <v>100</v>
      </c>
    </row>
    <row r="329" spans="1:11" ht="20.100000000000001" customHeight="1" x14ac:dyDescent="0.15">
      <c r="A329" s="10"/>
      <c r="B329" s="5"/>
      <c r="C329" s="10"/>
      <c r="D329" s="10"/>
      <c r="E329" s="10"/>
      <c r="F329" s="10"/>
      <c r="G329" s="10"/>
      <c r="H329" s="8"/>
      <c r="I329" s="8"/>
      <c r="J329" s="8" t="s">
        <v>39</v>
      </c>
      <c r="K329" s="9">
        <f t="shared" si="45"/>
        <v>100</v>
      </c>
    </row>
    <row r="330" spans="1:11" ht="20.100000000000001" customHeight="1" x14ac:dyDescent="0.15">
      <c r="A330" s="10"/>
      <c r="B330" s="5"/>
      <c r="C330" s="10"/>
      <c r="D330" s="10"/>
      <c r="E330" s="10"/>
      <c r="F330" s="10"/>
      <c r="G330" s="10"/>
      <c r="H330" s="8"/>
      <c r="I330" s="8"/>
      <c r="J330" s="8" t="str">
        <f t="shared" ref="J330:J334" si="50">IF((K329+H330-I330)&gt;0,"借","贷")</f>
        <v>借</v>
      </c>
      <c r="K330" s="9">
        <f t="shared" si="45"/>
        <v>100</v>
      </c>
    </row>
    <row r="331" spans="1:11" ht="20.100000000000001" customHeight="1" x14ac:dyDescent="0.15">
      <c r="A331" s="10"/>
      <c r="B331" s="5"/>
      <c r="C331" s="10"/>
      <c r="D331" s="10"/>
      <c r="E331" s="10"/>
      <c r="F331" s="10"/>
      <c r="G331" s="10"/>
      <c r="H331" s="8"/>
      <c r="I331" s="8"/>
      <c r="J331" s="8" t="s">
        <v>39</v>
      </c>
      <c r="K331" s="9">
        <f t="shared" si="45"/>
        <v>100</v>
      </c>
    </row>
    <row r="332" spans="1:11" ht="20.100000000000001" customHeight="1" x14ac:dyDescent="0.15">
      <c r="A332" s="10"/>
      <c r="B332" s="5"/>
      <c r="C332" s="10"/>
      <c r="D332" s="10"/>
      <c r="E332" s="10"/>
      <c r="F332" s="10"/>
      <c r="G332" s="10"/>
      <c r="H332" s="8"/>
      <c r="I332" s="8"/>
      <c r="J332" s="8" t="str">
        <f t="shared" si="50"/>
        <v>借</v>
      </c>
      <c r="K332" s="9">
        <f t="shared" si="45"/>
        <v>100</v>
      </c>
    </row>
    <row r="333" spans="1:11" ht="20.100000000000001" customHeight="1" x14ac:dyDescent="0.15">
      <c r="A333" s="10"/>
      <c r="B333" s="5"/>
      <c r="C333" s="10"/>
      <c r="D333" s="10"/>
      <c r="E333" s="10"/>
      <c r="F333" s="10"/>
      <c r="G333" s="10"/>
      <c r="H333" s="8"/>
      <c r="I333" s="8"/>
      <c r="J333" s="8" t="s">
        <v>39</v>
      </c>
      <c r="K333" s="9">
        <f t="shared" si="45"/>
        <v>100</v>
      </c>
    </row>
    <row r="334" spans="1:11" ht="20.100000000000001" customHeight="1" x14ac:dyDescent="0.15">
      <c r="A334" s="10"/>
      <c r="B334" s="5"/>
      <c r="C334" s="10"/>
      <c r="D334" s="10"/>
      <c r="E334" s="10"/>
      <c r="F334" s="10"/>
      <c r="G334" s="10"/>
      <c r="H334" s="8"/>
      <c r="I334" s="8"/>
      <c r="J334" s="8" t="str">
        <f t="shared" si="50"/>
        <v>借</v>
      </c>
      <c r="K334" s="9">
        <f t="shared" si="45"/>
        <v>100</v>
      </c>
    </row>
    <row r="335" spans="1:11" ht="20.100000000000001" customHeight="1" x14ac:dyDescent="0.15">
      <c r="A335" s="10"/>
      <c r="B335" s="5"/>
      <c r="C335" s="10"/>
      <c r="D335" s="10"/>
      <c r="E335" s="10"/>
      <c r="F335" s="10"/>
      <c r="G335" s="10"/>
      <c r="H335" s="8"/>
      <c r="I335" s="8"/>
      <c r="J335" s="8" t="s">
        <v>39</v>
      </c>
      <c r="K335" s="9">
        <f t="shared" si="45"/>
        <v>100</v>
      </c>
    </row>
    <row r="336" spans="1:11" ht="20.100000000000001" customHeight="1" x14ac:dyDescent="0.15">
      <c r="A336" s="10"/>
      <c r="B336" s="5"/>
      <c r="C336" s="10"/>
      <c r="D336" s="10"/>
      <c r="E336" s="10"/>
      <c r="F336" s="10"/>
      <c r="G336" s="10"/>
      <c r="H336" s="8"/>
      <c r="I336" s="8"/>
      <c r="J336" s="8" t="str">
        <f t="shared" ref="J336:J340" si="51">IF((K335+H336-I336)&gt;0,"借","贷")</f>
        <v>借</v>
      </c>
      <c r="K336" s="9">
        <f t="shared" si="45"/>
        <v>100</v>
      </c>
    </row>
    <row r="337" spans="1:11" ht="20.100000000000001" customHeight="1" x14ac:dyDescent="0.15">
      <c r="A337" s="10"/>
      <c r="B337" s="5"/>
      <c r="C337" s="10"/>
      <c r="D337" s="10"/>
      <c r="E337" s="10"/>
      <c r="F337" s="10"/>
      <c r="G337" s="10"/>
      <c r="H337" s="8"/>
      <c r="I337" s="8"/>
      <c r="J337" s="8" t="s">
        <v>39</v>
      </c>
      <c r="K337" s="9">
        <f t="shared" si="45"/>
        <v>100</v>
      </c>
    </row>
    <row r="338" spans="1:11" ht="20.100000000000001" customHeight="1" x14ac:dyDescent="0.15">
      <c r="A338" s="10"/>
      <c r="B338" s="5"/>
      <c r="C338" s="10"/>
      <c r="D338" s="10"/>
      <c r="E338" s="10"/>
      <c r="F338" s="10"/>
      <c r="G338" s="10"/>
      <c r="H338" s="8"/>
      <c r="I338" s="8"/>
      <c r="J338" s="8" t="str">
        <f t="shared" si="51"/>
        <v>借</v>
      </c>
      <c r="K338" s="9">
        <f t="shared" si="45"/>
        <v>100</v>
      </c>
    </row>
    <row r="339" spans="1:11" ht="20.100000000000001" customHeight="1" x14ac:dyDescent="0.15">
      <c r="A339" s="10"/>
      <c r="B339" s="5"/>
      <c r="C339" s="10"/>
      <c r="D339" s="10"/>
      <c r="E339" s="10"/>
      <c r="F339" s="10"/>
      <c r="G339" s="10"/>
      <c r="H339" s="8"/>
      <c r="I339" s="8"/>
      <c r="J339" s="8" t="s">
        <v>39</v>
      </c>
      <c r="K339" s="9">
        <f t="shared" si="45"/>
        <v>100</v>
      </c>
    </row>
    <row r="340" spans="1:11" ht="20.100000000000001" customHeight="1" x14ac:dyDescent="0.15">
      <c r="A340" s="10"/>
      <c r="B340" s="5"/>
      <c r="C340" s="10"/>
      <c r="D340" s="10"/>
      <c r="E340" s="10"/>
      <c r="F340" s="10"/>
      <c r="G340" s="10"/>
      <c r="H340" s="8"/>
      <c r="I340" s="8"/>
      <c r="J340" s="8" t="str">
        <f t="shared" si="51"/>
        <v>借</v>
      </c>
      <c r="K340" s="9">
        <f t="shared" si="45"/>
        <v>100</v>
      </c>
    </row>
    <row r="341" spans="1:11" ht="20.100000000000001" customHeight="1" x14ac:dyDescent="0.15">
      <c r="A341" s="10"/>
      <c r="B341" s="5"/>
      <c r="C341" s="10"/>
      <c r="D341" s="10"/>
      <c r="E341" s="10"/>
      <c r="F341" s="10"/>
      <c r="G341" s="10"/>
      <c r="H341" s="8"/>
      <c r="I341" s="8"/>
      <c r="J341" s="8" t="s">
        <v>39</v>
      </c>
      <c r="K341" s="9">
        <f t="shared" si="45"/>
        <v>100</v>
      </c>
    </row>
    <row r="342" spans="1:11" ht="20.100000000000001" customHeight="1" x14ac:dyDescent="0.15">
      <c r="A342" s="10"/>
      <c r="B342" s="5"/>
      <c r="C342" s="10"/>
      <c r="D342" s="10"/>
      <c r="E342" s="10"/>
      <c r="F342" s="10"/>
      <c r="G342" s="10"/>
      <c r="H342" s="8"/>
      <c r="I342" s="8"/>
      <c r="J342" s="8" t="str">
        <f t="shared" ref="J342:J346" si="52">IF((K341+H342-I342)&gt;0,"借","贷")</f>
        <v>借</v>
      </c>
      <c r="K342" s="9">
        <f t="shared" si="45"/>
        <v>100</v>
      </c>
    </row>
    <row r="343" spans="1:11" ht="20.100000000000001" customHeight="1" x14ac:dyDescent="0.15">
      <c r="A343" s="10"/>
      <c r="B343" s="5"/>
      <c r="C343" s="10"/>
      <c r="D343" s="10"/>
      <c r="E343" s="10"/>
      <c r="F343" s="10"/>
      <c r="G343" s="10"/>
      <c r="H343" s="8"/>
      <c r="I343" s="8"/>
      <c r="J343" s="8" t="s">
        <v>39</v>
      </c>
      <c r="K343" s="9">
        <f t="shared" si="45"/>
        <v>100</v>
      </c>
    </row>
    <row r="344" spans="1:11" ht="20.100000000000001" customHeight="1" x14ac:dyDescent="0.15">
      <c r="A344" s="10"/>
      <c r="B344" s="5"/>
      <c r="C344" s="10"/>
      <c r="D344" s="10"/>
      <c r="E344" s="10"/>
      <c r="F344" s="10"/>
      <c r="G344" s="10"/>
      <c r="H344" s="8"/>
      <c r="I344" s="8"/>
      <c r="J344" s="8" t="str">
        <f t="shared" si="52"/>
        <v>借</v>
      </c>
      <c r="K344" s="9">
        <f t="shared" si="45"/>
        <v>100</v>
      </c>
    </row>
    <row r="345" spans="1:11" ht="20.100000000000001" customHeight="1" x14ac:dyDescent="0.15">
      <c r="A345" s="10"/>
      <c r="B345" s="5"/>
      <c r="C345" s="10"/>
      <c r="D345" s="10"/>
      <c r="E345" s="10"/>
      <c r="F345" s="10"/>
      <c r="G345" s="10"/>
      <c r="H345" s="8"/>
      <c r="I345" s="8"/>
      <c r="J345" s="8" t="s">
        <v>39</v>
      </c>
      <c r="K345" s="9">
        <f t="shared" si="45"/>
        <v>100</v>
      </c>
    </row>
    <row r="346" spans="1:11" ht="20.100000000000001" customHeight="1" x14ac:dyDescent="0.15">
      <c r="A346" s="10"/>
      <c r="B346" s="5"/>
      <c r="C346" s="10"/>
      <c r="D346" s="10"/>
      <c r="E346" s="10"/>
      <c r="F346" s="10"/>
      <c r="G346" s="10"/>
      <c r="H346" s="8"/>
      <c r="I346" s="8"/>
      <c r="J346" s="8" t="str">
        <f t="shared" si="52"/>
        <v>借</v>
      </c>
      <c r="K346" s="9">
        <f t="shared" si="45"/>
        <v>100</v>
      </c>
    </row>
    <row r="347" spans="1:11" ht="20.100000000000001" customHeight="1" x14ac:dyDescent="0.15">
      <c r="A347" s="10"/>
      <c r="B347" s="5"/>
      <c r="C347" s="10"/>
      <c r="D347" s="10"/>
      <c r="E347" s="10"/>
      <c r="F347" s="10"/>
      <c r="G347" s="10"/>
      <c r="H347" s="8"/>
      <c r="I347" s="8"/>
      <c r="J347" s="8" t="s">
        <v>39</v>
      </c>
      <c r="K347" s="9">
        <f t="shared" si="45"/>
        <v>100</v>
      </c>
    </row>
    <row r="348" spans="1:11" ht="20.100000000000001" customHeight="1" x14ac:dyDescent="0.15">
      <c r="A348" s="10"/>
      <c r="B348" s="5"/>
      <c r="C348" s="10"/>
      <c r="D348" s="10"/>
      <c r="E348" s="10"/>
      <c r="F348" s="10"/>
      <c r="G348" s="10"/>
      <c r="H348" s="8"/>
      <c r="I348" s="8"/>
      <c r="J348" s="8" t="str">
        <f t="shared" ref="J348:J352" si="53">IF((K347+H348-I348)&gt;0,"借","贷")</f>
        <v>借</v>
      </c>
      <c r="K348" s="9">
        <f t="shared" si="45"/>
        <v>100</v>
      </c>
    </row>
    <row r="349" spans="1:11" ht="20.100000000000001" customHeight="1" x14ac:dyDescent="0.15">
      <c r="A349" s="10"/>
      <c r="B349" s="5"/>
      <c r="C349" s="10"/>
      <c r="D349" s="10"/>
      <c r="E349" s="10"/>
      <c r="F349" s="10"/>
      <c r="G349" s="10"/>
      <c r="H349" s="8"/>
      <c r="I349" s="8"/>
      <c r="J349" s="8" t="s">
        <v>39</v>
      </c>
      <c r="K349" s="9">
        <f t="shared" si="45"/>
        <v>100</v>
      </c>
    </row>
    <row r="350" spans="1:11" ht="20.100000000000001" customHeight="1" x14ac:dyDescent="0.15">
      <c r="A350" s="10"/>
      <c r="B350" s="5"/>
      <c r="C350" s="10"/>
      <c r="D350" s="10"/>
      <c r="E350" s="10"/>
      <c r="F350" s="10"/>
      <c r="G350" s="10"/>
      <c r="H350" s="8"/>
      <c r="I350" s="8"/>
      <c r="J350" s="8" t="str">
        <f t="shared" si="53"/>
        <v>借</v>
      </c>
      <c r="K350" s="9">
        <f t="shared" si="45"/>
        <v>100</v>
      </c>
    </row>
    <row r="351" spans="1:11" ht="20.100000000000001" customHeight="1" x14ac:dyDescent="0.15">
      <c r="A351" s="10"/>
      <c r="B351" s="5"/>
      <c r="C351" s="10"/>
      <c r="D351" s="10"/>
      <c r="E351" s="10"/>
      <c r="F351" s="10"/>
      <c r="G351" s="10"/>
      <c r="H351" s="8"/>
      <c r="I351" s="8"/>
      <c r="J351" s="8" t="s">
        <v>39</v>
      </c>
      <c r="K351" s="9">
        <f t="shared" si="45"/>
        <v>100</v>
      </c>
    </row>
    <row r="352" spans="1:11" ht="20.100000000000001" customHeight="1" x14ac:dyDescent="0.15">
      <c r="A352" s="10"/>
      <c r="B352" s="5"/>
      <c r="C352" s="10"/>
      <c r="D352" s="10"/>
      <c r="E352" s="10"/>
      <c r="F352" s="10"/>
      <c r="G352" s="10"/>
      <c r="H352" s="8"/>
      <c r="I352" s="8"/>
      <c r="J352" s="8" t="str">
        <f t="shared" si="53"/>
        <v>借</v>
      </c>
      <c r="K352" s="9">
        <f t="shared" si="45"/>
        <v>100</v>
      </c>
    </row>
    <row r="353" spans="1:11" ht="20.100000000000001" customHeight="1" x14ac:dyDescent="0.15">
      <c r="A353" s="10"/>
      <c r="B353" s="5"/>
      <c r="C353" s="10"/>
      <c r="D353" s="10"/>
      <c r="E353" s="10"/>
      <c r="F353" s="10"/>
      <c r="G353" s="10"/>
      <c r="H353" s="8"/>
      <c r="I353" s="8"/>
      <c r="J353" s="8" t="s">
        <v>39</v>
      </c>
      <c r="K353" s="9">
        <f t="shared" si="45"/>
        <v>100</v>
      </c>
    </row>
    <row r="354" spans="1:11" ht="20.100000000000001" customHeight="1" x14ac:dyDescent="0.15">
      <c r="A354" s="10"/>
      <c r="B354" s="5"/>
      <c r="C354" s="10"/>
      <c r="D354" s="10"/>
      <c r="E354" s="10"/>
      <c r="F354" s="10"/>
      <c r="G354" s="10"/>
      <c r="H354" s="8"/>
      <c r="I354" s="8"/>
      <c r="J354" s="8" t="str">
        <f t="shared" ref="J354:J358" si="54">IF((K353+H354-I354)&gt;0,"借","贷")</f>
        <v>借</v>
      </c>
      <c r="K354" s="9">
        <f t="shared" si="45"/>
        <v>100</v>
      </c>
    </row>
    <row r="355" spans="1:11" ht="20.100000000000001" customHeight="1" x14ac:dyDescent="0.15">
      <c r="A355" s="10"/>
      <c r="B355" s="5"/>
      <c r="C355" s="10"/>
      <c r="D355" s="10"/>
      <c r="E355" s="10"/>
      <c r="F355" s="10"/>
      <c r="G355" s="10"/>
      <c r="H355" s="8"/>
      <c r="I355" s="8"/>
      <c r="J355" s="8" t="s">
        <v>39</v>
      </c>
      <c r="K355" s="9">
        <f t="shared" si="45"/>
        <v>100</v>
      </c>
    </row>
    <row r="356" spans="1:11" ht="20.100000000000001" customHeight="1" x14ac:dyDescent="0.15">
      <c r="A356" s="10"/>
      <c r="B356" s="5"/>
      <c r="C356" s="10"/>
      <c r="D356" s="10"/>
      <c r="E356" s="10"/>
      <c r="F356" s="10"/>
      <c r="G356" s="10"/>
      <c r="H356" s="8"/>
      <c r="I356" s="8"/>
      <c r="J356" s="8" t="str">
        <f t="shared" si="54"/>
        <v>借</v>
      </c>
      <c r="K356" s="9">
        <f t="shared" si="45"/>
        <v>100</v>
      </c>
    </row>
    <row r="357" spans="1:11" ht="20.100000000000001" customHeight="1" x14ac:dyDescent="0.15">
      <c r="A357" s="10"/>
      <c r="B357" s="5"/>
      <c r="C357" s="10"/>
      <c r="D357" s="10"/>
      <c r="E357" s="10"/>
      <c r="F357" s="10"/>
      <c r="G357" s="10"/>
      <c r="H357" s="8"/>
      <c r="I357" s="8"/>
      <c r="J357" s="8" t="s">
        <v>39</v>
      </c>
      <c r="K357" s="9">
        <f t="shared" si="45"/>
        <v>100</v>
      </c>
    </row>
    <row r="358" spans="1:11" ht="20.100000000000001" customHeight="1" x14ac:dyDescent="0.15">
      <c r="A358" s="10"/>
      <c r="B358" s="5"/>
      <c r="C358" s="10"/>
      <c r="D358" s="10"/>
      <c r="E358" s="10"/>
      <c r="F358" s="10"/>
      <c r="G358" s="10"/>
      <c r="H358" s="8"/>
      <c r="I358" s="8"/>
      <c r="J358" s="8" t="str">
        <f t="shared" si="54"/>
        <v>借</v>
      </c>
      <c r="K358" s="9">
        <f t="shared" si="45"/>
        <v>100</v>
      </c>
    </row>
    <row r="359" spans="1:11" ht="20.100000000000001" customHeight="1" x14ac:dyDescent="0.15">
      <c r="A359" s="10"/>
      <c r="B359" s="5"/>
      <c r="C359" s="10"/>
      <c r="D359" s="10"/>
      <c r="E359" s="10"/>
      <c r="F359" s="10"/>
      <c r="G359" s="10"/>
      <c r="H359" s="8"/>
      <c r="I359" s="8"/>
      <c r="J359" s="8" t="s">
        <v>39</v>
      </c>
      <c r="K359" s="9">
        <f t="shared" si="45"/>
        <v>100</v>
      </c>
    </row>
    <row r="360" spans="1:11" ht="20.100000000000001" customHeight="1" x14ac:dyDescent="0.15">
      <c r="A360" s="10"/>
      <c r="B360" s="5"/>
      <c r="C360" s="10"/>
      <c r="D360" s="10"/>
      <c r="E360" s="10"/>
      <c r="F360" s="10"/>
      <c r="G360" s="10"/>
      <c r="H360" s="8"/>
      <c r="I360" s="8"/>
      <c r="J360" s="8" t="str">
        <f t="shared" ref="J360:J364" si="55">IF((K359+H360-I360)&gt;0,"借","贷")</f>
        <v>借</v>
      </c>
      <c r="K360" s="9">
        <f t="shared" si="45"/>
        <v>100</v>
      </c>
    </row>
    <row r="361" spans="1:11" ht="20.100000000000001" customHeight="1" x14ac:dyDescent="0.15">
      <c r="A361" s="10"/>
      <c r="B361" s="5"/>
      <c r="C361" s="10"/>
      <c r="D361" s="10"/>
      <c r="E361" s="10"/>
      <c r="F361" s="10"/>
      <c r="G361" s="10"/>
      <c r="H361" s="8"/>
      <c r="I361" s="8"/>
      <c r="J361" s="8" t="s">
        <v>39</v>
      </c>
      <c r="K361" s="9">
        <f t="shared" si="45"/>
        <v>100</v>
      </c>
    </row>
    <row r="362" spans="1:11" ht="20.100000000000001" customHeight="1" x14ac:dyDescent="0.15">
      <c r="A362" s="10"/>
      <c r="B362" s="5"/>
      <c r="C362" s="10"/>
      <c r="D362" s="10"/>
      <c r="E362" s="10"/>
      <c r="F362" s="10"/>
      <c r="G362" s="10"/>
      <c r="H362" s="8"/>
      <c r="I362" s="8"/>
      <c r="J362" s="8" t="str">
        <f t="shared" si="55"/>
        <v>借</v>
      </c>
      <c r="K362" s="9">
        <f t="shared" si="45"/>
        <v>100</v>
      </c>
    </row>
    <row r="363" spans="1:11" ht="20.100000000000001" customHeight="1" x14ac:dyDescent="0.15">
      <c r="A363" s="10"/>
      <c r="B363" s="5"/>
      <c r="C363" s="10"/>
      <c r="D363" s="10"/>
      <c r="E363" s="10"/>
      <c r="F363" s="10"/>
      <c r="G363" s="10"/>
      <c r="H363" s="8"/>
      <c r="I363" s="8"/>
      <c r="J363" s="8" t="s">
        <v>39</v>
      </c>
      <c r="K363" s="9">
        <f t="shared" si="45"/>
        <v>100</v>
      </c>
    </row>
    <row r="364" spans="1:11" ht="20.100000000000001" customHeight="1" x14ac:dyDescent="0.15">
      <c r="A364" s="10"/>
      <c r="B364" s="5"/>
      <c r="C364" s="10"/>
      <c r="D364" s="10"/>
      <c r="E364" s="10"/>
      <c r="F364" s="10"/>
      <c r="G364" s="10"/>
      <c r="H364" s="8"/>
      <c r="I364" s="8"/>
      <c r="J364" s="8" t="str">
        <f t="shared" si="55"/>
        <v>借</v>
      </c>
      <c r="K364" s="9">
        <f t="shared" si="45"/>
        <v>100</v>
      </c>
    </row>
    <row r="365" spans="1:11" ht="20.100000000000001" customHeight="1" x14ac:dyDescent="0.15">
      <c r="B365" s="5"/>
      <c r="C365" s="10"/>
      <c r="D365" s="10"/>
      <c r="E365" s="10"/>
      <c r="F365" s="10"/>
      <c r="G365" s="10"/>
      <c r="H365" s="8"/>
      <c r="I365" s="8"/>
      <c r="J365" s="8" t="s">
        <v>39</v>
      </c>
      <c r="K365" s="9">
        <f t="shared" ref="K365:K428" si="56">_xlfn.IFS(J364="借",K364+H365-I365,J364="贷",H365-I365-K364)</f>
        <v>100</v>
      </c>
    </row>
    <row r="366" spans="1:11" ht="20.100000000000001" customHeight="1" x14ac:dyDescent="0.15">
      <c r="B366" s="5"/>
      <c r="C366" s="10"/>
      <c r="D366" s="10"/>
      <c r="E366" s="10"/>
      <c r="F366" s="10"/>
      <c r="G366" s="10"/>
      <c r="H366" s="8"/>
      <c r="I366" s="8"/>
      <c r="J366" s="8" t="str">
        <f t="shared" ref="J366:J370" si="57">IF((K365+H366-I366)&gt;0,"借","贷")</f>
        <v>借</v>
      </c>
      <c r="K366" s="9">
        <f t="shared" si="56"/>
        <v>100</v>
      </c>
    </row>
    <row r="367" spans="1:11" ht="20.100000000000001" customHeight="1" x14ac:dyDescent="0.15">
      <c r="B367" s="5"/>
      <c r="C367" s="7"/>
      <c r="D367" s="10"/>
      <c r="E367" s="10"/>
      <c r="F367" s="10"/>
      <c r="G367" s="10"/>
      <c r="H367" s="8"/>
      <c r="I367" s="8"/>
      <c r="J367" s="8" t="s">
        <v>39</v>
      </c>
      <c r="K367" s="9">
        <f t="shared" si="56"/>
        <v>100</v>
      </c>
    </row>
    <row r="368" spans="1:11" ht="20.100000000000001" customHeight="1" x14ac:dyDescent="0.15">
      <c r="B368" s="5"/>
      <c r="C368" s="7"/>
      <c r="D368" s="10"/>
      <c r="E368" s="10"/>
      <c r="F368" s="10"/>
      <c r="G368" s="10"/>
      <c r="H368" s="8"/>
      <c r="I368" s="8"/>
      <c r="J368" s="8" t="str">
        <f t="shared" si="57"/>
        <v>借</v>
      </c>
      <c r="K368" s="9">
        <f t="shared" si="56"/>
        <v>100</v>
      </c>
    </row>
    <row r="369" spans="2:11" ht="20.100000000000001" customHeight="1" x14ac:dyDescent="0.15">
      <c r="B369" s="5"/>
      <c r="C369" s="7"/>
      <c r="D369" s="10"/>
      <c r="E369" s="10"/>
      <c r="F369" s="10"/>
      <c r="G369" s="10"/>
      <c r="H369" s="8"/>
      <c r="I369" s="8"/>
      <c r="J369" s="8" t="s">
        <v>39</v>
      </c>
      <c r="K369" s="9">
        <f t="shared" si="56"/>
        <v>100</v>
      </c>
    </row>
    <row r="370" spans="2:11" ht="20.100000000000001" customHeight="1" x14ac:dyDescent="0.15">
      <c r="B370" s="5"/>
      <c r="C370" s="7"/>
      <c r="D370" s="10"/>
      <c r="E370" s="10"/>
      <c r="F370" s="10"/>
      <c r="G370" s="10"/>
      <c r="H370" s="8"/>
      <c r="I370" s="8"/>
      <c r="J370" s="8" t="str">
        <f t="shared" si="57"/>
        <v>借</v>
      </c>
      <c r="K370" s="9">
        <f t="shared" si="56"/>
        <v>100</v>
      </c>
    </row>
    <row r="371" spans="2:11" ht="20.100000000000001" customHeight="1" x14ac:dyDescent="0.15">
      <c r="B371" s="5"/>
      <c r="C371" s="7"/>
      <c r="D371" s="10"/>
      <c r="E371" s="10"/>
      <c r="F371" s="10"/>
      <c r="G371" s="10"/>
      <c r="H371" s="8"/>
      <c r="I371" s="8"/>
      <c r="J371" s="8" t="s">
        <v>39</v>
      </c>
      <c r="K371" s="9">
        <f t="shared" si="56"/>
        <v>100</v>
      </c>
    </row>
    <row r="372" spans="2:11" ht="20.100000000000001" customHeight="1" x14ac:dyDescent="0.15">
      <c r="B372" s="5"/>
      <c r="C372" s="7"/>
      <c r="D372" s="10"/>
      <c r="E372" s="10"/>
      <c r="F372" s="10"/>
      <c r="G372" s="10"/>
      <c r="H372" s="8"/>
      <c r="I372" s="8"/>
      <c r="J372" s="8" t="str">
        <f t="shared" ref="J372:J376" si="58">IF((K371+H372-I372)&gt;0,"借","贷")</f>
        <v>借</v>
      </c>
      <c r="K372" s="9">
        <f t="shared" si="56"/>
        <v>100</v>
      </c>
    </row>
    <row r="373" spans="2:11" ht="20.100000000000001" customHeight="1" x14ac:dyDescent="0.15">
      <c r="B373" s="5"/>
      <c r="C373" s="7"/>
      <c r="D373" s="10"/>
      <c r="E373" s="10"/>
      <c r="F373" s="10"/>
      <c r="G373" s="10"/>
      <c r="H373" s="8"/>
      <c r="I373" s="8"/>
      <c r="J373" s="8" t="s">
        <v>39</v>
      </c>
      <c r="K373" s="9">
        <f t="shared" si="56"/>
        <v>100</v>
      </c>
    </row>
    <row r="374" spans="2:11" ht="20.100000000000001" customHeight="1" x14ac:dyDescent="0.15">
      <c r="B374" s="5"/>
      <c r="C374" s="7"/>
      <c r="D374" s="10"/>
      <c r="E374" s="10"/>
      <c r="F374" s="10"/>
      <c r="G374" s="10"/>
      <c r="H374" s="8"/>
      <c r="I374" s="8"/>
      <c r="J374" s="8" t="str">
        <f t="shared" si="58"/>
        <v>借</v>
      </c>
      <c r="K374" s="9">
        <f t="shared" si="56"/>
        <v>100</v>
      </c>
    </row>
    <row r="375" spans="2:11" ht="20.100000000000001" customHeight="1" x14ac:dyDescent="0.15">
      <c r="B375" s="5"/>
      <c r="C375" s="7"/>
      <c r="D375" s="10"/>
      <c r="E375" s="10"/>
      <c r="F375" s="10"/>
      <c r="G375" s="10"/>
      <c r="H375" s="8"/>
      <c r="I375" s="8"/>
      <c r="J375" s="8" t="s">
        <v>39</v>
      </c>
      <c r="K375" s="9">
        <f t="shared" si="56"/>
        <v>100</v>
      </c>
    </row>
    <row r="376" spans="2:11" ht="20.100000000000001" customHeight="1" x14ac:dyDescent="0.15">
      <c r="B376" s="5"/>
      <c r="C376" s="7"/>
      <c r="D376" s="10"/>
      <c r="E376" s="10"/>
      <c r="F376" s="10"/>
      <c r="G376" s="10"/>
      <c r="H376" s="8"/>
      <c r="I376" s="8"/>
      <c r="J376" s="8" t="str">
        <f t="shared" si="58"/>
        <v>借</v>
      </c>
      <c r="K376" s="9">
        <f t="shared" si="56"/>
        <v>100</v>
      </c>
    </row>
    <row r="377" spans="2:11" ht="20.100000000000001" customHeight="1" x14ac:dyDescent="0.15">
      <c r="B377" s="5"/>
      <c r="C377" s="7"/>
      <c r="D377" s="10"/>
      <c r="E377" s="10"/>
      <c r="F377" s="10"/>
      <c r="G377" s="10"/>
      <c r="H377" s="8"/>
      <c r="I377" s="8"/>
      <c r="J377" s="8" t="s">
        <v>39</v>
      </c>
      <c r="K377" s="9">
        <f t="shared" si="56"/>
        <v>100</v>
      </c>
    </row>
    <row r="378" spans="2:11" ht="20.100000000000001" customHeight="1" x14ac:dyDescent="0.15">
      <c r="B378" s="5"/>
      <c r="C378" s="7"/>
      <c r="D378" s="10"/>
      <c r="E378" s="10"/>
      <c r="F378" s="10"/>
      <c r="G378" s="10"/>
      <c r="H378" s="8"/>
      <c r="I378" s="8"/>
      <c r="J378" s="8" t="str">
        <f t="shared" ref="J378:J382" si="59">IF((K377+H378-I378)&gt;0,"借","贷")</f>
        <v>借</v>
      </c>
      <c r="K378" s="9">
        <f t="shared" si="56"/>
        <v>100</v>
      </c>
    </row>
    <row r="379" spans="2:11" ht="20.100000000000001" customHeight="1" x14ac:dyDescent="0.15">
      <c r="B379" s="5"/>
      <c r="C379" s="7"/>
      <c r="D379" s="10"/>
      <c r="E379" s="10"/>
      <c r="F379" s="10"/>
      <c r="G379" s="10"/>
      <c r="H379" s="8"/>
      <c r="I379" s="8"/>
      <c r="J379" s="8" t="s">
        <v>39</v>
      </c>
      <c r="K379" s="9">
        <f t="shared" si="56"/>
        <v>100</v>
      </c>
    </row>
    <row r="380" spans="2:11" ht="20.100000000000001" customHeight="1" x14ac:dyDescent="0.15">
      <c r="B380" s="5"/>
      <c r="C380" s="7"/>
      <c r="D380" s="10"/>
      <c r="E380" s="10"/>
      <c r="F380" s="10"/>
      <c r="G380" s="10"/>
      <c r="H380" s="8"/>
      <c r="I380" s="8"/>
      <c r="J380" s="8" t="str">
        <f t="shared" si="59"/>
        <v>借</v>
      </c>
      <c r="K380" s="9">
        <f t="shared" si="56"/>
        <v>100</v>
      </c>
    </row>
    <row r="381" spans="2:11" ht="20.100000000000001" customHeight="1" x14ac:dyDescent="0.15">
      <c r="B381" s="5"/>
      <c r="C381" s="7"/>
      <c r="D381" s="10"/>
      <c r="E381" s="10"/>
      <c r="F381" s="10"/>
      <c r="G381" s="10"/>
      <c r="H381" s="8"/>
      <c r="I381" s="8"/>
      <c r="J381" s="8" t="s">
        <v>39</v>
      </c>
      <c r="K381" s="9">
        <f t="shared" si="56"/>
        <v>100</v>
      </c>
    </row>
    <row r="382" spans="2:11" ht="20.100000000000001" customHeight="1" x14ac:dyDescent="0.15">
      <c r="B382" s="5"/>
      <c r="C382" s="7"/>
      <c r="D382" s="10"/>
      <c r="E382" s="10"/>
      <c r="F382" s="10"/>
      <c r="G382" s="10"/>
      <c r="H382" s="8"/>
      <c r="I382" s="8"/>
      <c r="J382" s="8" t="str">
        <f t="shared" si="59"/>
        <v>借</v>
      </c>
      <c r="K382" s="9">
        <f t="shared" si="56"/>
        <v>100</v>
      </c>
    </row>
    <row r="383" spans="2:11" ht="20.100000000000001" customHeight="1" x14ac:dyDescent="0.15">
      <c r="B383" s="5"/>
      <c r="C383" s="7"/>
      <c r="D383" s="10"/>
      <c r="E383" s="10"/>
      <c r="F383" s="10"/>
      <c r="G383" s="10"/>
      <c r="H383" s="8"/>
      <c r="I383" s="8"/>
      <c r="J383" s="8" t="s">
        <v>39</v>
      </c>
      <c r="K383" s="9">
        <f t="shared" si="56"/>
        <v>100</v>
      </c>
    </row>
    <row r="384" spans="2:11" ht="20.100000000000001" customHeight="1" x14ac:dyDescent="0.15">
      <c r="B384" s="5"/>
      <c r="C384" s="10"/>
      <c r="D384" s="10"/>
      <c r="E384" s="10"/>
      <c r="F384" s="10"/>
      <c r="G384" s="10"/>
      <c r="H384" s="8"/>
      <c r="I384" s="8"/>
      <c r="J384" s="8" t="str">
        <f t="shared" ref="J384:J388" si="60">IF((K383+H384-I384)&gt;0,"借","贷")</f>
        <v>借</v>
      </c>
      <c r="K384" s="9">
        <f t="shared" si="56"/>
        <v>100</v>
      </c>
    </row>
    <row r="385" spans="2:11" ht="20.100000000000001" customHeight="1" x14ac:dyDescent="0.15">
      <c r="B385" s="5"/>
      <c r="C385" s="10"/>
      <c r="D385" s="10"/>
      <c r="E385" s="10"/>
      <c r="F385" s="10"/>
      <c r="G385" s="10"/>
      <c r="H385" s="8"/>
      <c r="I385" s="8"/>
      <c r="J385" s="8" t="s">
        <v>39</v>
      </c>
      <c r="K385" s="9">
        <f t="shared" si="56"/>
        <v>100</v>
      </c>
    </row>
    <row r="386" spans="2:11" ht="20.100000000000001" customHeight="1" x14ac:dyDescent="0.15">
      <c r="B386" s="5"/>
      <c r="C386" s="10"/>
      <c r="D386" s="10"/>
      <c r="E386" s="10"/>
      <c r="F386" s="10"/>
      <c r="G386" s="10"/>
      <c r="H386" s="8"/>
      <c r="I386" s="8"/>
      <c r="J386" s="8" t="str">
        <f t="shared" si="60"/>
        <v>借</v>
      </c>
      <c r="K386" s="9">
        <f t="shared" si="56"/>
        <v>100</v>
      </c>
    </row>
    <row r="387" spans="2:11" ht="20.100000000000001" customHeight="1" x14ac:dyDescent="0.15">
      <c r="B387" s="5"/>
      <c r="C387" s="10"/>
      <c r="D387" s="10"/>
      <c r="E387" s="10"/>
      <c r="F387" s="10"/>
      <c r="G387" s="10"/>
      <c r="H387" s="8"/>
      <c r="I387" s="8"/>
      <c r="J387" s="8" t="s">
        <v>39</v>
      </c>
      <c r="K387" s="9">
        <f t="shared" si="56"/>
        <v>100</v>
      </c>
    </row>
    <row r="388" spans="2:11" ht="20.100000000000001" customHeight="1" x14ac:dyDescent="0.15">
      <c r="B388" s="5"/>
      <c r="C388" s="10"/>
      <c r="D388" s="10"/>
      <c r="E388" s="10"/>
      <c r="F388" s="10"/>
      <c r="G388" s="10"/>
      <c r="H388" s="8"/>
      <c r="I388" s="8"/>
      <c r="J388" s="8" t="str">
        <f t="shared" si="60"/>
        <v>借</v>
      </c>
      <c r="K388" s="9">
        <f t="shared" si="56"/>
        <v>100</v>
      </c>
    </row>
    <row r="389" spans="2:11" ht="20.100000000000001" customHeight="1" x14ac:dyDescent="0.15">
      <c r="B389" s="5"/>
      <c r="C389" s="10"/>
      <c r="D389" s="10"/>
      <c r="E389" s="10"/>
      <c r="F389" s="10"/>
      <c r="G389" s="10"/>
      <c r="H389" s="8"/>
      <c r="I389" s="8"/>
      <c r="J389" s="8" t="s">
        <v>39</v>
      </c>
      <c r="K389" s="9">
        <f t="shared" si="56"/>
        <v>100</v>
      </c>
    </row>
    <row r="390" spans="2:11" ht="20.100000000000001" customHeight="1" x14ac:dyDescent="0.15">
      <c r="B390" s="5"/>
      <c r="C390" s="10"/>
      <c r="D390" s="10"/>
      <c r="E390" s="10"/>
      <c r="F390" s="10"/>
      <c r="G390" s="10"/>
      <c r="H390" s="8"/>
      <c r="I390" s="8"/>
      <c r="J390" s="8" t="str">
        <f t="shared" ref="J390:J394" si="61">IF((K389+H390-I390)&gt;0,"借","贷")</f>
        <v>借</v>
      </c>
      <c r="K390" s="9">
        <f t="shared" si="56"/>
        <v>100</v>
      </c>
    </row>
    <row r="391" spans="2:11" ht="20.100000000000001" customHeight="1" x14ac:dyDescent="0.15">
      <c r="B391" s="5"/>
      <c r="C391" s="10"/>
      <c r="D391" s="10"/>
      <c r="E391" s="10"/>
      <c r="F391" s="10"/>
      <c r="G391" s="10"/>
      <c r="H391" s="8"/>
      <c r="I391" s="8"/>
      <c r="J391" s="8" t="s">
        <v>39</v>
      </c>
      <c r="K391" s="9">
        <f t="shared" si="56"/>
        <v>100</v>
      </c>
    </row>
    <row r="392" spans="2:11" ht="20.100000000000001" customHeight="1" x14ac:dyDescent="0.15">
      <c r="B392" s="5"/>
      <c r="C392" s="10"/>
      <c r="D392" s="10"/>
      <c r="E392" s="10"/>
      <c r="F392" s="10"/>
      <c r="G392" s="10"/>
      <c r="H392" s="8"/>
      <c r="I392" s="8"/>
      <c r="J392" s="8" t="str">
        <f t="shared" si="61"/>
        <v>借</v>
      </c>
      <c r="K392" s="9">
        <f t="shared" si="56"/>
        <v>100</v>
      </c>
    </row>
    <row r="393" spans="2:11" ht="20.100000000000001" customHeight="1" x14ac:dyDescent="0.15">
      <c r="B393" s="5"/>
      <c r="C393" s="10"/>
      <c r="D393" s="10"/>
      <c r="E393" s="10"/>
      <c r="F393" s="10"/>
      <c r="G393" s="10"/>
      <c r="H393" s="8"/>
      <c r="I393" s="8"/>
      <c r="J393" s="8" t="s">
        <v>39</v>
      </c>
      <c r="K393" s="9">
        <f t="shared" si="56"/>
        <v>100</v>
      </c>
    </row>
    <row r="394" spans="2:11" ht="20.100000000000001" customHeight="1" x14ac:dyDescent="0.15">
      <c r="B394" s="5"/>
      <c r="C394" s="10"/>
      <c r="D394" s="10"/>
      <c r="E394" s="10"/>
      <c r="F394" s="10"/>
      <c r="G394" s="10"/>
      <c r="H394" s="8"/>
      <c r="I394" s="8"/>
      <c r="J394" s="8" t="str">
        <f t="shared" si="61"/>
        <v>借</v>
      </c>
      <c r="K394" s="9">
        <f t="shared" si="56"/>
        <v>100</v>
      </c>
    </row>
    <row r="395" spans="2:11" ht="20.100000000000001" customHeight="1" x14ac:dyDescent="0.15">
      <c r="B395" s="5"/>
      <c r="C395" s="10"/>
      <c r="D395" s="10"/>
      <c r="E395" s="10"/>
      <c r="F395" s="10"/>
      <c r="G395" s="10"/>
      <c r="H395" s="8"/>
      <c r="I395" s="8"/>
      <c r="J395" s="8" t="s">
        <v>39</v>
      </c>
      <c r="K395" s="9">
        <f t="shared" si="56"/>
        <v>100</v>
      </c>
    </row>
    <row r="396" spans="2:11" ht="20.100000000000001" customHeight="1" x14ac:dyDescent="0.15">
      <c r="B396" s="5"/>
      <c r="C396" s="10"/>
      <c r="D396" s="10"/>
      <c r="E396" s="10"/>
      <c r="F396" s="10"/>
      <c r="G396" s="10"/>
      <c r="H396" s="8"/>
      <c r="I396" s="8"/>
      <c r="J396" s="8" t="str">
        <f t="shared" ref="J396:J400" si="62">IF((K395+H396-I396)&gt;0,"借","贷")</f>
        <v>借</v>
      </c>
      <c r="K396" s="9">
        <f t="shared" si="56"/>
        <v>100</v>
      </c>
    </row>
    <row r="397" spans="2:11" ht="20.100000000000001" customHeight="1" x14ac:dyDescent="0.15">
      <c r="B397" s="5"/>
      <c r="C397" s="10"/>
      <c r="D397" s="10"/>
      <c r="E397" s="10"/>
      <c r="F397" s="10"/>
      <c r="G397" s="10"/>
      <c r="H397" s="8"/>
      <c r="I397" s="8"/>
      <c r="J397" s="8" t="s">
        <v>39</v>
      </c>
      <c r="K397" s="9">
        <f t="shared" si="56"/>
        <v>100</v>
      </c>
    </row>
    <row r="398" spans="2:11" ht="20.100000000000001" customHeight="1" x14ac:dyDescent="0.15">
      <c r="B398" s="5"/>
      <c r="C398" s="10"/>
      <c r="D398" s="10"/>
      <c r="E398" s="10"/>
      <c r="F398" s="10"/>
      <c r="G398" s="10"/>
      <c r="H398" s="8"/>
      <c r="I398" s="8"/>
      <c r="J398" s="8" t="str">
        <f t="shared" si="62"/>
        <v>借</v>
      </c>
      <c r="K398" s="9">
        <f t="shared" si="56"/>
        <v>100</v>
      </c>
    </row>
    <row r="399" spans="2:11" ht="20.100000000000001" customHeight="1" x14ac:dyDescent="0.15">
      <c r="B399" s="5"/>
      <c r="C399" s="10"/>
      <c r="D399" s="10"/>
      <c r="E399" s="10"/>
      <c r="F399" s="10"/>
      <c r="G399" s="10"/>
      <c r="H399" s="8"/>
      <c r="I399" s="8"/>
      <c r="J399" s="8" t="s">
        <v>39</v>
      </c>
      <c r="K399" s="9">
        <f t="shared" si="56"/>
        <v>100</v>
      </c>
    </row>
    <row r="400" spans="2:11" ht="20.100000000000001" customHeight="1" x14ac:dyDescent="0.15">
      <c r="B400" s="5"/>
      <c r="C400" s="10"/>
      <c r="D400" s="10"/>
      <c r="E400" s="10"/>
      <c r="F400" s="10"/>
      <c r="G400" s="10"/>
      <c r="H400" s="8"/>
      <c r="I400" s="8"/>
      <c r="J400" s="8" t="str">
        <f t="shared" si="62"/>
        <v>借</v>
      </c>
      <c r="K400" s="9">
        <f t="shared" si="56"/>
        <v>100</v>
      </c>
    </row>
    <row r="401" spans="2:11" ht="20.100000000000001" customHeight="1" x14ac:dyDescent="0.15">
      <c r="B401" s="5"/>
      <c r="C401" s="10"/>
      <c r="D401" s="10"/>
      <c r="E401" s="10"/>
      <c r="F401" s="10"/>
      <c r="G401" s="10"/>
      <c r="H401" s="8"/>
      <c r="I401" s="8"/>
      <c r="J401" s="8" t="s">
        <v>39</v>
      </c>
      <c r="K401" s="9">
        <f t="shared" si="56"/>
        <v>100</v>
      </c>
    </row>
    <row r="402" spans="2:11" ht="20.100000000000001" customHeight="1" x14ac:dyDescent="0.15">
      <c r="B402" s="5"/>
      <c r="C402" s="10"/>
      <c r="D402" s="10"/>
      <c r="E402" s="10"/>
      <c r="F402" s="10"/>
      <c r="G402" s="10"/>
      <c r="H402" s="8"/>
      <c r="I402" s="8"/>
      <c r="J402" s="8" t="str">
        <f t="shared" ref="J402:J406" si="63">IF((K401+H402-I402)&gt;0,"借","贷")</f>
        <v>借</v>
      </c>
      <c r="K402" s="9">
        <f t="shared" si="56"/>
        <v>100</v>
      </c>
    </row>
    <row r="403" spans="2:11" ht="20.100000000000001" customHeight="1" x14ac:dyDescent="0.15">
      <c r="B403" s="5"/>
      <c r="C403" s="10"/>
      <c r="D403" s="10"/>
      <c r="E403" s="10"/>
      <c r="F403" s="10"/>
      <c r="G403" s="10"/>
      <c r="H403" s="8"/>
      <c r="I403" s="8"/>
      <c r="J403" s="8" t="s">
        <v>39</v>
      </c>
      <c r="K403" s="9">
        <f t="shared" si="56"/>
        <v>100</v>
      </c>
    </row>
    <row r="404" spans="2:11" ht="20.100000000000001" customHeight="1" x14ac:dyDescent="0.15">
      <c r="B404" s="5"/>
      <c r="C404" s="10"/>
      <c r="D404" s="10"/>
      <c r="E404" s="10"/>
      <c r="F404" s="10"/>
      <c r="G404" s="10"/>
      <c r="H404" s="8"/>
      <c r="I404" s="8"/>
      <c r="J404" s="8" t="str">
        <f t="shared" si="63"/>
        <v>借</v>
      </c>
      <c r="K404" s="9">
        <f t="shared" si="56"/>
        <v>100</v>
      </c>
    </row>
    <row r="405" spans="2:11" ht="20.100000000000001" customHeight="1" x14ac:dyDescent="0.15">
      <c r="B405" s="5"/>
      <c r="C405" s="10"/>
      <c r="D405" s="10"/>
      <c r="E405" s="10"/>
      <c r="F405" s="10"/>
      <c r="G405" s="10"/>
      <c r="H405" s="8"/>
      <c r="I405" s="8"/>
      <c r="J405" s="8" t="s">
        <v>39</v>
      </c>
      <c r="K405" s="9">
        <f t="shared" si="56"/>
        <v>100</v>
      </c>
    </row>
    <row r="406" spans="2:11" ht="20.100000000000001" customHeight="1" x14ac:dyDescent="0.15">
      <c r="B406" s="5"/>
      <c r="C406" s="10"/>
      <c r="D406" s="10"/>
      <c r="E406" s="10"/>
      <c r="F406" s="10"/>
      <c r="G406" s="10"/>
      <c r="H406" s="8"/>
      <c r="I406" s="8"/>
      <c r="J406" s="8" t="str">
        <f t="shared" si="63"/>
        <v>借</v>
      </c>
      <c r="K406" s="9">
        <f t="shared" si="56"/>
        <v>100</v>
      </c>
    </row>
    <row r="407" spans="2:11" ht="20.100000000000001" customHeight="1" x14ac:dyDescent="0.15">
      <c r="B407" s="5"/>
      <c r="C407" s="10"/>
      <c r="D407" s="10"/>
      <c r="E407" s="10"/>
      <c r="F407" s="10"/>
      <c r="G407" s="10"/>
      <c r="H407" s="8"/>
      <c r="I407" s="8"/>
      <c r="J407" s="8" t="s">
        <v>39</v>
      </c>
      <c r="K407" s="9">
        <f t="shared" si="56"/>
        <v>100</v>
      </c>
    </row>
    <row r="408" spans="2:11" ht="20.100000000000001" customHeight="1" x14ac:dyDescent="0.15">
      <c r="B408" s="5"/>
      <c r="C408" s="10"/>
      <c r="D408" s="10"/>
      <c r="E408" s="10"/>
      <c r="F408" s="10"/>
      <c r="G408" s="10"/>
      <c r="H408" s="8"/>
      <c r="I408" s="8"/>
      <c r="J408" s="8" t="str">
        <f t="shared" ref="J408:J412" si="64">IF((K407+H408-I408)&gt;0,"借","贷")</f>
        <v>借</v>
      </c>
      <c r="K408" s="9">
        <f t="shared" si="56"/>
        <v>100</v>
      </c>
    </row>
    <row r="409" spans="2:11" ht="20.100000000000001" customHeight="1" x14ac:dyDescent="0.15">
      <c r="B409" s="5"/>
      <c r="C409" s="10"/>
      <c r="D409" s="10"/>
      <c r="E409" s="10"/>
      <c r="F409" s="10"/>
      <c r="G409" s="10"/>
      <c r="H409" s="8"/>
      <c r="I409" s="8"/>
      <c r="J409" s="8" t="s">
        <v>39</v>
      </c>
      <c r="K409" s="9">
        <f t="shared" si="56"/>
        <v>100</v>
      </c>
    </row>
    <row r="410" spans="2:11" ht="20.100000000000001" customHeight="1" x14ac:dyDescent="0.15">
      <c r="B410" s="5"/>
      <c r="C410" s="10"/>
      <c r="D410" s="10"/>
      <c r="E410" s="10"/>
      <c r="F410" s="10"/>
      <c r="G410" s="10"/>
      <c r="H410" s="8"/>
      <c r="I410" s="8"/>
      <c r="J410" s="8" t="str">
        <f t="shared" si="64"/>
        <v>借</v>
      </c>
      <c r="K410" s="9">
        <f t="shared" si="56"/>
        <v>100</v>
      </c>
    </row>
    <row r="411" spans="2:11" ht="20.100000000000001" customHeight="1" x14ac:dyDescent="0.15">
      <c r="B411" s="5"/>
      <c r="C411" s="10"/>
      <c r="D411" s="10"/>
      <c r="E411" s="10"/>
      <c r="F411" s="10"/>
      <c r="G411" s="10"/>
      <c r="H411" s="8"/>
      <c r="I411" s="8"/>
      <c r="J411" s="8" t="s">
        <v>39</v>
      </c>
      <c r="K411" s="9">
        <f t="shared" si="56"/>
        <v>100</v>
      </c>
    </row>
    <row r="412" spans="2:11" ht="20.100000000000001" customHeight="1" x14ac:dyDescent="0.15">
      <c r="B412" s="5"/>
      <c r="C412" s="10"/>
      <c r="D412" s="10"/>
      <c r="E412" s="10"/>
      <c r="F412" s="10"/>
      <c r="G412" s="10"/>
      <c r="H412" s="8"/>
      <c r="I412" s="8"/>
      <c r="J412" s="8" t="str">
        <f t="shared" si="64"/>
        <v>借</v>
      </c>
      <c r="K412" s="9">
        <f t="shared" si="56"/>
        <v>100</v>
      </c>
    </row>
    <row r="413" spans="2:11" ht="20.100000000000001" customHeight="1" x14ac:dyDescent="0.15">
      <c r="B413" s="5"/>
      <c r="C413" s="10"/>
      <c r="D413" s="10"/>
      <c r="E413" s="10"/>
      <c r="F413" s="10"/>
      <c r="G413" s="10"/>
      <c r="H413" s="8"/>
      <c r="I413" s="8"/>
      <c r="J413" s="8" t="s">
        <v>39</v>
      </c>
      <c r="K413" s="9">
        <f t="shared" si="56"/>
        <v>100</v>
      </c>
    </row>
    <row r="414" spans="2:11" ht="20.100000000000001" customHeight="1" x14ac:dyDescent="0.15">
      <c r="B414" s="5"/>
      <c r="C414" s="10"/>
      <c r="D414" s="10"/>
      <c r="E414" s="10"/>
      <c r="F414" s="10"/>
      <c r="G414" s="10"/>
      <c r="H414" s="8"/>
      <c r="I414" s="8"/>
      <c r="J414" s="8" t="str">
        <f t="shared" ref="J414:J418" si="65">IF((K413+H414-I414)&gt;0,"借","贷")</f>
        <v>借</v>
      </c>
      <c r="K414" s="9">
        <f t="shared" si="56"/>
        <v>100</v>
      </c>
    </row>
    <row r="415" spans="2:11" ht="20.100000000000001" customHeight="1" x14ac:dyDescent="0.15">
      <c r="B415" s="5"/>
      <c r="C415" s="10"/>
      <c r="D415" s="10"/>
      <c r="E415" s="10"/>
      <c r="F415" s="10"/>
      <c r="G415" s="10"/>
      <c r="H415" s="8"/>
      <c r="I415" s="8"/>
      <c r="J415" s="8" t="s">
        <v>39</v>
      </c>
      <c r="K415" s="9">
        <f t="shared" si="56"/>
        <v>100</v>
      </c>
    </row>
    <row r="416" spans="2:11" ht="20.100000000000001" customHeight="1" x14ac:dyDescent="0.15">
      <c r="B416" s="5"/>
      <c r="C416" s="10"/>
      <c r="D416" s="10"/>
      <c r="E416" s="10"/>
      <c r="F416" s="10"/>
      <c r="G416" s="10"/>
      <c r="H416" s="8"/>
      <c r="I416" s="8"/>
      <c r="J416" s="8" t="str">
        <f t="shared" si="65"/>
        <v>借</v>
      </c>
      <c r="K416" s="9">
        <f t="shared" si="56"/>
        <v>100</v>
      </c>
    </row>
    <row r="417" spans="2:11" ht="20.100000000000001" customHeight="1" x14ac:dyDescent="0.15">
      <c r="B417" s="5"/>
      <c r="C417" s="10"/>
      <c r="D417" s="10"/>
      <c r="E417" s="10"/>
      <c r="F417" s="10"/>
      <c r="G417" s="10"/>
      <c r="H417" s="8"/>
      <c r="I417" s="8"/>
      <c r="J417" s="8" t="s">
        <v>39</v>
      </c>
      <c r="K417" s="9">
        <f t="shared" si="56"/>
        <v>100</v>
      </c>
    </row>
    <row r="418" spans="2:11" ht="20.100000000000001" customHeight="1" x14ac:dyDescent="0.15">
      <c r="B418" s="5"/>
      <c r="C418" s="10"/>
      <c r="D418" s="10"/>
      <c r="E418" s="10"/>
      <c r="F418" s="10"/>
      <c r="G418" s="10"/>
      <c r="H418" s="8"/>
      <c r="I418" s="8"/>
      <c r="J418" s="8" t="str">
        <f t="shared" si="65"/>
        <v>借</v>
      </c>
      <c r="K418" s="9">
        <f t="shared" si="56"/>
        <v>100</v>
      </c>
    </row>
    <row r="419" spans="2:11" ht="20.100000000000001" customHeight="1" x14ac:dyDescent="0.15">
      <c r="B419" s="5"/>
      <c r="C419" s="10"/>
      <c r="D419" s="10"/>
      <c r="E419" s="10"/>
      <c r="F419" s="10"/>
      <c r="G419" s="10"/>
      <c r="H419" s="8"/>
      <c r="I419" s="8"/>
      <c r="J419" s="8" t="s">
        <v>39</v>
      </c>
      <c r="K419" s="9">
        <f t="shared" si="56"/>
        <v>100</v>
      </c>
    </row>
    <row r="420" spans="2:11" ht="20.100000000000001" customHeight="1" x14ac:dyDescent="0.15">
      <c r="B420" s="5"/>
      <c r="C420" s="10"/>
      <c r="D420" s="10"/>
      <c r="E420" s="10"/>
      <c r="F420" s="10"/>
      <c r="G420" s="10"/>
      <c r="H420" s="8"/>
      <c r="I420" s="8"/>
      <c r="J420" s="8" t="str">
        <f t="shared" ref="J420:J424" si="66">IF((K419+H420-I420)&gt;0,"借","贷")</f>
        <v>借</v>
      </c>
      <c r="K420" s="9">
        <f t="shared" si="56"/>
        <v>100</v>
      </c>
    </row>
    <row r="421" spans="2:11" ht="20.100000000000001" customHeight="1" x14ac:dyDescent="0.15">
      <c r="B421" s="5"/>
      <c r="C421" s="10"/>
      <c r="D421" s="10"/>
      <c r="E421" s="10"/>
      <c r="F421" s="10"/>
      <c r="G421" s="10"/>
      <c r="H421" s="8"/>
      <c r="I421" s="8"/>
      <c r="J421" s="8" t="s">
        <v>39</v>
      </c>
      <c r="K421" s="9">
        <f t="shared" si="56"/>
        <v>100</v>
      </c>
    </row>
    <row r="422" spans="2:11" ht="20.100000000000001" customHeight="1" x14ac:dyDescent="0.15">
      <c r="B422" s="5"/>
      <c r="C422" s="10"/>
      <c r="D422" s="10"/>
      <c r="E422" s="10"/>
      <c r="F422" s="10"/>
      <c r="G422" s="10"/>
      <c r="H422" s="8"/>
      <c r="I422" s="8"/>
      <c r="J422" s="8" t="str">
        <f t="shared" si="66"/>
        <v>借</v>
      </c>
      <c r="K422" s="9">
        <f t="shared" si="56"/>
        <v>100</v>
      </c>
    </row>
    <row r="423" spans="2:11" ht="20.100000000000001" customHeight="1" x14ac:dyDescent="0.15">
      <c r="B423" s="5"/>
      <c r="C423" s="10"/>
      <c r="D423" s="10"/>
      <c r="E423" s="10"/>
      <c r="F423" s="10"/>
      <c r="G423" s="10"/>
      <c r="H423" s="8"/>
      <c r="I423" s="8"/>
      <c r="J423" s="8" t="s">
        <v>39</v>
      </c>
      <c r="K423" s="9">
        <f t="shared" si="56"/>
        <v>100</v>
      </c>
    </row>
    <row r="424" spans="2:11" ht="20.100000000000001" customHeight="1" x14ac:dyDescent="0.15">
      <c r="B424" s="5"/>
      <c r="C424" s="10"/>
      <c r="D424" s="10"/>
      <c r="E424" s="10"/>
      <c r="F424" s="10"/>
      <c r="G424" s="10"/>
      <c r="H424" s="8"/>
      <c r="I424" s="8"/>
      <c r="J424" s="8" t="str">
        <f t="shared" si="66"/>
        <v>借</v>
      </c>
      <c r="K424" s="9">
        <f t="shared" si="56"/>
        <v>100</v>
      </c>
    </row>
    <row r="425" spans="2:11" ht="20.100000000000001" customHeight="1" x14ac:dyDescent="0.15">
      <c r="B425" s="5"/>
      <c r="C425" s="10"/>
      <c r="D425" s="10"/>
      <c r="E425" s="10"/>
      <c r="F425" s="10"/>
      <c r="G425" s="10"/>
      <c r="H425" s="8"/>
      <c r="I425" s="8"/>
      <c r="J425" s="8" t="s">
        <v>39</v>
      </c>
      <c r="K425" s="9">
        <f t="shared" si="56"/>
        <v>100</v>
      </c>
    </row>
    <row r="426" spans="2:11" ht="20.100000000000001" customHeight="1" x14ac:dyDescent="0.15">
      <c r="B426" s="5"/>
      <c r="C426" s="10"/>
      <c r="D426" s="10"/>
      <c r="E426" s="10"/>
      <c r="F426" s="10"/>
      <c r="G426" s="10"/>
      <c r="H426" s="8"/>
      <c r="I426" s="8"/>
      <c r="J426" s="8" t="str">
        <f t="shared" ref="J426:J430" si="67">IF((K425+H426-I426)&gt;0,"借","贷")</f>
        <v>借</v>
      </c>
      <c r="K426" s="9">
        <f t="shared" si="56"/>
        <v>100</v>
      </c>
    </row>
    <row r="427" spans="2:11" ht="20.100000000000001" customHeight="1" x14ac:dyDescent="0.15">
      <c r="B427" s="5"/>
      <c r="C427" s="10"/>
      <c r="D427" s="10"/>
      <c r="E427" s="10"/>
      <c r="F427" s="10"/>
      <c r="G427" s="10"/>
      <c r="H427" s="8"/>
      <c r="I427" s="8"/>
      <c r="J427" s="8" t="s">
        <v>39</v>
      </c>
      <c r="K427" s="9">
        <f t="shared" si="56"/>
        <v>100</v>
      </c>
    </row>
    <row r="428" spans="2:11" ht="20.100000000000001" customHeight="1" x14ac:dyDescent="0.15">
      <c r="B428" s="5"/>
      <c r="C428" s="10"/>
      <c r="D428" s="10"/>
      <c r="E428" s="10"/>
      <c r="F428" s="10"/>
      <c r="G428" s="10"/>
      <c r="H428" s="8"/>
      <c r="I428" s="8"/>
      <c r="J428" s="8" t="str">
        <f t="shared" si="67"/>
        <v>借</v>
      </c>
      <c r="K428" s="9">
        <f t="shared" si="56"/>
        <v>100</v>
      </c>
    </row>
    <row r="429" spans="2:11" ht="20.100000000000001" customHeight="1" x14ac:dyDescent="0.15">
      <c r="B429" s="5"/>
      <c r="C429" s="10"/>
      <c r="D429" s="10"/>
      <c r="E429" s="10"/>
      <c r="F429" s="10"/>
      <c r="G429" s="10"/>
      <c r="H429" s="8"/>
      <c r="I429" s="8"/>
      <c r="J429" s="8" t="s">
        <v>39</v>
      </c>
      <c r="K429" s="9">
        <f t="shared" ref="K429:K492" si="68">_xlfn.IFS(J428="借",K428+H429-I429,J428="贷",H429-I429-K428)</f>
        <v>100</v>
      </c>
    </row>
    <row r="430" spans="2:11" ht="20.100000000000001" customHeight="1" x14ac:dyDescent="0.15">
      <c r="B430" s="5"/>
      <c r="C430" s="10"/>
      <c r="D430" s="10"/>
      <c r="E430" s="10"/>
      <c r="F430" s="10"/>
      <c r="G430" s="10"/>
      <c r="H430" s="8"/>
      <c r="I430" s="8"/>
      <c r="J430" s="8" t="str">
        <f t="shared" si="67"/>
        <v>借</v>
      </c>
      <c r="K430" s="9">
        <f t="shared" si="68"/>
        <v>100</v>
      </c>
    </row>
    <row r="431" spans="2:11" ht="20.100000000000001" customHeight="1" x14ac:dyDescent="0.15">
      <c r="B431" s="5"/>
      <c r="C431" s="10"/>
      <c r="D431" s="10"/>
      <c r="E431" s="10"/>
      <c r="F431" s="10"/>
      <c r="G431" s="10"/>
      <c r="H431" s="8"/>
      <c r="I431" s="8"/>
      <c r="J431" s="8" t="s">
        <v>39</v>
      </c>
      <c r="K431" s="9">
        <f t="shared" si="68"/>
        <v>100</v>
      </c>
    </row>
    <row r="432" spans="2:11" ht="20.100000000000001" customHeight="1" x14ac:dyDescent="0.15">
      <c r="B432" s="5"/>
      <c r="C432" s="10"/>
      <c r="D432" s="10"/>
      <c r="E432" s="10"/>
      <c r="F432" s="10"/>
      <c r="G432" s="10"/>
      <c r="H432" s="8"/>
      <c r="I432" s="8"/>
      <c r="J432" s="8" t="str">
        <f t="shared" ref="J432:J436" si="69">IF((K431+H432-I432)&gt;0,"借","贷")</f>
        <v>借</v>
      </c>
      <c r="K432" s="9">
        <f t="shared" si="68"/>
        <v>100</v>
      </c>
    </row>
    <row r="433" spans="2:11" ht="20.100000000000001" customHeight="1" x14ac:dyDescent="0.15">
      <c r="B433" s="5"/>
      <c r="C433" s="10"/>
      <c r="D433" s="10"/>
      <c r="E433" s="10"/>
      <c r="F433" s="10"/>
      <c r="G433" s="10"/>
      <c r="H433" s="8"/>
      <c r="I433" s="8"/>
      <c r="J433" s="8" t="s">
        <v>39</v>
      </c>
      <c r="K433" s="9">
        <f t="shared" si="68"/>
        <v>100</v>
      </c>
    </row>
    <row r="434" spans="2:11" ht="20.100000000000001" customHeight="1" x14ac:dyDescent="0.15">
      <c r="B434" s="5"/>
      <c r="C434" s="10"/>
      <c r="D434" s="10"/>
      <c r="E434" s="10"/>
      <c r="F434" s="10"/>
      <c r="G434" s="10"/>
      <c r="H434" s="8"/>
      <c r="I434" s="8"/>
      <c r="J434" s="8" t="str">
        <f t="shared" si="69"/>
        <v>借</v>
      </c>
      <c r="K434" s="9">
        <f t="shared" si="68"/>
        <v>100</v>
      </c>
    </row>
    <row r="435" spans="2:11" ht="20.100000000000001" customHeight="1" x14ac:dyDescent="0.15">
      <c r="B435" s="5"/>
      <c r="C435" s="10"/>
      <c r="D435" s="10"/>
      <c r="E435" s="10"/>
      <c r="F435" s="10"/>
      <c r="G435" s="10"/>
      <c r="H435" s="8"/>
      <c r="I435" s="8"/>
      <c r="J435" s="8" t="s">
        <v>39</v>
      </c>
      <c r="K435" s="9">
        <f t="shared" si="68"/>
        <v>100</v>
      </c>
    </row>
    <row r="436" spans="2:11" ht="20.100000000000001" customHeight="1" x14ac:dyDescent="0.15">
      <c r="B436" s="5"/>
      <c r="C436" s="10"/>
      <c r="D436" s="10"/>
      <c r="E436" s="10"/>
      <c r="F436" s="10"/>
      <c r="G436" s="10"/>
      <c r="H436" s="8"/>
      <c r="I436" s="8"/>
      <c r="J436" s="8" t="str">
        <f t="shared" si="69"/>
        <v>借</v>
      </c>
      <c r="K436" s="9">
        <f t="shared" si="68"/>
        <v>100</v>
      </c>
    </row>
    <row r="437" spans="2:11" ht="20.100000000000001" customHeight="1" x14ac:dyDescent="0.15">
      <c r="B437" s="5"/>
      <c r="C437" s="10"/>
      <c r="D437" s="10"/>
      <c r="E437" s="10"/>
      <c r="F437" s="10"/>
      <c r="G437" s="10"/>
      <c r="H437" s="8"/>
      <c r="I437" s="8"/>
      <c r="J437" s="8" t="s">
        <v>39</v>
      </c>
      <c r="K437" s="9">
        <f t="shared" si="68"/>
        <v>100</v>
      </c>
    </row>
    <row r="438" spans="2:11" ht="20.100000000000001" customHeight="1" x14ac:dyDescent="0.15">
      <c r="B438" s="5"/>
      <c r="C438" s="10"/>
      <c r="D438" s="10"/>
      <c r="E438" s="10"/>
      <c r="F438" s="10"/>
      <c r="G438" s="10"/>
      <c r="H438" s="8"/>
      <c r="I438" s="8"/>
      <c r="J438" s="8" t="str">
        <f t="shared" ref="J438:J442" si="70">IF((K437+H438-I438)&gt;0,"借","贷")</f>
        <v>借</v>
      </c>
      <c r="K438" s="9">
        <f t="shared" si="68"/>
        <v>100</v>
      </c>
    </row>
    <row r="439" spans="2:11" ht="20.100000000000001" customHeight="1" x14ac:dyDescent="0.15">
      <c r="B439" s="5"/>
      <c r="C439" s="10"/>
      <c r="D439" s="10"/>
      <c r="E439" s="10"/>
      <c r="F439" s="10"/>
      <c r="G439" s="10"/>
      <c r="H439" s="8"/>
      <c r="I439" s="8"/>
      <c r="J439" s="8" t="s">
        <v>39</v>
      </c>
      <c r="K439" s="9">
        <f t="shared" si="68"/>
        <v>100</v>
      </c>
    </row>
    <row r="440" spans="2:11" ht="20.100000000000001" customHeight="1" x14ac:dyDescent="0.15">
      <c r="B440" s="5"/>
      <c r="C440" s="10"/>
      <c r="D440" s="10"/>
      <c r="E440" s="10"/>
      <c r="F440" s="10"/>
      <c r="G440" s="10"/>
      <c r="H440" s="8"/>
      <c r="I440" s="8"/>
      <c r="J440" s="8" t="str">
        <f t="shared" si="70"/>
        <v>借</v>
      </c>
      <c r="K440" s="9">
        <f t="shared" si="68"/>
        <v>100</v>
      </c>
    </row>
    <row r="441" spans="2:11" ht="20.100000000000001" customHeight="1" x14ac:dyDescent="0.15">
      <c r="B441" s="5"/>
      <c r="C441" s="10"/>
      <c r="D441" s="10"/>
      <c r="E441" s="10"/>
      <c r="F441" s="10"/>
      <c r="G441" s="10"/>
      <c r="H441" s="8"/>
      <c r="I441" s="8"/>
      <c r="J441" s="8" t="s">
        <v>39</v>
      </c>
      <c r="K441" s="9">
        <f t="shared" si="68"/>
        <v>100</v>
      </c>
    </row>
    <row r="442" spans="2:11" ht="20.100000000000001" customHeight="1" x14ac:dyDescent="0.15">
      <c r="B442" s="5"/>
      <c r="C442" s="10"/>
      <c r="D442" s="10"/>
      <c r="E442" s="10"/>
      <c r="F442" s="10"/>
      <c r="G442" s="10"/>
      <c r="H442" s="8"/>
      <c r="I442" s="8"/>
      <c r="J442" s="8" t="str">
        <f t="shared" si="70"/>
        <v>借</v>
      </c>
      <c r="K442" s="9">
        <f t="shared" si="68"/>
        <v>100</v>
      </c>
    </row>
    <row r="443" spans="2:11" ht="20.100000000000001" customHeight="1" x14ac:dyDescent="0.15">
      <c r="B443" s="5"/>
      <c r="C443" s="10"/>
      <c r="D443" s="10"/>
      <c r="E443" s="10"/>
      <c r="F443" s="10"/>
      <c r="G443" s="10"/>
      <c r="H443" s="8"/>
      <c r="I443" s="8"/>
      <c r="J443" s="8" t="s">
        <v>39</v>
      </c>
      <c r="K443" s="9">
        <f t="shared" si="68"/>
        <v>100</v>
      </c>
    </row>
    <row r="444" spans="2:11" ht="20.100000000000001" customHeight="1" x14ac:dyDescent="0.15">
      <c r="B444" s="5"/>
      <c r="C444" s="10"/>
      <c r="D444" s="10"/>
      <c r="E444" s="10"/>
      <c r="F444" s="10"/>
      <c r="G444" s="10"/>
      <c r="H444" s="8"/>
      <c r="I444" s="8"/>
      <c r="J444" s="8" t="str">
        <f t="shared" ref="J444:J448" si="71">IF((K443+H444-I444)&gt;0,"借","贷")</f>
        <v>借</v>
      </c>
      <c r="K444" s="9">
        <f t="shared" si="68"/>
        <v>100</v>
      </c>
    </row>
    <row r="445" spans="2:11" ht="20.100000000000001" customHeight="1" x14ac:dyDescent="0.15">
      <c r="B445" s="5"/>
      <c r="C445" s="10"/>
      <c r="D445" s="10"/>
      <c r="E445" s="10"/>
      <c r="F445" s="10"/>
      <c r="G445" s="10"/>
      <c r="H445" s="8"/>
      <c r="I445" s="8"/>
      <c r="J445" s="8" t="s">
        <v>39</v>
      </c>
      <c r="K445" s="9">
        <f t="shared" si="68"/>
        <v>100</v>
      </c>
    </row>
    <row r="446" spans="2:11" ht="20.100000000000001" customHeight="1" x14ac:dyDescent="0.15">
      <c r="B446" s="5"/>
      <c r="C446" s="10"/>
      <c r="D446" s="10"/>
      <c r="E446" s="10"/>
      <c r="F446" s="10"/>
      <c r="G446" s="10"/>
      <c r="H446" s="8"/>
      <c r="I446" s="8"/>
      <c r="J446" s="8" t="str">
        <f t="shared" si="71"/>
        <v>借</v>
      </c>
      <c r="K446" s="9">
        <f t="shared" si="68"/>
        <v>100</v>
      </c>
    </row>
    <row r="447" spans="2:11" ht="20.100000000000001" customHeight="1" x14ac:dyDescent="0.15">
      <c r="B447" s="5"/>
      <c r="C447" s="10"/>
      <c r="D447" s="10"/>
      <c r="E447" s="10"/>
      <c r="F447" s="10"/>
      <c r="G447" s="10"/>
      <c r="H447" s="8"/>
      <c r="I447" s="8"/>
      <c r="J447" s="8" t="s">
        <v>39</v>
      </c>
      <c r="K447" s="9">
        <f t="shared" si="68"/>
        <v>100</v>
      </c>
    </row>
    <row r="448" spans="2:11" ht="20.100000000000001" customHeight="1" x14ac:dyDescent="0.15">
      <c r="B448" s="5"/>
      <c r="C448" s="10"/>
      <c r="D448" s="10"/>
      <c r="E448" s="10"/>
      <c r="F448" s="10"/>
      <c r="G448" s="10"/>
      <c r="H448" s="8"/>
      <c r="I448" s="8"/>
      <c r="J448" s="8" t="str">
        <f t="shared" si="71"/>
        <v>借</v>
      </c>
      <c r="K448" s="9">
        <f t="shared" si="68"/>
        <v>100</v>
      </c>
    </row>
    <row r="449" spans="2:11" ht="20.100000000000001" customHeight="1" x14ac:dyDescent="0.15">
      <c r="B449" s="5"/>
      <c r="C449" s="10"/>
      <c r="D449" s="10"/>
      <c r="E449" s="10"/>
      <c r="F449" s="10"/>
      <c r="G449" s="10"/>
      <c r="H449" s="8"/>
      <c r="I449" s="8"/>
      <c r="J449" s="8" t="s">
        <v>39</v>
      </c>
      <c r="K449" s="9">
        <f t="shared" si="68"/>
        <v>100</v>
      </c>
    </row>
    <row r="450" spans="2:11" ht="20.100000000000001" customHeight="1" x14ac:dyDescent="0.15">
      <c r="B450" s="5"/>
      <c r="C450" s="10"/>
      <c r="D450" s="10"/>
      <c r="E450" s="10"/>
      <c r="F450" s="10"/>
      <c r="G450" s="10"/>
      <c r="H450" s="8"/>
      <c r="I450" s="8"/>
      <c r="J450" s="8" t="str">
        <f t="shared" ref="J450:J454" si="72">IF((K449+H450-I450)&gt;0,"借","贷")</f>
        <v>借</v>
      </c>
      <c r="K450" s="9">
        <f t="shared" si="68"/>
        <v>100</v>
      </c>
    </row>
    <row r="451" spans="2:11" ht="20.100000000000001" customHeight="1" x14ac:dyDescent="0.15">
      <c r="B451" s="5"/>
      <c r="C451" s="10"/>
      <c r="D451" s="10"/>
      <c r="E451" s="10"/>
      <c r="F451" s="10"/>
      <c r="G451" s="10"/>
      <c r="H451" s="8"/>
      <c r="I451" s="8"/>
      <c r="J451" s="8" t="s">
        <v>39</v>
      </c>
      <c r="K451" s="9">
        <f t="shared" si="68"/>
        <v>100</v>
      </c>
    </row>
    <row r="452" spans="2:11" ht="20.100000000000001" customHeight="1" x14ac:dyDescent="0.15">
      <c r="B452" s="5"/>
      <c r="C452" s="10"/>
      <c r="D452" s="10"/>
      <c r="E452" s="10"/>
      <c r="F452" s="10"/>
      <c r="G452" s="10"/>
      <c r="H452" s="8"/>
      <c r="I452" s="8"/>
      <c r="J452" s="8" t="str">
        <f t="shared" si="72"/>
        <v>借</v>
      </c>
      <c r="K452" s="9">
        <f t="shared" si="68"/>
        <v>100</v>
      </c>
    </row>
    <row r="453" spans="2:11" ht="20.100000000000001" customHeight="1" x14ac:dyDescent="0.15">
      <c r="B453" s="5"/>
      <c r="C453" s="10"/>
      <c r="D453" s="10"/>
      <c r="E453" s="10"/>
      <c r="F453" s="10"/>
      <c r="G453" s="10"/>
      <c r="H453" s="8"/>
      <c r="I453" s="8"/>
      <c r="J453" s="8" t="s">
        <v>39</v>
      </c>
      <c r="K453" s="9">
        <f t="shared" si="68"/>
        <v>100</v>
      </c>
    </row>
    <row r="454" spans="2:11" ht="20.100000000000001" customHeight="1" x14ac:dyDescent="0.15">
      <c r="B454" s="5"/>
      <c r="C454" s="10"/>
      <c r="D454" s="10"/>
      <c r="E454" s="10"/>
      <c r="F454" s="10"/>
      <c r="G454" s="10"/>
      <c r="H454" s="8"/>
      <c r="I454" s="8"/>
      <c r="J454" s="8" t="str">
        <f t="shared" si="72"/>
        <v>借</v>
      </c>
      <c r="K454" s="9">
        <f t="shared" si="68"/>
        <v>100</v>
      </c>
    </row>
    <row r="455" spans="2:11" ht="20.100000000000001" customHeight="1" x14ac:dyDescent="0.15">
      <c r="B455" s="5"/>
      <c r="C455" s="10"/>
      <c r="D455" s="10"/>
      <c r="E455" s="10"/>
      <c r="F455" s="10"/>
      <c r="G455" s="10"/>
      <c r="H455" s="8"/>
      <c r="I455" s="8"/>
      <c r="J455" s="8" t="s">
        <v>39</v>
      </c>
      <c r="K455" s="9">
        <f t="shared" si="68"/>
        <v>100</v>
      </c>
    </row>
    <row r="456" spans="2:11" ht="20.100000000000001" customHeight="1" x14ac:dyDescent="0.15">
      <c r="B456" s="5"/>
      <c r="C456" s="10"/>
      <c r="D456" s="10"/>
      <c r="E456" s="10"/>
      <c r="F456" s="10"/>
      <c r="G456" s="10"/>
      <c r="H456" s="8"/>
      <c r="I456" s="8"/>
      <c r="J456" s="8" t="str">
        <f t="shared" ref="J456:J460" si="73">IF((K455+H456-I456)&gt;0,"借","贷")</f>
        <v>借</v>
      </c>
      <c r="K456" s="9">
        <f t="shared" si="68"/>
        <v>100</v>
      </c>
    </row>
    <row r="457" spans="2:11" ht="20.100000000000001" customHeight="1" x14ac:dyDescent="0.15">
      <c r="B457" s="5"/>
      <c r="C457" s="10"/>
      <c r="D457" s="10"/>
      <c r="E457" s="10"/>
      <c r="F457" s="10"/>
      <c r="G457" s="10"/>
      <c r="H457" s="8"/>
      <c r="I457" s="8"/>
      <c r="J457" s="8" t="s">
        <v>39</v>
      </c>
      <c r="K457" s="9">
        <f t="shared" si="68"/>
        <v>100</v>
      </c>
    </row>
    <row r="458" spans="2:11" ht="20.100000000000001" customHeight="1" x14ac:dyDescent="0.15">
      <c r="B458" s="5"/>
      <c r="C458" s="10"/>
      <c r="D458" s="10"/>
      <c r="E458" s="10"/>
      <c r="F458" s="10"/>
      <c r="G458" s="10"/>
      <c r="H458" s="8"/>
      <c r="I458" s="8"/>
      <c r="J458" s="8" t="str">
        <f t="shared" si="73"/>
        <v>借</v>
      </c>
      <c r="K458" s="9">
        <f t="shared" si="68"/>
        <v>100</v>
      </c>
    </row>
    <row r="459" spans="2:11" ht="20.100000000000001" customHeight="1" x14ac:dyDescent="0.15">
      <c r="B459" s="5"/>
      <c r="C459" s="10"/>
      <c r="D459" s="10"/>
      <c r="E459" s="10"/>
      <c r="F459" s="10"/>
      <c r="G459" s="10"/>
      <c r="H459" s="8"/>
      <c r="I459" s="8"/>
      <c r="J459" s="8" t="s">
        <v>39</v>
      </c>
      <c r="K459" s="9">
        <f t="shared" si="68"/>
        <v>100</v>
      </c>
    </row>
    <row r="460" spans="2:11" ht="20.100000000000001" customHeight="1" x14ac:dyDescent="0.15">
      <c r="B460" s="5"/>
      <c r="C460" s="10"/>
      <c r="D460" s="10"/>
      <c r="E460" s="10"/>
      <c r="F460" s="10"/>
      <c r="G460" s="10"/>
      <c r="H460" s="8"/>
      <c r="I460" s="8"/>
      <c r="J460" s="8" t="str">
        <f t="shared" si="73"/>
        <v>借</v>
      </c>
      <c r="K460" s="9">
        <f t="shared" si="68"/>
        <v>100</v>
      </c>
    </row>
    <row r="461" spans="2:11" ht="20.100000000000001" customHeight="1" x14ac:dyDescent="0.15">
      <c r="B461" s="5"/>
      <c r="C461" s="10"/>
      <c r="D461" s="10"/>
      <c r="E461" s="10"/>
      <c r="F461" s="10"/>
      <c r="G461" s="10"/>
      <c r="H461" s="8"/>
      <c r="I461" s="8"/>
      <c r="J461" s="8" t="s">
        <v>39</v>
      </c>
      <c r="K461" s="9">
        <f t="shared" si="68"/>
        <v>100</v>
      </c>
    </row>
    <row r="462" spans="2:11" ht="20.100000000000001" customHeight="1" x14ac:dyDescent="0.15">
      <c r="B462" s="5"/>
      <c r="C462" s="10"/>
      <c r="D462" s="10"/>
      <c r="E462" s="10"/>
      <c r="F462" s="10"/>
      <c r="G462" s="10"/>
      <c r="H462" s="8"/>
      <c r="I462" s="8"/>
      <c r="J462" s="8" t="str">
        <f t="shared" ref="J462:J466" si="74">IF((K461+H462-I462)&gt;0,"借","贷")</f>
        <v>借</v>
      </c>
      <c r="K462" s="9">
        <f t="shared" si="68"/>
        <v>100</v>
      </c>
    </row>
    <row r="463" spans="2:11" ht="20.100000000000001" customHeight="1" x14ac:dyDescent="0.15">
      <c r="B463" s="5"/>
      <c r="C463" s="10"/>
      <c r="D463" s="10"/>
      <c r="E463" s="10"/>
      <c r="F463" s="10"/>
      <c r="G463" s="10"/>
      <c r="H463" s="8"/>
      <c r="I463" s="8"/>
      <c r="J463" s="8" t="s">
        <v>39</v>
      </c>
      <c r="K463" s="9">
        <f t="shared" si="68"/>
        <v>100</v>
      </c>
    </row>
    <row r="464" spans="2:11" ht="20.100000000000001" customHeight="1" x14ac:dyDescent="0.15">
      <c r="B464" s="5"/>
      <c r="C464" s="10"/>
      <c r="D464" s="10"/>
      <c r="E464" s="10"/>
      <c r="F464" s="10"/>
      <c r="G464" s="10"/>
      <c r="H464" s="8"/>
      <c r="I464" s="8"/>
      <c r="J464" s="8" t="str">
        <f t="shared" si="74"/>
        <v>借</v>
      </c>
      <c r="K464" s="9">
        <f t="shared" si="68"/>
        <v>100</v>
      </c>
    </row>
    <row r="465" spans="2:11" ht="20.100000000000001" customHeight="1" x14ac:dyDescent="0.15">
      <c r="B465" s="5"/>
      <c r="C465" s="10"/>
      <c r="D465" s="10"/>
      <c r="E465" s="10"/>
      <c r="F465" s="10"/>
      <c r="G465" s="10"/>
      <c r="H465" s="8"/>
      <c r="I465" s="8"/>
      <c r="J465" s="8" t="s">
        <v>39</v>
      </c>
      <c r="K465" s="9">
        <f t="shared" si="68"/>
        <v>100</v>
      </c>
    </row>
    <row r="466" spans="2:11" ht="20.100000000000001" customHeight="1" x14ac:dyDescent="0.15">
      <c r="B466" s="5"/>
      <c r="C466" s="10"/>
      <c r="D466" s="10"/>
      <c r="E466" s="10"/>
      <c r="F466" s="10"/>
      <c r="G466" s="10"/>
      <c r="H466" s="8"/>
      <c r="I466" s="8"/>
      <c r="J466" s="8" t="str">
        <f t="shared" si="74"/>
        <v>借</v>
      </c>
      <c r="K466" s="9">
        <f t="shared" si="68"/>
        <v>100</v>
      </c>
    </row>
    <row r="467" spans="2:11" ht="20.100000000000001" customHeight="1" x14ac:dyDescent="0.15">
      <c r="B467" s="5"/>
      <c r="C467" s="10"/>
      <c r="D467" s="10"/>
      <c r="E467" s="10"/>
      <c r="F467" s="10"/>
      <c r="G467" s="10"/>
      <c r="H467" s="8"/>
      <c r="I467" s="8"/>
      <c r="J467" s="8" t="s">
        <v>39</v>
      </c>
      <c r="K467" s="9">
        <f t="shared" si="68"/>
        <v>100</v>
      </c>
    </row>
    <row r="468" spans="2:11" ht="20.100000000000001" customHeight="1" x14ac:dyDescent="0.15">
      <c r="B468" s="5"/>
      <c r="C468" s="10"/>
      <c r="D468" s="10"/>
      <c r="E468" s="10"/>
      <c r="F468" s="10"/>
      <c r="G468" s="10"/>
      <c r="H468" s="8"/>
      <c r="I468" s="8"/>
      <c r="J468" s="8" t="str">
        <f t="shared" ref="J468:J472" si="75">IF((K467+H468-I468)&gt;0,"借","贷")</f>
        <v>借</v>
      </c>
      <c r="K468" s="9">
        <f t="shared" si="68"/>
        <v>100</v>
      </c>
    </row>
    <row r="469" spans="2:11" ht="20.100000000000001" customHeight="1" x14ac:dyDescent="0.15">
      <c r="B469" s="5"/>
      <c r="C469" s="10"/>
      <c r="D469" s="10"/>
      <c r="E469" s="10"/>
      <c r="F469" s="10"/>
      <c r="G469" s="10"/>
      <c r="H469" s="8"/>
      <c r="I469" s="8"/>
      <c r="J469" s="8" t="s">
        <v>39</v>
      </c>
      <c r="K469" s="9">
        <f t="shared" si="68"/>
        <v>100</v>
      </c>
    </row>
    <row r="470" spans="2:11" ht="20.100000000000001" customHeight="1" x14ac:dyDescent="0.15">
      <c r="B470" s="5"/>
      <c r="C470" s="10"/>
      <c r="D470" s="10"/>
      <c r="E470" s="10"/>
      <c r="F470" s="10"/>
      <c r="G470" s="10"/>
      <c r="H470" s="8"/>
      <c r="I470" s="8"/>
      <c r="J470" s="8" t="str">
        <f t="shared" si="75"/>
        <v>借</v>
      </c>
      <c r="K470" s="9">
        <f t="shared" si="68"/>
        <v>100</v>
      </c>
    </row>
    <row r="471" spans="2:11" ht="20.100000000000001" customHeight="1" x14ac:dyDescent="0.15">
      <c r="B471" s="5"/>
      <c r="C471" s="10"/>
      <c r="D471" s="10"/>
      <c r="E471" s="10"/>
      <c r="F471" s="10"/>
      <c r="G471" s="10"/>
      <c r="H471" s="8"/>
      <c r="I471" s="8"/>
      <c r="J471" s="8" t="s">
        <v>39</v>
      </c>
      <c r="K471" s="9">
        <f t="shared" si="68"/>
        <v>100</v>
      </c>
    </row>
    <row r="472" spans="2:11" ht="20.100000000000001" customHeight="1" x14ac:dyDescent="0.15">
      <c r="B472" s="5"/>
      <c r="C472" s="10"/>
      <c r="D472" s="10"/>
      <c r="E472" s="10"/>
      <c r="F472" s="10"/>
      <c r="G472" s="10"/>
      <c r="H472" s="8"/>
      <c r="I472" s="8"/>
      <c r="J472" s="8" t="str">
        <f t="shared" si="75"/>
        <v>借</v>
      </c>
      <c r="K472" s="9">
        <f t="shared" si="68"/>
        <v>100</v>
      </c>
    </row>
    <row r="473" spans="2:11" ht="20.100000000000001" customHeight="1" x14ac:dyDescent="0.15">
      <c r="B473" s="5"/>
      <c r="C473" s="10"/>
      <c r="D473" s="10"/>
      <c r="E473" s="10"/>
      <c r="F473" s="10"/>
      <c r="G473" s="10"/>
      <c r="H473" s="8"/>
      <c r="I473" s="8"/>
      <c r="J473" s="8" t="s">
        <v>39</v>
      </c>
      <c r="K473" s="9">
        <f t="shared" si="68"/>
        <v>100</v>
      </c>
    </row>
    <row r="474" spans="2:11" ht="20.100000000000001" customHeight="1" x14ac:dyDescent="0.15">
      <c r="B474" s="5"/>
      <c r="C474" s="10"/>
      <c r="D474" s="10"/>
      <c r="E474" s="10"/>
      <c r="F474" s="10"/>
      <c r="G474" s="10"/>
      <c r="H474" s="8"/>
      <c r="I474" s="8"/>
      <c r="J474" s="8" t="str">
        <f t="shared" ref="J474:J478" si="76">IF((K473+H474-I474)&gt;0,"借","贷")</f>
        <v>借</v>
      </c>
      <c r="K474" s="9">
        <f t="shared" si="68"/>
        <v>100</v>
      </c>
    </row>
    <row r="475" spans="2:11" ht="20.100000000000001" customHeight="1" x14ac:dyDescent="0.15">
      <c r="B475" s="5"/>
      <c r="C475" s="10"/>
      <c r="D475" s="10"/>
      <c r="E475" s="10"/>
      <c r="F475" s="10"/>
      <c r="G475" s="10"/>
      <c r="H475" s="8"/>
      <c r="I475" s="8"/>
      <c r="J475" s="8" t="s">
        <v>39</v>
      </c>
      <c r="K475" s="9">
        <f t="shared" si="68"/>
        <v>100</v>
      </c>
    </row>
    <row r="476" spans="2:11" ht="20.100000000000001" customHeight="1" x14ac:dyDescent="0.15">
      <c r="B476" s="5"/>
      <c r="C476" s="10"/>
      <c r="D476" s="10"/>
      <c r="E476" s="10"/>
      <c r="F476" s="10"/>
      <c r="G476" s="10"/>
      <c r="H476" s="8"/>
      <c r="I476" s="8"/>
      <c r="J476" s="8" t="str">
        <f t="shared" si="76"/>
        <v>借</v>
      </c>
      <c r="K476" s="9">
        <f t="shared" si="68"/>
        <v>100</v>
      </c>
    </row>
    <row r="477" spans="2:11" ht="20.100000000000001" customHeight="1" x14ac:dyDescent="0.15">
      <c r="B477" s="5"/>
      <c r="C477" s="10"/>
      <c r="D477" s="10"/>
      <c r="E477" s="10"/>
      <c r="F477" s="10"/>
      <c r="G477" s="10"/>
      <c r="H477" s="8"/>
      <c r="I477" s="8"/>
      <c r="J477" s="8" t="s">
        <v>39</v>
      </c>
      <c r="K477" s="9">
        <f t="shared" si="68"/>
        <v>100</v>
      </c>
    </row>
    <row r="478" spans="2:11" ht="20.100000000000001" customHeight="1" x14ac:dyDescent="0.15">
      <c r="B478" s="5"/>
      <c r="C478" s="10"/>
      <c r="D478" s="10"/>
      <c r="E478" s="10"/>
      <c r="F478" s="10"/>
      <c r="G478" s="10"/>
      <c r="H478" s="8"/>
      <c r="I478" s="8"/>
      <c r="J478" s="8" t="str">
        <f t="shared" si="76"/>
        <v>借</v>
      </c>
      <c r="K478" s="9">
        <f t="shared" si="68"/>
        <v>100</v>
      </c>
    </row>
    <row r="479" spans="2:11" ht="20.100000000000001" customHeight="1" x14ac:dyDescent="0.15">
      <c r="B479" s="5"/>
      <c r="C479" s="10"/>
      <c r="D479" s="10"/>
      <c r="E479" s="10"/>
      <c r="F479" s="10"/>
      <c r="G479" s="10"/>
      <c r="H479" s="8"/>
      <c r="I479" s="8"/>
      <c r="J479" s="8" t="s">
        <v>39</v>
      </c>
      <c r="K479" s="9">
        <f t="shared" si="68"/>
        <v>100</v>
      </c>
    </row>
    <row r="480" spans="2:11" ht="20.100000000000001" customHeight="1" x14ac:dyDescent="0.15">
      <c r="B480" s="5"/>
      <c r="C480" s="10"/>
      <c r="D480" s="10"/>
      <c r="E480" s="10"/>
      <c r="F480" s="10"/>
      <c r="G480" s="10"/>
      <c r="H480" s="8"/>
      <c r="I480" s="8"/>
      <c r="J480" s="8" t="str">
        <f t="shared" ref="J480:J484" si="77">IF((K479+H480-I480)&gt;0,"借","贷")</f>
        <v>借</v>
      </c>
      <c r="K480" s="9">
        <f t="shared" si="68"/>
        <v>100</v>
      </c>
    </row>
    <row r="481" spans="2:11" ht="20.100000000000001" customHeight="1" x14ac:dyDescent="0.15">
      <c r="B481" s="5"/>
      <c r="C481" s="10"/>
      <c r="D481" s="10"/>
      <c r="E481" s="10"/>
      <c r="F481" s="10"/>
      <c r="G481" s="10"/>
      <c r="H481" s="8"/>
      <c r="I481" s="8"/>
      <c r="J481" s="8" t="s">
        <v>39</v>
      </c>
      <c r="K481" s="9">
        <f t="shared" si="68"/>
        <v>100</v>
      </c>
    </row>
    <row r="482" spans="2:11" ht="20.100000000000001" customHeight="1" x14ac:dyDescent="0.15">
      <c r="B482" s="5"/>
      <c r="C482" s="10"/>
      <c r="D482" s="10"/>
      <c r="E482" s="10"/>
      <c r="F482" s="10"/>
      <c r="G482" s="10"/>
      <c r="H482" s="8"/>
      <c r="I482" s="8"/>
      <c r="J482" s="8" t="str">
        <f t="shared" si="77"/>
        <v>借</v>
      </c>
      <c r="K482" s="9">
        <f t="shared" si="68"/>
        <v>100</v>
      </c>
    </row>
    <row r="483" spans="2:11" ht="20.100000000000001" customHeight="1" x14ac:dyDescent="0.15">
      <c r="B483" s="5"/>
      <c r="C483" s="10"/>
      <c r="D483" s="10"/>
      <c r="E483" s="10"/>
      <c r="F483" s="10"/>
      <c r="G483" s="10"/>
      <c r="H483" s="8"/>
      <c r="I483" s="8"/>
      <c r="J483" s="8" t="s">
        <v>39</v>
      </c>
      <c r="K483" s="9">
        <f t="shared" si="68"/>
        <v>100</v>
      </c>
    </row>
    <row r="484" spans="2:11" ht="20.100000000000001" customHeight="1" x14ac:dyDescent="0.15">
      <c r="B484" s="5"/>
      <c r="C484" s="10"/>
      <c r="D484" s="10"/>
      <c r="E484" s="10"/>
      <c r="F484" s="10"/>
      <c r="G484" s="10"/>
      <c r="H484" s="8"/>
      <c r="I484" s="8"/>
      <c r="J484" s="8" t="str">
        <f t="shared" si="77"/>
        <v>借</v>
      </c>
      <c r="K484" s="9">
        <f t="shared" si="68"/>
        <v>100</v>
      </c>
    </row>
    <row r="485" spans="2:11" ht="20.100000000000001" customHeight="1" x14ac:dyDescent="0.15">
      <c r="B485" s="5"/>
      <c r="C485" s="10"/>
      <c r="D485" s="10"/>
      <c r="E485" s="10"/>
      <c r="F485" s="10"/>
      <c r="G485" s="10"/>
      <c r="H485" s="8"/>
      <c r="I485" s="8"/>
      <c r="J485" s="8" t="s">
        <v>39</v>
      </c>
      <c r="K485" s="9">
        <f t="shared" si="68"/>
        <v>100</v>
      </c>
    </row>
    <row r="486" spans="2:11" ht="20.100000000000001" customHeight="1" x14ac:dyDescent="0.15">
      <c r="B486" s="5"/>
      <c r="C486" s="10"/>
      <c r="D486" s="10"/>
      <c r="E486" s="10"/>
      <c r="F486" s="10"/>
      <c r="G486" s="10"/>
      <c r="H486" s="8"/>
      <c r="I486" s="8"/>
      <c r="J486" s="8" t="str">
        <f t="shared" ref="J486:J490" si="78">IF((K485+H486-I486)&gt;0,"借","贷")</f>
        <v>借</v>
      </c>
      <c r="K486" s="9">
        <f t="shared" si="68"/>
        <v>100</v>
      </c>
    </row>
    <row r="487" spans="2:11" ht="20.100000000000001" customHeight="1" x14ac:dyDescent="0.15">
      <c r="B487" s="5"/>
      <c r="C487" s="10"/>
      <c r="D487" s="10"/>
      <c r="E487" s="10"/>
      <c r="F487" s="10"/>
      <c r="G487" s="10"/>
      <c r="H487" s="8"/>
      <c r="I487" s="8"/>
      <c r="J487" s="8" t="s">
        <v>39</v>
      </c>
      <c r="K487" s="9">
        <f t="shared" si="68"/>
        <v>100</v>
      </c>
    </row>
    <row r="488" spans="2:11" ht="20.100000000000001" customHeight="1" x14ac:dyDescent="0.15">
      <c r="B488" s="5"/>
      <c r="C488" s="10"/>
      <c r="D488" s="10"/>
      <c r="E488" s="10"/>
      <c r="F488" s="10"/>
      <c r="G488" s="10"/>
      <c r="H488" s="8"/>
      <c r="I488" s="8"/>
      <c r="J488" s="8" t="str">
        <f t="shared" si="78"/>
        <v>借</v>
      </c>
      <c r="K488" s="9">
        <f t="shared" si="68"/>
        <v>100</v>
      </c>
    </row>
    <row r="489" spans="2:11" ht="20.100000000000001" customHeight="1" x14ac:dyDescent="0.15">
      <c r="B489" s="5"/>
      <c r="C489" s="10"/>
      <c r="D489" s="10"/>
      <c r="E489" s="10"/>
      <c r="F489" s="10"/>
      <c r="G489" s="10"/>
      <c r="H489" s="8"/>
      <c r="I489" s="8"/>
      <c r="J489" s="8" t="s">
        <v>39</v>
      </c>
      <c r="K489" s="9">
        <f t="shared" si="68"/>
        <v>100</v>
      </c>
    </row>
    <row r="490" spans="2:11" ht="20.100000000000001" customHeight="1" x14ac:dyDescent="0.15">
      <c r="B490" s="5"/>
      <c r="C490" s="10"/>
      <c r="D490" s="10"/>
      <c r="E490" s="10"/>
      <c r="F490" s="10"/>
      <c r="G490" s="10"/>
      <c r="H490" s="8"/>
      <c r="I490" s="8"/>
      <c r="J490" s="8" t="str">
        <f t="shared" si="78"/>
        <v>借</v>
      </c>
      <c r="K490" s="9">
        <f t="shared" si="68"/>
        <v>100</v>
      </c>
    </row>
    <row r="491" spans="2:11" ht="20.100000000000001" customHeight="1" x14ac:dyDescent="0.15">
      <c r="B491" s="5"/>
      <c r="C491" s="10"/>
      <c r="D491" s="10"/>
      <c r="E491" s="10"/>
      <c r="F491" s="10"/>
      <c r="G491" s="10"/>
      <c r="H491" s="8"/>
      <c r="I491" s="8"/>
      <c r="J491" s="8" t="s">
        <v>39</v>
      </c>
      <c r="K491" s="9">
        <f t="shared" si="68"/>
        <v>100</v>
      </c>
    </row>
    <row r="492" spans="2:11" ht="20.100000000000001" customHeight="1" x14ac:dyDescent="0.15">
      <c r="B492" s="5"/>
      <c r="C492" s="10"/>
      <c r="D492" s="10"/>
      <c r="E492" s="10"/>
      <c r="F492" s="10"/>
      <c r="G492" s="10"/>
      <c r="H492" s="8"/>
      <c r="I492" s="8"/>
      <c r="J492" s="8" t="str">
        <f t="shared" ref="J492:J496" si="79">IF((K491+H492-I492)&gt;0,"借","贷")</f>
        <v>借</v>
      </c>
      <c r="K492" s="9">
        <f t="shared" si="68"/>
        <v>100</v>
      </c>
    </row>
    <row r="493" spans="2:11" ht="20.100000000000001" customHeight="1" x14ac:dyDescent="0.15">
      <c r="B493" s="5"/>
      <c r="C493" s="10"/>
      <c r="D493" s="10"/>
      <c r="E493" s="10"/>
      <c r="F493" s="10"/>
      <c r="G493" s="10"/>
      <c r="H493" s="8"/>
      <c r="I493" s="8"/>
      <c r="J493" s="8" t="s">
        <v>39</v>
      </c>
      <c r="K493" s="9">
        <f t="shared" ref="K493:K497" si="80">_xlfn.IFS(J492="借",K492+H493-I493,J492="贷",H493-I493-K492)</f>
        <v>100</v>
      </c>
    </row>
    <row r="494" spans="2:11" ht="20.100000000000001" customHeight="1" x14ac:dyDescent="0.15">
      <c r="B494" s="5"/>
      <c r="C494" s="10"/>
      <c r="D494" s="10"/>
      <c r="E494" s="10"/>
      <c r="F494" s="10"/>
      <c r="G494" s="10"/>
      <c r="H494" s="8"/>
      <c r="I494" s="8"/>
      <c r="J494" s="8" t="str">
        <f t="shared" si="79"/>
        <v>借</v>
      </c>
      <c r="K494" s="9">
        <f t="shared" si="80"/>
        <v>100</v>
      </c>
    </row>
    <row r="495" spans="2:11" ht="20.100000000000001" customHeight="1" x14ac:dyDescent="0.15">
      <c r="B495" s="5"/>
      <c r="C495" s="10"/>
      <c r="D495" s="10"/>
      <c r="E495" s="10"/>
      <c r="F495" s="10"/>
      <c r="G495" s="10"/>
      <c r="H495" s="8"/>
      <c r="I495" s="8"/>
      <c r="J495" s="8" t="s">
        <v>39</v>
      </c>
      <c r="K495" s="9">
        <f t="shared" si="80"/>
        <v>100</v>
      </c>
    </row>
    <row r="496" spans="2:11" ht="20.100000000000001" customHeight="1" x14ac:dyDescent="0.15">
      <c r="B496" s="5"/>
      <c r="C496" s="10"/>
      <c r="D496" s="10"/>
      <c r="E496" s="10"/>
      <c r="F496" s="10"/>
      <c r="G496" s="10"/>
      <c r="H496" s="8"/>
      <c r="I496" s="8"/>
      <c r="J496" s="8" t="str">
        <f t="shared" si="79"/>
        <v>借</v>
      </c>
      <c r="K496" s="9">
        <f t="shared" si="80"/>
        <v>100</v>
      </c>
    </row>
    <row r="497" spans="2:11" ht="20.100000000000001" customHeight="1" x14ac:dyDescent="0.15">
      <c r="B497" s="5"/>
      <c r="C497" s="10"/>
      <c r="D497" s="10"/>
      <c r="E497" s="10"/>
      <c r="F497" s="10"/>
      <c r="G497" s="10"/>
      <c r="H497" s="8"/>
      <c r="I497" s="8"/>
      <c r="J497" s="8" t="s">
        <v>39</v>
      </c>
      <c r="K497" s="9">
        <f t="shared" si="80"/>
        <v>100</v>
      </c>
    </row>
  </sheetData>
  <autoFilter ref="A4:L497" xr:uid="{00000000-0009-0000-0000-000027000000}"/>
  <mergeCells count="2">
    <mergeCell ref="A1:K1"/>
    <mergeCell ref="A2:K2"/>
  </mergeCells>
  <phoneticPr fontId="2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各账户余额表</vt:lpstr>
      <vt:lpstr>承兑余额表</vt:lpstr>
      <vt:lpstr>迈本石家庄招行</vt:lpstr>
      <vt:lpstr>迈本交行</vt:lpstr>
      <vt:lpstr>迈本建行</vt:lpstr>
      <vt:lpstr>迈本建行外外币户</vt:lpstr>
      <vt:lpstr>迈本招行保证金户</vt:lpstr>
      <vt:lpstr>迈本石家庄承兑</vt:lpstr>
      <vt:lpstr>迈本仪器（交行）</vt:lpstr>
      <vt:lpstr>仪器交行（数币户）</vt:lpstr>
      <vt:lpstr>仪器承兑</vt:lpstr>
      <vt:lpstr>北威</vt:lpstr>
      <vt:lpstr>迈本成都</vt:lpstr>
      <vt:lpstr>迈本成都承兑</vt:lpstr>
      <vt:lpstr>迈本沈阳</vt:lpstr>
      <vt:lpstr>迈本沈阳承兑</vt:lpstr>
      <vt:lpstr>迈本苏州</vt:lpstr>
      <vt:lpstr>迈本苏州承兑</vt:lpstr>
      <vt:lpstr>长春奥强</vt:lpstr>
      <vt:lpstr>苏州澳强</vt:lpstr>
      <vt:lpstr>天津富麦</vt:lpstr>
      <vt:lpstr>迪青</vt:lpstr>
      <vt:lpstr>义岭</vt:lpstr>
      <vt:lpstr>沛能</vt:lpstr>
      <vt:lpstr>现金</vt:lpstr>
      <vt:lpstr>康丽进（银行）</vt:lpstr>
      <vt:lpstr>吴利君</vt:lpstr>
      <vt:lpstr>马蕾</vt:lpstr>
      <vt:lpstr>王建肖</vt:lpstr>
      <vt:lpstr>白秀敏</vt:lpstr>
      <vt:lpstr>雷朝霞</vt:lpstr>
      <vt:lpstr>李冬日</vt:lpstr>
      <vt:lpstr>佟丽</vt:lpstr>
      <vt:lpstr>雷杰</vt:lpstr>
      <vt:lpstr>晟才</vt:lpstr>
      <vt:lpstr>马义岭</vt:lpstr>
      <vt:lpstr>刘勇</vt:lpstr>
      <vt:lpstr>王茜</vt:lpstr>
      <vt:lpstr>李晓东</vt:lpstr>
      <vt:lpstr>刘硕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小帅 谭</cp:lastModifiedBy>
  <dcterms:created xsi:type="dcterms:W3CDTF">2022-05-24T02:44:00Z</dcterms:created>
  <dcterms:modified xsi:type="dcterms:W3CDTF">2026-08-10T05:26:18Z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50A38FF826BB4AD6AD63A4AD6553CC83_13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