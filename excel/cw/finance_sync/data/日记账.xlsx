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效率提升自动化\excel\cw\finance_sync\data\"/>
    </mc:Choice>
  </mc:AlternateContent>
  <xr:revisionPtr revIDLastSave="0" documentId="13_ncr:1_{4BBAE6F7-B27F-4E1A-8237-52596BF5133A}" xr6:coauthVersionLast="47" xr6:coauthVersionMax="47" xr10:uidLastSave="{00000000-0000-0000-0000-000000000000}"/>
  <bookViews>
    <workbookView xWindow="-120" yWindow="-120" windowWidth="29040" windowHeight="16440" tabRatio="930" activeTab="5" xr2:uid="{00000000-000D-0000-FFFF-FFFF00000000}"/>
  </bookViews>
  <sheets>
    <sheet name="各账户余额表" sheetId="30" r:id="rId1"/>
    <sheet name="承兑余额表" sheetId="74" r:id="rId2"/>
    <sheet name="迈本石家庄招行" sheetId="41" r:id="rId3"/>
    <sheet name="迈本交行" sheetId="31" r:id="rId4"/>
    <sheet name="迈本建行" sheetId="51" r:id="rId5"/>
    <sheet name="迈本建行外币户" sheetId="57" r:id="rId6"/>
    <sheet name="迈本招行保证金户" sheetId="63" r:id="rId7"/>
    <sheet name="迈本石家庄承兑" sheetId="67" r:id="rId8"/>
    <sheet name="迈本仪器（交行）" sheetId="48" r:id="rId9"/>
    <sheet name="仪器交行（数币户）" sheetId="60" r:id="rId10"/>
    <sheet name="仪器承兑" sheetId="68" r:id="rId11"/>
    <sheet name="北威" sheetId="40" r:id="rId12"/>
    <sheet name="迈本成都" sheetId="12" r:id="rId13"/>
    <sheet name="迈本成都承兑" sheetId="69" r:id="rId14"/>
    <sheet name="迈本沈阳" sheetId="13" r:id="rId15"/>
    <sheet name="迈本沈阳承兑" sheetId="72" r:id="rId16"/>
    <sheet name="迈本苏州" sheetId="26" r:id="rId17"/>
    <sheet name="迈本苏州承兑" sheetId="73" r:id="rId18"/>
    <sheet name="长春奥强" sheetId="27" r:id="rId19"/>
    <sheet name="苏州澳强" sheetId="17" r:id="rId20"/>
    <sheet name="天津富麦" sheetId="16" r:id="rId21"/>
    <sheet name="迪青" sheetId="18" r:id="rId22"/>
    <sheet name="义岭" sheetId="20" r:id="rId23"/>
    <sheet name="沛能" sheetId="19" r:id="rId24"/>
    <sheet name="现金" sheetId="33" r:id="rId25"/>
    <sheet name="康丽进（银行）" sheetId="47" r:id="rId26"/>
    <sheet name="吴利君" sheetId="52" r:id="rId27"/>
    <sheet name="马蕾" sheetId="53" r:id="rId28"/>
    <sheet name="王建肖" sheetId="54" r:id="rId29"/>
    <sheet name="白秀敏" sheetId="55" r:id="rId30"/>
    <sheet name="雷朝霞" sheetId="56" r:id="rId31"/>
    <sheet name="李冬日" sheetId="58" r:id="rId32"/>
    <sheet name="佟丽" sheetId="64" r:id="rId33"/>
    <sheet name="雷杰" sheetId="65" r:id="rId34"/>
    <sheet name="晟才" sheetId="59" r:id="rId35"/>
    <sheet name="马义岭" sheetId="62" r:id="rId36"/>
    <sheet name="刘勇" sheetId="36" r:id="rId37"/>
    <sheet name="王茜" sheetId="32" r:id="rId38"/>
    <sheet name="李晓东" sheetId="35" r:id="rId39"/>
    <sheet name="刘硕" sheetId="42" r:id="rId40"/>
  </sheets>
  <definedNames>
    <definedName name="_xlnm._FilterDatabase" localSheetId="11" hidden="1">北威!$A$3:$O$504</definedName>
    <definedName name="_xlnm._FilterDatabase" localSheetId="21" hidden="1">迪青!$A$5:$IU$22</definedName>
    <definedName name="_xlnm._FilterDatabase" localSheetId="38" hidden="1">李晓东!$A$4:$L$497</definedName>
    <definedName name="_xlnm._FilterDatabase" localSheetId="39" hidden="1">刘硕!$A$4:$L$497</definedName>
    <definedName name="_xlnm._FilterDatabase" localSheetId="12" hidden="1">迈本成都!$A$4:$M$498</definedName>
    <definedName name="_xlnm._FilterDatabase" localSheetId="4" hidden="1">迈本建行!$A$4:$M$499</definedName>
    <definedName name="_xlnm._FilterDatabase" localSheetId="3" hidden="1">迈本交行!$A$4:$M$21</definedName>
    <definedName name="_xlnm._FilterDatabase" localSheetId="14" hidden="1">迈本沈阳!$A$4:$M$496</definedName>
    <definedName name="_xlnm._FilterDatabase" localSheetId="2" hidden="1">迈本石家庄招行!$A$4:$M$21</definedName>
    <definedName name="_xlnm._FilterDatabase" localSheetId="16" hidden="1">迈本苏州!$A$4:$M$499</definedName>
    <definedName name="_xlnm._FilterDatabase" localSheetId="8" hidden="1">'迈本仪器（交行）'!$A$4:$M$516</definedName>
    <definedName name="_xlnm._FilterDatabase" localSheetId="23" hidden="1">沛能!$A$5:$IT$49</definedName>
    <definedName name="_xlnm._FilterDatabase" localSheetId="19" hidden="1">苏州澳强!$A$4:$M$500</definedName>
    <definedName name="_xlnm._FilterDatabase" localSheetId="20" hidden="1">天津富麦!$A$4:$L$498</definedName>
    <definedName name="_xlnm._FilterDatabase" localSheetId="37" hidden="1">王茜!$A$4:$L$499</definedName>
    <definedName name="_xlnm._FilterDatabase" localSheetId="24" hidden="1">现金!$A$4:$L$490</definedName>
    <definedName name="_xlnm._FilterDatabase" localSheetId="22" hidden="1">义岭!$A$5:$IU$25</definedName>
    <definedName name="_xlnm._FilterDatabase" localSheetId="18" hidden="1">长春奥强!$A$5:$IV$500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7" i="42" l="1"/>
  <c r="K496" i="42"/>
  <c r="J496" i="42"/>
  <c r="K495" i="42"/>
  <c r="K494" i="42"/>
  <c r="J494" i="42"/>
  <c r="K493" i="42"/>
  <c r="K492" i="42"/>
  <c r="J492" i="42"/>
  <c r="K491" i="42"/>
  <c r="K490" i="42"/>
  <c r="J490" i="42"/>
  <c r="K489" i="42"/>
  <c r="K488" i="42"/>
  <c r="J488" i="42"/>
  <c r="K487" i="42"/>
  <c r="K486" i="42"/>
  <c r="J486" i="42"/>
  <c r="K485" i="42"/>
  <c r="K484" i="42"/>
  <c r="J484" i="42"/>
  <c r="K483" i="42"/>
  <c r="K482" i="42"/>
  <c r="J482" i="42"/>
  <c r="K481" i="42"/>
  <c r="K480" i="42"/>
  <c r="J480" i="42"/>
  <c r="K479" i="42"/>
  <c r="K478" i="42"/>
  <c r="J478" i="42"/>
  <c r="K477" i="42"/>
  <c r="K476" i="42"/>
  <c r="J476" i="42"/>
  <c r="K475" i="42"/>
  <c r="K474" i="42"/>
  <c r="J474" i="42"/>
  <c r="K473" i="42"/>
  <c r="K472" i="42"/>
  <c r="J472" i="42"/>
  <c r="K471" i="42"/>
  <c r="K470" i="42"/>
  <c r="J470" i="42"/>
  <c r="K469" i="42"/>
  <c r="K468" i="42"/>
  <c r="J468" i="42"/>
  <c r="K467" i="42"/>
  <c r="K466" i="42"/>
  <c r="J466" i="42"/>
  <c r="K465" i="42"/>
  <c r="K464" i="42"/>
  <c r="J464" i="42"/>
  <c r="K463" i="42"/>
  <c r="K462" i="42"/>
  <c r="J462" i="42"/>
  <c r="K461" i="42"/>
  <c r="K460" i="42"/>
  <c r="J460" i="42"/>
  <c r="K459" i="42"/>
  <c r="K458" i="42"/>
  <c r="J458" i="42"/>
  <c r="K457" i="42"/>
  <c r="K456" i="42"/>
  <c r="J456" i="42"/>
  <c r="K455" i="42"/>
  <c r="K454" i="42"/>
  <c r="J454" i="42"/>
  <c r="K453" i="42"/>
  <c r="K452" i="42"/>
  <c r="J452" i="42"/>
  <c r="K451" i="42"/>
  <c r="K450" i="42"/>
  <c r="J450" i="42"/>
  <c r="K449" i="42"/>
  <c r="K448" i="42"/>
  <c r="J448" i="42"/>
  <c r="K447" i="42"/>
  <c r="K446" i="42"/>
  <c r="J446" i="42"/>
  <c r="K445" i="42"/>
  <c r="K444" i="42"/>
  <c r="J444" i="42"/>
  <c r="K443" i="42"/>
  <c r="K442" i="42"/>
  <c r="J442" i="42"/>
  <c r="K441" i="42"/>
  <c r="K440" i="42"/>
  <c r="J440" i="42"/>
  <c r="K439" i="42"/>
  <c r="K438" i="42"/>
  <c r="J438" i="42"/>
  <c r="K437" i="42"/>
  <c r="K436" i="42"/>
  <c r="J436" i="42"/>
  <c r="K435" i="42"/>
  <c r="K434" i="42"/>
  <c r="J434" i="42"/>
  <c r="K433" i="42"/>
  <c r="K432" i="42"/>
  <c r="J432" i="42"/>
  <c r="K431" i="42"/>
  <c r="K430" i="42"/>
  <c r="J430" i="42"/>
  <c r="K429" i="42"/>
  <c r="K428" i="42"/>
  <c r="J428" i="42"/>
  <c r="K427" i="42"/>
  <c r="K426" i="42"/>
  <c r="J426" i="42"/>
  <c r="K425" i="42"/>
  <c r="K424" i="42"/>
  <c r="J424" i="42"/>
  <c r="K423" i="42"/>
  <c r="K422" i="42"/>
  <c r="J422" i="42"/>
  <c r="K421" i="42"/>
  <c r="K420" i="42"/>
  <c r="J420" i="42"/>
  <c r="K419" i="42"/>
  <c r="K418" i="42"/>
  <c r="J418" i="42"/>
  <c r="K417" i="42"/>
  <c r="K416" i="42"/>
  <c r="J416" i="42"/>
  <c r="K415" i="42"/>
  <c r="K414" i="42"/>
  <c r="J414" i="42"/>
  <c r="K413" i="42"/>
  <c r="K412" i="42"/>
  <c r="J412" i="42"/>
  <c r="K411" i="42"/>
  <c r="K410" i="42"/>
  <c r="J410" i="42"/>
  <c r="K409" i="42"/>
  <c r="K408" i="42"/>
  <c r="J408" i="42"/>
  <c r="K407" i="42"/>
  <c r="K406" i="42"/>
  <c r="J406" i="42"/>
  <c r="K405" i="42"/>
  <c r="K404" i="42"/>
  <c r="J404" i="42"/>
  <c r="K403" i="42"/>
  <c r="K402" i="42"/>
  <c r="J402" i="42"/>
  <c r="K401" i="42"/>
  <c r="K400" i="42"/>
  <c r="J400" i="42"/>
  <c r="K399" i="42"/>
  <c r="K398" i="42"/>
  <c r="J398" i="42"/>
  <c r="K397" i="42"/>
  <c r="K396" i="42"/>
  <c r="J396" i="42"/>
  <c r="K395" i="42"/>
  <c r="K394" i="42"/>
  <c r="J394" i="42"/>
  <c r="K393" i="42"/>
  <c r="K392" i="42"/>
  <c r="J392" i="42"/>
  <c r="K391" i="42"/>
  <c r="K390" i="42"/>
  <c r="J390" i="42"/>
  <c r="K389" i="42"/>
  <c r="K388" i="42"/>
  <c r="J388" i="42"/>
  <c r="K387" i="42"/>
  <c r="K386" i="42"/>
  <c r="J386" i="42"/>
  <c r="K385" i="42"/>
  <c r="K384" i="42"/>
  <c r="J384" i="42"/>
  <c r="K383" i="42"/>
  <c r="K382" i="42"/>
  <c r="J382" i="42"/>
  <c r="K381" i="42"/>
  <c r="K380" i="42"/>
  <c r="J380" i="42"/>
  <c r="K379" i="42"/>
  <c r="K378" i="42"/>
  <c r="J378" i="42"/>
  <c r="K377" i="42"/>
  <c r="K376" i="42"/>
  <c r="J376" i="42"/>
  <c r="K375" i="42"/>
  <c r="K374" i="42"/>
  <c r="J374" i="42"/>
  <c r="K373" i="42"/>
  <c r="K372" i="42"/>
  <c r="J372" i="42"/>
  <c r="K371" i="42"/>
  <c r="K370" i="42"/>
  <c r="J370" i="42"/>
  <c r="K369" i="42"/>
  <c r="K368" i="42"/>
  <c r="J368" i="42"/>
  <c r="K367" i="42"/>
  <c r="K366" i="42"/>
  <c r="J366" i="42"/>
  <c r="K365" i="42"/>
  <c r="K364" i="42"/>
  <c r="J364" i="42"/>
  <c r="K363" i="42"/>
  <c r="K362" i="42"/>
  <c r="J362" i="42"/>
  <c r="K361" i="42"/>
  <c r="K360" i="42"/>
  <c r="J360" i="42"/>
  <c r="K359" i="42"/>
  <c r="K358" i="42"/>
  <c r="J358" i="42"/>
  <c r="K357" i="42"/>
  <c r="K356" i="42"/>
  <c r="J356" i="42"/>
  <c r="K355" i="42"/>
  <c r="K354" i="42"/>
  <c r="J354" i="42"/>
  <c r="K353" i="42"/>
  <c r="K352" i="42"/>
  <c r="J352" i="42"/>
  <c r="K351" i="42"/>
  <c r="K350" i="42"/>
  <c r="J350" i="42"/>
  <c r="K349" i="42"/>
  <c r="K348" i="42"/>
  <c r="J348" i="42"/>
  <c r="K347" i="42"/>
  <c r="K346" i="42"/>
  <c r="J346" i="42"/>
  <c r="K345" i="42"/>
  <c r="K344" i="42"/>
  <c r="J344" i="42"/>
  <c r="K343" i="42"/>
  <c r="K342" i="42"/>
  <c r="J342" i="42"/>
  <c r="K341" i="42"/>
  <c r="K340" i="42"/>
  <c r="J340" i="42"/>
  <c r="K339" i="42"/>
  <c r="K338" i="42"/>
  <c r="J338" i="42"/>
  <c r="K337" i="42"/>
  <c r="K336" i="42"/>
  <c r="J336" i="42"/>
  <c r="K335" i="42"/>
  <c r="K334" i="42"/>
  <c r="J334" i="42"/>
  <c r="K333" i="42"/>
  <c r="K332" i="42"/>
  <c r="J332" i="42"/>
  <c r="K331" i="42"/>
  <c r="K330" i="42"/>
  <c r="J330" i="42"/>
  <c r="K329" i="42"/>
  <c r="K328" i="42"/>
  <c r="J328" i="42"/>
  <c r="K327" i="42"/>
  <c r="K326" i="42"/>
  <c r="J326" i="42"/>
  <c r="K325" i="42"/>
  <c r="K324" i="42"/>
  <c r="J324" i="42"/>
  <c r="K323" i="42"/>
  <c r="K322" i="42"/>
  <c r="J322" i="42"/>
  <c r="K321" i="42"/>
  <c r="K320" i="42"/>
  <c r="J320" i="42"/>
  <c r="K319" i="42"/>
  <c r="K318" i="42"/>
  <c r="J318" i="42"/>
  <c r="K317" i="42"/>
  <c r="K316" i="42"/>
  <c r="J316" i="42"/>
  <c r="K315" i="42"/>
  <c r="K314" i="42"/>
  <c r="J314" i="42"/>
  <c r="K313" i="42"/>
  <c r="K312" i="42"/>
  <c r="J312" i="42"/>
  <c r="K311" i="42"/>
  <c r="K310" i="42"/>
  <c r="J310" i="42"/>
  <c r="K309" i="42"/>
  <c r="K308" i="42"/>
  <c r="J308" i="42"/>
  <c r="K307" i="42"/>
  <c r="K306" i="42"/>
  <c r="J306" i="42"/>
  <c r="K305" i="42"/>
  <c r="K304" i="42"/>
  <c r="J304" i="42"/>
  <c r="K303" i="42"/>
  <c r="K302" i="42"/>
  <c r="J302" i="42"/>
  <c r="K301" i="42"/>
  <c r="K300" i="42"/>
  <c r="J300" i="42"/>
  <c r="K299" i="42"/>
  <c r="K298" i="42"/>
  <c r="J298" i="42"/>
  <c r="K297" i="42"/>
  <c r="K296" i="42"/>
  <c r="J296" i="42"/>
  <c r="K295" i="42"/>
  <c r="K294" i="42"/>
  <c r="J294" i="42"/>
  <c r="K293" i="42"/>
  <c r="K292" i="42"/>
  <c r="J292" i="42"/>
  <c r="K291" i="42"/>
  <c r="K290" i="42"/>
  <c r="J290" i="42"/>
  <c r="K289" i="42"/>
  <c r="K288" i="42"/>
  <c r="J288" i="42"/>
  <c r="K287" i="42"/>
  <c r="K286" i="42"/>
  <c r="J286" i="42"/>
  <c r="K285" i="42"/>
  <c r="K284" i="42"/>
  <c r="J284" i="42"/>
  <c r="K283" i="42"/>
  <c r="K282" i="42"/>
  <c r="J282" i="42"/>
  <c r="K281" i="42"/>
  <c r="K280" i="42"/>
  <c r="J280" i="42"/>
  <c r="K279" i="42"/>
  <c r="K278" i="42"/>
  <c r="J278" i="42"/>
  <c r="K277" i="42"/>
  <c r="K276" i="42"/>
  <c r="J276" i="42"/>
  <c r="K275" i="42"/>
  <c r="K274" i="42"/>
  <c r="J274" i="42"/>
  <c r="K273" i="42"/>
  <c r="K272" i="42"/>
  <c r="J272" i="42"/>
  <c r="K271" i="42"/>
  <c r="K270" i="42"/>
  <c r="J270" i="42"/>
  <c r="K269" i="42"/>
  <c r="K268" i="42"/>
  <c r="J268" i="42"/>
  <c r="K267" i="42"/>
  <c r="K266" i="42"/>
  <c r="J266" i="42"/>
  <c r="K265" i="42"/>
  <c r="K264" i="42"/>
  <c r="J264" i="42"/>
  <c r="K263" i="42"/>
  <c r="K262" i="42"/>
  <c r="J262" i="42"/>
  <c r="K261" i="42"/>
  <c r="K260" i="42"/>
  <c r="J260" i="42"/>
  <c r="K259" i="42"/>
  <c r="K258" i="42"/>
  <c r="J258" i="42"/>
  <c r="K257" i="42"/>
  <c r="K256" i="42"/>
  <c r="J256" i="42"/>
  <c r="K255" i="42"/>
  <c r="K254" i="42"/>
  <c r="J254" i="42"/>
  <c r="K253" i="42"/>
  <c r="K252" i="42"/>
  <c r="J252" i="42"/>
  <c r="K251" i="42"/>
  <c r="K250" i="42"/>
  <c r="J250" i="42"/>
  <c r="K249" i="42"/>
  <c r="K248" i="42"/>
  <c r="J248" i="42"/>
  <c r="K247" i="42"/>
  <c r="K246" i="42"/>
  <c r="J246" i="42"/>
  <c r="K245" i="42"/>
  <c r="K244" i="42"/>
  <c r="J244" i="42"/>
  <c r="K243" i="42"/>
  <c r="K242" i="42"/>
  <c r="J242" i="42"/>
  <c r="K241" i="42"/>
  <c r="K240" i="42"/>
  <c r="J240" i="42"/>
  <c r="K239" i="42"/>
  <c r="K238" i="42"/>
  <c r="J238" i="42"/>
  <c r="K237" i="42"/>
  <c r="K236" i="42"/>
  <c r="J236" i="42"/>
  <c r="K235" i="42"/>
  <c r="K234" i="42"/>
  <c r="J234" i="42"/>
  <c r="K233" i="42"/>
  <c r="K232" i="42"/>
  <c r="J232" i="42"/>
  <c r="K231" i="42"/>
  <c r="K230" i="42"/>
  <c r="J230" i="42"/>
  <c r="K229" i="42"/>
  <c r="K228" i="42"/>
  <c r="J228" i="42"/>
  <c r="K227" i="42"/>
  <c r="K226" i="42"/>
  <c r="J226" i="42"/>
  <c r="K225" i="42"/>
  <c r="K224" i="42"/>
  <c r="J224" i="42"/>
  <c r="K223" i="42"/>
  <c r="K222" i="42"/>
  <c r="J222" i="42"/>
  <c r="K221" i="42"/>
  <c r="K220" i="42"/>
  <c r="J220" i="42"/>
  <c r="K219" i="42"/>
  <c r="K218" i="42"/>
  <c r="J218" i="42"/>
  <c r="K217" i="42"/>
  <c r="K216" i="42"/>
  <c r="J216" i="42"/>
  <c r="K215" i="42"/>
  <c r="K214" i="42"/>
  <c r="J214" i="42"/>
  <c r="K213" i="42"/>
  <c r="K212" i="42"/>
  <c r="J212" i="42"/>
  <c r="K211" i="42"/>
  <c r="K210" i="42"/>
  <c r="J210" i="42"/>
  <c r="K209" i="42"/>
  <c r="K208" i="42"/>
  <c r="J208" i="42"/>
  <c r="K207" i="42"/>
  <c r="K206" i="42"/>
  <c r="J206" i="42"/>
  <c r="K205" i="42"/>
  <c r="K204" i="42"/>
  <c r="J204" i="42"/>
  <c r="K203" i="42"/>
  <c r="K202" i="42"/>
  <c r="J202" i="42"/>
  <c r="K201" i="42"/>
  <c r="K200" i="42"/>
  <c r="J200" i="42"/>
  <c r="K199" i="42"/>
  <c r="K198" i="42"/>
  <c r="J198" i="42"/>
  <c r="K197" i="42"/>
  <c r="K196" i="42"/>
  <c r="J196" i="42"/>
  <c r="K195" i="42"/>
  <c r="K194" i="42"/>
  <c r="J194" i="42"/>
  <c r="K193" i="42"/>
  <c r="K192" i="42"/>
  <c r="J192" i="42"/>
  <c r="K191" i="42"/>
  <c r="K190" i="42"/>
  <c r="J190" i="42"/>
  <c r="K189" i="42"/>
  <c r="K188" i="42"/>
  <c r="J188" i="42"/>
  <c r="K187" i="42"/>
  <c r="K186" i="42"/>
  <c r="J186" i="42"/>
  <c r="K185" i="42"/>
  <c r="K184" i="42"/>
  <c r="J184" i="42"/>
  <c r="K183" i="42"/>
  <c r="K182" i="42"/>
  <c r="J182" i="42"/>
  <c r="K181" i="42"/>
  <c r="K180" i="42"/>
  <c r="J180" i="42"/>
  <c r="K179" i="42"/>
  <c r="K178" i="42"/>
  <c r="J178" i="42"/>
  <c r="K177" i="42"/>
  <c r="K176" i="42"/>
  <c r="J176" i="42"/>
  <c r="K175" i="42"/>
  <c r="K174" i="42"/>
  <c r="J174" i="42"/>
  <c r="K173" i="42"/>
  <c r="K172" i="42"/>
  <c r="J172" i="42"/>
  <c r="K171" i="42"/>
  <c r="K170" i="42"/>
  <c r="J170" i="42"/>
  <c r="K169" i="42"/>
  <c r="J169" i="42"/>
  <c r="K168" i="42"/>
  <c r="J168" i="42"/>
  <c r="K167" i="42"/>
  <c r="J167" i="42"/>
  <c r="K166" i="42"/>
  <c r="J166" i="42"/>
  <c r="K165" i="42"/>
  <c r="J165" i="42"/>
  <c r="K164" i="42"/>
  <c r="J164" i="42"/>
  <c r="K163" i="42"/>
  <c r="J163" i="42"/>
  <c r="K162" i="42"/>
  <c r="J162" i="42"/>
  <c r="K161" i="42"/>
  <c r="J161" i="42"/>
  <c r="K160" i="42"/>
  <c r="J160" i="42"/>
  <c r="K159" i="42"/>
  <c r="J159" i="42"/>
  <c r="K158" i="42"/>
  <c r="J158" i="42"/>
  <c r="K157" i="42"/>
  <c r="J157" i="42"/>
  <c r="K156" i="42"/>
  <c r="J156" i="42"/>
  <c r="K155" i="42"/>
  <c r="J155" i="42"/>
  <c r="K154" i="42"/>
  <c r="J154" i="42"/>
  <c r="K153" i="42"/>
  <c r="J153" i="42"/>
  <c r="K152" i="42"/>
  <c r="J152" i="42"/>
  <c r="K151" i="42"/>
  <c r="J151" i="42"/>
  <c r="K150" i="42"/>
  <c r="J150" i="42"/>
  <c r="K149" i="42"/>
  <c r="J149" i="42"/>
  <c r="K148" i="42"/>
  <c r="J148" i="42"/>
  <c r="K147" i="42"/>
  <c r="J147" i="42"/>
  <c r="K146" i="42"/>
  <c r="J146" i="42"/>
  <c r="K145" i="42"/>
  <c r="J145" i="42"/>
  <c r="K144" i="42"/>
  <c r="J144" i="42"/>
  <c r="K143" i="42"/>
  <c r="J143" i="42"/>
  <c r="K142" i="42"/>
  <c r="J142" i="42"/>
  <c r="K141" i="42"/>
  <c r="J141" i="42"/>
  <c r="K140" i="42"/>
  <c r="J140" i="42"/>
  <c r="K139" i="42"/>
  <c r="J139" i="42"/>
  <c r="K138" i="42"/>
  <c r="J138" i="42"/>
  <c r="K137" i="42"/>
  <c r="J137" i="42"/>
  <c r="K136" i="42"/>
  <c r="J136" i="42"/>
  <c r="K135" i="42"/>
  <c r="J135" i="42"/>
  <c r="K134" i="42"/>
  <c r="J134" i="42"/>
  <c r="K133" i="42"/>
  <c r="J133" i="42"/>
  <c r="K132" i="42"/>
  <c r="J132" i="42"/>
  <c r="K131" i="42"/>
  <c r="J131" i="42"/>
  <c r="K130" i="42"/>
  <c r="J130" i="42"/>
  <c r="K129" i="42"/>
  <c r="J129" i="42"/>
  <c r="K128" i="42"/>
  <c r="J128" i="42"/>
  <c r="K127" i="42"/>
  <c r="J127" i="42"/>
  <c r="K126" i="42"/>
  <c r="J126" i="42"/>
  <c r="K125" i="42"/>
  <c r="J125" i="42"/>
  <c r="K124" i="42"/>
  <c r="J124" i="42"/>
  <c r="K123" i="42"/>
  <c r="J123" i="42"/>
  <c r="K122" i="42"/>
  <c r="J122" i="42"/>
  <c r="K121" i="42"/>
  <c r="J121" i="42"/>
  <c r="K120" i="42"/>
  <c r="J120" i="42"/>
  <c r="K119" i="42"/>
  <c r="J119" i="42"/>
  <c r="K118" i="42"/>
  <c r="J118" i="42"/>
  <c r="K117" i="42"/>
  <c r="J117" i="42"/>
  <c r="K116" i="42"/>
  <c r="J116" i="42"/>
  <c r="K115" i="42"/>
  <c r="J115" i="42"/>
  <c r="K114" i="42"/>
  <c r="J114" i="42"/>
  <c r="K113" i="42"/>
  <c r="J113" i="42"/>
  <c r="K112" i="42"/>
  <c r="J112" i="42"/>
  <c r="K111" i="42"/>
  <c r="J111" i="42"/>
  <c r="K110" i="42"/>
  <c r="J110" i="42"/>
  <c r="K109" i="42"/>
  <c r="J109" i="42"/>
  <c r="K108" i="42"/>
  <c r="J108" i="42"/>
  <c r="K107" i="42"/>
  <c r="J107" i="42"/>
  <c r="K106" i="42"/>
  <c r="J106" i="42"/>
  <c r="K105" i="42"/>
  <c r="J105" i="42"/>
  <c r="K104" i="42"/>
  <c r="J104" i="42"/>
  <c r="K103" i="42"/>
  <c r="J103" i="42"/>
  <c r="K102" i="42"/>
  <c r="J102" i="42"/>
  <c r="K101" i="42"/>
  <c r="J101" i="42"/>
  <c r="K100" i="42"/>
  <c r="J100" i="42"/>
  <c r="K99" i="42"/>
  <c r="J99" i="42"/>
  <c r="K98" i="42"/>
  <c r="J98" i="42"/>
  <c r="K97" i="42"/>
  <c r="J97" i="42"/>
  <c r="K96" i="42"/>
  <c r="J96" i="42"/>
  <c r="K95" i="42"/>
  <c r="J95" i="42"/>
  <c r="K94" i="42"/>
  <c r="J94" i="42"/>
  <c r="K93" i="42"/>
  <c r="J93" i="42"/>
  <c r="K92" i="42"/>
  <c r="J92" i="42"/>
  <c r="K91" i="42"/>
  <c r="J91" i="42"/>
  <c r="K90" i="42"/>
  <c r="J90" i="42"/>
  <c r="K89" i="42"/>
  <c r="J89" i="42"/>
  <c r="K88" i="42"/>
  <c r="J88" i="42"/>
  <c r="K87" i="42"/>
  <c r="J87" i="42"/>
  <c r="K86" i="42"/>
  <c r="J86" i="42"/>
  <c r="K85" i="42"/>
  <c r="J85" i="42"/>
  <c r="K84" i="42"/>
  <c r="J84" i="42"/>
  <c r="K83" i="42"/>
  <c r="J83" i="42"/>
  <c r="K82" i="42"/>
  <c r="J82" i="42"/>
  <c r="K81" i="42"/>
  <c r="J81" i="42"/>
  <c r="K80" i="42"/>
  <c r="J80" i="42"/>
  <c r="K79" i="42"/>
  <c r="J79" i="42"/>
  <c r="K78" i="42"/>
  <c r="J78" i="42"/>
  <c r="K77" i="42"/>
  <c r="J77" i="42"/>
  <c r="K76" i="42"/>
  <c r="J76" i="42"/>
  <c r="K75" i="42"/>
  <c r="K74" i="42"/>
  <c r="J74" i="42"/>
  <c r="K73" i="42"/>
  <c r="K72" i="42"/>
  <c r="J72" i="42"/>
  <c r="K71" i="42"/>
  <c r="K70" i="42"/>
  <c r="J70" i="42"/>
  <c r="K69" i="42"/>
  <c r="K68" i="42"/>
  <c r="J68" i="42"/>
  <c r="K67" i="42"/>
  <c r="K66" i="42"/>
  <c r="J66" i="42"/>
  <c r="K65" i="42"/>
  <c r="K64" i="42"/>
  <c r="J64" i="42"/>
  <c r="K63" i="42"/>
  <c r="K62" i="42"/>
  <c r="J62" i="42"/>
  <c r="K61" i="42"/>
  <c r="K60" i="42"/>
  <c r="J60" i="42"/>
  <c r="K59" i="42"/>
  <c r="K58" i="42"/>
  <c r="J58" i="42"/>
  <c r="K57" i="42"/>
  <c r="K56" i="42"/>
  <c r="J56" i="42"/>
  <c r="K55" i="42"/>
  <c r="K54" i="42"/>
  <c r="J54" i="42"/>
  <c r="K53" i="42"/>
  <c r="K52" i="42"/>
  <c r="J52" i="42"/>
  <c r="K51" i="42"/>
  <c r="K50" i="42"/>
  <c r="J50" i="42"/>
  <c r="K49" i="42"/>
  <c r="K48" i="42"/>
  <c r="J48" i="42"/>
  <c r="K47" i="42"/>
  <c r="K46" i="42"/>
  <c r="J46" i="42"/>
  <c r="K45" i="42"/>
  <c r="K44" i="42"/>
  <c r="J44" i="42"/>
  <c r="K43" i="42"/>
  <c r="K42" i="42"/>
  <c r="J42" i="42"/>
  <c r="K41" i="42"/>
  <c r="K40" i="42"/>
  <c r="J40" i="42"/>
  <c r="K39" i="42"/>
  <c r="K38" i="42"/>
  <c r="J38" i="42"/>
  <c r="K37" i="42"/>
  <c r="K36" i="42"/>
  <c r="J36" i="42"/>
  <c r="K35" i="42"/>
  <c r="K34" i="42"/>
  <c r="J34" i="42"/>
  <c r="K33" i="42"/>
  <c r="K32" i="42"/>
  <c r="J32" i="42"/>
  <c r="K31" i="42"/>
  <c r="K30" i="42"/>
  <c r="J30" i="42"/>
  <c r="K29" i="42"/>
  <c r="K28" i="42"/>
  <c r="J28" i="42"/>
  <c r="K27" i="42"/>
  <c r="K26" i="42"/>
  <c r="J26" i="42"/>
  <c r="K25" i="42"/>
  <c r="K24" i="42"/>
  <c r="J24" i="42"/>
  <c r="K23" i="42"/>
  <c r="K22" i="42"/>
  <c r="J22" i="42"/>
  <c r="K21" i="42"/>
  <c r="K20" i="42"/>
  <c r="J20" i="42"/>
  <c r="K19" i="42"/>
  <c r="K18" i="42"/>
  <c r="J18" i="42"/>
  <c r="K17" i="42"/>
  <c r="K16" i="42"/>
  <c r="J16" i="42"/>
  <c r="K15" i="42"/>
  <c r="K14" i="42"/>
  <c r="J14" i="42"/>
  <c r="K13" i="42"/>
  <c r="K12" i="42"/>
  <c r="J12" i="42"/>
  <c r="K11" i="42"/>
  <c r="K10" i="42"/>
  <c r="J10" i="42"/>
  <c r="K9" i="42"/>
  <c r="K8" i="42"/>
  <c r="J8" i="42"/>
  <c r="K7" i="42"/>
  <c r="K6" i="42"/>
  <c r="J6" i="42"/>
  <c r="K3" i="42"/>
  <c r="I3" i="42"/>
  <c r="H3" i="42"/>
  <c r="K497" i="35"/>
  <c r="J497" i="35"/>
  <c r="K496" i="35"/>
  <c r="J496" i="35"/>
  <c r="K495" i="35"/>
  <c r="J495" i="35"/>
  <c r="K494" i="35"/>
  <c r="J494" i="35"/>
  <c r="K493" i="35"/>
  <c r="J493" i="35"/>
  <c r="K492" i="35"/>
  <c r="J492" i="35"/>
  <c r="K491" i="35"/>
  <c r="J491" i="35"/>
  <c r="K490" i="35"/>
  <c r="J490" i="35"/>
  <c r="K489" i="35"/>
  <c r="J489" i="35"/>
  <c r="K488" i="35"/>
  <c r="J488" i="35"/>
  <c r="K487" i="35"/>
  <c r="J487" i="35"/>
  <c r="K486" i="35"/>
  <c r="J486" i="35"/>
  <c r="K485" i="35"/>
  <c r="J485" i="35"/>
  <c r="K484" i="35"/>
  <c r="J484" i="35"/>
  <c r="K483" i="35"/>
  <c r="J483" i="35"/>
  <c r="K482" i="35"/>
  <c r="J482" i="35"/>
  <c r="K481" i="35"/>
  <c r="J481" i="35"/>
  <c r="K480" i="35"/>
  <c r="J480" i="35"/>
  <c r="K479" i="35"/>
  <c r="J479" i="35"/>
  <c r="K478" i="35"/>
  <c r="J478" i="35"/>
  <c r="K477" i="35"/>
  <c r="J477" i="35"/>
  <c r="K476" i="35"/>
  <c r="J476" i="35"/>
  <c r="K475" i="35"/>
  <c r="J475" i="35"/>
  <c r="K474" i="35"/>
  <c r="J474" i="35"/>
  <c r="K473" i="35"/>
  <c r="J473" i="35"/>
  <c r="K472" i="35"/>
  <c r="J472" i="35"/>
  <c r="K471" i="35"/>
  <c r="J471" i="35"/>
  <c r="K470" i="35"/>
  <c r="J470" i="35"/>
  <c r="K469" i="35"/>
  <c r="J469" i="35"/>
  <c r="K468" i="35"/>
  <c r="J468" i="35"/>
  <c r="K467" i="35"/>
  <c r="J467" i="35"/>
  <c r="K466" i="35"/>
  <c r="J466" i="35"/>
  <c r="K465" i="35"/>
  <c r="J465" i="35"/>
  <c r="K464" i="35"/>
  <c r="J464" i="35"/>
  <c r="K463" i="35"/>
  <c r="J463" i="35"/>
  <c r="K462" i="35"/>
  <c r="J462" i="35"/>
  <c r="K461" i="35"/>
  <c r="J461" i="35"/>
  <c r="K460" i="35"/>
  <c r="J460" i="35"/>
  <c r="K459" i="35"/>
  <c r="J459" i="35"/>
  <c r="K458" i="35"/>
  <c r="J458" i="35"/>
  <c r="K457" i="35"/>
  <c r="J457" i="35"/>
  <c r="K456" i="35"/>
  <c r="J456" i="35"/>
  <c r="K455" i="35"/>
  <c r="J455" i="35"/>
  <c r="K454" i="35"/>
  <c r="J454" i="35"/>
  <c r="K453" i="35"/>
  <c r="J453" i="35"/>
  <c r="K452" i="35"/>
  <c r="J452" i="35"/>
  <c r="K451" i="35"/>
  <c r="J451" i="35"/>
  <c r="K450" i="35"/>
  <c r="J450" i="35"/>
  <c r="K449" i="35"/>
  <c r="J449" i="35"/>
  <c r="K448" i="35"/>
  <c r="J448" i="35"/>
  <c r="K447" i="35"/>
  <c r="J447" i="35"/>
  <c r="K446" i="35"/>
  <c r="J446" i="35"/>
  <c r="K445" i="35"/>
  <c r="J445" i="35"/>
  <c r="K444" i="35"/>
  <c r="J444" i="35"/>
  <c r="K443" i="35"/>
  <c r="J443" i="35"/>
  <c r="K442" i="35"/>
  <c r="J442" i="35"/>
  <c r="K441" i="35"/>
  <c r="J441" i="35"/>
  <c r="K440" i="35"/>
  <c r="J440" i="35"/>
  <c r="K439" i="35"/>
  <c r="J439" i="35"/>
  <c r="K438" i="35"/>
  <c r="J438" i="35"/>
  <c r="K437" i="35"/>
  <c r="J437" i="35"/>
  <c r="K436" i="35"/>
  <c r="J436" i="35"/>
  <c r="K435" i="35"/>
  <c r="J435" i="35"/>
  <c r="K434" i="35"/>
  <c r="J434" i="35"/>
  <c r="K433" i="35"/>
  <c r="J433" i="35"/>
  <c r="K432" i="35"/>
  <c r="J432" i="35"/>
  <c r="K431" i="35"/>
  <c r="J431" i="35"/>
  <c r="K430" i="35"/>
  <c r="J430" i="35"/>
  <c r="K429" i="35"/>
  <c r="J429" i="35"/>
  <c r="K428" i="35"/>
  <c r="J428" i="35"/>
  <c r="K427" i="35"/>
  <c r="J427" i="35"/>
  <c r="K426" i="35"/>
  <c r="J426" i="35"/>
  <c r="K425" i="35"/>
  <c r="J425" i="35"/>
  <c r="K424" i="35"/>
  <c r="J424" i="35"/>
  <c r="K423" i="35"/>
  <c r="J423" i="35"/>
  <c r="K422" i="35"/>
  <c r="J422" i="35"/>
  <c r="K421" i="35"/>
  <c r="J421" i="35"/>
  <c r="K420" i="35"/>
  <c r="J420" i="35"/>
  <c r="K419" i="35"/>
  <c r="J419" i="35"/>
  <c r="K418" i="35"/>
  <c r="J418" i="35"/>
  <c r="K417" i="35"/>
  <c r="J417" i="35"/>
  <c r="K416" i="35"/>
  <c r="J416" i="35"/>
  <c r="K415" i="35"/>
  <c r="J415" i="35"/>
  <c r="K414" i="35"/>
  <c r="J414" i="35"/>
  <c r="K413" i="35"/>
  <c r="J413" i="35"/>
  <c r="K412" i="35"/>
  <c r="J412" i="35"/>
  <c r="K411" i="35"/>
  <c r="J411" i="35"/>
  <c r="K410" i="35"/>
  <c r="J410" i="35"/>
  <c r="K409" i="35"/>
  <c r="J409" i="35"/>
  <c r="K408" i="35"/>
  <c r="J408" i="35"/>
  <c r="K407" i="35"/>
  <c r="J407" i="35"/>
  <c r="K406" i="35"/>
  <c r="J406" i="35"/>
  <c r="K405" i="35"/>
  <c r="J405" i="35"/>
  <c r="K404" i="35"/>
  <c r="J404" i="35"/>
  <c r="K403" i="35"/>
  <c r="J403" i="35"/>
  <c r="K402" i="35"/>
  <c r="J402" i="35"/>
  <c r="K401" i="35"/>
  <c r="J401" i="35"/>
  <c r="K400" i="35"/>
  <c r="J400" i="35"/>
  <c r="K399" i="35"/>
  <c r="J399" i="35"/>
  <c r="K398" i="35"/>
  <c r="J398" i="35"/>
  <c r="K397" i="35"/>
  <c r="J397" i="35"/>
  <c r="K396" i="35"/>
  <c r="J396" i="35"/>
  <c r="K395" i="35"/>
  <c r="J395" i="35"/>
  <c r="K394" i="35"/>
  <c r="J394" i="35"/>
  <c r="K393" i="35"/>
  <c r="J393" i="35"/>
  <c r="K392" i="35"/>
  <c r="J392" i="35"/>
  <c r="K391" i="35"/>
  <c r="J391" i="35"/>
  <c r="K390" i="35"/>
  <c r="J390" i="35"/>
  <c r="K389" i="35"/>
  <c r="J389" i="35"/>
  <c r="K388" i="35"/>
  <c r="J388" i="35"/>
  <c r="K387" i="35"/>
  <c r="J387" i="35"/>
  <c r="K386" i="35"/>
  <c r="J386" i="35"/>
  <c r="K385" i="35"/>
  <c r="J385" i="35"/>
  <c r="K384" i="35"/>
  <c r="J384" i="35"/>
  <c r="K383" i="35"/>
  <c r="J383" i="35"/>
  <c r="K382" i="35"/>
  <c r="J382" i="35"/>
  <c r="K381" i="35"/>
  <c r="J381" i="35"/>
  <c r="K380" i="35"/>
  <c r="J380" i="35"/>
  <c r="K379" i="35"/>
  <c r="J379" i="35"/>
  <c r="K378" i="35"/>
  <c r="J378" i="35"/>
  <c r="K377" i="35"/>
  <c r="J377" i="35"/>
  <c r="K376" i="35"/>
  <c r="J376" i="35"/>
  <c r="K375" i="35"/>
  <c r="J375" i="35"/>
  <c r="K374" i="35"/>
  <c r="J374" i="35"/>
  <c r="K373" i="35"/>
  <c r="J373" i="35"/>
  <c r="K372" i="35"/>
  <c r="J372" i="35"/>
  <c r="K371" i="35"/>
  <c r="J371" i="35"/>
  <c r="K370" i="35"/>
  <c r="J370" i="35"/>
  <c r="K369" i="35"/>
  <c r="J369" i="35"/>
  <c r="K368" i="35"/>
  <c r="J368" i="35"/>
  <c r="K367" i="35"/>
  <c r="J367" i="35"/>
  <c r="K366" i="35"/>
  <c r="J366" i="35"/>
  <c r="K365" i="35"/>
  <c r="J365" i="35"/>
  <c r="K364" i="35"/>
  <c r="J364" i="35"/>
  <c r="K363" i="35"/>
  <c r="J363" i="35"/>
  <c r="K362" i="35"/>
  <c r="J362" i="35"/>
  <c r="K361" i="35"/>
  <c r="J361" i="35"/>
  <c r="K360" i="35"/>
  <c r="J360" i="35"/>
  <c r="K359" i="35"/>
  <c r="J359" i="35"/>
  <c r="K358" i="35"/>
  <c r="J358" i="35"/>
  <c r="K357" i="35"/>
  <c r="J357" i="35"/>
  <c r="K356" i="35"/>
  <c r="J356" i="35"/>
  <c r="K355" i="35"/>
  <c r="J355" i="35"/>
  <c r="K354" i="35"/>
  <c r="J354" i="35"/>
  <c r="K353" i="35"/>
  <c r="J353" i="35"/>
  <c r="K352" i="35"/>
  <c r="J352" i="35"/>
  <c r="K351" i="35"/>
  <c r="J351" i="35"/>
  <c r="K350" i="35"/>
  <c r="J350" i="35"/>
  <c r="K349" i="35"/>
  <c r="J349" i="35"/>
  <c r="K348" i="35"/>
  <c r="J348" i="35"/>
  <c r="K347" i="35"/>
  <c r="J347" i="35"/>
  <c r="K346" i="35"/>
  <c r="J346" i="35"/>
  <c r="K345" i="35"/>
  <c r="J345" i="35"/>
  <c r="K344" i="35"/>
  <c r="J344" i="35"/>
  <c r="K343" i="35"/>
  <c r="J343" i="35"/>
  <c r="K342" i="35"/>
  <c r="J342" i="35"/>
  <c r="K341" i="35"/>
  <c r="J341" i="35"/>
  <c r="K340" i="35"/>
  <c r="J340" i="35"/>
  <c r="K339" i="35"/>
  <c r="J339" i="35"/>
  <c r="K338" i="35"/>
  <c r="J338" i="35"/>
  <c r="K337" i="35"/>
  <c r="J337" i="35"/>
  <c r="K336" i="35"/>
  <c r="J336" i="35"/>
  <c r="K335" i="35"/>
  <c r="J335" i="35"/>
  <c r="K334" i="35"/>
  <c r="J334" i="35"/>
  <c r="K333" i="35"/>
  <c r="J333" i="35"/>
  <c r="K332" i="35"/>
  <c r="J332" i="35"/>
  <c r="K331" i="35"/>
  <c r="J331" i="35"/>
  <c r="K330" i="35"/>
  <c r="J330" i="35"/>
  <c r="K329" i="35"/>
  <c r="J329" i="35"/>
  <c r="K328" i="35"/>
  <c r="J328" i="35"/>
  <c r="K327" i="35"/>
  <c r="J327" i="35"/>
  <c r="K326" i="35"/>
  <c r="J326" i="35"/>
  <c r="K325" i="35"/>
  <c r="J325" i="35"/>
  <c r="K324" i="35"/>
  <c r="J324" i="35"/>
  <c r="K323" i="35"/>
  <c r="J323" i="35"/>
  <c r="K322" i="35"/>
  <c r="J322" i="35"/>
  <c r="K321" i="35"/>
  <c r="J321" i="35"/>
  <c r="K320" i="35"/>
  <c r="J320" i="35"/>
  <c r="K319" i="35"/>
  <c r="J319" i="35"/>
  <c r="K318" i="35"/>
  <c r="J318" i="35"/>
  <c r="K317" i="35"/>
  <c r="J317" i="35"/>
  <c r="K316" i="35"/>
  <c r="J316" i="35"/>
  <c r="K315" i="35"/>
  <c r="J315" i="35"/>
  <c r="K314" i="35"/>
  <c r="J314" i="35"/>
  <c r="K313" i="35"/>
  <c r="J313" i="35"/>
  <c r="K312" i="35"/>
  <c r="J312" i="35"/>
  <c r="K311" i="35"/>
  <c r="J311" i="35"/>
  <c r="K310" i="35"/>
  <c r="J310" i="35"/>
  <c r="K309" i="35"/>
  <c r="J309" i="35"/>
  <c r="K308" i="35"/>
  <c r="J308" i="35"/>
  <c r="K307" i="35"/>
  <c r="J307" i="35"/>
  <c r="K306" i="35"/>
  <c r="J306" i="35"/>
  <c r="K305" i="35"/>
  <c r="J305" i="35"/>
  <c r="K304" i="35"/>
  <c r="J304" i="35"/>
  <c r="K303" i="35"/>
  <c r="J303" i="35"/>
  <c r="K302" i="35"/>
  <c r="J302" i="35"/>
  <c r="K301" i="35"/>
  <c r="J301" i="35"/>
  <c r="K300" i="35"/>
  <c r="J300" i="35"/>
  <c r="K299" i="35"/>
  <c r="J299" i="35"/>
  <c r="K298" i="35"/>
  <c r="J298" i="35"/>
  <c r="K297" i="35"/>
  <c r="J297" i="35"/>
  <c r="K296" i="35"/>
  <c r="J296" i="35"/>
  <c r="K295" i="35"/>
  <c r="J295" i="35"/>
  <c r="K294" i="35"/>
  <c r="J294" i="35"/>
  <c r="K293" i="35"/>
  <c r="J293" i="35"/>
  <c r="K292" i="35"/>
  <c r="J292" i="35"/>
  <c r="K291" i="35"/>
  <c r="J291" i="35"/>
  <c r="K290" i="35"/>
  <c r="J290" i="35"/>
  <c r="K289" i="35"/>
  <c r="J289" i="35"/>
  <c r="K288" i="35"/>
  <c r="J288" i="35"/>
  <c r="K287" i="35"/>
  <c r="J287" i="35"/>
  <c r="K286" i="35"/>
  <c r="J286" i="35"/>
  <c r="K285" i="35"/>
  <c r="J285" i="35"/>
  <c r="K284" i="35"/>
  <c r="J284" i="35"/>
  <c r="K283" i="35"/>
  <c r="J283" i="35"/>
  <c r="K282" i="35"/>
  <c r="J282" i="35"/>
  <c r="K281" i="35"/>
  <c r="J281" i="35"/>
  <c r="K280" i="35"/>
  <c r="J280" i="35"/>
  <c r="K279" i="35"/>
  <c r="J279" i="35"/>
  <c r="K278" i="35"/>
  <c r="J278" i="35"/>
  <c r="K277" i="35"/>
  <c r="J277" i="35"/>
  <c r="K276" i="35"/>
  <c r="J276" i="35"/>
  <c r="K275" i="35"/>
  <c r="J275" i="35"/>
  <c r="K274" i="35"/>
  <c r="J274" i="35"/>
  <c r="K273" i="35"/>
  <c r="J273" i="35"/>
  <c r="K272" i="35"/>
  <c r="J272" i="35"/>
  <c r="K271" i="35"/>
  <c r="J271" i="35"/>
  <c r="K270" i="35"/>
  <c r="J270" i="35"/>
  <c r="K269" i="35"/>
  <c r="J269" i="35"/>
  <c r="K268" i="35"/>
  <c r="J268" i="35"/>
  <c r="K267" i="35"/>
  <c r="J267" i="35"/>
  <c r="K266" i="35"/>
  <c r="J266" i="35"/>
  <c r="K265" i="35"/>
  <c r="J265" i="35"/>
  <c r="K264" i="35"/>
  <c r="J264" i="35"/>
  <c r="K263" i="35"/>
  <c r="J263" i="35"/>
  <c r="K262" i="35"/>
  <c r="J262" i="35"/>
  <c r="K261" i="35"/>
  <c r="J261" i="35"/>
  <c r="K260" i="35"/>
  <c r="J260" i="35"/>
  <c r="K259" i="35"/>
  <c r="J259" i="35"/>
  <c r="K258" i="35"/>
  <c r="J258" i="35"/>
  <c r="K257" i="35"/>
  <c r="J257" i="35"/>
  <c r="K256" i="35"/>
  <c r="J256" i="35"/>
  <c r="K255" i="35"/>
  <c r="J255" i="35"/>
  <c r="K254" i="35"/>
  <c r="J254" i="35"/>
  <c r="K253" i="35"/>
  <c r="J253" i="35"/>
  <c r="K252" i="35"/>
  <c r="J252" i="35"/>
  <c r="K251" i="35"/>
  <c r="J251" i="35"/>
  <c r="K250" i="35"/>
  <c r="J250" i="35"/>
  <c r="K249" i="35"/>
  <c r="J249" i="35"/>
  <c r="K248" i="35"/>
  <c r="J248" i="35"/>
  <c r="K247" i="35"/>
  <c r="J247" i="35"/>
  <c r="K246" i="35"/>
  <c r="J246" i="35"/>
  <c r="K245" i="35"/>
  <c r="J245" i="35"/>
  <c r="K244" i="35"/>
  <c r="J244" i="35"/>
  <c r="K243" i="35"/>
  <c r="J243" i="35"/>
  <c r="K242" i="35"/>
  <c r="J242" i="35"/>
  <c r="K241" i="35"/>
  <c r="J241" i="35"/>
  <c r="K240" i="35"/>
  <c r="J240" i="35"/>
  <c r="K239" i="35"/>
  <c r="J239" i="35"/>
  <c r="K238" i="35"/>
  <c r="J238" i="35"/>
  <c r="K237" i="35"/>
  <c r="J237" i="35"/>
  <c r="K236" i="35"/>
  <c r="J236" i="35"/>
  <c r="K235" i="35"/>
  <c r="J235" i="35"/>
  <c r="K234" i="35"/>
  <c r="J234" i="35"/>
  <c r="K233" i="35"/>
  <c r="J233" i="35"/>
  <c r="K232" i="35"/>
  <c r="J232" i="35"/>
  <c r="K231" i="35"/>
  <c r="J231" i="35"/>
  <c r="K230" i="35"/>
  <c r="J230" i="35"/>
  <c r="K229" i="35"/>
  <c r="J229" i="35"/>
  <c r="K228" i="35"/>
  <c r="J228" i="35"/>
  <c r="K227" i="35"/>
  <c r="J227" i="35"/>
  <c r="K226" i="35"/>
  <c r="J226" i="35"/>
  <c r="K225" i="35"/>
  <c r="J225" i="35"/>
  <c r="K224" i="35"/>
  <c r="J224" i="35"/>
  <c r="K223" i="35"/>
  <c r="J223" i="35"/>
  <c r="K222" i="35"/>
  <c r="J222" i="35"/>
  <c r="K221" i="35"/>
  <c r="J221" i="35"/>
  <c r="K220" i="35"/>
  <c r="J220" i="35"/>
  <c r="K219" i="35"/>
  <c r="J219" i="35"/>
  <c r="K218" i="35"/>
  <c r="J218" i="35"/>
  <c r="K217" i="35"/>
  <c r="J217" i="35"/>
  <c r="K216" i="35"/>
  <c r="J216" i="35"/>
  <c r="K215" i="35"/>
  <c r="J215" i="35"/>
  <c r="K214" i="35"/>
  <c r="J214" i="35"/>
  <c r="K213" i="35"/>
  <c r="J213" i="35"/>
  <c r="K212" i="35"/>
  <c r="J212" i="35"/>
  <c r="K211" i="35"/>
  <c r="J211" i="35"/>
  <c r="K210" i="35"/>
  <c r="J210" i="35"/>
  <c r="K209" i="35"/>
  <c r="J209" i="35"/>
  <c r="K208" i="35"/>
  <c r="J208" i="35"/>
  <c r="K207" i="35"/>
  <c r="J207" i="35"/>
  <c r="K206" i="35"/>
  <c r="J206" i="35"/>
  <c r="K205" i="35"/>
  <c r="J205" i="35"/>
  <c r="K204" i="35"/>
  <c r="J204" i="35"/>
  <c r="K203" i="35"/>
  <c r="J203" i="35"/>
  <c r="K202" i="35"/>
  <c r="J202" i="35"/>
  <c r="K201" i="35"/>
  <c r="J201" i="35"/>
  <c r="K200" i="35"/>
  <c r="J200" i="35"/>
  <c r="K199" i="35"/>
  <c r="J199" i="35"/>
  <c r="K198" i="35"/>
  <c r="J198" i="35"/>
  <c r="K197" i="35"/>
  <c r="J197" i="35"/>
  <c r="K196" i="35"/>
  <c r="J196" i="35"/>
  <c r="K195" i="35"/>
  <c r="J195" i="35"/>
  <c r="K194" i="35"/>
  <c r="J194" i="35"/>
  <c r="K193" i="35"/>
  <c r="J193" i="35"/>
  <c r="K192" i="35"/>
  <c r="J192" i="35"/>
  <c r="K191" i="35"/>
  <c r="J191" i="35"/>
  <c r="K190" i="35"/>
  <c r="J190" i="35"/>
  <c r="K189" i="35"/>
  <c r="J189" i="35"/>
  <c r="K188" i="35"/>
  <c r="J188" i="35"/>
  <c r="K187" i="35"/>
  <c r="J187" i="35"/>
  <c r="K186" i="35"/>
  <c r="J186" i="35"/>
  <c r="K185" i="35"/>
  <c r="J185" i="35"/>
  <c r="K184" i="35"/>
  <c r="J184" i="35"/>
  <c r="K183" i="35"/>
  <c r="J183" i="35"/>
  <c r="K182" i="35"/>
  <c r="J182" i="35"/>
  <c r="K181" i="35"/>
  <c r="J181" i="35"/>
  <c r="K180" i="35"/>
  <c r="J180" i="35"/>
  <c r="K179" i="35"/>
  <c r="J179" i="35"/>
  <c r="K178" i="35"/>
  <c r="J178" i="35"/>
  <c r="K177" i="35"/>
  <c r="J177" i="35"/>
  <c r="K176" i="35"/>
  <c r="J176" i="35"/>
  <c r="K175" i="35"/>
  <c r="J175" i="35"/>
  <c r="K174" i="35"/>
  <c r="J174" i="35"/>
  <c r="K173" i="35"/>
  <c r="J173" i="35"/>
  <c r="K172" i="35"/>
  <c r="J172" i="35"/>
  <c r="K171" i="35"/>
  <c r="J171" i="35"/>
  <c r="K170" i="35"/>
  <c r="J170" i="35"/>
  <c r="K169" i="35"/>
  <c r="J169" i="35"/>
  <c r="K168" i="35"/>
  <c r="J168" i="35"/>
  <c r="K167" i="35"/>
  <c r="J167" i="35"/>
  <c r="K166" i="35"/>
  <c r="J166" i="35"/>
  <c r="K165" i="35"/>
  <c r="J165" i="35"/>
  <c r="K164" i="35"/>
  <c r="J164" i="35"/>
  <c r="K163" i="35"/>
  <c r="J163" i="35"/>
  <c r="K162" i="35"/>
  <c r="J162" i="35"/>
  <c r="K161" i="35"/>
  <c r="J161" i="35"/>
  <c r="K160" i="35"/>
  <c r="J160" i="35"/>
  <c r="K159" i="35"/>
  <c r="J159" i="35"/>
  <c r="K158" i="35"/>
  <c r="J158" i="35"/>
  <c r="K157" i="35"/>
  <c r="J157" i="35"/>
  <c r="K156" i="35"/>
  <c r="J156" i="35"/>
  <c r="K155" i="35"/>
  <c r="J155" i="35"/>
  <c r="K154" i="35"/>
  <c r="J154" i="35"/>
  <c r="K153" i="35"/>
  <c r="J153" i="35"/>
  <c r="K152" i="35"/>
  <c r="J152" i="35"/>
  <c r="K151" i="35"/>
  <c r="J151" i="35"/>
  <c r="K150" i="35"/>
  <c r="J150" i="35"/>
  <c r="K149" i="35"/>
  <c r="J149" i="35"/>
  <c r="K148" i="35"/>
  <c r="J148" i="35"/>
  <c r="K147" i="35"/>
  <c r="J147" i="35"/>
  <c r="K146" i="35"/>
  <c r="J146" i="35"/>
  <c r="K145" i="35"/>
  <c r="J145" i="35"/>
  <c r="K144" i="35"/>
  <c r="J144" i="35"/>
  <c r="K143" i="35"/>
  <c r="J143" i="35"/>
  <c r="K142" i="35"/>
  <c r="J142" i="35"/>
  <c r="K141" i="35"/>
  <c r="J141" i="35"/>
  <c r="K140" i="35"/>
  <c r="J140" i="35"/>
  <c r="K139" i="35"/>
  <c r="J139" i="35"/>
  <c r="K138" i="35"/>
  <c r="J138" i="35"/>
  <c r="K137" i="35"/>
  <c r="J137" i="35"/>
  <c r="K136" i="35"/>
  <c r="J136" i="35"/>
  <c r="K135" i="35"/>
  <c r="J135" i="35"/>
  <c r="K134" i="35"/>
  <c r="J134" i="35"/>
  <c r="K133" i="35"/>
  <c r="J133" i="35"/>
  <c r="K132" i="35"/>
  <c r="J132" i="35"/>
  <c r="K131" i="35"/>
  <c r="J131" i="35"/>
  <c r="K130" i="35"/>
  <c r="J130" i="35"/>
  <c r="K129" i="35"/>
  <c r="J129" i="35"/>
  <c r="K128" i="35"/>
  <c r="J128" i="35"/>
  <c r="K127" i="35"/>
  <c r="J127" i="35"/>
  <c r="K126" i="35"/>
  <c r="J126" i="35"/>
  <c r="K125" i="35"/>
  <c r="J125" i="35"/>
  <c r="K124" i="35"/>
  <c r="J124" i="35"/>
  <c r="K123" i="35"/>
  <c r="J123" i="35"/>
  <c r="K122" i="35"/>
  <c r="J122" i="35"/>
  <c r="K121" i="35"/>
  <c r="J121" i="35"/>
  <c r="K120" i="35"/>
  <c r="J120" i="35"/>
  <c r="K119" i="35"/>
  <c r="J119" i="35"/>
  <c r="K118" i="35"/>
  <c r="J118" i="35"/>
  <c r="K117" i="35"/>
  <c r="J117" i="35"/>
  <c r="K116" i="35"/>
  <c r="J116" i="35"/>
  <c r="K115" i="35"/>
  <c r="J115" i="35"/>
  <c r="K114" i="35"/>
  <c r="J114" i="35"/>
  <c r="K113" i="35"/>
  <c r="J113" i="35"/>
  <c r="K112" i="35"/>
  <c r="J112" i="35"/>
  <c r="K111" i="35"/>
  <c r="J111" i="35"/>
  <c r="K110" i="35"/>
  <c r="J110" i="35"/>
  <c r="K109" i="35"/>
  <c r="J109" i="35"/>
  <c r="K108" i="35"/>
  <c r="J108" i="35"/>
  <c r="K107" i="35"/>
  <c r="J107" i="35"/>
  <c r="K106" i="35"/>
  <c r="J106" i="35"/>
  <c r="K105" i="35"/>
  <c r="J105" i="35"/>
  <c r="K104" i="35"/>
  <c r="J104" i="35"/>
  <c r="K103" i="35"/>
  <c r="J103" i="35"/>
  <c r="K102" i="35"/>
  <c r="J102" i="35"/>
  <c r="K101" i="35"/>
  <c r="J101" i="35"/>
  <c r="K100" i="35"/>
  <c r="J100" i="35"/>
  <c r="K99" i="35"/>
  <c r="J99" i="35"/>
  <c r="K98" i="35"/>
  <c r="J98" i="35"/>
  <c r="K97" i="35"/>
  <c r="J97" i="35"/>
  <c r="K96" i="35"/>
  <c r="J96" i="35"/>
  <c r="K95" i="35"/>
  <c r="J95" i="35"/>
  <c r="K94" i="35"/>
  <c r="J94" i="35"/>
  <c r="K93" i="35"/>
  <c r="J93" i="35"/>
  <c r="K92" i="35"/>
  <c r="J92" i="35"/>
  <c r="K91" i="35"/>
  <c r="J91" i="35"/>
  <c r="K90" i="35"/>
  <c r="J90" i="35"/>
  <c r="K89" i="35"/>
  <c r="J89" i="35"/>
  <c r="K88" i="35"/>
  <c r="J88" i="35"/>
  <c r="K87" i="35"/>
  <c r="J87" i="35"/>
  <c r="K86" i="35"/>
  <c r="J86" i="35"/>
  <c r="K85" i="35"/>
  <c r="J85" i="35"/>
  <c r="K84" i="35"/>
  <c r="J84" i="35"/>
  <c r="K83" i="35"/>
  <c r="J83" i="35"/>
  <c r="K82" i="35"/>
  <c r="J82" i="35"/>
  <c r="K81" i="35"/>
  <c r="J81" i="35"/>
  <c r="K80" i="35"/>
  <c r="J80" i="35"/>
  <c r="K79" i="35"/>
  <c r="J79" i="35"/>
  <c r="K78" i="35"/>
  <c r="J78" i="35"/>
  <c r="K77" i="35"/>
  <c r="J77" i="35"/>
  <c r="K76" i="35"/>
  <c r="J76" i="35"/>
  <c r="K75" i="35"/>
  <c r="J75" i="35"/>
  <c r="K74" i="35"/>
  <c r="J74" i="35"/>
  <c r="K73" i="35"/>
  <c r="J73" i="35"/>
  <c r="K72" i="35"/>
  <c r="J72" i="35"/>
  <c r="K71" i="35"/>
  <c r="J71" i="35"/>
  <c r="K70" i="35"/>
  <c r="J70" i="35"/>
  <c r="K69" i="35"/>
  <c r="J69" i="35"/>
  <c r="K68" i="35"/>
  <c r="J68" i="35"/>
  <c r="K67" i="35"/>
  <c r="J67" i="35"/>
  <c r="K66" i="35"/>
  <c r="J66" i="35"/>
  <c r="K65" i="35"/>
  <c r="J65" i="35"/>
  <c r="K64" i="35"/>
  <c r="J64" i="35"/>
  <c r="K63" i="35"/>
  <c r="J63" i="35"/>
  <c r="K62" i="35"/>
  <c r="J62" i="35"/>
  <c r="K61" i="35"/>
  <c r="J61" i="35"/>
  <c r="K60" i="35"/>
  <c r="J60" i="35"/>
  <c r="K59" i="35"/>
  <c r="J59" i="35"/>
  <c r="K58" i="35"/>
  <c r="J58" i="35"/>
  <c r="K57" i="35"/>
  <c r="J57" i="35"/>
  <c r="K56" i="35"/>
  <c r="J56" i="35"/>
  <c r="K55" i="35"/>
  <c r="J55" i="35"/>
  <c r="K54" i="35"/>
  <c r="J54" i="35"/>
  <c r="K53" i="35"/>
  <c r="J53" i="35"/>
  <c r="K52" i="35"/>
  <c r="J52" i="35"/>
  <c r="K51" i="35"/>
  <c r="J51" i="35"/>
  <c r="K50" i="35"/>
  <c r="J50" i="35"/>
  <c r="K49" i="35"/>
  <c r="J49" i="35"/>
  <c r="K48" i="35"/>
  <c r="J48" i="35"/>
  <c r="K47" i="35"/>
  <c r="J47" i="35"/>
  <c r="K46" i="35"/>
  <c r="J46" i="35"/>
  <c r="K45" i="35"/>
  <c r="J45" i="35"/>
  <c r="K44" i="35"/>
  <c r="J44" i="35"/>
  <c r="K43" i="35"/>
  <c r="J43" i="35"/>
  <c r="K42" i="35"/>
  <c r="J42" i="35"/>
  <c r="K41" i="35"/>
  <c r="J41" i="35"/>
  <c r="K40" i="35"/>
  <c r="J40" i="35"/>
  <c r="K39" i="35"/>
  <c r="J39" i="35"/>
  <c r="K38" i="35"/>
  <c r="J38" i="35"/>
  <c r="K37" i="35"/>
  <c r="J37" i="35"/>
  <c r="K36" i="35"/>
  <c r="J36" i="35"/>
  <c r="K35" i="35"/>
  <c r="J35" i="35"/>
  <c r="K34" i="35"/>
  <c r="J34" i="35"/>
  <c r="K33" i="35"/>
  <c r="J33" i="35"/>
  <c r="K32" i="35"/>
  <c r="J32" i="35"/>
  <c r="K31" i="35"/>
  <c r="J31" i="35"/>
  <c r="K30" i="35"/>
  <c r="J30" i="35"/>
  <c r="K29" i="35"/>
  <c r="J29" i="35"/>
  <c r="K28" i="35"/>
  <c r="J28" i="35"/>
  <c r="K27" i="35"/>
  <c r="J27" i="35"/>
  <c r="K26" i="35"/>
  <c r="J26" i="35"/>
  <c r="K25" i="35"/>
  <c r="J25" i="35"/>
  <c r="K24" i="35"/>
  <c r="J24" i="35"/>
  <c r="K23" i="35"/>
  <c r="J23" i="35"/>
  <c r="K22" i="35"/>
  <c r="J22" i="35"/>
  <c r="K21" i="35"/>
  <c r="J21" i="35"/>
  <c r="K20" i="35"/>
  <c r="J20" i="35"/>
  <c r="K19" i="35"/>
  <c r="J19" i="35"/>
  <c r="K18" i="35"/>
  <c r="J18" i="35"/>
  <c r="K17" i="35"/>
  <c r="J17" i="35"/>
  <c r="K16" i="35"/>
  <c r="J16" i="35"/>
  <c r="K15" i="35"/>
  <c r="J15" i="35"/>
  <c r="K14" i="35"/>
  <c r="J14" i="35"/>
  <c r="K13" i="35"/>
  <c r="J13" i="35"/>
  <c r="K12" i="35"/>
  <c r="J12" i="35"/>
  <c r="K11" i="35"/>
  <c r="J11" i="35"/>
  <c r="K10" i="35"/>
  <c r="J10" i="35"/>
  <c r="K9" i="35"/>
  <c r="J9" i="35"/>
  <c r="K8" i="35"/>
  <c r="J8" i="35"/>
  <c r="K7" i="35"/>
  <c r="J7" i="35"/>
  <c r="K6" i="35"/>
  <c r="J6" i="35"/>
  <c r="K3" i="35"/>
  <c r="I3" i="35"/>
  <c r="H3" i="35"/>
  <c r="K499" i="32"/>
  <c r="J499" i="32"/>
  <c r="K498" i="32"/>
  <c r="J498" i="32"/>
  <c r="K497" i="32"/>
  <c r="J497" i="32"/>
  <c r="K496" i="32"/>
  <c r="J496" i="32"/>
  <c r="K495" i="32"/>
  <c r="J495" i="32"/>
  <c r="K494" i="32"/>
  <c r="J494" i="32"/>
  <c r="K493" i="32"/>
  <c r="J493" i="32"/>
  <c r="K492" i="32"/>
  <c r="J492" i="32"/>
  <c r="K491" i="32"/>
  <c r="J491" i="32"/>
  <c r="K490" i="32"/>
  <c r="J490" i="32"/>
  <c r="K489" i="32"/>
  <c r="J489" i="32"/>
  <c r="K488" i="32"/>
  <c r="J488" i="32"/>
  <c r="K487" i="32"/>
  <c r="J487" i="32"/>
  <c r="K486" i="32"/>
  <c r="J486" i="32"/>
  <c r="K485" i="32"/>
  <c r="J485" i="32"/>
  <c r="K484" i="32"/>
  <c r="J484" i="32"/>
  <c r="K483" i="32"/>
  <c r="J483" i="32"/>
  <c r="K482" i="32"/>
  <c r="J482" i="32"/>
  <c r="K481" i="32"/>
  <c r="J481" i="32"/>
  <c r="K480" i="32"/>
  <c r="J480" i="32"/>
  <c r="K479" i="32"/>
  <c r="J479" i="32"/>
  <c r="K478" i="32"/>
  <c r="J478" i="32"/>
  <c r="K477" i="32"/>
  <c r="J477" i="32"/>
  <c r="K476" i="32"/>
  <c r="J476" i="32"/>
  <c r="K475" i="32"/>
  <c r="J475" i="32"/>
  <c r="K474" i="32"/>
  <c r="J474" i="32"/>
  <c r="K473" i="32"/>
  <c r="J473" i="32"/>
  <c r="K472" i="32"/>
  <c r="J472" i="32"/>
  <c r="K471" i="32"/>
  <c r="J471" i="32"/>
  <c r="K470" i="32"/>
  <c r="J470" i="32"/>
  <c r="K469" i="32"/>
  <c r="J469" i="32"/>
  <c r="K468" i="32"/>
  <c r="J468" i="32"/>
  <c r="K467" i="32"/>
  <c r="J467" i="32"/>
  <c r="K466" i="32"/>
  <c r="J466" i="32"/>
  <c r="K465" i="32"/>
  <c r="J465" i="32"/>
  <c r="K464" i="32"/>
  <c r="J464" i="32"/>
  <c r="K463" i="32"/>
  <c r="J463" i="32"/>
  <c r="K462" i="32"/>
  <c r="J462" i="32"/>
  <c r="K461" i="32"/>
  <c r="J461" i="32"/>
  <c r="K460" i="32"/>
  <c r="J460" i="32"/>
  <c r="K459" i="32"/>
  <c r="J459" i="32"/>
  <c r="K458" i="32"/>
  <c r="J458" i="32"/>
  <c r="K457" i="32"/>
  <c r="J457" i="32"/>
  <c r="K456" i="32"/>
  <c r="J456" i="32"/>
  <c r="K455" i="32"/>
  <c r="J455" i="32"/>
  <c r="K454" i="32"/>
  <c r="J454" i="32"/>
  <c r="K453" i="32"/>
  <c r="J453" i="32"/>
  <c r="K452" i="32"/>
  <c r="J452" i="32"/>
  <c r="K451" i="32"/>
  <c r="J451" i="32"/>
  <c r="K450" i="32"/>
  <c r="J450" i="32"/>
  <c r="K449" i="32"/>
  <c r="J449" i="32"/>
  <c r="K448" i="32"/>
  <c r="J448" i="32"/>
  <c r="K447" i="32"/>
  <c r="J447" i="32"/>
  <c r="K446" i="32"/>
  <c r="J446" i="32"/>
  <c r="K445" i="32"/>
  <c r="J445" i="32"/>
  <c r="K444" i="32"/>
  <c r="J444" i="32"/>
  <c r="K443" i="32"/>
  <c r="J443" i="32"/>
  <c r="K442" i="32"/>
  <c r="J442" i="32"/>
  <c r="K441" i="32"/>
  <c r="J441" i="32"/>
  <c r="K440" i="32"/>
  <c r="J440" i="32"/>
  <c r="K439" i="32"/>
  <c r="J439" i="32"/>
  <c r="K438" i="32"/>
  <c r="J438" i="32"/>
  <c r="K437" i="32"/>
  <c r="J437" i="32"/>
  <c r="K436" i="32"/>
  <c r="J436" i="32"/>
  <c r="K435" i="32"/>
  <c r="J435" i="32"/>
  <c r="K434" i="32"/>
  <c r="J434" i="32"/>
  <c r="K433" i="32"/>
  <c r="J433" i="32"/>
  <c r="K432" i="32"/>
  <c r="J432" i="32"/>
  <c r="K431" i="32"/>
  <c r="J431" i="32"/>
  <c r="K430" i="32"/>
  <c r="J430" i="32"/>
  <c r="K429" i="32"/>
  <c r="J429" i="32"/>
  <c r="K428" i="32"/>
  <c r="J428" i="32"/>
  <c r="K427" i="32"/>
  <c r="J427" i="32"/>
  <c r="K426" i="32"/>
  <c r="J426" i="32"/>
  <c r="K425" i="32"/>
  <c r="J425" i="32"/>
  <c r="K424" i="32"/>
  <c r="J424" i="32"/>
  <c r="K423" i="32"/>
  <c r="J423" i="32"/>
  <c r="K422" i="32"/>
  <c r="J422" i="32"/>
  <c r="K421" i="32"/>
  <c r="J421" i="32"/>
  <c r="K420" i="32"/>
  <c r="J420" i="32"/>
  <c r="K419" i="32"/>
  <c r="J419" i="32"/>
  <c r="K418" i="32"/>
  <c r="J418" i="32"/>
  <c r="K417" i="32"/>
  <c r="J417" i="32"/>
  <c r="K416" i="32"/>
  <c r="J416" i="32"/>
  <c r="K415" i="32"/>
  <c r="J415" i="32"/>
  <c r="K414" i="32"/>
  <c r="J414" i="32"/>
  <c r="K413" i="32"/>
  <c r="J413" i="32"/>
  <c r="K412" i="32"/>
  <c r="J412" i="32"/>
  <c r="K411" i="32"/>
  <c r="J411" i="32"/>
  <c r="K410" i="32"/>
  <c r="J410" i="32"/>
  <c r="K409" i="32"/>
  <c r="J409" i="32"/>
  <c r="K408" i="32"/>
  <c r="J408" i="32"/>
  <c r="K407" i="32"/>
  <c r="J407" i="32"/>
  <c r="K406" i="32"/>
  <c r="J406" i="32"/>
  <c r="K405" i="32"/>
  <c r="J405" i="32"/>
  <c r="K404" i="32"/>
  <c r="J404" i="32"/>
  <c r="K403" i="32"/>
  <c r="J403" i="32"/>
  <c r="K402" i="32"/>
  <c r="J402" i="32"/>
  <c r="K401" i="32"/>
  <c r="J401" i="32"/>
  <c r="K400" i="32"/>
  <c r="J400" i="32"/>
  <c r="K399" i="32"/>
  <c r="J399" i="32"/>
  <c r="K398" i="32"/>
  <c r="J398" i="32"/>
  <c r="K397" i="32"/>
  <c r="J397" i="32"/>
  <c r="K396" i="32"/>
  <c r="J396" i="32"/>
  <c r="K395" i="32"/>
  <c r="J395" i="32"/>
  <c r="K394" i="32"/>
  <c r="J394" i="32"/>
  <c r="K393" i="32"/>
  <c r="J393" i="32"/>
  <c r="K392" i="32"/>
  <c r="J392" i="32"/>
  <c r="K391" i="32"/>
  <c r="J391" i="32"/>
  <c r="K390" i="32"/>
  <c r="J390" i="32"/>
  <c r="K389" i="32"/>
  <c r="J389" i="32"/>
  <c r="K388" i="32"/>
  <c r="J388" i="32"/>
  <c r="K387" i="32"/>
  <c r="J387" i="32"/>
  <c r="K386" i="32"/>
  <c r="J386" i="32"/>
  <c r="K385" i="32"/>
  <c r="J385" i="32"/>
  <c r="K384" i="32"/>
  <c r="J384" i="32"/>
  <c r="K383" i="32"/>
  <c r="J383" i="32"/>
  <c r="K382" i="32"/>
  <c r="J382" i="32"/>
  <c r="K381" i="32"/>
  <c r="J381" i="32"/>
  <c r="K380" i="32"/>
  <c r="J380" i="32"/>
  <c r="K379" i="32"/>
  <c r="J379" i="32"/>
  <c r="K378" i="32"/>
  <c r="J378" i="32"/>
  <c r="K377" i="32"/>
  <c r="J377" i="32"/>
  <c r="K376" i="32"/>
  <c r="J376" i="32"/>
  <c r="K375" i="32"/>
  <c r="J375" i="32"/>
  <c r="K374" i="32"/>
  <c r="J374" i="32"/>
  <c r="K373" i="32"/>
  <c r="J373" i="32"/>
  <c r="K372" i="32"/>
  <c r="J372" i="32"/>
  <c r="K371" i="32"/>
  <c r="J371" i="32"/>
  <c r="K370" i="32"/>
  <c r="J370" i="32"/>
  <c r="K369" i="32"/>
  <c r="J369" i="32"/>
  <c r="K368" i="32"/>
  <c r="J368" i="32"/>
  <c r="K367" i="32"/>
  <c r="J367" i="32"/>
  <c r="K366" i="32"/>
  <c r="J366" i="32"/>
  <c r="K365" i="32"/>
  <c r="J365" i="32"/>
  <c r="K364" i="32"/>
  <c r="J364" i="32"/>
  <c r="K363" i="32"/>
  <c r="J363" i="32"/>
  <c r="K362" i="32"/>
  <c r="J362" i="32"/>
  <c r="K361" i="32"/>
  <c r="J361" i="32"/>
  <c r="K360" i="32"/>
  <c r="J360" i="32"/>
  <c r="K359" i="32"/>
  <c r="J359" i="32"/>
  <c r="K358" i="32"/>
  <c r="J358" i="32"/>
  <c r="K357" i="32"/>
  <c r="J357" i="32"/>
  <c r="K356" i="32"/>
  <c r="J356" i="32"/>
  <c r="K355" i="32"/>
  <c r="J355" i="32"/>
  <c r="K354" i="32"/>
  <c r="J354" i="32"/>
  <c r="K353" i="32"/>
  <c r="J353" i="32"/>
  <c r="K352" i="32"/>
  <c r="J352" i="32"/>
  <c r="K351" i="32"/>
  <c r="J351" i="32"/>
  <c r="K350" i="32"/>
  <c r="J350" i="32"/>
  <c r="K349" i="32"/>
  <c r="J349" i="32"/>
  <c r="K348" i="32"/>
  <c r="J348" i="32"/>
  <c r="K347" i="32"/>
  <c r="J347" i="32"/>
  <c r="K346" i="32"/>
  <c r="J346" i="32"/>
  <c r="K345" i="32"/>
  <c r="J345" i="32"/>
  <c r="K344" i="32"/>
  <c r="J344" i="32"/>
  <c r="K343" i="32"/>
  <c r="J343" i="32"/>
  <c r="K342" i="32"/>
  <c r="J342" i="32"/>
  <c r="K341" i="32"/>
  <c r="J341" i="32"/>
  <c r="K340" i="32"/>
  <c r="J340" i="32"/>
  <c r="K339" i="32"/>
  <c r="J339" i="32"/>
  <c r="K338" i="32"/>
  <c r="J338" i="32"/>
  <c r="K337" i="32"/>
  <c r="J337" i="32"/>
  <c r="K336" i="32"/>
  <c r="J336" i="32"/>
  <c r="K335" i="32"/>
  <c r="J335" i="32"/>
  <c r="K334" i="32"/>
  <c r="J334" i="32"/>
  <c r="K333" i="32"/>
  <c r="J333" i="32"/>
  <c r="K332" i="32"/>
  <c r="J332" i="32"/>
  <c r="K331" i="32"/>
  <c r="J331" i="32"/>
  <c r="K330" i="32"/>
  <c r="J330" i="32"/>
  <c r="K329" i="32"/>
  <c r="J329" i="32"/>
  <c r="K328" i="32"/>
  <c r="J328" i="32"/>
  <c r="K327" i="32"/>
  <c r="J327" i="32"/>
  <c r="K326" i="32"/>
  <c r="J326" i="32"/>
  <c r="K325" i="32"/>
  <c r="J325" i="32"/>
  <c r="K324" i="32"/>
  <c r="J324" i="32"/>
  <c r="K323" i="32"/>
  <c r="J323" i="32"/>
  <c r="K322" i="32"/>
  <c r="J322" i="32"/>
  <c r="K321" i="32"/>
  <c r="J321" i="32"/>
  <c r="K320" i="32"/>
  <c r="J320" i="32"/>
  <c r="K319" i="32"/>
  <c r="J319" i="32"/>
  <c r="K318" i="32"/>
  <c r="J318" i="32"/>
  <c r="K317" i="32"/>
  <c r="J317" i="32"/>
  <c r="K316" i="32"/>
  <c r="J316" i="32"/>
  <c r="K315" i="32"/>
  <c r="J315" i="32"/>
  <c r="K314" i="32"/>
  <c r="J314" i="32"/>
  <c r="K313" i="32"/>
  <c r="J313" i="32"/>
  <c r="K312" i="32"/>
  <c r="J312" i="32"/>
  <c r="K311" i="32"/>
  <c r="J311" i="32"/>
  <c r="K310" i="32"/>
  <c r="J310" i="32"/>
  <c r="K309" i="32"/>
  <c r="J309" i="32"/>
  <c r="K308" i="32"/>
  <c r="J308" i="32"/>
  <c r="K307" i="32"/>
  <c r="J307" i="32"/>
  <c r="K306" i="32"/>
  <c r="J306" i="32"/>
  <c r="K305" i="32"/>
  <c r="J305" i="32"/>
  <c r="K304" i="32"/>
  <c r="J304" i="32"/>
  <c r="K303" i="32"/>
  <c r="J303" i="32"/>
  <c r="K302" i="32"/>
  <c r="J302" i="32"/>
  <c r="K301" i="32"/>
  <c r="J301" i="32"/>
  <c r="K300" i="32"/>
  <c r="J300" i="32"/>
  <c r="K299" i="32"/>
  <c r="J299" i="32"/>
  <c r="K298" i="32"/>
  <c r="J298" i="32"/>
  <c r="K297" i="32"/>
  <c r="J297" i="32"/>
  <c r="K296" i="32"/>
  <c r="J296" i="32"/>
  <c r="K295" i="32"/>
  <c r="J295" i="32"/>
  <c r="K294" i="32"/>
  <c r="J294" i="32"/>
  <c r="K293" i="32"/>
  <c r="J293" i="32"/>
  <c r="K292" i="32"/>
  <c r="J292" i="32"/>
  <c r="K291" i="32"/>
  <c r="J291" i="32"/>
  <c r="K290" i="32"/>
  <c r="J290" i="32"/>
  <c r="K289" i="32"/>
  <c r="J289" i="32"/>
  <c r="K288" i="32"/>
  <c r="J288" i="32"/>
  <c r="K287" i="32"/>
  <c r="J287" i="32"/>
  <c r="K286" i="32"/>
  <c r="J286" i="32"/>
  <c r="K285" i="32"/>
  <c r="J285" i="32"/>
  <c r="K284" i="32"/>
  <c r="J284" i="32"/>
  <c r="K283" i="32"/>
  <c r="J283" i="32"/>
  <c r="K282" i="32"/>
  <c r="J282" i="32"/>
  <c r="K281" i="32"/>
  <c r="J281" i="32"/>
  <c r="K280" i="32"/>
  <c r="J280" i="32"/>
  <c r="K279" i="32"/>
  <c r="J279" i="32"/>
  <c r="K278" i="32"/>
  <c r="J278" i="32"/>
  <c r="K277" i="32"/>
  <c r="J277" i="32"/>
  <c r="K276" i="32"/>
  <c r="J276" i="32"/>
  <c r="K275" i="32"/>
  <c r="J275" i="32"/>
  <c r="K274" i="32"/>
  <c r="J274" i="32"/>
  <c r="K273" i="32"/>
  <c r="J273" i="32"/>
  <c r="K272" i="32"/>
  <c r="J272" i="32"/>
  <c r="K271" i="32"/>
  <c r="J271" i="32"/>
  <c r="K270" i="32"/>
  <c r="J270" i="32"/>
  <c r="K269" i="32"/>
  <c r="J269" i="32"/>
  <c r="K268" i="32"/>
  <c r="J268" i="32"/>
  <c r="K267" i="32"/>
  <c r="J267" i="32"/>
  <c r="K266" i="32"/>
  <c r="J266" i="32"/>
  <c r="K265" i="32"/>
  <c r="J265" i="32"/>
  <c r="K264" i="32"/>
  <c r="J264" i="32"/>
  <c r="K263" i="32"/>
  <c r="J263" i="32"/>
  <c r="K262" i="32"/>
  <c r="J262" i="32"/>
  <c r="K261" i="32"/>
  <c r="J261" i="32"/>
  <c r="K260" i="32"/>
  <c r="J260" i="32"/>
  <c r="K259" i="32"/>
  <c r="J259" i="32"/>
  <c r="K258" i="32"/>
  <c r="J258" i="32"/>
  <c r="K257" i="32"/>
  <c r="J257" i="32"/>
  <c r="K256" i="32"/>
  <c r="J256" i="32"/>
  <c r="K255" i="32"/>
  <c r="J255" i="32"/>
  <c r="K254" i="32"/>
  <c r="J254" i="32"/>
  <c r="K253" i="32"/>
  <c r="J253" i="32"/>
  <c r="K252" i="32"/>
  <c r="J252" i="32"/>
  <c r="K251" i="32"/>
  <c r="J251" i="32"/>
  <c r="K250" i="32"/>
  <c r="J250" i="32"/>
  <c r="K249" i="32"/>
  <c r="J249" i="32"/>
  <c r="K248" i="32"/>
  <c r="J248" i="32"/>
  <c r="K247" i="32"/>
  <c r="J247" i="32"/>
  <c r="K246" i="32"/>
  <c r="J246" i="32"/>
  <c r="K245" i="32"/>
  <c r="J245" i="32"/>
  <c r="K244" i="32"/>
  <c r="J244" i="32"/>
  <c r="K243" i="32"/>
  <c r="J243" i="32"/>
  <c r="K242" i="32"/>
  <c r="J242" i="32"/>
  <c r="K241" i="32"/>
  <c r="J241" i="32"/>
  <c r="K240" i="32"/>
  <c r="J240" i="32"/>
  <c r="K239" i="32"/>
  <c r="J239" i="32"/>
  <c r="K238" i="32"/>
  <c r="J238" i="32"/>
  <c r="K237" i="32"/>
  <c r="J237" i="32"/>
  <c r="K236" i="32"/>
  <c r="J236" i="32"/>
  <c r="K235" i="32"/>
  <c r="J235" i="32"/>
  <c r="K234" i="32"/>
  <c r="J234" i="32"/>
  <c r="K233" i="32"/>
  <c r="J233" i="32"/>
  <c r="K232" i="32"/>
  <c r="J232" i="32"/>
  <c r="K231" i="32"/>
  <c r="J231" i="32"/>
  <c r="K230" i="32"/>
  <c r="J230" i="32"/>
  <c r="K229" i="32"/>
  <c r="J229" i="32"/>
  <c r="K228" i="32"/>
  <c r="J228" i="32"/>
  <c r="K227" i="32"/>
  <c r="J227" i="32"/>
  <c r="K226" i="32"/>
  <c r="J226" i="32"/>
  <c r="K225" i="32"/>
  <c r="J225" i="32"/>
  <c r="K224" i="32"/>
  <c r="J224" i="32"/>
  <c r="K223" i="32"/>
  <c r="J223" i="32"/>
  <c r="K222" i="32"/>
  <c r="J222" i="32"/>
  <c r="K221" i="32"/>
  <c r="J221" i="32"/>
  <c r="K220" i="32"/>
  <c r="J220" i="32"/>
  <c r="K219" i="32"/>
  <c r="J219" i="32"/>
  <c r="K218" i="32"/>
  <c r="J218" i="32"/>
  <c r="K217" i="32"/>
  <c r="J217" i="32"/>
  <c r="K216" i="32"/>
  <c r="J216" i="32"/>
  <c r="K215" i="32"/>
  <c r="J215" i="32"/>
  <c r="K214" i="32"/>
  <c r="J214" i="32"/>
  <c r="K213" i="32"/>
  <c r="J213" i="32"/>
  <c r="K212" i="32"/>
  <c r="J212" i="32"/>
  <c r="K211" i="32"/>
  <c r="J211" i="32"/>
  <c r="K210" i="32"/>
  <c r="J210" i="32"/>
  <c r="K209" i="32"/>
  <c r="J209" i="32"/>
  <c r="K208" i="32"/>
  <c r="J208" i="32"/>
  <c r="K207" i="32"/>
  <c r="J207" i="32"/>
  <c r="K206" i="32"/>
  <c r="J206" i="32"/>
  <c r="K205" i="32"/>
  <c r="J205" i="32"/>
  <c r="K204" i="32"/>
  <c r="J204" i="32"/>
  <c r="K203" i="32"/>
  <c r="J203" i="32"/>
  <c r="K202" i="32"/>
  <c r="J202" i="32"/>
  <c r="K201" i="32"/>
  <c r="J201" i="32"/>
  <c r="K200" i="32"/>
  <c r="J200" i="32"/>
  <c r="K199" i="32"/>
  <c r="J199" i="32"/>
  <c r="K198" i="32"/>
  <c r="J198" i="32"/>
  <c r="K197" i="32"/>
  <c r="J197" i="32"/>
  <c r="K196" i="32"/>
  <c r="J196" i="32"/>
  <c r="K195" i="32"/>
  <c r="J195" i="32"/>
  <c r="K194" i="32"/>
  <c r="J194" i="32"/>
  <c r="K193" i="32"/>
  <c r="J193" i="32"/>
  <c r="K192" i="32"/>
  <c r="J192" i="32"/>
  <c r="K191" i="32"/>
  <c r="J191" i="32"/>
  <c r="K190" i="32"/>
  <c r="J190" i="32"/>
  <c r="K189" i="32"/>
  <c r="J189" i="32"/>
  <c r="K188" i="32"/>
  <c r="J188" i="32"/>
  <c r="K187" i="32"/>
  <c r="J187" i="32"/>
  <c r="K186" i="32"/>
  <c r="J186" i="32"/>
  <c r="K185" i="32"/>
  <c r="J185" i="32"/>
  <c r="K184" i="32"/>
  <c r="J184" i="32"/>
  <c r="K183" i="32"/>
  <c r="J183" i="32"/>
  <c r="K182" i="32"/>
  <c r="J182" i="32"/>
  <c r="K181" i="32"/>
  <c r="J181" i="32"/>
  <c r="K180" i="32"/>
  <c r="J180" i="32"/>
  <c r="K179" i="32"/>
  <c r="J179" i="32"/>
  <c r="K178" i="32"/>
  <c r="J178" i="32"/>
  <c r="K177" i="32"/>
  <c r="J177" i="32"/>
  <c r="K176" i="32"/>
  <c r="J176" i="32"/>
  <c r="K175" i="32"/>
  <c r="J175" i="32"/>
  <c r="K174" i="32"/>
  <c r="J174" i="32"/>
  <c r="K173" i="32"/>
  <c r="J173" i="32"/>
  <c r="K172" i="32"/>
  <c r="J172" i="32"/>
  <c r="K171" i="32"/>
  <c r="J171" i="32"/>
  <c r="K170" i="32"/>
  <c r="J170" i="32"/>
  <c r="K169" i="32"/>
  <c r="J169" i="32"/>
  <c r="K168" i="32"/>
  <c r="J168" i="32"/>
  <c r="K167" i="32"/>
  <c r="J167" i="32"/>
  <c r="K166" i="32"/>
  <c r="J166" i="32"/>
  <c r="K165" i="32"/>
  <c r="J165" i="32"/>
  <c r="K164" i="32"/>
  <c r="J164" i="32"/>
  <c r="K163" i="32"/>
  <c r="J163" i="32"/>
  <c r="K162" i="32"/>
  <c r="J162" i="32"/>
  <c r="K161" i="32"/>
  <c r="J161" i="32"/>
  <c r="K160" i="32"/>
  <c r="J160" i="32"/>
  <c r="K159" i="32"/>
  <c r="J159" i="32"/>
  <c r="K158" i="32"/>
  <c r="J158" i="32"/>
  <c r="K157" i="32"/>
  <c r="J157" i="32"/>
  <c r="K156" i="32"/>
  <c r="J156" i="32"/>
  <c r="K155" i="32"/>
  <c r="J155" i="32"/>
  <c r="K154" i="32"/>
  <c r="J154" i="32"/>
  <c r="K153" i="32"/>
  <c r="J153" i="32"/>
  <c r="K152" i="32"/>
  <c r="J152" i="32"/>
  <c r="K151" i="32"/>
  <c r="J151" i="32"/>
  <c r="K150" i="32"/>
  <c r="J150" i="32"/>
  <c r="K149" i="32"/>
  <c r="J149" i="32"/>
  <c r="K148" i="32"/>
  <c r="J148" i="32"/>
  <c r="K147" i="32"/>
  <c r="J147" i="32"/>
  <c r="K146" i="32"/>
  <c r="J146" i="32"/>
  <c r="K145" i="32"/>
  <c r="J145" i="32"/>
  <c r="K144" i="32"/>
  <c r="J144" i="32"/>
  <c r="K143" i="32"/>
  <c r="J143" i="32"/>
  <c r="K142" i="32"/>
  <c r="J142" i="32"/>
  <c r="K141" i="32"/>
  <c r="J141" i="32"/>
  <c r="K140" i="32"/>
  <c r="J140" i="32"/>
  <c r="K139" i="32"/>
  <c r="J139" i="32"/>
  <c r="K138" i="32"/>
  <c r="J138" i="32"/>
  <c r="K137" i="32"/>
  <c r="J137" i="32"/>
  <c r="K136" i="32"/>
  <c r="J136" i="32"/>
  <c r="K135" i="32"/>
  <c r="J135" i="32"/>
  <c r="K134" i="32"/>
  <c r="J134" i="32"/>
  <c r="K133" i="32"/>
  <c r="J133" i="32"/>
  <c r="K132" i="32"/>
  <c r="J132" i="32"/>
  <c r="K131" i="32"/>
  <c r="J131" i="32"/>
  <c r="K130" i="32"/>
  <c r="J130" i="32"/>
  <c r="K129" i="32"/>
  <c r="J129" i="32"/>
  <c r="K128" i="32"/>
  <c r="J128" i="32"/>
  <c r="K127" i="32"/>
  <c r="J127" i="32"/>
  <c r="K126" i="32"/>
  <c r="J126" i="32"/>
  <c r="K125" i="32"/>
  <c r="J125" i="32"/>
  <c r="K124" i="32"/>
  <c r="J124" i="32"/>
  <c r="K123" i="32"/>
  <c r="J123" i="32"/>
  <c r="K122" i="32"/>
  <c r="J122" i="32"/>
  <c r="K121" i="32"/>
  <c r="J121" i="32"/>
  <c r="K120" i="32"/>
  <c r="J120" i="32"/>
  <c r="K119" i="32"/>
  <c r="J119" i="32"/>
  <c r="K118" i="32"/>
  <c r="J118" i="32"/>
  <c r="K117" i="32"/>
  <c r="J117" i="32"/>
  <c r="K116" i="32"/>
  <c r="J116" i="32"/>
  <c r="K115" i="32"/>
  <c r="J115" i="32"/>
  <c r="K114" i="32"/>
  <c r="J114" i="32"/>
  <c r="K113" i="32"/>
  <c r="J113" i="32"/>
  <c r="K112" i="32"/>
  <c r="J112" i="32"/>
  <c r="K111" i="32"/>
  <c r="J111" i="32"/>
  <c r="K110" i="32"/>
  <c r="J110" i="32"/>
  <c r="K109" i="32"/>
  <c r="J109" i="32"/>
  <c r="K108" i="32"/>
  <c r="J108" i="32"/>
  <c r="K107" i="32"/>
  <c r="J107" i="32"/>
  <c r="K106" i="32"/>
  <c r="J106" i="32"/>
  <c r="K105" i="32"/>
  <c r="J105" i="32"/>
  <c r="K104" i="32"/>
  <c r="J104" i="32"/>
  <c r="K103" i="32"/>
  <c r="J103" i="32"/>
  <c r="K102" i="32"/>
  <c r="J102" i="32"/>
  <c r="K101" i="32"/>
  <c r="J101" i="32"/>
  <c r="K100" i="32"/>
  <c r="J100" i="32"/>
  <c r="K99" i="32"/>
  <c r="J99" i="32"/>
  <c r="K98" i="32"/>
  <c r="J98" i="32"/>
  <c r="K97" i="32"/>
  <c r="J97" i="32"/>
  <c r="K96" i="32"/>
  <c r="J96" i="32"/>
  <c r="K95" i="32"/>
  <c r="J95" i="32"/>
  <c r="K94" i="32"/>
  <c r="J94" i="32"/>
  <c r="K93" i="32"/>
  <c r="J93" i="32"/>
  <c r="K92" i="32"/>
  <c r="J92" i="32"/>
  <c r="K91" i="32"/>
  <c r="J91" i="32"/>
  <c r="K90" i="32"/>
  <c r="J90" i="32"/>
  <c r="K89" i="32"/>
  <c r="J89" i="32"/>
  <c r="K88" i="32"/>
  <c r="J88" i="32"/>
  <c r="K87" i="32"/>
  <c r="J87" i="32"/>
  <c r="K86" i="32"/>
  <c r="J86" i="32"/>
  <c r="K85" i="32"/>
  <c r="J85" i="32"/>
  <c r="K84" i="32"/>
  <c r="J84" i="32"/>
  <c r="K83" i="32"/>
  <c r="J83" i="32"/>
  <c r="K82" i="32"/>
  <c r="J82" i="32"/>
  <c r="K81" i="32"/>
  <c r="J81" i="32"/>
  <c r="K80" i="32"/>
  <c r="J80" i="32"/>
  <c r="K79" i="32"/>
  <c r="J79" i="32"/>
  <c r="K78" i="32"/>
  <c r="J78" i="32"/>
  <c r="K77" i="32"/>
  <c r="J77" i="32"/>
  <c r="K76" i="32"/>
  <c r="J76" i="32"/>
  <c r="K75" i="32"/>
  <c r="J75" i="32"/>
  <c r="K74" i="32"/>
  <c r="J74" i="32"/>
  <c r="K73" i="32"/>
  <c r="J73" i="32"/>
  <c r="K72" i="32"/>
  <c r="J72" i="32"/>
  <c r="K71" i="32"/>
  <c r="J71" i="32"/>
  <c r="K70" i="32"/>
  <c r="J70" i="32"/>
  <c r="K69" i="32"/>
  <c r="J69" i="32"/>
  <c r="K68" i="32"/>
  <c r="J68" i="32"/>
  <c r="K67" i="32"/>
  <c r="J67" i="32"/>
  <c r="K66" i="32"/>
  <c r="J66" i="32"/>
  <c r="K65" i="32"/>
  <c r="J65" i="32"/>
  <c r="K64" i="32"/>
  <c r="J64" i="32"/>
  <c r="K63" i="32"/>
  <c r="J63" i="32"/>
  <c r="K62" i="32"/>
  <c r="J62" i="32"/>
  <c r="K61" i="32"/>
  <c r="J61" i="32"/>
  <c r="K60" i="32"/>
  <c r="J60" i="32"/>
  <c r="K59" i="32"/>
  <c r="J59" i="32"/>
  <c r="K58" i="32"/>
  <c r="J58" i="32"/>
  <c r="K57" i="32"/>
  <c r="J57" i="32"/>
  <c r="K56" i="32"/>
  <c r="J56" i="32"/>
  <c r="K55" i="32"/>
  <c r="J55" i="32"/>
  <c r="K54" i="32"/>
  <c r="J54" i="32"/>
  <c r="K53" i="32"/>
  <c r="J53" i="32"/>
  <c r="K52" i="32"/>
  <c r="J52" i="32"/>
  <c r="K51" i="32"/>
  <c r="J51" i="32"/>
  <c r="K50" i="32"/>
  <c r="J50" i="32"/>
  <c r="K49" i="32"/>
  <c r="J49" i="32"/>
  <c r="K48" i="32"/>
  <c r="J48" i="32"/>
  <c r="K47" i="32"/>
  <c r="J47" i="32"/>
  <c r="K46" i="32"/>
  <c r="J46" i="32"/>
  <c r="K45" i="32"/>
  <c r="J45" i="32"/>
  <c r="K44" i="32"/>
  <c r="J44" i="32"/>
  <c r="K43" i="32"/>
  <c r="J43" i="32"/>
  <c r="K42" i="32"/>
  <c r="J42" i="32"/>
  <c r="K41" i="32"/>
  <c r="J41" i="32"/>
  <c r="K40" i="32"/>
  <c r="J40" i="32"/>
  <c r="K39" i="32"/>
  <c r="J39" i="32"/>
  <c r="K38" i="32"/>
  <c r="J38" i="32"/>
  <c r="K37" i="32"/>
  <c r="J37" i="32"/>
  <c r="K36" i="32"/>
  <c r="J36" i="32"/>
  <c r="K35" i="32"/>
  <c r="J35" i="32"/>
  <c r="K34" i="32"/>
  <c r="J34" i="32"/>
  <c r="K33" i="32"/>
  <c r="J33" i="32"/>
  <c r="K32" i="32"/>
  <c r="J32" i="32"/>
  <c r="K31" i="32"/>
  <c r="J31" i="32"/>
  <c r="K30" i="32"/>
  <c r="J30" i="32"/>
  <c r="K29" i="32"/>
  <c r="J29" i="32"/>
  <c r="K28" i="32"/>
  <c r="J28" i="32"/>
  <c r="K27" i="32"/>
  <c r="J27" i="32"/>
  <c r="K26" i="32"/>
  <c r="J26" i="32"/>
  <c r="K25" i="32"/>
  <c r="J25" i="32"/>
  <c r="K24" i="32"/>
  <c r="J24" i="32"/>
  <c r="K23" i="32"/>
  <c r="J23" i="32"/>
  <c r="K22" i="32"/>
  <c r="J22" i="32"/>
  <c r="K21" i="32"/>
  <c r="J21" i="32"/>
  <c r="K20" i="32"/>
  <c r="J20" i="32"/>
  <c r="K19" i="32"/>
  <c r="J19" i="32"/>
  <c r="K18" i="32"/>
  <c r="J18" i="32"/>
  <c r="K17" i="32"/>
  <c r="J17" i="32"/>
  <c r="K16" i="32"/>
  <c r="J16" i="32"/>
  <c r="K15" i="32"/>
  <c r="J15" i="32"/>
  <c r="K14" i="32"/>
  <c r="J14" i="32"/>
  <c r="K13" i="32"/>
  <c r="J13" i="32"/>
  <c r="K12" i="32"/>
  <c r="J12" i="32"/>
  <c r="K11" i="32"/>
  <c r="J11" i="32"/>
  <c r="K10" i="32"/>
  <c r="J10" i="32"/>
  <c r="K9" i="32"/>
  <c r="J9" i="32"/>
  <c r="K8" i="32"/>
  <c r="J8" i="32"/>
  <c r="K7" i="32"/>
  <c r="J7" i="32"/>
  <c r="K6" i="32"/>
  <c r="J6" i="32"/>
  <c r="K3" i="32"/>
  <c r="I3" i="32"/>
  <c r="H3" i="32"/>
  <c r="K497" i="36"/>
  <c r="J497" i="36"/>
  <c r="K496" i="36"/>
  <c r="J496" i="36"/>
  <c r="K495" i="36"/>
  <c r="J495" i="36"/>
  <c r="K494" i="36"/>
  <c r="J494" i="36"/>
  <c r="K493" i="36"/>
  <c r="J493" i="36"/>
  <c r="K492" i="36"/>
  <c r="J492" i="36"/>
  <c r="K491" i="36"/>
  <c r="J491" i="36"/>
  <c r="K490" i="36"/>
  <c r="J490" i="36"/>
  <c r="K489" i="36"/>
  <c r="J489" i="36"/>
  <c r="K488" i="36"/>
  <c r="J488" i="36"/>
  <c r="K487" i="36"/>
  <c r="J487" i="36"/>
  <c r="K486" i="36"/>
  <c r="J486" i="36"/>
  <c r="K485" i="36"/>
  <c r="J485" i="36"/>
  <c r="K484" i="36"/>
  <c r="J484" i="36"/>
  <c r="K483" i="36"/>
  <c r="J483" i="36"/>
  <c r="K482" i="36"/>
  <c r="J482" i="36"/>
  <c r="K481" i="36"/>
  <c r="J481" i="36"/>
  <c r="K480" i="36"/>
  <c r="J480" i="36"/>
  <c r="K479" i="36"/>
  <c r="J479" i="36"/>
  <c r="K478" i="36"/>
  <c r="J478" i="36"/>
  <c r="K477" i="36"/>
  <c r="J477" i="36"/>
  <c r="K476" i="36"/>
  <c r="J476" i="36"/>
  <c r="K475" i="36"/>
  <c r="J475" i="36"/>
  <c r="K474" i="36"/>
  <c r="J474" i="36"/>
  <c r="K473" i="36"/>
  <c r="J473" i="36"/>
  <c r="K472" i="36"/>
  <c r="J472" i="36"/>
  <c r="K471" i="36"/>
  <c r="J471" i="36"/>
  <c r="K470" i="36"/>
  <c r="J470" i="36"/>
  <c r="K469" i="36"/>
  <c r="J469" i="36"/>
  <c r="K468" i="36"/>
  <c r="J468" i="36"/>
  <c r="K467" i="36"/>
  <c r="J467" i="36"/>
  <c r="K466" i="36"/>
  <c r="J466" i="36"/>
  <c r="K465" i="36"/>
  <c r="J465" i="36"/>
  <c r="K464" i="36"/>
  <c r="J464" i="36"/>
  <c r="K463" i="36"/>
  <c r="J463" i="36"/>
  <c r="K462" i="36"/>
  <c r="J462" i="36"/>
  <c r="K461" i="36"/>
  <c r="J461" i="36"/>
  <c r="K460" i="36"/>
  <c r="J460" i="36"/>
  <c r="K459" i="36"/>
  <c r="J459" i="36"/>
  <c r="K458" i="36"/>
  <c r="J458" i="36"/>
  <c r="K457" i="36"/>
  <c r="J457" i="36"/>
  <c r="K456" i="36"/>
  <c r="J456" i="36"/>
  <c r="K455" i="36"/>
  <c r="J455" i="36"/>
  <c r="K454" i="36"/>
  <c r="J454" i="36"/>
  <c r="K453" i="36"/>
  <c r="J453" i="36"/>
  <c r="K452" i="36"/>
  <c r="J452" i="36"/>
  <c r="K451" i="36"/>
  <c r="J451" i="36"/>
  <c r="K450" i="36"/>
  <c r="J450" i="36"/>
  <c r="K449" i="36"/>
  <c r="J449" i="36"/>
  <c r="K448" i="36"/>
  <c r="J448" i="36"/>
  <c r="K447" i="36"/>
  <c r="J447" i="36"/>
  <c r="K446" i="36"/>
  <c r="J446" i="36"/>
  <c r="K445" i="36"/>
  <c r="J445" i="36"/>
  <c r="K444" i="36"/>
  <c r="J444" i="36"/>
  <c r="K443" i="36"/>
  <c r="J443" i="36"/>
  <c r="K442" i="36"/>
  <c r="J442" i="36"/>
  <c r="K441" i="36"/>
  <c r="J441" i="36"/>
  <c r="K440" i="36"/>
  <c r="J440" i="36"/>
  <c r="K439" i="36"/>
  <c r="J439" i="36"/>
  <c r="K438" i="36"/>
  <c r="J438" i="36"/>
  <c r="K437" i="36"/>
  <c r="J437" i="36"/>
  <c r="K436" i="36"/>
  <c r="J436" i="36"/>
  <c r="K435" i="36"/>
  <c r="J435" i="36"/>
  <c r="K434" i="36"/>
  <c r="J434" i="36"/>
  <c r="K433" i="36"/>
  <c r="J433" i="36"/>
  <c r="K432" i="36"/>
  <c r="J432" i="36"/>
  <c r="K431" i="36"/>
  <c r="J431" i="36"/>
  <c r="K430" i="36"/>
  <c r="J430" i="36"/>
  <c r="K429" i="36"/>
  <c r="J429" i="36"/>
  <c r="K428" i="36"/>
  <c r="J428" i="36"/>
  <c r="K427" i="36"/>
  <c r="J427" i="36"/>
  <c r="K426" i="36"/>
  <c r="J426" i="36"/>
  <c r="K425" i="36"/>
  <c r="J425" i="36"/>
  <c r="K424" i="36"/>
  <c r="J424" i="36"/>
  <c r="K423" i="36"/>
  <c r="J423" i="36"/>
  <c r="K422" i="36"/>
  <c r="J422" i="36"/>
  <c r="K421" i="36"/>
  <c r="J421" i="36"/>
  <c r="K420" i="36"/>
  <c r="J420" i="36"/>
  <c r="K419" i="36"/>
  <c r="J419" i="36"/>
  <c r="K418" i="36"/>
  <c r="J418" i="36"/>
  <c r="K417" i="36"/>
  <c r="J417" i="36"/>
  <c r="K416" i="36"/>
  <c r="J416" i="36"/>
  <c r="K415" i="36"/>
  <c r="J415" i="36"/>
  <c r="K414" i="36"/>
  <c r="J414" i="36"/>
  <c r="K413" i="36"/>
  <c r="J413" i="36"/>
  <c r="K412" i="36"/>
  <c r="J412" i="36"/>
  <c r="K411" i="36"/>
  <c r="J411" i="36"/>
  <c r="K410" i="36"/>
  <c r="J410" i="36"/>
  <c r="K409" i="36"/>
  <c r="J409" i="36"/>
  <c r="K408" i="36"/>
  <c r="J408" i="36"/>
  <c r="K407" i="36"/>
  <c r="J407" i="36"/>
  <c r="K406" i="36"/>
  <c r="J406" i="36"/>
  <c r="K405" i="36"/>
  <c r="J405" i="36"/>
  <c r="K404" i="36"/>
  <c r="J404" i="36"/>
  <c r="K403" i="36"/>
  <c r="J403" i="36"/>
  <c r="K402" i="36"/>
  <c r="J402" i="36"/>
  <c r="K401" i="36"/>
  <c r="J401" i="36"/>
  <c r="K400" i="36"/>
  <c r="J400" i="36"/>
  <c r="K399" i="36"/>
  <c r="J399" i="36"/>
  <c r="K398" i="36"/>
  <c r="J398" i="36"/>
  <c r="K397" i="36"/>
  <c r="J397" i="36"/>
  <c r="K396" i="36"/>
  <c r="J396" i="36"/>
  <c r="K395" i="36"/>
  <c r="J395" i="36"/>
  <c r="K394" i="36"/>
  <c r="J394" i="36"/>
  <c r="K393" i="36"/>
  <c r="J393" i="36"/>
  <c r="K392" i="36"/>
  <c r="J392" i="36"/>
  <c r="K391" i="36"/>
  <c r="J391" i="36"/>
  <c r="K390" i="36"/>
  <c r="J390" i="36"/>
  <c r="K389" i="36"/>
  <c r="J389" i="36"/>
  <c r="K388" i="36"/>
  <c r="J388" i="36"/>
  <c r="K387" i="36"/>
  <c r="J387" i="36"/>
  <c r="K386" i="36"/>
  <c r="J386" i="36"/>
  <c r="K385" i="36"/>
  <c r="J385" i="36"/>
  <c r="K384" i="36"/>
  <c r="J384" i="36"/>
  <c r="K383" i="36"/>
  <c r="J383" i="36"/>
  <c r="K382" i="36"/>
  <c r="J382" i="36"/>
  <c r="K381" i="36"/>
  <c r="J381" i="36"/>
  <c r="K380" i="36"/>
  <c r="J380" i="36"/>
  <c r="K379" i="36"/>
  <c r="J379" i="36"/>
  <c r="K378" i="36"/>
  <c r="J378" i="36"/>
  <c r="K377" i="36"/>
  <c r="J377" i="36"/>
  <c r="K376" i="36"/>
  <c r="J376" i="36"/>
  <c r="K375" i="36"/>
  <c r="J375" i="36"/>
  <c r="K374" i="36"/>
  <c r="J374" i="36"/>
  <c r="K373" i="36"/>
  <c r="J373" i="36"/>
  <c r="K372" i="36"/>
  <c r="J372" i="36"/>
  <c r="K371" i="36"/>
  <c r="J371" i="36"/>
  <c r="K370" i="36"/>
  <c r="J370" i="36"/>
  <c r="K369" i="36"/>
  <c r="J369" i="36"/>
  <c r="K368" i="36"/>
  <c r="J368" i="36"/>
  <c r="K367" i="36"/>
  <c r="J367" i="36"/>
  <c r="K366" i="36"/>
  <c r="J366" i="36"/>
  <c r="K365" i="36"/>
  <c r="J365" i="36"/>
  <c r="K364" i="36"/>
  <c r="J364" i="36"/>
  <c r="K363" i="36"/>
  <c r="J363" i="36"/>
  <c r="K362" i="36"/>
  <c r="J362" i="36"/>
  <c r="K361" i="36"/>
  <c r="J361" i="36"/>
  <c r="K360" i="36"/>
  <c r="J360" i="36"/>
  <c r="K359" i="36"/>
  <c r="J359" i="36"/>
  <c r="K358" i="36"/>
  <c r="J358" i="36"/>
  <c r="K357" i="36"/>
  <c r="J357" i="36"/>
  <c r="K356" i="36"/>
  <c r="J356" i="36"/>
  <c r="K355" i="36"/>
  <c r="J355" i="36"/>
  <c r="K354" i="36"/>
  <c r="J354" i="36"/>
  <c r="K353" i="36"/>
  <c r="J353" i="36"/>
  <c r="K352" i="36"/>
  <c r="J352" i="36"/>
  <c r="K351" i="36"/>
  <c r="J351" i="36"/>
  <c r="K350" i="36"/>
  <c r="J350" i="36"/>
  <c r="K349" i="36"/>
  <c r="J349" i="36"/>
  <c r="K348" i="36"/>
  <c r="J348" i="36"/>
  <c r="K347" i="36"/>
  <c r="J347" i="36"/>
  <c r="K346" i="36"/>
  <c r="J346" i="36"/>
  <c r="K345" i="36"/>
  <c r="J345" i="36"/>
  <c r="K344" i="36"/>
  <c r="J344" i="36"/>
  <c r="K343" i="36"/>
  <c r="J343" i="36"/>
  <c r="K342" i="36"/>
  <c r="J342" i="36"/>
  <c r="K341" i="36"/>
  <c r="J341" i="36"/>
  <c r="K340" i="36"/>
  <c r="J340" i="36"/>
  <c r="K339" i="36"/>
  <c r="J339" i="36"/>
  <c r="K338" i="36"/>
  <c r="J338" i="36"/>
  <c r="K337" i="36"/>
  <c r="J337" i="36"/>
  <c r="K336" i="36"/>
  <c r="J336" i="36"/>
  <c r="K335" i="36"/>
  <c r="J335" i="36"/>
  <c r="K334" i="36"/>
  <c r="J334" i="36"/>
  <c r="K333" i="36"/>
  <c r="J333" i="36"/>
  <c r="K332" i="36"/>
  <c r="J332" i="36"/>
  <c r="K331" i="36"/>
  <c r="J331" i="36"/>
  <c r="K330" i="36"/>
  <c r="J330" i="36"/>
  <c r="K329" i="36"/>
  <c r="J329" i="36"/>
  <c r="K328" i="36"/>
  <c r="J328" i="36"/>
  <c r="K327" i="36"/>
  <c r="J327" i="36"/>
  <c r="K326" i="36"/>
  <c r="J326" i="36"/>
  <c r="K325" i="36"/>
  <c r="J325" i="36"/>
  <c r="K324" i="36"/>
  <c r="J324" i="36"/>
  <c r="K323" i="36"/>
  <c r="J323" i="36"/>
  <c r="K322" i="36"/>
  <c r="J322" i="36"/>
  <c r="K321" i="36"/>
  <c r="J321" i="36"/>
  <c r="K320" i="36"/>
  <c r="J320" i="36"/>
  <c r="K319" i="36"/>
  <c r="J319" i="36"/>
  <c r="K318" i="36"/>
  <c r="J318" i="36"/>
  <c r="K317" i="36"/>
  <c r="J317" i="36"/>
  <c r="K316" i="36"/>
  <c r="J316" i="36"/>
  <c r="K315" i="36"/>
  <c r="J315" i="36"/>
  <c r="K314" i="36"/>
  <c r="J314" i="36"/>
  <c r="K313" i="36"/>
  <c r="J313" i="36"/>
  <c r="K312" i="36"/>
  <c r="J312" i="36"/>
  <c r="K311" i="36"/>
  <c r="J311" i="36"/>
  <c r="K310" i="36"/>
  <c r="J310" i="36"/>
  <c r="K309" i="36"/>
  <c r="J309" i="36"/>
  <c r="K308" i="36"/>
  <c r="J308" i="36"/>
  <c r="K307" i="36"/>
  <c r="J307" i="36"/>
  <c r="K306" i="36"/>
  <c r="J306" i="36"/>
  <c r="K305" i="36"/>
  <c r="J305" i="36"/>
  <c r="K304" i="36"/>
  <c r="J304" i="36"/>
  <c r="K303" i="36"/>
  <c r="J303" i="36"/>
  <c r="K302" i="36"/>
  <c r="J302" i="36"/>
  <c r="K301" i="36"/>
  <c r="J301" i="36"/>
  <c r="K300" i="36"/>
  <c r="J300" i="36"/>
  <c r="K299" i="36"/>
  <c r="J299" i="36"/>
  <c r="K298" i="36"/>
  <c r="J298" i="36"/>
  <c r="K297" i="36"/>
  <c r="J297" i="36"/>
  <c r="K296" i="36"/>
  <c r="J296" i="36"/>
  <c r="K295" i="36"/>
  <c r="J295" i="36"/>
  <c r="K294" i="36"/>
  <c r="J294" i="36"/>
  <c r="K293" i="36"/>
  <c r="J293" i="36"/>
  <c r="K292" i="36"/>
  <c r="J292" i="36"/>
  <c r="K291" i="36"/>
  <c r="J291" i="36"/>
  <c r="K290" i="36"/>
  <c r="J290" i="36"/>
  <c r="K289" i="36"/>
  <c r="J289" i="36"/>
  <c r="K288" i="36"/>
  <c r="J288" i="36"/>
  <c r="K287" i="36"/>
  <c r="J287" i="36"/>
  <c r="K286" i="36"/>
  <c r="J286" i="36"/>
  <c r="K285" i="36"/>
  <c r="J285" i="36"/>
  <c r="K284" i="36"/>
  <c r="J284" i="36"/>
  <c r="K283" i="36"/>
  <c r="J283" i="36"/>
  <c r="K282" i="36"/>
  <c r="J282" i="36"/>
  <c r="K281" i="36"/>
  <c r="J281" i="36"/>
  <c r="K280" i="36"/>
  <c r="J280" i="36"/>
  <c r="K279" i="36"/>
  <c r="J279" i="36"/>
  <c r="K278" i="36"/>
  <c r="J278" i="36"/>
  <c r="K277" i="36"/>
  <c r="J277" i="36"/>
  <c r="K276" i="36"/>
  <c r="J276" i="36"/>
  <c r="K275" i="36"/>
  <c r="J275" i="36"/>
  <c r="K274" i="36"/>
  <c r="J274" i="36"/>
  <c r="K273" i="36"/>
  <c r="J273" i="36"/>
  <c r="K272" i="36"/>
  <c r="J272" i="36"/>
  <c r="K271" i="36"/>
  <c r="J271" i="36"/>
  <c r="K270" i="36"/>
  <c r="J270" i="36"/>
  <c r="K269" i="36"/>
  <c r="J269" i="36"/>
  <c r="K268" i="36"/>
  <c r="J268" i="36"/>
  <c r="K267" i="36"/>
  <c r="J267" i="36"/>
  <c r="K266" i="36"/>
  <c r="J266" i="36"/>
  <c r="K265" i="36"/>
  <c r="J265" i="36"/>
  <c r="K264" i="36"/>
  <c r="J264" i="36"/>
  <c r="K263" i="36"/>
  <c r="J263" i="36"/>
  <c r="K262" i="36"/>
  <c r="J262" i="36"/>
  <c r="K261" i="36"/>
  <c r="J261" i="36"/>
  <c r="K260" i="36"/>
  <c r="J260" i="36"/>
  <c r="K259" i="36"/>
  <c r="J259" i="36"/>
  <c r="K258" i="36"/>
  <c r="J258" i="36"/>
  <c r="K257" i="36"/>
  <c r="J257" i="36"/>
  <c r="K256" i="36"/>
  <c r="J256" i="36"/>
  <c r="K255" i="36"/>
  <c r="J255" i="36"/>
  <c r="K254" i="36"/>
  <c r="J254" i="36"/>
  <c r="K253" i="36"/>
  <c r="J253" i="36"/>
  <c r="K252" i="36"/>
  <c r="J252" i="36"/>
  <c r="K251" i="36"/>
  <c r="J251" i="36"/>
  <c r="K250" i="36"/>
  <c r="J250" i="36"/>
  <c r="K249" i="36"/>
  <c r="J249" i="36"/>
  <c r="K248" i="36"/>
  <c r="J248" i="36"/>
  <c r="K247" i="36"/>
  <c r="J247" i="36"/>
  <c r="K246" i="36"/>
  <c r="J246" i="36"/>
  <c r="K245" i="36"/>
  <c r="J245" i="36"/>
  <c r="K244" i="36"/>
  <c r="J244" i="36"/>
  <c r="K243" i="36"/>
  <c r="J243" i="36"/>
  <c r="K242" i="36"/>
  <c r="J242" i="36"/>
  <c r="K241" i="36"/>
  <c r="J241" i="36"/>
  <c r="K240" i="36"/>
  <c r="J240" i="36"/>
  <c r="K239" i="36"/>
  <c r="J239" i="36"/>
  <c r="K238" i="36"/>
  <c r="J238" i="36"/>
  <c r="K237" i="36"/>
  <c r="J237" i="36"/>
  <c r="K236" i="36"/>
  <c r="J236" i="36"/>
  <c r="K235" i="36"/>
  <c r="J235" i="36"/>
  <c r="K234" i="36"/>
  <c r="J234" i="36"/>
  <c r="K233" i="36"/>
  <c r="J233" i="36"/>
  <c r="K232" i="36"/>
  <c r="J232" i="36"/>
  <c r="K231" i="36"/>
  <c r="J231" i="36"/>
  <c r="K230" i="36"/>
  <c r="J230" i="36"/>
  <c r="K229" i="36"/>
  <c r="J229" i="36"/>
  <c r="K228" i="36"/>
  <c r="J228" i="36"/>
  <c r="K227" i="36"/>
  <c r="J227" i="36"/>
  <c r="K226" i="36"/>
  <c r="J226" i="36"/>
  <c r="K225" i="36"/>
  <c r="J225" i="36"/>
  <c r="K224" i="36"/>
  <c r="J224" i="36"/>
  <c r="K223" i="36"/>
  <c r="J223" i="36"/>
  <c r="K222" i="36"/>
  <c r="J222" i="36"/>
  <c r="K221" i="36"/>
  <c r="J221" i="36"/>
  <c r="K220" i="36"/>
  <c r="J220" i="36"/>
  <c r="K219" i="36"/>
  <c r="J219" i="36"/>
  <c r="K218" i="36"/>
  <c r="J218" i="36"/>
  <c r="K217" i="36"/>
  <c r="J217" i="36"/>
  <c r="K216" i="36"/>
  <c r="J216" i="36"/>
  <c r="K215" i="36"/>
  <c r="J215" i="36"/>
  <c r="K214" i="36"/>
  <c r="J214" i="36"/>
  <c r="K213" i="36"/>
  <c r="J213" i="36"/>
  <c r="K212" i="36"/>
  <c r="J212" i="36"/>
  <c r="K211" i="36"/>
  <c r="J211" i="36"/>
  <c r="K210" i="36"/>
  <c r="J210" i="36"/>
  <c r="K209" i="36"/>
  <c r="J209" i="36"/>
  <c r="K208" i="36"/>
  <c r="J208" i="36"/>
  <c r="K207" i="36"/>
  <c r="J207" i="36"/>
  <c r="K206" i="36"/>
  <c r="J206" i="36"/>
  <c r="K205" i="36"/>
  <c r="J205" i="36"/>
  <c r="K204" i="36"/>
  <c r="J204" i="36"/>
  <c r="K203" i="36"/>
  <c r="J203" i="36"/>
  <c r="K202" i="36"/>
  <c r="J202" i="36"/>
  <c r="K201" i="36"/>
  <c r="J201" i="36"/>
  <c r="K200" i="36"/>
  <c r="J200" i="36"/>
  <c r="K199" i="36"/>
  <c r="J199" i="36"/>
  <c r="K198" i="36"/>
  <c r="J198" i="36"/>
  <c r="K197" i="36"/>
  <c r="J197" i="36"/>
  <c r="K196" i="36"/>
  <c r="J196" i="36"/>
  <c r="K195" i="36"/>
  <c r="J195" i="36"/>
  <c r="K194" i="36"/>
  <c r="J194" i="36"/>
  <c r="K193" i="36"/>
  <c r="J193" i="36"/>
  <c r="K192" i="36"/>
  <c r="J192" i="36"/>
  <c r="K191" i="36"/>
  <c r="J191" i="36"/>
  <c r="K190" i="36"/>
  <c r="J190" i="36"/>
  <c r="K189" i="36"/>
  <c r="J189" i="36"/>
  <c r="K188" i="36"/>
  <c r="J188" i="36"/>
  <c r="K187" i="36"/>
  <c r="J187" i="36"/>
  <c r="K186" i="36"/>
  <c r="J186" i="36"/>
  <c r="K185" i="36"/>
  <c r="J185" i="36"/>
  <c r="K184" i="36"/>
  <c r="J184" i="36"/>
  <c r="K183" i="36"/>
  <c r="J183" i="36"/>
  <c r="K182" i="36"/>
  <c r="J182" i="36"/>
  <c r="K181" i="36"/>
  <c r="J181" i="36"/>
  <c r="K180" i="36"/>
  <c r="J180" i="36"/>
  <c r="K179" i="36"/>
  <c r="J179" i="36"/>
  <c r="K178" i="36"/>
  <c r="J178" i="36"/>
  <c r="K177" i="36"/>
  <c r="J177" i="36"/>
  <c r="K176" i="36"/>
  <c r="J176" i="36"/>
  <c r="K175" i="36"/>
  <c r="J175" i="36"/>
  <c r="K174" i="36"/>
  <c r="J174" i="36"/>
  <c r="K173" i="36"/>
  <c r="J173" i="36"/>
  <c r="K172" i="36"/>
  <c r="J172" i="36"/>
  <c r="K171" i="36"/>
  <c r="J171" i="36"/>
  <c r="K170" i="36"/>
  <c r="J170" i="36"/>
  <c r="K169" i="36"/>
  <c r="J169" i="36"/>
  <c r="K168" i="36"/>
  <c r="J168" i="36"/>
  <c r="K167" i="36"/>
  <c r="J167" i="36"/>
  <c r="K166" i="36"/>
  <c r="J166" i="36"/>
  <c r="K165" i="36"/>
  <c r="J165" i="36"/>
  <c r="K164" i="36"/>
  <c r="J164" i="36"/>
  <c r="K163" i="36"/>
  <c r="J163" i="36"/>
  <c r="K162" i="36"/>
  <c r="J162" i="36"/>
  <c r="K161" i="36"/>
  <c r="J161" i="36"/>
  <c r="K160" i="36"/>
  <c r="J160" i="36"/>
  <c r="K159" i="36"/>
  <c r="J159" i="36"/>
  <c r="K158" i="36"/>
  <c r="J158" i="36"/>
  <c r="K157" i="36"/>
  <c r="J157" i="36"/>
  <c r="K156" i="36"/>
  <c r="J156" i="36"/>
  <c r="K155" i="36"/>
  <c r="J155" i="36"/>
  <c r="K154" i="36"/>
  <c r="J154" i="36"/>
  <c r="K153" i="36"/>
  <c r="J153" i="36"/>
  <c r="K152" i="36"/>
  <c r="J152" i="36"/>
  <c r="K151" i="36"/>
  <c r="J151" i="36"/>
  <c r="K150" i="36"/>
  <c r="J150" i="36"/>
  <c r="K149" i="36"/>
  <c r="J149" i="36"/>
  <c r="K148" i="36"/>
  <c r="J148" i="36"/>
  <c r="K147" i="36"/>
  <c r="J147" i="36"/>
  <c r="K146" i="36"/>
  <c r="J146" i="36"/>
  <c r="K145" i="36"/>
  <c r="J145" i="36"/>
  <c r="K144" i="36"/>
  <c r="J144" i="36"/>
  <c r="K143" i="36"/>
  <c r="J143" i="36"/>
  <c r="K142" i="36"/>
  <c r="J142" i="36"/>
  <c r="K141" i="36"/>
  <c r="J141" i="36"/>
  <c r="K140" i="36"/>
  <c r="J140" i="36"/>
  <c r="K139" i="36"/>
  <c r="J139" i="36"/>
  <c r="K138" i="36"/>
  <c r="J138" i="36"/>
  <c r="K137" i="36"/>
  <c r="J137" i="36"/>
  <c r="K136" i="36"/>
  <c r="J136" i="36"/>
  <c r="K135" i="36"/>
  <c r="J135" i="36"/>
  <c r="K134" i="36"/>
  <c r="J134" i="36"/>
  <c r="K133" i="36"/>
  <c r="J133" i="36"/>
  <c r="K132" i="36"/>
  <c r="J132" i="36"/>
  <c r="K131" i="36"/>
  <c r="J131" i="36"/>
  <c r="K130" i="36"/>
  <c r="J130" i="36"/>
  <c r="K129" i="36"/>
  <c r="J129" i="36"/>
  <c r="K128" i="36"/>
  <c r="J128" i="36"/>
  <c r="K127" i="36"/>
  <c r="J127" i="36"/>
  <c r="K126" i="36"/>
  <c r="J126" i="36"/>
  <c r="K125" i="36"/>
  <c r="J125" i="36"/>
  <c r="K124" i="36"/>
  <c r="J124" i="36"/>
  <c r="K123" i="36"/>
  <c r="J123" i="36"/>
  <c r="K122" i="36"/>
  <c r="J122" i="36"/>
  <c r="K121" i="36"/>
  <c r="J121" i="36"/>
  <c r="K120" i="36"/>
  <c r="J120" i="36"/>
  <c r="K119" i="36"/>
  <c r="J119" i="36"/>
  <c r="K118" i="36"/>
  <c r="J118" i="36"/>
  <c r="K117" i="36"/>
  <c r="J117" i="36"/>
  <c r="K116" i="36"/>
  <c r="J116" i="36"/>
  <c r="K115" i="36"/>
  <c r="J115" i="36"/>
  <c r="K114" i="36"/>
  <c r="J114" i="36"/>
  <c r="K113" i="36"/>
  <c r="J113" i="36"/>
  <c r="K112" i="36"/>
  <c r="J112" i="36"/>
  <c r="K111" i="36"/>
  <c r="J111" i="36"/>
  <c r="K110" i="36"/>
  <c r="J110" i="36"/>
  <c r="K109" i="36"/>
  <c r="J109" i="36"/>
  <c r="K108" i="36"/>
  <c r="J108" i="36"/>
  <c r="K107" i="36"/>
  <c r="J107" i="36"/>
  <c r="K106" i="36"/>
  <c r="J106" i="36"/>
  <c r="K105" i="36"/>
  <c r="J105" i="36"/>
  <c r="K104" i="36"/>
  <c r="J104" i="36"/>
  <c r="K103" i="36"/>
  <c r="J103" i="36"/>
  <c r="K102" i="36"/>
  <c r="J102" i="36"/>
  <c r="K101" i="36"/>
  <c r="J101" i="36"/>
  <c r="K100" i="36"/>
  <c r="J100" i="36"/>
  <c r="K99" i="36"/>
  <c r="J99" i="36"/>
  <c r="K98" i="36"/>
  <c r="J98" i="36"/>
  <c r="K97" i="36"/>
  <c r="J97" i="36"/>
  <c r="K96" i="36"/>
  <c r="J96" i="36"/>
  <c r="K95" i="36"/>
  <c r="J95" i="36"/>
  <c r="K94" i="36"/>
  <c r="J94" i="36"/>
  <c r="K93" i="36"/>
  <c r="J93" i="36"/>
  <c r="K92" i="36"/>
  <c r="J92" i="36"/>
  <c r="K91" i="36"/>
  <c r="J91" i="36"/>
  <c r="K90" i="36"/>
  <c r="J90" i="36"/>
  <c r="K89" i="36"/>
  <c r="J89" i="36"/>
  <c r="K88" i="36"/>
  <c r="J88" i="36"/>
  <c r="K87" i="36"/>
  <c r="J87" i="36"/>
  <c r="K86" i="36"/>
  <c r="J86" i="36"/>
  <c r="K85" i="36"/>
  <c r="J85" i="36"/>
  <c r="K84" i="36"/>
  <c r="J84" i="36"/>
  <c r="K83" i="36"/>
  <c r="J83" i="36"/>
  <c r="K82" i="36"/>
  <c r="J82" i="36"/>
  <c r="K81" i="36"/>
  <c r="J81" i="36"/>
  <c r="K80" i="36"/>
  <c r="J80" i="36"/>
  <c r="K79" i="36"/>
  <c r="J79" i="36"/>
  <c r="K78" i="36"/>
  <c r="J78" i="36"/>
  <c r="K77" i="36"/>
  <c r="J77" i="36"/>
  <c r="K76" i="36"/>
  <c r="J76" i="36"/>
  <c r="K75" i="36"/>
  <c r="J75" i="36"/>
  <c r="K74" i="36"/>
  <c r="J74" i="36"/>
  <c r="K73" i="36"/>
  <c r="J73" i="36"/>
  <c r="K72" i="36"/>
  <c r="J72" i="36"/>
  <c r="K71" i="36"/>
  <c r="J71" i="36"/>
  <c r="K70" i="36"/>
  <c r="J70" i="36"/>
  <c r="K69" i="36"/>
  <c r="J69" i="36"/>
  <c r="K68" i="36"/>
  <c r="J68" i="36"/>
  <c r="K67" i="36"/>
  <c r="J67" i="36"/>
  <c r="K66" i="36"/>
  <c r="J66" i="36"/>
  <c r="K65" i="36"/>
  <c r="J65" i="36"/>
  <c r="K64" i="36"/>
  <c r="J64" i="36"/>
  <c r="K63" i="36"/>
  <c r="J63" i="36"/>
  <c r="K62" i="36"/>
  <c r="J62" i="36"/>
  <c r="K61" i="36"/>
  <c r="J61" i="36"/>
  <c r="K60" i="36"/>
  <c r="J60" i="36"/>
  <c r="K59" i="36"/>
  <c r="J59" i="36"/>
  <c r="K58" i="36"/>
  <c r="J58" i="36"/>
  <c r="K57" i="36"/>
  <c r="J57" i="36"/>
  <c r="K56" i="36"/>
  <c r="J56" i="36"/>
  <c r="K55" i="36"/>
  <c r="J55" i="36"/>
  <c r="K54" i="36"/>
  <c r="J54" i="36"/>
  <c r="K53" i="36"/>
  <c r="J53" i="36"/>
  <c r="K52" i="36"/>
  <c r="J52" i="36"/>
  <c r="K51" i="36"/>
  <c r="J51" i="36"/>
  <c r="K50" i="36"/>
  <c r="J50" i="36"/>
  <c r="K49" i="36"/>
  <c r="J49" i="36"/>
  <c r="K48" i="36"/>
  <c r="J48" i="36"/>
  <c r="K47" i="36"/>
  <c r="J47" i="36"/>
  <c r="K46" i="36"/>
  <c r="J46" i="36"/>
  <c r="K45" i="36"/>
  <c r="J45" i="36"/>
  <c r="K44" i="36"/>
  <c r="J44" i="36"/>
  <c r="K43" i="36"/>
  <c r="J43" i="36"/>
  <c r="K42" i="36"/>
  <c r="J42" i="36"/>
  <c r="K41" i="36"/>
  <c r="J41" i="36"/>
  <c r="K40" i="36"/>
  <c r="J40" i="36"/>
  <c r="K39" i="36"/>
  <c r="J39" i="36"/>
  <c r="K38" i="36"/>
  <c r="J38" i="36"/>
  <c r="K37" i="36"/>
  <c r="J37" i="36"/>
  <c r="K36" i="36"/>
  <c r="J36" i="36"/>
  <c r="K35" i="36"/>
  <c r="J35" i="36"/>
  <c r="K34" i="36"/>
  <c r="J34" i="36"/>
  <c r="K33" i="36"/>
  <c r="J33" i="36"/>
  <c r="K32" i="36"/>
  <c r="J32" i="36"/>
  <c r="K31" i="36"/>
  <c r="J31" i="36"/>
  <c r="K30" i="36"/>
  <c r="J30" i="36"/>
  <c r="K29" i="36"/>
  <c r="J29" i="36"/>
  <c r="K28" i="36"/>
  <c r="J28" i="36"/>
  <c r="K27" i="36"/>
  <c r="J27" i="36"/>
  <c r="K26" i="36"/>
  <c r="J26" i="36"/>
  <c r="K25" i="36"/>
  <c r="J25" i="36"/>
  <c r="K24" i="36"/>
  <c r="J24" i="36"/>
  <c r="K23" i="36"/>
  <c r="J23" i="36"/>
  <c r="K22" i="36"/>
  <c r="J22" i="36"/>
  <c r="K21" i="36"/>
  <c r="J21" i="36"/>
  <c r="K20" i="36"/>
  <c r="J20" i="36"/>
  <c r="K19" i="36"/>
  <c r="J19" i="36"/>
  <c r="K18" i="36"/>
  <c r="J18" i="36"/>
  <c r="K17" i="36"/>
  <c r="J17" i="36"/>
  <c r="K16" i="36"/>
  <c r="J16" i="36"/>
  <c r="K15" i="36"/>
  <c r="J15" i="36"/>
  <c r="K14" i="36"/>
  <c r="J14" i="36"/>
  <c r="K13" i="36"/>
  <c r="J13" i="36"/>
  <c r="K12" i="36"/>
  <c r="J12" i="36"/>
  <c r="K11" i="36"/>
  <c r="J11" i="36"/>
  <c r="K10" i="36"/>
  <c r="J10" i="36"/>
  <c r="K9" i="36"/>
  <c r="J9" i="36"/>
  <c r="K8" i="36"/>
  <c r="J8" i="36"/>
  <c r="K7" i="36"/>
  <c r="J7" i="36"/>
  <c r="K6" i="36"/>
  <c r="J6" i="36"/>
  <c r="K3" i="36"/>
  <c r="I3" i="36"/>
  <c r="H3" i="36"/>
  <c r="K497" i="62"/>
  <c r="J497" i="62"/>
  <c r="K496" i="62"/>
  <c r="J496" i="62"/>
  <c r="K495" i="62"/>
  <c r="J495" i="62"/>
  <c r="K494" i="62"/>
  <c r="J494" i="62"/>
  <c r="K493" i="62"/>
  <c r="J493" i="62"/>
  <c r="K492" i="62"/>
  <c r="J492" i="62"/>
  <c r="K491" i="62"/>
  <c r="J491" i="62"/>
  <c r="K490" i="62"/>
  <c r="J490" i="62"/>
  <c r="K489" i="62"/>
  <c r="J489" i="62"/>
  <c r="K488" i="62"/>
  <c r="J488" i="62"/>
  <c r="K487" i="62"/>
  <c r="J487" i="62"/>
  <c r="K486" i="62"/>
  <c r="J486" i="62"/>
  <c r="K485" i="62"/>
  <c r="J485" i="62"/>
  <c r="K484" i="62"/>
  <c r="J484" i="62"/>
  <c r="K483" i="62"/>
  <c r="J483" i="62"/>
  <c r="K482" i="62"/>
  <c r="J482" i="62"/>
  <c r="K481" i="62"/>
  <c r="J481" i="62"/>
  <c r="K480" i="62"/>
  <c r="J480" i="62"/>
  <c r="K479" i="62"/>
  <c r="J479" i="62"/>
  <c r="K478" i="62"/>
  <c r="J478" i="62"/>
  <c r="K477" i="62"/>
  <c r="J477" i="62"/>
  <c r="K476" i="62"/>
  <c r="J476" i="62"/>
  <c r="K475" i="62"/>
  <c r="J475" i="62"/>
  <c r="K474" i="62"/>
  <c r="J474" i="62"/>
  <c r="K473" i="62"/>
  <c r="J473" i="62"/>
  <c r="K472" i="62"/>
  <c r="J472" i="62"/>
  <c r="K471" i="62"/>
  <c r="J471" i="62"/>
  <c r="K470" i="62"/>
  <c r="J470" i="62"/>
  <c r="K469" i="62"/>
  <c r="J469" i="62"/>
  <c r="K468" i="62"/>
  <c r="J468" i="62"/>
  <c r="K467" i="62"/>
  <c r="J467" i="62"/>
  <c r="K466" i="62"/>
  <c r="J466" i="62"/>
  <c r="K465" i="62"/>
  <c r="J465" i="62"/>
  <c r="K464" i="62"/>
  <c r="J464" i="62"/>
  <c r="K463" i="62"/>
  <c r="J463" i="62"/>
  <c r="K462" i="62"/>
  <c r="J462" i="62"/>
  <c r="K461" i="62"/>
  <c r="J461" i="62"/>
  <c r="K460" i="62"/>
  <c r="J460" i="62"/>
  <c r="K459" i="62"/>
  <c r="J459" i="62"/>
  <c r="K458" i="62"/>
  <c r="J458" i="62"/>
  <c r="K457" i="62"/>
  <c r="J457" i="62"/>
  <c r="K456" i="62"/>
  <c r="J456" i="62"/>
  <c r="K455" i="62"/>
  <c r="J455" i="62"/>
  <c r="K454" i="62"/>
  <c r="J454" i="62"/>
  <c r="K453" i="62"/>
  <c r="J453" i="62"/>
  <c r="K452" i="62"/>
  <c r="J452" i="62"/>
  <c r="K451" i="62"/>
  <c r="J451" i="62"/>
  <c r="K450" i="62"/>
  <c r="J450" i="62"/>
  <c r="K449" i="62"/>
  <c r="J449" i="62"/>
  <c r="K448" i="62"/>
  <c r="J448" i="62"/>
  <c r="K447" i="62"/>
  <c r="J447" i="62"/>
  <c r="K446" i="62"/>
  <c r="J446" i="62"/>
  <c r="K445" i="62"/>
  <c r="J445" i="62"/>
  <c r="K444" i="62"/>
  <c r="J444" i="62"/>
  <c r="K443" i="62"/>
  <c r="J443" i="62"/>
  <c r="K442" i="62"/>
  <c r="J442" i="62"/>
  <c r="K441" i="62"/>
  <c r="J441" i="62"/>
  <c r="K440" i="62"/>
  <c r="J440" i="62"/>
  <c r="K439" i="62"/>
  <c r="J439" i="62"/>
  <c r="K438" i="62"/>
  <c r="J438" i="62"/>
  <c r="K437" i="62"/>
  <c r="J437" i="62"/>
  <c r="K436" i="62"/>
  <c r="J436" i="62"/>
  <c r="K435" i="62"/>
  <c r="J435" i="62"/>
  <c r="K434" i="62"/>
  <c r="J434" i="62"/>
  <c r="K433" i="62"/>
  <c r="J433" i="62"/>
  <c r="K432" i="62"/>
  <c r="J432" i="62"/>
  <c r="K431" i="62"/>
  <c r="J431" i="62"/>
  <c r="K430" i="62"/>
  <c r="J430" i="62"/>
  <c r="K429" i="62"/>
  <c r="J429" i="62"/>
  <c r="K428" i="62"/>
  <c r="J428" i="62"/>
  <c r="K427" i="62"/>
  <c r="J427" i="62"/>
  <c r="K426" i="62"/>
  <c r="J426" i="62"/>
  <c r="K425" i="62"/>
  <c r="J425" i="62"/>
  <c r="K424" i="62"/>
  <c r="J424" i="62"/>
  <c r="K423" i="62"/>
  <c r="J423" i="62"/>
  <c r="K422" i="62"/>
  <c r="J422" i="62"/>
  <c r="K421" i="62"/>
  <c r="J421" i="62"/>
  <c r="K420" i="62"/>
  <c r="J420" i="62"/>
  <c r="K419" i="62"/>
  <c r="J419" i="62"/>
  <c r="K418" i="62"/>
  <c r="J418" i="62"/>
  <c r="K417" i="62"/>
  <c r="J417" i="62"/>
  <c r="K416" i="62"/>
  <c r="J416" i="62"/>
  <c r="K415" i="62"/>
  <c r="J415" i="62"/>
  <c r="K414" i="62"/>
  <c r="J414" i="62"/>
  <c r="K413" i="62"/>
  <c r="J413" i="62"/>
  <c r="K412" i="62"/>
  <c r="J412" i="62"/>
  <c r="K411" i="62"/>
  <c r="J411" i="62"/>
  <c r="K410" i="62"/>
  <c r="J410" i="62"/>
  <c r="K409" i="62"/>
  <c r="J409" i="62"/>
  <c r="K408" i="62"/>
  <c r="J408" i="62"/>
  <c r="K407" i="62"/>
  <c r="J407" i="62"/>
  <c r="K406" i="62"/>
  <c r="J406" i="62"/>
  <c r="K405" i="62"/>
  <c r="J405" i="62"/>
  <c r="K404" i="62"/>
  <c r="J404" i="62"/>
  <c r="K403" i="62"/>
  <c r="J403" i="62"/>
  <c r="K402" i="62"/>
  <c r="J402" i="62"/>
  <c r="K401" i="62"/>
  <c r="J401" i="62"/>
  <c r="K400" i="62"/>
  <c r="J400" i="62"/>
  <c r="K399" i="62"/>
  <c r="J399" i="62"/>
  <c r="K398" i="62"/>
  <c r="J398" i="62"/>
  <c r="K397" i="62"/>
  <c r="J397" i="62"/>
  <c r="K396" i="62"/>
  <c r="J396" i="62"/>
  <c r="K395" i="62"/>
  <c r="J395" i="62"/>
  <c r="K394" i="62"/>
  <c r="J394" i="62"/>
  <c r="K393" i="62"/>
  <c r="J393" i="62"/>
  <c r="K392" i="62"/>
  <c r="J392" i="62"/>
  <c r="K391" i="62"/>
  <c r="J391" i="62"/>
  <c r="K390" i="62"/>
  <c r="J390" i="62"/>
  <c r="K389" i="62"/>
  <c r="J389" i="62"/>
  <c r="K388" i="62"/>
  <c r="J388" i="62"/>
  <c r="K387" i="62"/>
  <c r="J387" i="62"/>
  <c r="K386" i="62"/>
  <c r="J386" i="62"/>
  <c r="K385" i="62"/>
  <c r="J385" i="62"/>
  <c r="K384" i="62"/>
  <c r="J384" i="62"/>
  <c r="K383" i="62"/>
  <c r="J383" i="62"/>
  <c r="K382" i="62"/>
  <c r="J382" i="62"/>
  <c r="K381" i="62"/>
  <c r="J381" i="62"/>
  <c r="K380" i="62"/>
  <c r="J380" i="62"/>
  <c r="K379" i="62"/>
  <c r="J379" i="62"/>
  <c r="K378" i="62"/>
  <c r="J378" i="62"/>
  <c r="K377" i="62"/>
  <c r="J377" i="62"/>
  <c r="K376" i="62"/>
  <c r="J376" i="62"/>
  <c r="K375" i="62"/>
  <c r="J375" i="62"/>
  <c r="K374" i="62"/>
  <c r="J374" i="62"/>
  <c r="K373" i="62"/>
  <c r="J373" i="62"/>
  <c r="K372" i="62"/>
  <c r="J372" i="62"/>
  <c r="K371" i="62"/>
  <c r="J371" i="62"/>
  <c r="K370" i="62"/>
  <c r="J370" i="62"/>
  <c r="K369" i="62"/>
  <c r="J369" i="62"/>
  <c r="K368" i="62"/>
  <c r="J368" i="62"/>
  <c r="K367" i="62"/>
  <c r="J367" i="62"/>
  <c r="K366" i="62"/>
  <c r="J366" i="62"/>
  <c r="K365" i="62"/>
  <c r="J365" i="62"/>
  <c r="K364" i="62"/>
  <c r="J364" i="62"/>
  <c r="K363" i="62"/>
  <c r="J363" i="62"/>
  <c r="K362" i="62"/>
  <c r="J362" i="62"/>
  <c r="K361" i="62"/>
  <c r="J361" i="62"/>
  <c r="K360" i="62"/>
  <c r="J360" i="62"/>
  <c r="K359" i="62"/>
  <c r="J359" i="62"/>
  <c r="K358" i="62"/>
  <c r="J358" i="62"/>
  <c r="K357" i="62"/>
  <c r="J357" i="62"/>
  <c r="K356" i="62"/>
  <c r="J356" i="62"/>
  <c r="K355" i="62"/>
  <c r="J355" i="62"/>
  <c r="K354" i="62"/>
  <c r="J354" i="62"/>
  <c r="K353" i="62"/>
  <c r="J353" i="62"/>
  <c r="K352" i="62"/>
  <c r="J352" i="62"/>
  <c r="K351" i="62"/>
  <c r="J351" i="62"/>
  <c r="K350" i="62"/>
  <c r="J350" i="62"/>
  <c r="K349" i="62"/>
  <c r="J349" i="62"/>
  <c r="K348" i="62"/>
  <c r="J348" i="62"/>
  <c r="K347" i="62"/>
  <c r="J347" i="62"/>
  <c r="K346" i="62"/>
  <c r="J346" i="62"/>
  <c r="K345" i="62"/>
  <c r="J345" i="62"/>
  <c r="K344" i="62"/>
  <c r="J344" i="62"/>
  <c r="K343" i="62"/>
  <c r="J343" i="62"/>
  <c r="K342" i="62"/>
  <c r="J342" i="62"/>
  <c r="K341" i="62"/>
  <c r="J341" i="62"/>
  <c r="K340" i="62"/>
  <c r="J340" i="62"/>
  <c r="K339" i="62"/>
  <c r="J339" i="62"/>
  <c r="K338" i="62"/>
  <c r="J338" i="62"/>
  <c r="K337" i="62"/>
  <c r="J337" i="62"/>
  <c r="K336" i="62"/>
  <c r="J336" i="62"/>
  <c r="K335" i="62"/>
  <c r="J335" i="62"/>
  <c r="K334" i="62"/>
  <c r="J334" i="62"/>
  <c r="K333" i="62"/>
  <c r="J333" i="62"/>
  <c r="K332" i="62"/>
  <c r="J332" i="62"/>
  <c r="K331" i="62"/>
  <c r="J331" i="62"/>
  <c r="K330" i="62"/>
  <c r="J330" i="62"/>
  <c r="K329" i="62"/>
  <c r="J329" i="62"/>
  <c r="K328" i="62"/>
  <c r="J328" i="62"/>
  <c r="K327" i="62"/>
  <c r="J327" i="62"/>
  <c r="K326" i="62"/>
  <c r="J326" i="62"/>
  <c r="K325" i="62"/>
  <c r="J325" i="62"/>
  <c r="K324" i="62"/>
  <c r="J324" i="62"/>
  <c r="K323" i="62"/>
  <c r="J323" i="62"/>
  <c r="K322" i="62"/>
  <c r="J322" i="62"/>
  <c r="K321" i="62"/>
  <c r="J321" i="62"/>
  <c r="K320" i="62"/>
  <c r="J320" i="62"/>
  <c r="K319" i="62"/>
  <c r="J319" i="62"/>
  <c r="K318" i="62"/>
  <c r="J318" i="62"/>
  <c r="K317" i="62"/>
  <c r="J317" i="62"/>
  <c r="K316" i="62"/>
  <c r="J316" i="62"/>
  <c r="K315" i="62"/>
  <c r="J315" i="62"/>
  <c r="K314" i="62"/>
  <c r="J314" i="62"/>
  <c r="K313" i="62"/>
  <c r="J313" i="62"/>
  <c r="K312" i="62"/>
  <c r="J312" i="62"/>
  <c r="K311" i="62"/>
  <c r="J311" i="62"/>
  <c r="K310" i="62"/>
  <c r="J310" i="62"/>
  <c r="K309" i="62"/>
  <c r="J309" i="62"/>
  <c r="K308" i="62"/>
  <c r="J308" i="62"/>
  <c r="K307" i="62"/>
  <c r="J307" i="62"/>
  <c r="K306" i="62"/>
  <c r="J306" i="62"/>
  <c r="K305" i="62"/>
  <c r="J305" i="62"/>
  <c r="K304" i="62"/>
  <c r="J304" i="62"/>
  <c r="K303" i="62"/>
  <c r="J303" i="62"/>
  <c r="K302" i="62"/>
  <c r="J302" i="62"/>
  <c r="K301" i="62"/>
  <c r="J301" i="62"/>
  <c r="K300" i="62"/>
  <c r="J300" i="62"/>
  <c r="K299" i="62"/>
  <c r="J299" i="62"/>
  <c r="K298" i="62"/>
  <c r="J298" i="62"/>
  <c r="K297" i="62"/>
  <c r="J297" i="62"/>
  <c r="K296" i="62"/>
  <c r="J296" i="62"/>
  <c r="K295" i="62"/>
  <c r="J295" i="62"/>
  <c r="K294" i="62"/>
  <c r="J294" i="62"/>
  <c r="K293" i="62"/>
  <c r="J293" i="62"/>
  <c r="K292" i="62"/>
  <c r="J292" i="62"/>
  <c r="K291" i="62"/>
  <c r="J291" i="62"/>
  <c r="K290" i="62"/>
  <c r="J290" i="62"/>
  <c r="K289" i="62"/>
  <c r="J289" i="62"/>
  <c r="K288" i="62"/>
  <c r="J288" i="62"/>
  <c r="K287" i="62"/>
  <c r="J287" i="62"/>
  <c r="K286" i="62"/>
  <c r="J286" i="62"/>
  <c r="K285" i="62"/>
  <c r="J285" i="62"/>
  <c r="K284" i="62"/>
  <c r="J284" i="62"/>
  <c r="K283" i="62"/>
  <c r="J283" i="62"/>
  <c r="K282" i="62"/>
  <c r="J282" i="62"/>
  <c r="K281" i="62"/>
  <c r="J281" i="62"/>
  <c r="K280" i="62"/>
  <c r="J280" i="62"/>
  <c r="K279" i="62"/>
  <c r="J279" i="62"/>
  <c r="K278" i="62"/>
  <c r="J278" i="62"/>
  <c r="K277" i="62"/>
  <c r="J277" i="62"/>
  <c r="K276" i="62"/>
  <c r="J276" i="62"/>
  <c r="K275" i="62"/>
  <c r="J275" i="62"/>
  <c r="K274" i="62"/>
  <c r="J274" i="62"/>
  <c r="K273" i="62"/>
  <c r="J273" i="62"/>
  <c r="K272" i="62"/>
  <c r="J272" i="62"/>
  <c r="K271" i="62"/>
  <c r="J271" i="62"/>
  <c r="K270" i="62"/>
  <c r="J270" i="62"/>
  <c r="K269" i="62"/>
  <c r="J269" i="62"/>
  <c r="K268" i="62"/>
  <c r="J268" i="62"/>
  <c r="K267" i="62"/>
  <c r="J267" i="62"/>
  <c r="K266" i="62"/>
  <c r="J266" i="62"/>
  <c r="K265" i="62"/>
  <c r="J265" i="62"/>
  <c r="K264" i="62"/>
  <c r="J264" i="62"/>
  <c r="K263" i="62"/>
  <c r="J263" i="62"/>
  <c r="K262" i="62"/>
  <c r="J262" i="62"/>
  <c r="K261" i="62"/>
  <c r="J261" i="62"/>
  <c r="K260" i="62"/>
  <c r="J260" i="62"/>
  <c r="K259" i="62"/>
  <c r="J259" i="62"/>
  <c r="K258" i="62"/>
  <c r="J258" i="62"/>
  <c r="K257" i="62"/>
  <c r="J257" i="62"/>
  <c r="K256" i="62"/>
  <c r="J256" i="62"/>
  <c r="K255" i="62"/>
  <c r="J255" i="62"/>
  <c r="K254" i="62"/>
  <c r="J254" i="62"/>
  <c r="K253" i="62"/>
  <c r="J253" i="62"/>
  <c r="K252" i="62"/>
  <c r="J252" i="62"/>
  <c r="K251" i="62"/>
  <c r="J251" i="62"/>
  <c r="K250" i="62"/>
  <c r="J250" i="62"/>
  <c r="K249" i="62"/>
  <c r="J249" i="62"/>
  <c r="K248" i="62"/>
  <c r="J248" i="62"/>
  <c r="K247" i="62"/>
  <c r="J247" i="62"/>
  <c r="K246" i="62"/>
  <c r="J246" i="62"/>
  <c r="K245" i="62"/>
  <c r="J245" i="62"/>
  <c r="K244" i="62"/>
  <c r="J244" i="62"/>
  <c r="K243" i="62"/>
  <c r="J243" i="62"/>
  <c r="K242" i="62"/>
  <c r="J242" i="62"/>
  <c r="K241" i="62"/>
  <c r="J241" i="62"/>
  <c r="K240" i="62"/>
  <c r="J240" i="62"/>
  <c r="K239" i="62"/>
  <c r="J239" i="62"/>
  <c r="K238" i="62"/>
  <c r="J238" i="62"/>
  <c r="K237" i="62"/>
  <c r="J237" i="62"/>
  <c r="K236" i="62"/>
  <c r="J236" i="62"/>
  <c r="K235" i="62"/>
  <c r="J235" i="62"/>
  <c r="K234" i="62"/>
  <c r="J234" i="62"/>
  <c r="K233" i="62"/>
  <c r="J233" i="62"/>
  <c r="K232" i="62"/>
  <c r="J232" i="62"/>
  <c r="K231" i="62"/>
  <c r="J231" i="62"/>
  <c r="K230" i="62"/>
  <c r="J230" i="62"/>
  <c r="K229" i="62"/>
  <c r="J229" i="62"/>
  <c r="K228" i="62"/>
  <c r="J228" i="62"/>
  <c r="K227" i="62"/>
  <c r="J227" i="62"/>
  <c r="K226" i="62"/>
  <c r="J226" i="62"/>
  <c r="K225" i="62"/>
  <c r="J225" i="62"/>
  <c r="K224" i="62"/>
  <c r="J224" i="62"/>
  <c r="K223" i="62"/>
  <c r="J223" i="62"/>
  <c r="K222" i="62"/>
  <c r="J222" i="62"/>
  <c r="K221" i="62"/>
  <c r="J221" i="62"/>
  <c r="K220" i="62"/>
  <c r="J220" i="62"/>
  <c r="K219" i="62"/>
  <c r="J219" i="62"/>
  <c r="K218" i="62"/>
  <c r="J218" i="62"/>
  <c r="K217" i="62"/>
  <c r="J217" i="62"/>
  <c r="K216" i="62"/>
  <c r="J216" i="62"/>
  <c r="K215" i="62"/>
  <c r="J215" i="62"/>
  <c r="K214" i="62"/>
  <c r="J214" i="62"/>
  <c r="K213" i="62"/>
  <c r="J213" i="62"/>
  <c r="K212" i="62"/>
  <c r="J212" i="62"/>
  <c r="K211" i="62"/>
  <c r="J211" i="62"/>
  <c r="K210" i="62"/>
  <c r="J210" i="62"/>
  <c r="K209" i="62"/>
  <c r="J209" i="62"/>
  <c r="K208" i="62"/>
  <c r="J208" i="62"/>
  <c r="K207" i="62"/>
  <c r="J207" i="62"/>
  <c r="K206" i="62"/>
  <c r="J206" i="62"/>
  <c r="K205" i="62"/>
  <c r="J205" i="62"/>
  <c r="K204" i="62"/>
  <c r="J204" i="62"/>
  <c r="K203" i="62"/>
  <c r="J203" i="62"/>
  <c r="K202" i="62"/>
  <c r="J202" i="62"/>
  <c r="K201" i="62"/>
  <c r="J201" i="62"/>
  <c r="K200" i="62"/>
  <c r="J200" i="62"/>
  <c r="K199" i="62"/>
  <c r="J199" i="62"/>
  <c r="K198" i="62"/>
  <c r="J198" i="62"/>
  <c r="K197" i="62"/>
  <c r="J197" i="62"/>
  <c r="K196" i="62"/>
  <c r="J196" i="62"/>
  <c r="K195" i="62"/>
  <c r="J195" i="62"/>
  <c r="K194" i="62"/>
  <c r="J194" i="62"/>
  <c r="K193" i="62"/>
  <c r="J193" i="62"/>
  <c r="K192" i="62"/>
  <c r="J192" i="62"/>
  <c r="K191" i="62"/>
  <c r="J191" i="62"/>
  <c r="K190" i="62"/>
  <c r="J190" i="62"/>
  <c r="K189" i="62"/>
  <c r="J189" i="62"/>
  <c r="K188" i="62"/>
  <c r="J188" i="62"/>
  <c r="K187" i="62"/>
  <c r="J187" i="62"/>
  <c r="K186" i="62"/>
  <c r="J186" i="62"/>
  <c r="K185" i="62"/>
  <c r="J185" i="62"/>
  <c r="K184" i="62"/>
  <c r="J184" i="62"/>
  <c r="K183" i="62"/>
  <c r="J183" i="62"/>
  <c r="K182" i="62"/>
  <c r="J182" i="62"/>
  <c r="K181" i="62"/>
  <c r="J181" i="62"/>
  <c r="K180" i="62"/>
  <c r="J180" i="62"/>
  <c r="K179" i="62"/>
  <c r="J179" i="62"/>
  <c r="K178" i="62"/>
  <c r="J178" i="62"/>
  <c r="K177" i="62"/>
  <c r="J177" i="62"/>
  <c r="K176" i="62"/>
  <c r="J176" i="62"/>
  <c r="K175" i="62"/>
  <c r="J175" i="62"/>
  <c r="K174" i="62"/>
  <c r="J174" i="62"/>
  <c r="K173" i="62"/>
  <c r="J173" i="62"/>
  <c r="K172" i="62"/>
  <c r="J172" i="62"/>
  <c r="K171" i="62"/>
  <c r="J171" i="62"/>
  <c r="K170" i="62"/>
  <c r="J170" i="62"/>
  <c r="K169" i="62"/>
  <c r="J169" i="62"/>
  <c r="K168" i="62"/>
  <c r="J168" i="62"/>
  <c r="K167" i="62"/>
  <c r="J167" i="62"/>
  <c r="K166" i="62"/>
  <c r="J166" i="62"/>
  <c r="K165" i="62"/>
  <c r="J165" i="62"/>
  <c r="K164" i="62"/>
  <c r="J164" i="62"/>
  <c r="K163" i="62"/>
  <c r="J163" i="62"/>
  <c r="K162" i="62"/>
  <c r="J162" i="62"/>
  <c r="K161" i="62"/>
  <c r="J161" i="62"/>
  <c r="K160" i="62"/>
  <c r="J160" i="62"/>
  <c r="K159" i="62"/>
  <c r="J159" i="62"/>
  <c r="K158" i="62"/>
  <c r="J158" i="62"/>
  <c r="K157" i="62"/>
  <c r="J157" i="62"/>
  <c r="K156" i="62"/>
  <c r="J156" i="62"/>
  <c r="K155" i="62"/>
  <c r="J155" i="62"/>
  <c r="K154" i="62"/>
  <c r="J154" i="62"/>
  <c r="K153" i="62"/>
  <c r="J153" i="62"/>
  <c r="K152" i="62"/>
  <c r="J152" i="62"/>
  <c r="K151" i="62"/>
  <c r="J151" i="62"/>
  <c r="K150" i="62"/>
  <c r="J150" i="62"/>
  <c r="K149" i="62"/>
  <c r="J149" i="62"/>
  <c r="K148" i="62"/>
  <c r="J148" i="62"/>
  <c r="K147" i="62"/>
  <c r="J147" i="62"/>
  <c r="K146" i="62"/>
  <c r="J146" i="62"/>
  <c r="K145" i="62"/>
  <c r="J145" i="62"/>
  <c r="K144" i="62"/>
  <c r="J144" i="62"/>
  <c r="K143" i="62"/>
  <c r="J143" i="62"/>
  <c r="K142" i="62"/>
  <c r="J142" i="62"/>
  <c r="K141" i="62"/>
  <c r="J141" i="62"/>
  <c r="K140" i="62"/>
  <c r="J140" i="62"/>
  <c r="K139" i="62"/>
  <c r="J139" i="62"/>
  <c r="K138" i="62"/>
  <c r="J138" i="62"/>
  <c r="K137" i="62"/>
  <c r="J137" i="62"/>
  <c r="K136" i="62"/>
  <c r="J136" i="62"/>
  <c r="K135" i="62"/>
  <c r="J135" i="62"/>
  <c r="K134" i="62"/>
  <c r="J134" i="62"/>
  <c r="K133" i="62"/>
  <c r="J133" i="62"/>
  <c r="K132" i="62"/>
  <c r="J132" i="62"/>
  <c r="K131" i="62"/>
  <c r="J131" i="62"/>
  <c r="K130" i="62"/>
  <c r="J130" i="62"/>
  <c r="K129" i="62"/>
  <c r="J129" i="62"/>
  <c r="K128" i="62"/>
  <c r="J128" i="62"/>
  <c r="K127" i="62"/>
  <c r="J127" i="62"/>
  <c r="K126" i="62"/>
  <c r="J126" i="62"/>
  <c r="K125" i="62"/>
  <c r="J125" i="62"/>
  <c r="K124" i="62"/>
  <c r="J124" i="62"/>
  <c r="K123" i="62"/>
  <c r="J123" i="62"/>
  <c r="K122" i="62"/>
  <c r="J122" i="62"/>
  <c r="K121" i="62"/>
  <c r="J121" i="62"/>
  <c r="K120" i="62"/>
  <c r="J120" i="62"/>
  <c r="K119" i="62"/>
  <c r="J119" i="62"/>
  <c r="K118" i="62"/>
  <c r="J118" i="62"/>
  <c r="K117" i="62"/>
  <c r="J117" i="62"/>
  <c r="K116" i="62"/>
  <c r="J116" i="62"/>
  <c r="K115" i="62"/>
  <c r="J115" i="62"/>
  <c r="K114" i="62"/>
  <c r="J114" i="62"/>
  <c r="K113" i="62"/>
  <c r="J113" i="62"/>
  <c r="K112" i="62"/>
  <c r="J112" i="62"/>
  <c r="K111" i="62"/>
  <c r="J111" i="62"/>
  <c r="K110" i="62"/>
  <c r="J110" i="62"/>
  <c r="K109" i="62"/>
  <c r="J109" i="62"/>
  <c r="K108" i="62"/>
  <c r="J108" i="62"/>
  <c r="K107" i="62"/>
  <c r="J107" i="62"/>
  <c r="K106" i="62"/>
  <c r="J106" i="62"/>
  <c r="K105" i="62"/>
  <c r="J105" i="62"/>
  <c r="K104" i="62"/>
  <c r="J104" i="62"/>
  <c r="K103" i="62"/>
  <c r="J103" i="62"/>
  <c r="K102" i="62"/>
  <c r="J102" i="62"/>
  <c r="K101" i="62"/>
  <c r="J101" i="62"/>
  <c r="K100" i="62"/>
  <c r="J100" i="62"/>
  <c r="K99" i="62"/>
  <c r="J99" i="62"/>
  <c r="K98" i="62"/>
  <c r="J98" i="62"/>
  <c r="K97" i="62"/>
  <c r="J97" i="62"/>
  <c r="K96" i="62"/>
  <c r="J96" i="62"/>
  <c r="K95" i="62"/>
  <c r="J95" i="62"/>
  <c r="K94" i="62"/>
  <c r="J94" i="62"/>
  <c r="K93" i="62"/>
  <c r="J93" i="62"/>
  <c r="K92" i="62"/>
  <c r="J92" i="62"/>
  <c r="K91" i="62"/>
  <c r="J91" i="62"/>
  <c r="K90" i="62"/>
  <c r="J90" i="62"/>
  <c r="K89" i="62"/>
  <c r="J89" i="62"/>
  <c r="K88" i="62"/>
  <c r="J88" i="62"/>
  <c r="K87" i="62"/>
  <c r="J87" i="62"/>
  <c r="K86" i="62"/>
  <c r="J86" i="62"/>
  <c r="K85" i="62"/>
  <c r="J85" i="62"/>
  <c r="K84" i="62"/>
  <c r="J84" i="62"/>
  <c r="K83" i="62"/>
  <c r="J83" i="62"/>
  <c r="K82" i="62"/>
  <c r="J82" i="62"/>
  <c r="K81" i="62"/>
  <c r="J81" i="62"/>
  <c r="K80" i="62"/>
  <c r="J80" i="62"/>
  <c r="K79" i="62"/>
  <c r="J79" i="62"/>
  <c r="K78" i="62"/>
  <c r="J78" i="62"/>
  <c r="K77" i="62"/>
  <c r="J77" i="62"/>
  <c r="K76" i="62"/>
  <c r="J76" i="62"/>
  <c r="K75" i="62"/>
  <c r="J75" i="62"/>
  <c r="K74" i="62"/>
  <c r="J74" i="62"/>
  <c r="K73" i="62"/>
  <c r="J73" i="62"/>
  <c r="K72" i="62"/>
  <c r="J72" i="62"/>
  <c r="K71" i="62"/>
  <c r="J71" i="62"/>
  <c r="K70" i="62"/>
  <c r="J70" i="62"/>
  <c r="K69" i="62"/>
  <c r="J69" i="62"/>
  <c r="K68" i="62"/>
  <c r="J68" i="62"/>
  <c r="K67" i="62"/>
  <c r="J67" i="62"/>
  <c r="K66" i="62"/>
  <c r="J66" i="62"/>
  <c r="K65" i="62"/>
  <c r="J65" i="62"/>
  <c r="K64" i="62"/>
  <c r="J64" i="62"/>
  <c r="K63" i="62"/>
  <c r="J63" i="62"/>
  <c r="K62" i="62"/>
  <c r="J62" i="62"/>
  <c r="K61" i="62"/>
  <c r="J61" i="62"/>
  <c r="K60" i="62"/>
  <c r="J60" i="62"/>
  <c r="K59" i="62"/>
  <c r="J59" i="62"/>
  <c r="K58" i="62"/>
  <c r="J58" i="62"/>
  <c r="K57" i="62"/>
  <c r="J57" i="62"/>
  <c r="K56" i="62"/>
  <c r="J56" i="62"/>
  <c r="K55" i="62"/>
  <c r="J55" i="62"/>
  <c r="K54" i="62"/>
  <c r="J54" i="62"/>
  <c r="K53" i="62"/>
  <c r="J53" i="62"/>
  <c r="K52" i="62"/>
  <c r="J52" i="62"/>
  <c r="K51" i="62"/>
  <c r="J51" i="62"/>
  <c r="K50" i="62"/>
  <c r="J50" i="62"/>
  <c r="K49" i="62"/>
  <c r="J49" i="62"/>
  <c r="K48" i="62"/>
  <c r="J48" i="62"/>
  <c r="K47" i="62"/>
  <c r="J47" i="62"/>
  <c r="K46" i="62"/>
  <c r="J46" i="62"/>
  <c r="K45" i="62"/>
  <c r="J45" i="62"/>
  <c r="K44" i="62"/>
  <c r="J44" i="62"/>
  <c r="K43" i="62"/>
  <c r="J43" i="62"/>
  <c r="K42" i="62"/>
  <c r="J42" i="62"/>
  <c r="K41" i="62"/>
  <c r="J41" i="62"/>
  <c r="K40" i="62"/>
  <c r="J40" i="62"/>
  <c r="K39" i="62"/>
  <c r="J39" i="62"/>
  <c r="K38" i="62"/>
  <c r="J38" i="62"/>
  <c r="K37" i="62"/>
  <c r="J37" i="62"/>
  <c r="K36" i="62"/>
  <c r="J36" i="62"/>
  <c r="K35" i="62"/>
  <c r="J35" i="62"/>
  <c r="K34" i="62"/>
  <c r="J34" i="62"/>
  <c r="K33" i="62"/>
  <c r="J33" i="62"/>
  <c r="K32" i="62"/>
  <c r="J32" i="62"/>
  <c r="K31" i="62"/>
  <c r="J31" i="62"/>
  <c r="K30" i="62"/>
  <c r="J30" i="62"/>
  <c r="K29" i="62"/>
  <c r="J29" i="62"/>
  <c r="K28" i="62"/>
  <c r="J28" i="62"/>
  <c r="K27" i="62"/>
  <c r="J27" i="62"/>
  <c r="K26" i="62"/>
  <c r="J26" i="62"/>
  <c r="K25" i="62"/>
  <c r="J25" i="62"/>
  <c r="K24" i="62"/>
  <c r="J24" i="62"/>
  <c r="K23" i="62"/>
  <c r="J23" i="62"/>
  <c r="K22" i="62"/>
  <c r="J22" i="62"/>
  <c r="K21" i="62"/>
  <c r="J21" i="62"/>
  <c r="K20" i="62"/>
  <c r="J20" i="62"/>
  <c r="K19" i="62"/>
  <c r="J19" i="62"/>
  <c r="K18" i="62"/>
  <c r="J18" i="62"/>
  <c r="K17" i="62"/>
  <c r="J17" i="62"/>
  <c r="K16" i="62"/>
  <c r="J16" i="62"/>
  <c r="K15" i="62"/>
  <c r="J15" i="62"/>
  <c r="K14" i="62"/>
  <c r="J14" i="62"/>
  <c r="K13" i="62"/>
  <c r="J13" i="62"/>
  <c r="K12" i="62"/>
  <c r="J12" i="62"/>
  <c r="K11" i="62"/>
  <c r="J11" i="62"/>
  <c r="K10" i="62"/>
  <c r="J10" i="62"/>
  <c r="K9" i="62"/>
  <c r="J9" i="62"/>
  <c r="K8" i="62"/>
  <c r="J8" i="62"/>
  <c r="K7" i="62"/>
  <c r="J7" i="62"/>
  <c r="K6" i="62"/>
  <c r="J6" i="62"/>
  <c r="K3" i="62"/>
  <c r="I3" i="62"/>
  <c r="H3" i="62"/>
  <c r="K496" i="59"/>
  <c r="J496" i="59"/>
  <c r="K495" i="59"/>
  <c r="J495" i="59"/>
  <c r="K494" i="59"/>
  <c r="J494" i="59"/>
  <c r="K493" i="59"/>
  <c r="J493" i="59"/>
  <c r="K492" i="59"/>
  <c r="J492" i="59"/>
  <c r="K491" i="59"/>
  <c r="J491" i="59"/>
  <c r="K490" i="59"/>
  <c r="J490" i="59"/>
  <c r="K489" i="59"/>
  <c r="J489" i="59"/>
  <c r="K488" i="59"/>
  <c r="J488" i="59"/>
  <c r="K487" i="59"/>
  <c r="J487" i="59"/>
  <c r="K486" i="59"/>
  <c r="J486" i="59"/>
  <c r="K485" i="59"/>
  <c r="J485" i="59"/>
  <c r="K484" i="59"/>
  <c r="J484" i="59"/>
  <c r="K483" i="59"/>
  <c r="J483" i="59"/>
  <c r="K482" i="59"/>
  <c r="J482" i="59"/>
  <c r="K481" i="59"/>
  <c r="J481" i="59"/>
  <c r="K480" i="59"/>
  <c r="J480" i="59"/>
  <c r="K479" i="59"/>
  <c r="J479" i="59"/>
  <c r="K478" i="59"/>
  <c r="J478" i="59"/>
  <c r="K477" i="59"/>
  <c r="J477" i="59"/>
  <c r="K476" i="59"/>
  <c r="J476" i="59"/>
  <c r="K475" i="59"/>
  <c r="J475" i="59"/>
  <c r="K474" i="59"/>
  <c r="J474" i="59"/>
  <c r="K473" i="59"/>
  <c r="J473" i="59"/>
  <c r="K472" i="59"/>
  <c r="J472" i="59"/>
  <c r="K471" i="59"/>
  <c r="J471" i="59"/>
  <c r="K470" i="59"/>
  <c r="J470" i="59"/>
  <c r="K469" i="59"/>
  <c r="J469" i="59"/>
  <c r="K468" i="59"/>
  <c r="J468" i="59"/>
  <c r="K467" i="59"/>
  <c r="J467" i="59"/>
  <c r="K466" i="59"/>
  <c r="J466" i="59"/>
  <c r="K465" i="59"/>
  <c r="J465" i="59"/>
  <c r="K464" i="59"/>
  <c r="J464" i="59"/>
  <c r="K463" i="59"/>
  <c r="J463" i="59"/>
  <c r="K462" i="59"/>
  <c r="J462" i="59"/>
  <c r="K461" i="59"/>
  <c r="J461" i="59"/>
  <c r="K460" i="59"/>
  <c r="J460" i="59"/>
  <c r="K459" i="59"/>
  <c r="J459" i="59"/>
  <c r="K458" i="59"/>
  <c r="J458" i="59"/>
  <c r="K457" i="59"/>
  <c r="J457" i="59"/>
  <c r="K456" i="59"/>
  <c r="J456" i="59"/>
  <c r="K455" i="59"/>
  <c r="J455" i="59"/>
  <c r="K454" i="59"/>
  <c r="J454" i="59"/>
  <c r="K453" i="59"/>
  <c r="J453" i="59"/>
  <c r="K452" i="59"/>
  <c r="J452" i="59"/>
  <c r="K451" i="59"/>
  <c r="J451" i="59"/>
  <c r="K450" i="59"/>
  <c r="J450" i="59"/>
  <c r="K449" i="59"/>
  <c r="J449" i="59"/>
  <c r="K448" i="59"/>
  <c r="J448" i="59"/>
  <c r="K447" i="59"/>
  <c r="J447" i="59"/>
  <c r="K446" i="59"/>
  <c r="J446" i="59"/>
  <c r="K445" i="59"/>
  <c r="J445" i="59"/>
  <c r="K444" i="59"/>
  <c r="J444" i="59"/>
  <c r="K443" i="59"/>
  <c r="J443" i="59"/>
  <c r="K442" i="59"/>
  <c r="J442" i="59"/>
  <c r="K441" i="59"/>
  <c r="J441" i="59"/>
  <c r="K440" i="59"/>
  <c r="J440" i="59"/>
  <c r="K439" i="59"/>
  <c r="J439" i="59"/>
  <c r="K438" i="59"/>
  <c r="J438" i="59"/>
  <c r="K437" i="59"/>
  <c r="J437" i="59"/>
  <c r="K436" i="59"/>
  <c r="J436" i="59"/>
  <c r="K435" i="59"/>
  <c r="J435" i="59"/>
  <c r="K434" i="59"/>
  <c r="J434" i="59"/>
  <c r="K433" i="59"/>
  <c r="J433" i="59"/>
  <c r="K432" i="59"/>
  <c r="J432" i="59"/>
  <c r="K431" i="59"/>
  <c r="J431" i="59"/>
  <c r="K430" i="59"/>
  <c r="J430" i="59"/>
  <c r="K429" i="59"/>
  <c r="J429" i="59"/>
  <c r="K428" i="59"/>
  <c r="J428" i="59"/>
  <c r="K427" i="59"/>
  <c r="J427" i="59"/>
  <c r="K426" i="59"/>
  <c r="J426" i="59"/>
  <c r="K425" i="59"/>
  <c r="J425" i="59"/>
  <c r="K424" i="59"/>
  <c r="J424" i="59"/>
  <c r="K423" i="59"/>
  <c r="J423" i="59"/>
  <c r="K422" i="59"/>
  <c r="J422" i="59"/>
  <c r="K421" i="59"/>
  <c r="J421" i="59"/>
  <c r="K420" i="59"/>
  <c r="J420" i="59"/>
  <c r="K419" i="59"/>
  <c r="J419" i="59"/>
  <c r="K418" i="59"/>
  <c r="J418" i="59"/>
  <c r="K417" i="59"/>
  <c r="J417" i="59"/>
  <c r="K416" i="59"/>
  <c r="J416" i="59"/>
  <c r="K415" i="59"/>
  <c r="J415" i="59"/>
  <c r="K414" i="59"/>
  <c r="J414" i="59"/>
  <c r="K413" i="59"/>
  <c r="J413" i="59"/>
  <c r="K412" i="59"/>
  <c r="J412" i="59"/>
  <c r="K411" i="59"/>
  <c r="J411" i="59"/>
  <c r="K410" i="59"/>
  <c r="J410" i="59"/>
  <c r="K409" i="59"/>
  <c r="J409" i="59"/>
  <c r="K408" i="59"/>
  <c r="J408" i="59"/>
  <c r="K407" i="59"/>
  <c r="J407" i="59"/>
  <c r="K406" i="59"/>
  <c r="J406" i="59"/>
  <c r="K405" i="59"/>
  <c r="J405" i="59"/>
  <c r="K404" i="59"/>
  <c r="J404" i="59"/>
  <c r="K403" i="59"/>
  <c r="J403" i="59"/>
  <c r="K402" i="59"/>
  <c r="J402" i="59"/>
  <c r="K401" i="59"/>
  <c r="J401" i="59"/>
  <c r="K400" i="59"/>
  <c r="J400" i="59"/>
  <c r="K399" i="59"/>
  <c r="J399" i="59"/>
  <c r="K398" i="59"/>
  <c r="J398" i="59"/>
  <c r="K397" i="59"/>
  <c r="J397" i="59"/>
  <c r="K396" i="59"/>
  <c r="J396" i="59"/>
  <c r="K395" i="59"/>
  <c r="J395" i="59"/>
  <c r="K394" i="59"/>
  <c r="J394" i="59"/>
  <c r="K393" i="59"/>
  <c r="J393" i="59"/>
  <c r="K392" i="59"/>
  <c r="J392" i="59"/>
  <c r="K391" i="59"/>
  <c r="J391" i="59"/>
  <c r="K390" i="59"/>
  <c r="J390" i="59"/>
  <c r="K389" i="59"/>
  <c r="J389" i="59"/>
  <c r="K388" i="59"/>
  <c r="J388" i="59"/>
  <c r="K387" i="59"/>
  <c r="J387" i="59"/>
  <c r="K386" i="59"/>
  <c r="J386" i="59"/>
  <c r="K385" i="59"/>
  <c r="J385" i="59"/>
  <c r="K384" i="59"/>
  <c r="J384" i="59"/>
  <c r="K383" i="59"/>
  <c r="J383" i="59"/>
  <c r="K382" i="59"/>
  <c r="J382" i="59"/>
  <c r="K381" i="59"/>
  <c r="J381" i="59"/>
  <c r="K380" i="59"/>
  <c r="J380" i="59"/>
  <c r="K379" i="59"/>
  <c r="J379" i="59"/>
  <c r="K378" i="59"/>
  <c r="J378" i="59"/>
  <c r="K377" i="59"/>
  <c r="J377" i="59"/>
  <c r="K376" i="59"/>
  <c r="J376" i="59"/>
  <c r="K375" i="59"/>
  <c r="J375" i="59"/>
  <c r="K374" i="59"/>
  <c r="J374" i="59"/>
  <c r="K373" i="59"/>
  <c r="J373" i="59"/>
  <c r="K372" i="59"/>
  <c r="J372" i="59"/>
  <c r="K371" i="59"/>
  <c r="J371" i="59"/>
  <c r="K370" i="59"/>
  <c r="J370" i="59"/>
  <c r="K369" i="59"/>
  <c r="J369" i="59"/>
  <c r="K368" i="59"/>
  <c r="J368" i="59"/>
  <c r="K367" i="59"/>
  <c r="J367" i="59"/>
  <c r="K366" i="59"/>
  <c r="J366" i="59"/>
  <c r="K365" i="59"/>
  <c r="J365" i="59"/>
  <c r="K364" i="59"/>
  <c r="J364" i="59"/>
  <c r="K363" i="59"/>
  <c r="J363" i="59"/>
  <c r="K362" i="59"/>
  <c r="J362" i="59"/>
  <c r="K361" i="59"/>
  <c r="J361" i="59"/>
  <c r="K360" i="59"/>
  <c r="J360" i="59"/>
  <c r="K359" i="59"/>
  <c r="J359" i="59"/>
  <c r="K358" i="59"/>
  <c r="J358" i="59"/>
  <c r="K357" i="59"/>
  <c r="J357" i="59"/>
  <c r="K356" i="59"/>
  <c r="J356" i="59"/>
  <c r="K355" i="59"/>
  <c r="J355" i="59"/>
  <c r="K354" i="59"/>
  <c r="J354" i="59"/>
  <c r="K353" i="59"/>
  <c r="J353" i="59"/>
  <c r="K352" i="59"/>
  <c r="J352" i="59"/>
  <c r="K351" i="59"/>
  <c r="J351" i="59"/>
  <c r="K350" i="59"/>
  <c r="J350" i="59"/>
  <c r="K349" i="59"/>
  <c r="J349" i="59"/>
  <c r="K348" i="59"/>
  <c r="J348" i="59"/>
  <c r="K347" i="59"/>
  <c r="J347" i="59"/>
  <c r="K346" i="59"/>
  <c r="J346" i="59"/>
  <c r="K345" i="59"/>
  <c r="J345" i="59"/>
  <c r="K344" i="59"/>
  <c r="J344" i="59"/>
  <c r="K343" i="59"/>
  <c r="J343" i="59"/>
  <c r="K342" i="59"/>
  <c r="J342" i="59"/>
  <c r="K341" i="59"/>
  <c r="J341" i="59"/>
  <c r="K340" i="59"/>
  <c r="J340" i="59"/>
  <c r="K339" i="59"/>
  <c r="J339" i="59"/>
  <c r="K338" i="59"/>
  <c r="J338" i="59"/>
  <c r="K337" i="59"/>
  <c r="J337" i="59"/>
  <c r="K336" i="59"/>
  <c r="J336" i="59"/>
  <c r="K335" i="59"/>
  <c r="J335" i="59"/>
  <c r="K334" i="59"/>
  <c r="J334" i="59"/>
  <c r="K333" i="59"/>
  <c r="J333" i="59"/>
  <c r="K332" i="59"/>
  <c r="J332" i="59"/>
  <c r="K331" i="59"/>
  <c r="J331" i="59"/>
  <c r="K330" i="59"/>
  <c r="J330" i="59"/>
  <c r="K329" i="59"/>
  <c r="J329" i="59"/>
  <c r="K328" i="59"/>
  <c r="J328" i="59"/>
  <c r="K327" i="59"/>
  <c r="J327" i="59"/>
  <c r="K326" i="59"/>
  <c r="J326" i="59"/>
  <c r="K325" i="59"/>
  <c r="J325" i="59"/>
  <c r="K324" i="59"/>
  <c r="J324" i="59"/>
  <c r="K323" i="59"/>
  <c r="J323" i="59"/>
  <c r="K322" i="59"/>
  <c r="J322" i="59"/>
  <c r="K321" i="59"/>
  <c r="J321" i="59"/>
  <c r="K320" i="59"/>
  <c r="J320" i="59"/>
  <c r="K319" i="59"/>
  <c r="J319" i="59"/>
  <c r="K318" i="59"/>
  <c r="J318" i="59"/>
  <c r="K317" i="59"/>
  <c r="J317" i="59"/>
  <c r="K316" i="59"/>
  <c r="J316" i="59"/>
  <c r="K315" i="59"/>
  <c r="J315" i="59"/>
  <c r="K314" i="59"/>
  <c r="J314" i="59"/>
  <c r="K313" i="59"/>
  <c r="J313" i="59"/>
  <c r="K312" i="59"/>
  <c r="J312" i="59"/>
  <c r="K311" i="59"/>
  <c r="J311" i="59"/>
  <c r="K310" i="59"/>
  <c r="J310" i="59"/>
  <c r="K309" i="59"/>
  <c r="J309" i="59"/>
  <c r="K308" i="59"/>
  <c r="J308" i="59"/>
  <c r="K307" i="59"/>
  <c r="J307" i="59"/>
  <c r="K306" i="59"/>
  <c r="J306" i="59"/>
  <c r="K305" i="59"/>
  <c r="J305" i="59"/>
  <c r="K304" i="59"/>
  <c r="J304" i="59"/>
  <c r="K303" i="59"/>
  <c r="J303" i="59"/>
  <c r="K302" i="59"/>
  <c r="J302" i="59"/>
  <c r="K301" i="59"/>
  <c r="J301" i="59"/>
  <c r="K300" i="59"/>
  <c r="J300" i="59"/>
  <c r="K299" i="59"/>
  <c r="J299" i="59"/>
  <c r="K298" i="59"/>
  <c r="J298" i="59"/>
  <c r="K297" i="59"/>
  <c r="J297" i="59"/>
  <c r="K296" i="59"/>
  <c r="J296" i="59"/>
  <c r="K295" i="59"/>
  <c r="J295" i="59"/>
  <c r="K294" i="59"/>
  <c r="J294" i="59"/>
  <c r="K293" i="59"/>
  <c r="J293" i="59"/>
  <c r="K292" i="59"/>
  <c r="J292" i="59"/>
  <c r="K291" i="59"/>
  <c r="J291" i="59"/>
  <c r="K290" i="59"/>
  <c r="J290" i="59"/>
  <c r="K289" i="59"/>
  <c r="J289" i="59"/>
  <c r="K288" i="59"/>
  <c r="J288" i="59"/>
  <c r="K287" i="59"/>
  <c r="J287" i="59"/>
  <c r="K286" i="59"/>
  <c r="J286" i="59"/>
  <c r="K285" i="59"/>
  <c r="J285" i="59"/>
  <c r="K284" i="59"/>
  <c r="J284" i="59"/>
  <c r="K283" i="59"/>
  <c r="J283" i="59"/>
  <c r="K282" i="59"/>
  <c r="J282" i="59"/>
  <c r="K281" i="59"/>
  <c r="J281" i="59"/>
  <c r="K280" i="59"/>
  <c r="J280" i="59"/>
  <c r="K279" i="59"/>
  <c r="J279" i="59"/>
  <c r="K278" i="59"/>
  <c r="J278" i="59"/>
  <c r="K277" i="59"/>
  <c r="J277" i="59"/>
  <c r="K276" i="59"/>
  <c r="J276" i="59"/>
  <c r="K275" i="59"/>
  <c r="J275" i="59"/>
  <c r="K274" i="59"/>
  <c r="J274" i="59"/>
  <c r="K273" i="59"/>
  <c r="J273" i="59"/>
  <c r="K272" i="59"/>
  <c r="J272" i="59"/>
  <c r="K271" i="59"/>
  <c r="J271" i="59"/>
  <c r="K270" i="59"/>
  <c r="J270" i="59"/>
  <c r="K269" i="59"/>
  <c r="J269" i="59"/>
  <c r="K268" i="59"/>
  <c r="J268" i="59"/>
  <c r="K267" i="59"/>
  <c r="J267" i="59"/>
  <c r="K266" i="59"/>
  <c r="J266" i="59"/>
  <c r="K265" i="59"/>
  <c r="J265" i="59"/>
  <c r="K264" i="59"/>
  <c r="J264" i="59"/>
  <c r="K263" i="59"/>
  <c r="J263" i="59"/>
  <c r="K262" i="59"/>
  <c r="J262" i="59"/>
  <c r="K261" i="59"/>
  <c r="J261" i="59"/>
  <c r="K260" i="59"/>
  <c r="J260" i="59"/>
  <c r="K259" i="59"/>
  <c r="J259" i="59"/>
  <c r="K258" i="59"/>
  <c r="J258" i="59"/>
  <c r="K257" i="59"/>
  <c r="J257" i="59"/>
  <c r="K256" i="59"/>
  <c r="J256" i="59"/>
  <c r="K255" i="59"/>
  <c r="J255" i="59"/>
  <c r="K254" i="59"/>
  <c r="J254" i="59"/>
  <c r="K253" i="59"/>
  <c r="J253" i="59"/>
  <c r="K252" i="59"/>
  <c r="J252" i="59"/>
  <c r="K251" i="59"/>
  <c r="J251" i="59"/>
  <c r="K250" i="59"/>
  <c r="J250" i="59"/>
  <c r="K249" i="59"/>
  <c r="J249" i="59"/>
  <c r="K248" i="59"/>
  <c r="J248" i="59"/>
  <c r="K247" i="59"/>
  <c r="J247" i="59"/>
  <c r="K246" i="59"/>
  <c r="J246" i="59"/>
  <c r="K245" i="59"/>
  <c r="J245" i="59"/>
  <c r="K244" i="59"/>
  <c r="J244" i="59"/>
  <c r="K243" i="59"/>
  <c r="J243" i="59"/>
  <c r="K242" i="59"/>
  <c r="J242" i="59"/>
  <c r="K241" i="59"/>
  <c r="J241" i="59"/>
  <c r="K240" i="59"/>
  <c r="J240" i="59"/>
  <c r="K239" i="59"/>
  <c r="J239" i="59"/>
  <c r="K238" i="59"/>
  <c r="J238" i="59"/>
  <c r="K237" i="59"/>
  <c r="J237" i="59"/>
  <c r="K236" i="59"/>
  <c r="J236" i="59"/>
  <c r="K235" i="59"/>
  <c r="J235" i="59"/>
  <c r="K234" i="59"/>
  <c r="J234" i="59"/>
  <c r="K233" i="59"/>
  <c r="J233" i="59"/>
  <c r="K232" i="59"/>
  <c r="J232" i="59"/>
  <c r="K231" i="59"/>
  <c r="J231" i="59"/>
  <c r="K230" i="59"/>
  <c r="J230" i="59"/>
  <c r="K229" i="59"/>
  <c r="J229" i="59"/>
  <c r="K228" i="59"/>
  <c r="J228" i="59"/>
  <c r="K227" i="59"/>
  <c r="J227" i="59"/>
  <c r="K226" i="59"/>
  <c r="J226" i="59"/>
  <c r="K225" i="59"/>
  <c r="J225" i="59"/>
  <c r="K224" i="59"/>
  <c r="J224" i="59"/>
  <c r="K223" i="59"/>
  <c r="J223" i="59"/>
  <c r="K222" i="59"/>
  <c r="J222" i="59"/>
  <c r="K221" i="59"/>
  <c r="J221" i="59"/>
  <c r="K220" i="59"/>
  <c r="J220" i="59"/>
  <c r="K219" i="59"/>
  <c r="J219" i="59"/>
  <c r="K218" i="59"/>
  <c r="J218" i="59"/>
  <c r="K217" i="59"/>
  <c r="J217" i="59"/>
  <c r="K216" i="59"/>
  <c r="J216" i="59"/>
  <c r="K215" i="59"/>
  <c r="J215" i="59"/>
  <c r="K214" i="59"/>
  <c r="J214" i="59"/>
  <c r="K213" i="59"/>
  <c r="J213" i="59"/>
  <c r="K212" i="59"/>
  <c r="J212" i="59"/>
  <c r="K211" i="59"/>
  <c r="J211" i="59"/>
  <c r="K210" i="59"/>
  <c r="J210" i="59"/>
  <c r="K209" i="59"/>
  <c r="J209" i="59"/>
  <c r="K208" i="59"/>
  <c r="J208" i="59"/>
  <c r="K207" i="59"/>
  <c r="J207" i="59"/>
  <c r="K206" i="59"/>
  <c r="J206" i="59"/>
  <c r="K205" i="59"/>
  <c r="J205" i="59"/>
  <c r="K204" i="59"/>
  <c r="J204" i="59"/>
  <c r="K203" i="59"/>
  <c r="J203" i="59"/>
  <c r="K202" i="59"/>
  <c r="J202" i="59"/>
  <c r="K201" i="59"/>
  <c r="J201" i="59"/>
  <c r="K200" i="59"/>
  <c r="J200" i="59"/>
  <c r="K199" i="59"/>
  <c r="J199" i="59"/>
  <c r="K198" i="59"/>
  <c r="J198" i="59"/>
  <c r="K197" i="59"/>
  <c r="J197" i="59"/>
  <c r="K196" i="59"/>
  <c r="J196" i="59"/>
  <c r="K195" i="59"/>
  <c r="J195" i="59"/>
  <c r="K194" i="59"/>
  <c r="J194" i="59"/>
  <c r="K193" i="59"/>
  <c r="J193" i="59"/>
  <c r="K192" i="59"/>
  <c r="J192" i="59"/>
  <c r="K191" i="59"/>
  <c r="J191" i="59"/>
  <c r="K190" i="59"/>
  <c r="J190" i="59"/>
  <c r="K189" i="59"/>
  <c r="J189" i="59"/>
  <c r="K188" i="59"/>
  <c r="J188" i="59"/>
  <c r="K187" i="59"/>
  <c r="J187" i="59"/>
  <c r="K186" i="59"/>
  <c r="J186" i="59"/>
  <c r="K185" i="59"/>
  <c r="J185" i="59"/>
  <c r="K184" i="59"/>
  <c r="J184" i="59"/>
  <c r="K183" i="59"/>
  <c r="J183" i="59"/>
  <c r="K182" i="59"/>
  <c r="J182" i="59"/>
  <c r="K181" i="59"/>
  <c r="J181" i="59"/>
  <c r="K180" i="59"/>
  <c r="J180" i="59"/>
  <c r="K179" i="59"/>
  <c r="J179" i="59"/>
  <c r="K178" i="59"/>
  <c r="J178" i="59"/>
  <c r="K177" i="59"/>
  <c r="J177" i="59"/>
  <c r="K176" i="59"/>
  <c r="J176" i="59"/>
  <c r="K175" i="59"/>
  <c r="J175" i="59"/>
  <c r="K174" i="59"/>
  <c r="J174" i="59"/>
  <c r="K173" i="59"/>
  <c r="J173" i="59"/>
  <c r="K172" i="59"/>
  <c r="J172" i="59"/>
  <c r="K171" i="59"/>
  <c r="J171" i="59"/>
  <c r="K170" i="59"/>
  <c r="J170" i="59"/>
  <c r="K169" i="59"/>
  <c r="J169" i="59"/>
  <c r="K168" i="59"/>
  <c r="J168" i="59"/>
  <c r="K167" i="59"/>
  <c r="J167" i="59"/>
  <c r="K166" i="59"/>
  <c r="J166" i="59"/>
  <c r="K165" i="59"/>
  <c r="J165" i="59"/>
  <c r="K164" i="59"/>
  <c r="J164" i="59"/>
  <c r="K163" i="59"/>
  <c r="J163" i="59"/>
  <c r="K162" i="59"/>
  <c r="J162" i="59"/>
  <c r="K161" i="59"/>
  <c r="J161" i="59"/>
  <c r="K160" i="59"/>
  <c r="J160" i="59"/>
  <c r="K159" i="59"/>
  <c r="J159" i="59"/>
  <c r="K158" i="59"/>
  <c r="J158" i="59"/>
  <c r="K157" i="59"/>
  <c r="J157" i="59"/>
  <c r="K156" i="59"/>
  <c r="J156" i="59"/>
  <c r="K155" i="59"/>
  <c r="J155" i="59"/>
  <c r="K154" i="59"/>
  <c r="J154" i="59"/>
  <c r="K153" i="59"/>
  <c r="J153" i="59"/>
  <c r="K152" i="59"/>
  <c r="J152" i="59"/>
  <c r="K151" i="59"/>
  <c r="J151" i="59"/>
  <c r="K150" i="59"/>
  <c r="J150" i="59"/>
  <c r="K149" i="59"/>
  <c r="J149" i="59"/>
  <c r="K148" i="59"/>
  <c r="J148" i="59"/>
  <c r="K147" i="59"/>
  <c r="J147" i="59"/>
  <c r="K146" i="59"/>
  <c r="J146" i="59"/>
  <c r="K145" i="59"/>
  <c r="J145" i="59"/>
  <c r="K144" i="59"/>
  <c r="J144" i="59"/>
  <c r="K143" i="59"/>
  <c r="J143" i="59"/>
  <c r="K142" i="59"/>
  <c r="J142" i="59"/>
  <c r="K141" i="59"/>
  <c r="J141" i="59"/>
  <c r="K140" i="59"/>
  <c r="J140" i="59"/>
  <c r="K139" i="59"/>
  <c r="J139" i="59"/>
  <c r="K138" i="59"/>
  <c r="J138" i="59"/>
  <c r="K137" i="59"/>
  <c r="J137" i="59"/>
  <c r="K136" i="59"/>
  <c r="J136" i="59"/>
  <c r="K135" i="59"/>
  <c r="J135" i="59"/>
  <c r="K134" i="59"/>
  <c r="J134" i="59"/>
  <c r="K133" i="59"/>
  <c r="J133" i="59"/>
  <c r="K132" i="59"/>
  <c r="J132" i="59"/>
  <c r="K131" i="59"/>
  <c r="J131" i="59"/>
  <c r="K130" i="59"/>
  <c r="J130" i="59"/>
  <c r="K129" i="59"/>
  <c r="J129" i="59"/>
  <c r="K128" i="59"/>
  <c r="J128" i="59"/>
  <c r="K127" i="59"/>
  <c r="J127" i="59"/>
  <c r="K126" i="59"/>
  <c r="J126" i="59"/>
  <c r="K125" i="59"/>
  <c r="J125" i="59"/>
  <c r="K124" i="59"/>
  <c r="J124" i="59"/>
  <c r="K123" i="59"/>
  <c r="J123" i="59"/>
  <c r="K122" i="59"/>
  <c r="J122" i="59"/>
  <c r="K121" i="59"/>
  <c r="J121" i="59"/>
  <c r="K120" i="59"/>
  <c r="J120" i="59"/>
  <c r="K119" i="59"/>
  <c r="J119" i="59"/>
  <c r="K118" i="59"/>
  <c r="J118" i="59"/>
  <c r="K117" i="59"/>
  <c r="J117" i="59"/>
  <c r="K116" i="59"/>
  <c r="J116" i="59"/>
  <c r="K115" i="59"/>
  <c r="J115" i="59"/>
  <c r="K114" i="59"/>
  <c r="J114" i="59"/>
  <c r="K113" i="59"/>
  <c r="J113" i="59"/>
  <c r="K112" i="59"/>
  <c r="J112" i="59"/>
  <c r="K111" i="59"/>
  <c r="J111" i="59"/>
  <c r="K110" i="59"/>
  <c r="J110" i="59"/>
  <c r="K109" i="59"/>
  <c r="J109" i="59"/>
  <c r="K108" i="59"/>
  <c r="J108" i="59"/>
  <c r="K107" i="59"/>
  <c r="J107" i="59"/>
  <c r="K106" i="59"/>
  <c r="J106" i="59"/>
  <c r="K105" i="59"/>
  <c r="J105" i="59"/>
  <c r="K104" i="59"/>
  <c r="J104" i="59"/>
  <c r="K103" i="59"/>
  <c r="J103" i="59"/>
  <c r="K102" i="59"/>
  <c r="J102" i="59"/>
  <c r="K101" i="59"/>
  <c r="J101" i="59"/>
  <c r="K100" i="59"/>
  <c r="J100" i="59"/>
  <c r="K99" i="59"/>
  <c r="J99" i="59"/>
  <c r="K98" i="59"/>
  <c r="J98" i="59"/>
  <c r="K97" i="59"/>
  <c r="J97" i="59"/>
  <c r="K96" i="59"/>
  <c r="J96" i="59"/>
  <c r="K95" i="59"/>
  <c r="J95" i="59"/>
  <c r="K94" i="59"/>
  <c r="J94" i="59"/>
  <c r="K93" i="59"/>
  <c r="J93" i="59"/>
  <c r="K92" i="59"/>
  <c r="J92" i="59"/>
  <c r="K91" i="59"/>
  <c r="J91" i="59"/>
  <c r="K90" i="59"/>
  <c r="J90" i="59"/>
  <c r="K89" i="59"/>
  <c r="J89" i="59"/>
  <c r="K88" i="59"/>
  <c r="J88" i="59"/>
  <c r="K87" i="59"/>
  <c r="J87" i="59"/>
  <c r="K86" i="59"/>
  <c r="J86" i="59"/>
  <c r="K85" i="59"/>
  <c r="J85" i="59"/>
  <c r="K84" i="59"/>
  <c r="J84" i="59"/>
  <c r="K83" i="59"/>
  <c r="J83" i="59"/>
  <c r="K82" i="59"/>
  <c r="J82" i="59"/>
  <c r="K81" i="59"/>
  <c r="J81" i="59"/>
  <c r="K80" i="59"/>
  <c r="J80" i="59"/>
  <c r="K79" i="59"/>
  <c r="J79" i="59"/>
  <c r="K78" i="59"/>
  <c r="J78" i="59"/>
  <c r="K77" i="59"/>
  <c r="J77" i="59"/>
  <c r="K76" i="59"/>
  <c r="J76" i="59"/>
  <c r="K75" i="59"/>
  <c r="J75" i="59"/>
  <c r="K74" i="59"/>
  <c r="J74" i="59"/>
  <c r="K73" i="59"/>
  <c r="J73" i="59"/>
  <c r="K72" i="59"/>
  <c r="J72" i="59"/>
  <c r="K71" i="59"/>
  <c r="J71" i="59"/>
  <c r="K70" i="59"/>
  <c r="J70" i="59"/>
  <c r="K69" i="59"/>
  <c r="J69" i="59"/>
  <c r="K68" i="59"/>
  <c r="J68" i="59"/>
  <c r="K67" i="59"/>
  <c r="J67" i="59"/>
  <c r="K66" i="59"/>
  <c r="J66" i="59"/>
  <c r="K65" i="59"/>
  <c r="J65" i="59"/>
  <c r="K64" i="59"/>
  <c r="J64" i="59"/>
  <c r="K63" i="59"/>
  <c r="J63" i="59"/>
  <c r="K62" i="59"/>
  <c r="J62" i="59"/>
  <c r="K61" i="59"/>
  <c r="J61" i="59"/>
  <c r="K60" i="59"/>
  <c r="J60" i="59"/>
  <c r="K59" i="59"/>
  <c r="J59" i="59"/>
  <c r="K58" i="59"/>
  <c r="J58" i="59"/>
  <c r="K57" i="59"/>
  <c r="J57" i="59"/>
  <c r="K56" i="59"/>
  <c r="J56" i="59"/>
  <c r="K55" i="59"/>
  <c r="J55" i="59"/>
  <c r="K54" i="59"/>
  <c r="J54" i="59"/>
  <c r="K53" i="59"/>
  <c r="J53" i="59"/>
  <c r="K52" i="59"/>
  <c r="J52" i="59"/>
  <c r="K51" i="59"/>
  <c r="J51" i="59"/>
  <c r="K50" i="59"/>
  <c r="J50" i="59"/>
  <c r="K49" i="59"/>
  <c r="J49" i="59"/>
  <c r="K48" i="59"/>
  <c r="J48" i="59"/>
  <c r="K47" i="59"/>
  <c r="J47" i="59"/>
  <c r="K46" i="59"/>
  <c r="J46" i="59"/>
  <c r="K45" i="59"/>
  <c r="J45" i="59"/>
  <c r="K44" i="59"/>
  <c r="J44" i="59"/>
  <c r="K43" i="59"/>
  <c r="J43" i="59"/>
  <c r="K42" i="59"/>
  <c r="J42" i="59"/>
  <c r="K41" i="59"/>
  <c r="J41" i="59"/>
  <c r="K40" i="59"/>
  <c r="J40" i="59"/>
  <c r="K39" i="59"/>
  <c r="J39" i="59"/>
  <c r="K38" i="59"/>
  <c r="J38" i="59"/>
  <c r="K37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J27" i="59"/>
  <c r="K26" i="59"/>
  <c r="J26" i="59"/>
  <c r="K25" i="59"/>
  <c r="J25" i="59"/>
  <c r="K24" i="59"/>
  <c r="J24" i="59"/>
  <c r="K23" i="59"/>
  <c r="J23" i="59"/>
  <c r="K22" i="59"/>
  <c r="J22" i="59"/>
  <c r="K21" i="59"/>
  <c r="J21" i="59"/>
  <c r="K20" i="59"/>
  <c r="J20" i="59"/>
  <c r="K19" i="59"/>
  <c r="J19" i="59"/>
  <c r="K18" i="59"/>
  <c r="J18" i="59"/>
  <c r="K17" i="59"/>
  <c r="J17" i="59"/>
  <c r="K16" i="59"/>
  <c r="J16" i="59"/>
  <c r="K15" i="59"/>
  <c r="J15" i="59"/>
  <c r="K14" i="59"/>
  <c r="J14" i="59"/>
  <c r="K13" i="59"/>
  <c r="J13" i="59"/>
  <c r="K12" i="59"/>
  <c r="J12" i="59"/>
  <c r="K11" i="59"/>
  <c r="J11" i="59"/>
  <c r="K10" i="59"/>
  <c r="J10" i="59"/>
  <c r="K9" i="59"/>
  <c r="J9" i="59"/>
  <c r="K8" i="59"/>
  <c r="J8" i="59"/>
  <c r="K7" i="59"/>
  <c r="J7" i="59"/>
  <c r="K6" i="59"/>
  <c r="J6" i="59"/>
  <c r="K3" i="59"/>
  <c r="I3" i="59"/>
  <c r="H3" i="59"/>
  <c r="K497" i="65"/>
  <c r="J497" i="65"/>
  <c r="K496" i="65"/>
  <c r="J496" i="65"/>
  <c r="K495" i="65"/>
  <c r="J495" i="65"/>
  <c r="K494" i="65"/>
  <c r="J494" i="65"/>
  <c r="K493" i="65"/>
  <c r="J493" i="65"/>
  <c r="K492" i="65"/>
  <c r="J492" i="65"/>
  <c r="K491" i="65"/>
  <c r="J491" i="65"/>
  <c r="K490" i="65"/>
  <c r="J490" i="65"/>
  <c r="K489" i="65"/>
  <c r="J489" i="65"/>
  <c r="K488" i="65"/>
  <c r="J488" i="65"/>
  <c r="K487" i="65"/>
  <c r="J487" i="65"/>
  <c r="K486" i="65"/>
  <c r="J486" i="65"/>
  <c r="K485" i="65"/>
  <c r="J485" i="65"/>
  <c r="K484" i="65"/>
  <c r="J484" i="65"/>
  <c r="K483" i="65"/>
  <c r="J483" i="65"/>
  <c r="K482" i="65"/>
  <c r="J482" i="65"/>
  <c r="K481" i="65"/>
  <c r="J481" i="65"/>
  <c r="K480" i="65"/>
  <c r="J480" i="65"/>
  <c r="K479" i="65"/>
  <c r="J479" i="65"/>
  <c r="K478" i="65"/>
  <c r="J478" i="65"/>
  <c r="K477" i="65"/>
  <c r="J477" i="65"/>
  <c r="K476" i="65"/>
  <c r="J476" i="65"/>
  <c r="K475" i="65"/>
  <c r="J475" i="65"/>
  <c r="K474" i="65"/>
  <c r="J474" i="65"/>
  <c r="K473" i="65"/>
  <c r="J473" i="65"/>
  <c r="K472" i="65"/>
  <c r="J472" i="65"/>
  <c r="K471" i="65"/>
  <c r="J471" i="65"/>
  <c r="K470" i="65"/>
  <c r="J470" i="65"/>
  <c r="K469" i="65"/>
  <c r="J469" i="65"/>
  <c r="K468" i="65"/>
  <c r="J468" i="65"/>
  <c r="K467" i="65"/>
  <c r="J467" i="65"/>
  <c r="K466" i="65"/>
  <c r="J466" i="65"/>
  <c r="K465" i="65"/>
  <c r="J465" i="65"/>
  <c r="K464" i="65"/>
  <c r="J464" i="65"/>
  <c r="K463" i="65"/>
  <c r="J463" i="65"/>
  <c r="K462" i="65"/>
  <c r="J462" i="65"/>
  <c r="K461" i="65"/>
  <c r="J461" i="65"/>
  <c r="K460" i="65"/>
  <c r="J460" i="65"/>
  <c r="K459" i="65"/>
  <c r="J459" i="65"/>
  <c r="K458" i="65"/>
  <c r="J458" i="65"/>
  <c r="K457" i="65"/>
  <c r="J457" i="65"/>
  <c r="K456" i="65"/>
  <c r="J456" i="65"/>
  <c r="K455" i="65"/>
  <c r="J455" i="65"/>
  <c r="K454" i="65"/>
  <c r="J454" i="65"/>
  <c r="K453" i="65"/>
  <c r="J453" i="65"/>
  <c r="K452" i="65"/>
  <c r="J452" i="65"/>
  <c r="K451" i="65"/>
  <c r="J451" i="65"/>
  <c r="K450" i="65"/>
  <c r="J450" i="65"/>
  <c r="K449" i="65"/>
  <c r="J449" i="65"/>
  <c r="K448" i="65"/>
  <c r="J448" i="65"/>
  <c r="K447" i="65"/>
  <c r="J447" i="65"/>
  <c r="K446" i="65"/>
  <c r="J446" i="65"/>
  <c r="K445" i="65"/>
  <c r="J445" i="65"/>
  <c r="K444" i="65"/>
  <c r="J444" i="65"/>
  <c r="K443" i="65"/>
  <c r="J443" i="65"/>
  <c r="K442" i="65"/>
  <c r="J442" i="65"/>
  <c r="K441" i="65"/>
  <c r="J441" i="65"/>
  <c r="K440" i="65"/>
  <c r="J440" i="65"/>
  <c r="K439" i="65"/>
  <c r="J439" i="65"/>
  <c r="K438" i="65"/>
  <c r="J438" i="65"/>
  <c r="K437" i="65"/>
  <c r="J437" i="65"/>
  <c r="K436" i="65"/>
  <c r="J436" i="65"/>
  <c r="K435" i="65"/>
  <c r="J435" i="65"/>
  <c r="K434" i="65"/>
  <c r="J434" i="65"/>
  <c r="K433" i="65"/>
  <c r="J433" i="65"/>
  <c r="K432" i="65"/>
  <c r="J432" i="65"/>
  <c r="K431" i="65"/>
  <c r="J431" i="65"/>
  <c r="K430" i="65"/>
  <c r="J430" i="65"/>
  <c r="K429" i="65"/>
  <c r="J429" i="65"/>
  <c r="K428" i="65"/>
  <c r="J428" i="65"/>
  <c r="K427" i="65"/>
  <c r="J427" i="65"/>
  <c r="K426" i="65"/>
  <c r="J426" i="65"/>
  <c r="K425" i="65"/>
  <c r="J425" i="65"/>
  <c r="K424" i="65"/>
  <c r="J424" i="65"/>
  <c r="K423" i="65"/>
  <c r="J423" i="65"/>
  <c r="K422" i="65"/>
  <c r="J422" i="65"/>
  <c r="K421" i="65"/>
  <c r="J421" i="65"/>
  <c r="K420" i="65"/>
  <c r="J420" i="65"/>
  <c r="K419" i="65"/>
  <c r="J419" i="65"/>
  <c r="K418" i="65"/>
  <c r="J418" i="65"/>
  <c r="K417" i="65"/>
  <c r="J417" i="65"/>
  <c r="K416" i="65"/>
  <c r="J416" i="65"/>
  <c r="K415" i="65"/>
  <c r="J415" i="65"/>
  <c r="K414" i="65"/>
  <c r="J414" i="65"/>
  <c r="K413" i="65"/>
  <c r="J413" i="65"/>
  <c r="K412" i="65"/>
  <c r="J412" i="65"/>
  <c r="K411" i="65"/>
  <c r="J411" i="65"/>
  <c r="K410" i="65"/>
  <c r="J410" i="65"/>
  <c r="K409" i="65"/>
  <c r="J409" i="65"/>
  <c r="K408" i="65"/>
  <c r="J408" i="65"/>
  <c r="K407" i="65"/>
  <c r="J407" i="65"/>
  <c r="K406" i="65"/>
  <c r="J406" i="65"/>
  <c r="K405" i="65"/>
  <c r="J405" i="65"/>
  <c r="K404" i="65"/>
  <c r="J404" i="65"/>
  <c r="K403" i="65"/>
  <c r="J403" i="65"/>
  <c r="K402" i="65"/>
  <c r="J402" i="65"/>
  <c r="K401" i="65"/>
  <c r="J401" i="65"/>
  <c r="K400" i="65"/>
  <c r="J400" i="65"/>
  <c r="K399" i="65"/>
  <c r="J399" i="65"/>
  <c r="K398" i="65"/>
  <c r="J398" i="65"/>
  <c r="K397" i="65"/>
  <c r="J397" i="65"/>
  <c r="K396" i="65"/>
  <c r="J396" i="65"/>
  <c r="K395" i="65"/>
  <c r="J395" i="65"/>
  <c r="K394" i="65"/>
  <c r="J394" i="65"/>
  <c r="K393" i="65"/>
  <c r="J393" i="65"/>
  <c r="K392" i="65"/>
  <c r="J392" i="65"/>
  <c r="K391" i="65"/>
  <c r="J391" i="65"/>
  <c r="K390" i="65"/>
  <c r="J390" i="65"/>
  <c r="K389" i="65"/>
  <c r="J389" i="65"/>
  <c r="K388" i="65"/>
  <c r="J388" i="65"/>
  <c r="K387" i="65"/>
  <c r="J387" i="65"/>
  <c r="K386" i="65"/>
  <c r="J386" i="65"/>
  <c r="K385" i="65"/>
  <c r="J385" i="65"/>
  <c r="K384" i="65"/>
  <c r="J384" i="65"/>
  <c r="K383" i="65"/>
  <c r="J383" i="65"/>
  <c r="K382" i="65"/>
  <c r="J382" i="65"/>
  <c r="K381" i="65"/>
  <c r="J381" i="65"/>
  <c r="K380" i="65"/>
  <c r="J380" i="65"/>
  <c r="K379" i="65"/>
  <c r="J379" i="65"/>
  <c r="K378" i="65"/>
  <c r="J378" i="65"/>
  <c r="K377" i="65"/>
  <c r="J377" i="65"/>
  <c r="K376" i="65"/>
  <c r="J376" i="65"/>
  <c r="K375" i="65"/>
  <c r="J375" i="65"/>
  <c r="K374" i="65"/>
  <c r="J374" i="65"/>
  <c r="K373" i="65"/>
  <c r="J373" i="65"/>
  <c r="K372" i="65"/>
  <c r="J372" i="65"/>
  <c r="K371" i="65"/>
  <c r="J371" i="65"/>
  <c r="K370" i="65"/>
  <c r="J370" i="65"/>
  <c r="K369" i="65"/>
  <c r="J369" i="65"/>
  <c r="K368" i="65"/>
  <c r="J368" i="65"/>
  <c r="K367" i="65"/>
  <c r="J367" i="65"/>
  <c r="K366" i="65"/>
  <c r="J366" i="65"/>
  <c r="K365" i="65"/>
  <c r="J365" i="65"/>
  <c r="K364" i="65"/>
  <c r="J364" i="65"/>
  <c r="K363" i="65"/>
  <c r="J363" i="65"/>
  <c r="K362" i="65"/>
  <c r="J362" i="65"/>
  <c r="K361" i="65"/>
  <c r="J361" i="65"/>
  <c r="K360" i="65"/>
  <c r="J360" i="65"/>
  <c r="K359" i="65"/>
  <c r="J359" i="65"/>
  <c r="K358" i="65"/>
  <c r="J358" i="65"/>
  <c r="K357" i="65"/>
  <c r="J357" i="65"/>
  <c r="K356" i="65"/>
  <c r="J356" i="65"/>
  <c r="K355" i="65"/>
  <c r="J355" i="65"/>
  <c r="K354" i="65"/>
  <c r="J354" i="65"/>
  <c r="K353" i="65"/>
  <c r="J353" i="65"/>
  <c r="K352" i="65"/>
  <c r="J352" i="65"/>
  <c r="K351" i="65"/>
  <c r="J351" i="65"/>
  <c r="K350" i="65"/>
  <c r="J350" i="65"/>
  <c r="K349" i="65"/>
  <c r="J349" i="65"/>
  <c r="K348" i="65"/>
  <c r="J348" i="65"/>
  <c r="K347" i="65"/>
  <c r="J347" i="65"/>
  <c r="K346" i="65"/>
  <c r="J346" i="65"/>
  <c r="K345" i="65"/>
  <c r="J345" i="65"/>
  <c r="K344" i="65"/>
  <c r="J344" i="65"/>
  <c r="K343" i="65"/>
  <c r="J343" i="65"/>
  <c r="K342" i="65"/>
  <c r="J342" i="65"/>
  <c r="K341" i="65"/>
  <c r="J341" i="65"/>
  <c r="K340" i="65"/>
  <c r="J340" i="65"/>
  <c r="K339" i="65"/>
  <c r="J339" i="65"/>
  <c r="K338" i="65"/>
  <c r="J338" i="65"/>
  <c r="K337" i="65"/>
  <c r="J337" i="65"/>
  <c r="K336" i="65"/>
  <c r="J336" i="65"/>
  <c r="K335" i="65"/>
  <c r="J335" i="65"/>
  <c r="K334" i="65"/>
  <c r="J334" i="65"/>
  <c r="K333" i="65"/>
  <c r="J333" i="65"/>
  <c r="K332" i="65"/>
  <c r="J332" i="65"/>
  <c r="K331" i="65"/>
  <c r="J331" i="65"/>
  <c r="K330" i="65"/>
  <c r="J330" i="65"/>
  <c r="K329" i="65"/>
  <c r="J329" i="65"/>
  <c r="K328" i="65"/>
  <c r="J328" i="65"/>
  <c r="K327" i="65"/>
  <c r="J327" i="65"/>
  <c r="K326" i="65"/>
  <c r="J326" i="65"/>
  <c r="K325" i="65"/>
  <c r="J325" i="65"/>
  <c r="K324" i="65"/>
  <c r="J324" i="65"/>
  <c r="K323" i="65"/>
  <c r="J323" i="65"/>
  <c r="K322" i="65"/>
  <c r="J322" i="65"/>
  <c r="K321" i="65"/>
  <c r="J321" i="65"/>
  <c r="K320" i="65"/>
  <c r="J320" i="65"/>
  <c r="K319" i="65"/>
  <c r="J319" i="65"/>
  <c r="K318" i="65"/>
  <c r="J318" i="65"/>
  <c r="K317" i="65"/>
  <c r="J317" i="65"/>
  <c r="K316" i="65"/>
  <c r="J316" i="65"/>
  <c r="K315" i="65"/>
  <c r="J315" i="65"/>
  <c r="K314" i="65"/>
  <c r="J314" i="65"/>
  <c r="K313" i="65"/>
  <c r="J313" i="65"/>
  <c r="K312" i="65"/>
  <c r="J312" i="65"/>
  <c r="K311" i="65"/>
  <c r="J311" i="65"/>
  <c r="K310" i="65"/>
  <c r="J310" i="65"/>
  <c r="K309" i="65"/>
  <c r="J309" i="65"/>
  <c r="K308" i="65"/>
  <c r="J308" i="65"/>
  <c r="K307" i="65"/>
  <c r="J307" i="65"/>
  <c r="K306" i="65"/>
  <c r="J306" i="65"/>
  <c r="K305" i="65"/>
  <c r="J305" i="65"/>
  <c r="K304" i="65"/>
  <c r="J304" i="65"/>
  <c r="K303" i="65"/>
  <c r="J303" i="65"/>
  <c r="K302" i="65"/>
  <c r="J302" i="65"/>
  <c r="K301" i="65"/>
  <c r="J301" i="65"/>
  <c r="K300" i="65"/>
  <c r="J300" i="65"/>
  <c r="K299" i="65"/>
  <c r="J299" i="65"/>
  <c r="K298" i="65"/>
  <c r="J298" i="65"/>
  <c r="K297" i="65"/>
  <c r="J297" i="65"/>
  <c r="K296" i="65"/>
  <c r="J296" i="65"/>
  <c r="K295" i="65"/>
  <c r="J295" i="65"/>
  <c r="K294" i="65"/>
  <c r="J294" i="65"/>
  <c r="K293" i="65"/>
  <c r="J293" i="65"/>
  <c r="K292" i="65"/>
  <c r="J292" i="65"/>
  <c r="K291" i="65"/>
  <c r="J291" i="65"/>
  <c r="K290" i="65"/>
  <c r="J290" i="65"/>
  <c r="K289" i="65"/>
  <c r="J289" i="65"/>
  <c r="K288" i="65"/>
  <c r="J288" i="65"/>
  <c r="K287" i="65"/>
  <c r="J287" i="65"/>
  <c r="K286" i="65"/>
  <c r="J286" i="65"/>
  <c r="K285" i="65"/>
  <c r="J285" i="65"/>
  <c r="K284" i="65"/>
  <c r="J284" i="65"/>
  <c r="K283" i="65"/>
  <c r="J283" i="65"/>
  <c r="K282" i="65"/>
  <c r="J282" i="65"/>
  <c r="K281" i="65"/>
  <c r="J281" i="65"/>
  <c r="K280" i="65"/>
  <c r="J280" i="65"/>
  <c r="K279" i="65"/>
  <c r="J279" i="65"/>
  <c r="K278" i="65"/>
  <c r="J278" i="65"/>
  <c r="K277" i="65"/>
  <c r="J277" i="65"/>
  <c r="K276" i="65"/>
  <c r="J276" i="65"/>
  <c r="K275" i="65"/>
  <c r="J275" i="65"/>
  <c r="K274" i="65"/>
  <c r="J274" i="65"/>
  <c r="K273" i="65"/>
  <c r="J273" i="65"/>
  <c r="K272" i="65"/>
  <c r="J272" i="65"/>
  <c r="K271" i="65"/>
  <c r="J271" i="65"/>
  <c r="K270" i="65"/>
  <c r="J270" i="65"/>
  <c r="K269" i="65"/>
  <c r="J269" i="65"/>
  <c r="K268" i="65"/>
  <c r="J268" i="65"/>
  <c r="K267" i="65"/>
  <c r="J267" i="65"/>
  <c r="K266" i="65"/>
  <c r="J266" i="65"/>
  <c r="K265" i="65"/>
  <c r="J265" i="65"/>
  <c r="K264" i="65"/>
  <c r="J264" i="65"/>
  <c r="K263" i="65"/>
  <c r="J263" i="65"/>
  <c r="K262" i="65"/>
  <c r="J262" i="65"/>
  <c r="K261" i="65"/>
  <c r="J261" i="65"/>
  <c r="K260" i="65"/>
  <c r="J260" i="65"/>
  <c r="K259" i="65"/>
  <c r="J259" i="65"/>
  <c r="K258" i="65"/>
  <c r="J258" i="65"/>
  <c r="K257" i="65"/>
  <c r="J257" i="65"/>
  <c r="K256" i="65"/>
  <c r="J256" i="65"/>
  <c r="K255" i="65"/>
  <c r="J255" i="65"/>
  <c r="K254" i="65"/>
  <c r="J254" i="65"/>
  <c r="K253" i="65"/>
  <c r="J253" i="65"/>
  <c r="K252" i="65"/>
  <c r="J252" i="65"/>
  <c r="K251" i="65"/>
  <c r="J251" i="65"/>
  <c r="K250" i="65"/>
  <c r="J250" i="65"/>
  <c r="K249" i="65"/>
  <c r="J249" i="65"/>
  <c r="K248" i="65"/>
  <c r="J248" i="65"/>
  <c r="K247" i="65"/>
  <c r="J247" i="65"/>
  <c r="K246" i="65"/>
  <c r="J246" i="65"/>
  <c r="K245" i="65"/>
  <c r="J245" i="65"/>
  <c r="K244" i="65"/>
  <c r="J244" i="65"/>
  <c r="K243" i="65"/>
  <c r="J243" i="65"/>
  <c r="K242" i="65"/>
  <c r="J242" i="65"/>
  <c r="K241" i="65"/>
  <c r="J241" i="65"/>
  <c r="K240" i="65"/>
  <c r="J240" i="65"/>
  <c r="K239" i="65"/>
  <c r="J239" i="65"/>
  <c r="K238" i="65"/>
  <c r="J238" i="65"/>
  <c r="K237" i="65"/>
  <c r="J237" i="65"/>
  <c r="K236" i="65"/>
  <c r="J236" i="65"/>
  <c r="K235" i="65"/>
  <c r="J235" i="65"/>
  <c r="K234" i="65"/>
  <c r="J234" i="65"/>
  <c r="K233" i="65"/>
  <c r="J233" i="65"/>
  <c r="K232" i="65"/>
  <c r="J232" i="65"/>
  <c r="K231" i="65"/>
  <c r="J231" i="65"/>
  <c r="K230" i="65"/>
  <c r="J230" i="65"/>
  <c r="K229" i="65"/>
  <c r="J229" i="65"/>
  <c r="K228" i="65"/>
  <c r="J228" i="65"/>
  <c r="K227" i="65"/>
  <c r="J227" i="65"/>
  <c r="K226" i="65"/>
  <c r="J226" i="65"/>
  <c r="K225" i="65"/>
  <c r="J225" i="65"/>
  <c r="K224" i="65"/>
  <c r="J224" i="65"/>
  <c r="K223" i="65"/>
  <c r="J223" i="65"/>
  <c r="K222" i="65"/>
  <c r="J222" i="65"/>
  <c r="K221" i="65"/>
  <c r="J221" i="65"/>
  <c r="K220" i="65"/>
  <c r="J220" i="65"/>
  <c r="K219" i="65"/>
  <c r="J219" i="65"/>
  <c r="K218" i="65"/>
  <c r="J218" i="65"/>
  <c r="K217" i="65"/>
  <c r="J217" i="65"/>
  <c r="K216" i="65"/>
  <c r="J216" i="65"/>
  <c r="K215" i="65"/>
  <c r="J215" i="65"/>
  <c r="K214" i="65"/>
  <c r="J214" i="65"/>
  <c r="K213" i="65"/>
  <c r="J213" i="65"/>
  <c r="K212" i="65"/>
  <c r="J212" i="65"/>
  <c r="K211" i="65"/>
  <c r="J211" i="65"/>
  <c r="K210" i="65"/>
  <c r="J210" i="65"/>
  <c r="K209" i="65"/>
  <c r="J209" i="65"/>
  <c r="K208" i="65"/>
  <c r="J208" i="65"/>
  <c r="K207" i="65"/>
  <c r="J207" i="65"/>
  <c r="K206" i="65"/>
  <c r="J206" i="65"/>
  <c r="K205" i="65"/>
  <c r="J205" i="65"/>
  <c r="K204" i="65"/>
  <c r="J204" i="65"/>
  <c r="K203" i="65"/>
  <c r="J203" i="65"/>
  <c r="K202" i="65"/>
  <c r="J202" i="65"/>
  <c r="K201" i="65"/>
  <c r="J201" i="65"/>
  <c r="K200" i="65"/>
  <c r="J200" i="65"/>
  <c r="K199" i="65"/>
  <c r="J199" i="65"/>
  <c r="K198" i="65"/>
  <c r="J198" i="65"/>
  <c r="K197" i="65"/>
  <c r="J197" i="65"/>
  <c r="K196" i="65"/>
  <c r="J196" i="65"/>
  <c r="K195" i="65"/>
  <c r="J195" i="65"/>
  <c r="K194" i="65"/>
  <c r="J194" i="65"/>
  <c r="K193" i="65"/>
  <c r="J193" i="65"/>
  <c r="K192" i="65"/>
  <c r="J192" i="65"/>
  <c r="K191" i="65"/>
  <c r="J191" i="65"/>
  <c r="K190" i="65"/>
  <c r="J190" i="65"/>
  <c r="K189" i="65"/>
  <c r="J189" i="65"/>
  <c r="K188" i="65"/>
  <c r="J188" i="65"/>
  <c r="K187" i="65"/>
  <c r="J187" i="65"/>
  <c r="K186" i="65"/>
  <c r="J186" i="65"/>
  <c r="K185" i="65"/>
  <c r="J185" i="65"/>
  <c r="K184" i="65"/>
  <c r="J184" i="65"/>
  <c r="K183" i="65"/>
  <c r="J183" i="65"/>
  <c r="K182" i="65"/>
  <c r="J182" i="65"/>
  <c r="K181" i="65"/>
  <c r="J181" i="65"/>
  <c r="K180" i="65"/>
  <c r="J180" i="65"/>
  <c r="K179" i="65"/>
  <c r="J179" i="65"/>
  <c r="K178" i="65"/>
  <c r="J178" i="65"/>
  <c r="K177" i="65"/>
  <c r="J177" i="65"/>
  <c r="K176" i="65"/>
  <c r="J176" i="65"/>
  <c r="K175" i="65"/>
  <c r="J175" i="65"/>
  <c r="K174" i="65"/>
  <c r="J174" i="65"/>
  <c r="K173" i="65"/>
  <c r="J173" i="65"/>
  <c r="K172" i="65"/>
  <c r="J172" i="65"/>
  <c r="K171" i="65"/>
  <c r="J171" i="65"/>
  <c r="K170" i="65"/>
  <c r="J170" i="65"/>
  <c r="K169" i="65"/>
  <c r="J169" i="65"/>
  <c r="K168" i="65"/>
  <c r="J168" i="65"/>
  <c r="K167" i="65"/>
  <c r="J167" i="65"/>
  <c r="K166" i="65"/>
  <c r="J166" i="65"/>
  <c r="K165" i="65"/>
  <c r="J165" i="65"/>
  <c r="K164" i="65"/>
  <c r="J164" i="65"/>
  <c r="K163" i="65"/>
  <c r="J163" i="65"/>
  <c r="K162" i="65"/>
  <c r="J162" i="65"/>
  <c r="K161" i="65"/>
  <c r="J161" i="65"/>
  <c r="K160" i="65"/>
  <c r="J160" i="65"/>
  <c r="K159" i="65"/>
  <c r="J159" i="65"/>
  <c r="K158" i="65"/>
  <c r="J158" i="65"/>
  <c r="K157" i="65"/>
  <c r="J157" i="65"/>
  <c r="K156" i="65"/>
  <c r="J156" i="65"/>
  <c r="K155" i="65"/>
  <c r="J155" i="65"/>
  <c r="K154" i="65"/>
  <c r="J154" i="65"/>
  <c r="K153" i="65"/>
  <c r="J153" i="65"/>
  <c r="K152" i="65"/>
  <c r="J152" i="65"/>
  <c r="K151" i="65"/>
  <c r="J151" i="65"/>
  <c r="K150" i="65"/>
  <c r="J150" i="65"/>
  <c r="K149" i="65"/>
  <c r="J149" i="65"/>
  <c r="K148" i="65"/>
  <c r="J148" i="65"/>
  <c r="K147" i="65"/>
  <c r="J147" i="65"/>
  <c r="K146" i="65"/>
  <c r="J146" i="65"/>
  <c r="K145" i="65"/>
  <c r="J145" i="65"/>
  <c r="K144" i="65"/>
  <c r="J144" i="65"/>
  <c r="K143" i="65"/>
  <c r="J143" i="65"/>
  <c r="K142" i="65"/>
  <c r="J142" i="65"/>
  <c r="K141" i="65"/>
  <c r="J141" i="65"/>
  <c r="K140" i="65"/>
  <c r="J140" i="65"/>
  <c r="K139" i="65"/>
  <c r="J139" i="65"/>
  <c r="K138" i="65"/>
  <c r="J138" i="65"/>
  <c r="K137" i="65"/>
  <c r="J137" i="65"/>
  <c r="K136" i="65"/>
  <c r="J136" i="65"/>
  <c r="K135" i="65"/>
  <c r="J135" i="65"/>
  <c r="K134" i="65"/>
  <c r="J134" i="65"/>
  <c r="K133" i="65"/>
  <c r="J133" i="65"/>
  <c r="K132" i="65"/>
  <c r="J132" i="65"/>
  <c r="K131" i="65"/>
  <c r="J131" i="65"/>
  <c r="K130" i="65"/>
  <c r="J130" i="65"/>
  <c r="K129" i="65"/>
  <c r="J129" i="65"/>
  <c r="K128" i="65"/>
  <c r="J128" i="65"/>
  <c r="K127" i="65"/>
  <c r="J127" i="65"/>
  <c r="K126" i="65"/>
  <c r="J126" i="65"/>
  <c r="K125" i="65"/>
  <c r="J125" i="65"/>
  <c r="K124" i="65"/>
  <c r="J124" i="65"/>
  <c r="K123" i="65"/>
  <c r="J123" i="65"/>
  <c r="K122" i="65"/>
  <c r="J122" i="65"/>
  <c r="K121" i="65"/>
  <c r="J121" i="65"/>
  <c r="K120" i="65"/>
  <c r="J120" i="65"/>
  <c r="K119" i="65"/>
  <c r="J119" i="65"/>
  <c r="K118" i="65"/>
  <c r="J118" i="65"/>
  <c r="K117" i="65"/>
  <c r="J117" i="65"/>
  <c r="K116" i="65"/>
  <c r="J116" i="65"/>
  <c r="K115" i="65"/>
  <c r="J115" i="65"/>
  <c r="K114" i="65"/>
  <c r="J114" i="65"/>
  <c r="K113" i="65"/>
  <c r="J113" i="65"/>
  <c r="K112" i="65"/>
  <c r="J112" i="65"/>
  <c r="K111" i="65"/>
  <c r="J111" i="65"/>
  <c r="K110" i="65"/>
  <c r="J110" i="65"/>
  <c r="K109" i="65"/>
  <c r="J109" i="65"/>
  <c r="K108" i="65"/>
  <c r="J108" i="65"/>
  <c r="K107" i="65"/>
  <c r="J107" i="65"/>
  <c r="K106" i="65"/>
  <c r="J106" i="65"/>
  <c r="K105" i="65"/>
  <c r="J105" i="65"/>
  <c r="K104" i="65"/>
  <c r="J104" i="65"/>
  <c r="K103" i="65"/>
  <c r="J103" i="65"/>
  <c r="K102" i="65"/>
  <c r="J102" i="65"/>
  <c r="K101" i="65"/>
  <c r="J101" i="65"/>
  <c r="K100" i="65"/>
  <c r="J100" i="65"/>
  <c r="K99" i="65"/>
  <c r="J99" i="65"/>
  <c r="K98" i="65"/>
  <c r="J98" i="65"/>
  <c r="K97" i="65"/>
  <c r="J97" i="65"/>
  <c r="K96" i="65"/>
  <c r="J96" i="65"/>
  <c r="K95" i="65"/>
  <c r="J95" i="65"/>
  <c r="K94" i="65"/>
  <c r="J94" i="65"/>
  <c r="K93" i="65"/>
  <c r="J93" i="65"/>
  <c r="K92" i="65"/>
  <c r="J92" i="65"/>
  <c r="K91" i="65"/>
  <c r="J91" i="65"/>
  <c r="K90" i="65"/>
  <c r="J90" i="65"/>
  <c r="K89" i="65"/>
  <c r="J89" i="65"/>
  <c r="K88" i="65"/>
  <c r="J88" i="65"/>
  <c r="K87" i="65"/>
  <c r="J87" i="65"/>
  <c r="K86" i="65"/>
  <c r="J86" i="65"/>
  <c r="K85" i="65"/>
  <c r="J85" i="65"/>
  <c r="K84" i="65"/>
  <c r="J84" i="65"/>
  <c r="K83" i="65"/>
  <c r="J83" i="65"/>
  <c r="K82" i="65"/>
  <c r="J82" i="65"/>
  <c r="K81" i="65"/>
  <c r="J81" i="65"/>
  <c r="K80" i="65"/>
  <c r="J80" i="65"/>
  <c r="K79" i="65"/>
  <c r="J79" i="65"/>
  <c r="K78" i="65"/>
  <c r="J78" i="65"/>
  <c r="K77" i="65"/>
  <c r="J77" i="65"/>
  <c r="K76" i="65"/>
  <c r="J76" i="65"/>
  <c r="K75" i="65"/>
  <c r="J75" i="65"/>
  <c r="K74" i="65"/>
  <c r="J74" i="65"/>
  <c r="K73" i="65"/>
  <c r="J73" i="65"/>
  <c r="K72" i="65"/>
  <c r="J72" i="65"/>
  <c r="K71" i="65"/>
  <c r="J71" i="65"/>
  <c r="K70" i="65"/>
  <c r="J70" i="65"/>
  <c r="K69" i="65"/>
  <c r="J69" i="65"/>
  <c r="K68" i="65"/>
  <c r="J68" i="65"/>
  <c r="K67" i="65"/>
  <c r="J67" i="65"/>
  <c r="K66" i="65"/>
  <c r="J66" i="65"/>
  <c r="K65" i="65"/>
  <c r="J65" i="65"/>
  <c r="K64" i="65"/>
  <c r="J64" i="65"/>
  <c r="K63" i="65"/>
  <c r="J63" i="65"/>
  <c r="K62" i="65"/>
  <c r="J62" i="65"/>
  <c r="K61" i="65"/>
  <c r="J61" i="65"/>
  <c r="K60" i="65"/>
  <c r="J60" i="65"/>
  <c r="K59" i="65"/>
  <c r="J59" i="65"/>
  <c r="K58" i="65"/>
  <c r="J58" i="65"/>
  <c r="K57" i="65"/>
  <c r="J57" i="65"/>
  <c r="K56" i="65"/>
  <c r="J56" i="65"/>
  <c r="K55" i="65"/>
  <c r="J55" i="65"/>
  <c r="K54" i="65"/>
  <c r="J54" i="65"/>
  <c r="K53" i="65"/>
  <c r="J53" i="65"/>
  <c r="K52" i="65"/>
  <c r="J52" i="65"/>
  <c r="K51" i="65"/>
  <c r="J51" i="65"/>
  <c r="K50" i="65"/>
  <c r="J50" i="65"/>
  <c r="K49" i="65"/>
  <c r="J49" i="65"/>
  <c r="K48" i="65"/>
  <c r="J48" i="65"/>
  <c r="K47" i="65"/>
  <c r="J47" i="65"/>
  <c r="K46" i="65"/>
  <c r="J46" i="65"/>
  <c r="K45" i="65"/>
  <c r="J45" i="65"/>
  <c r="K44" i="65"/>
  <c r="J44" i="65"/>
  <c r="K43" i="65"/>
  <c r="J43" i="65"/>
  <c r="K42" i="65"/>
  <c r="J42" i="65"/>
  <c r="K41" i="65"/>
  <c r="J41" i="65"/>
  <c r="K40" i="65"/>
  <c r="J40" i="65"/>
  <c r="K39" i="65"/>
  <c r="J39" i="65"/>
  <c r="K38" i="65"/>
  <c r="J38" i="65"/>
  <c r="K37" i="65"/>
  <c r="J37" i="65"/>
  <c r="K36" i="65"/>
  <c r="J36" i="65"/>
  <c r="K35" i="65"/>
  <c r="J35" i="65"/>
  <c r="K34" i="65"/>
  <c r="J34" i="65"/>
  <c r="K33" i="65"/>
  <c r="J33" i="65"/>
  <c r="K32" i="65"/>
  <c r="J32" i="65"/>
  <c r="K31" i="65"/>
  <c r="J31" i="65"/>
  <c r="K30" i="65"/>
  <c r="J30" i="65"/>
  <c r="K29" i="65"/>
  <c r="J29" i="65"/>
  <c r="K28" i="65"/>
  <c r="J28" i="65"/>
  <c r="K27" i="65"/>
  <c r="J27" i="65"/>
  <c r="K26" i="65"/>
  <c r="J26" i="65"/>
  <c r="K25" i="65"/>
  <c r="J25" i="65"/>
  <c r="K24" i="65"/>
  <c r="J24" i="65"/>
  <c r="K23" i="65"/>
  <c r="J23" i="65"/>
  <c r="K22" i="65"/>
  <c r="J22" i="65"/>
  <c r="K21" i="65"/>
  <c r="J21" i="65"/>
  <c r="K20" i="65"/>
  <c r="J20" i="65"/>
  <c r="K19" i="65"/>
  <c r="J19" i="65"/>
  <c r="K18" i="65"/>
  <c r="J18" i="65"/>
  <c r="K17" i="65"/>
  <c r="J17" i="65"/>
  <c r="K16" i="65"/>
  <c r="J16" i="65"/>
  <c r="K15" i="65"/>
  <c r="J15" i="65"/>
  <c r="K14" i="65"/>
  <c r="J14" i="65"/>
  <c r="K13" i="65"/>
  <c r="J13" i="65"/>
  <c r="K12" i="65"/>
  <c r="J12" i="65"/>
  <c r="K11" i="65"/>
  <c r="J11" i="65"/>
  <c r="K10" i="65"/>
  <c r="J10" i="65"/>
  <c r="K9" i="65"/>
  <c r="J9" i="65"/>
  <c r="K8" i="65"/>
  <c r="J8" i="65"/>
  <c r="K7" i="65"/>
  <c r="J7" i="65"/>
  <c r="K6" i="65"/>
  <c r="J6" i="65"/>
  <c r="K3" i="65"/>
  <c r="I3" i="65"/>
  <c r="H3" i="65"/>
  <c r="K497" i="64"/>
  <c r="J497" i="64"/>
  <c r="K496" i="64"/>
  <c r="J496" i="64"/>
  <c r="K495" i="64"/>
  <c r="J495" i="64"/>
  <c r="K494" i="64"/>
  <c r="J494" i="64"/>
  <c r="K493" i="64"/>
  <c r="J493" i="64"/>
  <c r="K492" i="64"/>
  <c r="J492" i="64"/>
  <c r="K491" i="64"/>
  <c r="J491" i="64"/>
  <c r="K490" i="64"/>
  <c r="J490" i="64"/>
  <c r="K489" i="64"/>
  <c r="J489" i="64"/>
  <c r="K488" i="64"/>
  <c r="J488" i="64"/>
  <c r="K487" i="64"/>
  <c r="J487" i="64"/>
  <c r="K486" i="64"/>
  <c r="J486" i="64"/>
  <c r="K485" i="64"/>
  <c r="J485" i="64"/>
  <c r="K484" i="64"/>
  <c r="J484" i="64"/>
  <c r="K483" i="64"/>
  <c r="J483" i="64"/>
  <c r="K482" i="64"/>
  <c r="J482" i="64"/>
  <c r="K481" i="64"/>
  <c r="J481" i="64"/>
  <c r="K480" i="64"/>
  <c r="J480" i="64"/>
  <c r="K479" i="64"/>
  <c r="J479" i="64"/>
  <c r="K478" i="64"/>
  <c r="J478" i="64"/>
  <c r="K477" i="64"/>
  <c r="J477" i="64"/>
  <c r="K476" i="64"/>
  <c r="J476" i="64"/>
  <c r="K475" i="64"/>
  <c r="J475" i="64"/>
  <c r="K474" i="64"/>
  <c r="J474" i="64"/>
  <c r="K473" i="64"/>
  <c r="J473" i="64"/>
  <c r="K472" i="64"/>
  <c r="J472" i="64"/>
  <c r="K471" i="64"/>
  <c r="J471" i="64"/>
  <c r="K470" i="64"/>
  <c r="J470" i="64"/>
  <c r="K469" i="64"/>
  <c r="J469" i="64"/>
  <c r="K468" i="64"/>
  <c r="J468" i="64"/>
  <c r="K467" i="64"/>
  <c r="J467" i="64"/>
  <c r="K466" i="64"/>
  <c r="J466" i="64"/>
  <c r="K465" i="64"/>
  <c r="J465" i="64"/>
  <c r="K464" i="64"/>
  <c r="J464" i="64"/>
  <c r="K463" i="64"/>
  <c r="J463" i="64"/>
  <c r="K462" i="64"/>
  <c r="J462" i="64"/>
  <c r="K461" i="64"/>
  <c r="J461" i="64"/>
  <c r="K460" i="64"/>
  <c r="J460" i="64"/>
  <c r="K459" i="64"/>
  <c r="J459" i="64"/>
  <c r="K458" i="64"/>
  <c r="J458" i="64"/>
  <c r="K457" i="64"/>
  <c r="J457" i="64"/>
  <c r="K456" i="64"/>
  <c r="J456" i="64"/>
  <c r="K455" i="64"/>
  <c r="J455" i="64"/>
  <c r="K454" i="64"/>
  <c r="J454" i="64"/>
  <c r="K453" i="64"/>
  <c r="J453" i="64"/>
  <c r="K452" i="64"/>
  <c r="J452" i="64"/>
  <c r="K451" i="64"/>
  <c r="J451" i="64"/>
  <c r="K450" i="64"/>
  <c r="J450" i="64"/>
  <c r="K449" i="64"/>
  <c r="J449" i="64"/>
  <c r="K448" i="64"/>
  <c r="J448" i="64"/>
  <c r="K447" i="64"/>
  <c r="J447" i="64"/>
  <c r="K446" i="64"/>
  <c r="J446" i="64"/>
  <c r="K445" i="64"/>
  <c r="J445" i="64"/>
  <c r="K444" i="64"/>
  <c r="J444" i="64"/>
  <c r="K443" i="64"/>
  <c r="J443" i="64"/>
  <c r="K442" i="64"/>
  <c r="J442" i="64"/>
  <c r="K441" i="64"/>
  <c r="J441" i="64"/>
  <c r="K440" i="64"/>
  <c r="J440" i="64"/>
  <c r="K439" i="64"/>
  <c r="J439" i="64"/>
  <c r="K438" i="64"/>
  <c r="J438" i="64"/>
  <c r="K437" i="64"/>
  <c r="J437" i="64"/>
  <c r="K436" i="64"/>
  <c r="J436" i="64"/>
  <c r="K435" i="64"/>
  <c r="J435" i="64"/>
  <c r="K434" i="64"/>
  <c r="J434" i="64"/>
  <c r="K433" i="64"/>
  <c r="J433" i="64"/>
  <c r="K432" i="64"/>
  <c r="J432" i="64"/>
  <c r="K431" i="64"/>
  <c r="J431" i="64"/>
  <c r="K430" i="64"/>
  <c r="J430" i="64"/>
  <c r="K429" i="64"/>
  <c r="J429" i="64"/>
  <c r="K428" i="64"/>
  <c r="J428" i="64"/>
  <c r="K427" i="64"/>
  <c r="J427" i="64"/>
  <c r="K426" i="64"/>
  <c r="J426" i="64"/>
  <c r="K425" i="64"/>
  <c r="J425" i="64"/>
  <c r="K424" i="64"/>
  <c r="J424" i="64"/>
  <c r="K423" i="64"/>
  <c r="J423" i="64"/>
  <c r="K422" i="64"/>
  <c r="J422" i="64"/>
  <c r="K421" i="64"/>
  <c r="J421" i="64"/>
  <c r="K420" i="64"/>
  <c r="J420" i="64"/>
  <c r="K419" i="64"/>
  <c r="J419" i="64"/>
  <c r="K418" i="64"/>
  <c r="J418" i="64"/>
  <c r="K417" i="64"/>
  <c r="J417" i="64"/>
  <c r="K416" i="64"/>
  <c r="J416" i="64"/>
  <c r="K415" i="64"/>
  <c r="J415" i="64"/>
  <c r="K414" i="64"/>
  <c r="J414" i="64"/>
  <c r="K413" i="64"/>
  <c r="J413" i="64"/>
  <c r="K412" i="64"/>
  <c r="J412" i="64"/>
  <c r="K411" i="64"/>
  <c r="J411" i="64"/>
  <c r="K410" i="64"/>
  <c r="J410" i="64"/>
  <c r="K409" i="64"/>
  <c r="J409" i="64"/>
  <c r="K408" i="64"/>
  <c r="J408" i="64"/>
  <c r="K407" i="64"/>
  <c r="J407" i="64"/>
  <c r="K406" i="64"/>
  <c r="J406" i="64"/>
  <c r="K405" i="64"/>
  <c r="J405" i="64"/>
  <c r="K404" i="64"/>
  <c r="J404" i="64"/>
  <c r="K403" i="64"/>
  <c r="J403" i="64"/>
  <c r="K402" i="64"/>
  <c r="J402" i="64"/>
  <c r="K401" i="64"/>
  <c r="J401" i="64"/>
  <c r="K400" i="64"/>
  <c r="J400" i="64"/>
  <c r="K399" i="64"/>
  <c r="J399" i="64"/>
  <c r="K398" i="64"/>
  <c r="J398" i="64"/>
  <c r="K397" i="64"/>
  <c r="J397" i="64"/>
  <c r="K396" i="64"/>
  <c r="J396" i="64"/>
  <c r="K395" i="64"/>
  <c r="J395" i="64"/>
  <c r="K394" i="64"/>
  <c r="J394" i="64"/>
  <c r="K393" i="64"/>
  <c r="J393" i="64"/>
  <c r="K392" i="64"/>
  <c r="J392" i="64"/>
  <c r="K391" i="64"/>
  <c r="J391" i="64"/>
  <c r="K390" i="64"/>
  <c r="J390" i="64"/>
  <c r="K389" i="64"/>
  <c r="J389" i="64"/>
  <c r="K388" i="64"/>
  <c r="J388" i="64"/>
  <c r="K387" i="64"/>
  <c r="J387" i="64"/>
  <c r="K386" i="64"/>
  <c r="J386" i="64"/>
  <c r="K385" i="64"/>
  <c r="J385" i="64"/>
  <c r="K384" i="64"/>
  <c r="J384" i="64"/>
  <c r="K383" i="64"/>
  <c r="J383" i="64"/>
  <c r="K382" i="64"/>
  <c r="J382" i="64"/>
  <c r="K381" i="64"/>
  <c r="J381" i="64"/>
  <c r="K380" i="64"/>
  <c r="J380" i="64"/>
  <c r="K379" i="64"/>
  <c r="J379" i="64"/>
  <c r="K378" i="64"/>
  <c r="J378" i="64"/>
  <c r="K377" i="64"/>
  <c r="J377" i="64"/>
  <c r="K376" i="64"/>
  <c r="J376" i="64"/>
  <c r="K375" i="64"/>
  <c r="J375" i="64"/>
  <c r="K374" i="64"/>
  <c r="J374" i="64"/>
  <c r="K373" i="64"/>
  <c r="J373" i="64"/>
  <c r="K372" i="64"/>
  <c r="J372" i="64"/>
  <c r="K371" i="64"/>
  <c r="J371" i="64"/>
  <c r="K370" i="64"/>
  <c r="J370" i="64"/>
  <c r="K369" i="64"/>
  <c r="J369" i="64"/>
  <c r="K368" i="64"/>
  <c r="J368" i="64"/>
  <c r="K367" i="64"/>
  <c r="J367" i="64"/>
  <c r="K366" i="64"/>
  <c r="J366" i="64"/>
  <c r="K365" i="64"/>
  <c r="J365" i="64"/>
  <c r="K364" i="64"/>
  <c r="J364" i="64"/>
  <c r="K363" i="64"/>
  <c r="J363" i="64"/>
  <c r="K362" i="64"/>
  <c r="J362" i="64"/>
  <c r="K361" i="64"/>
  <c r="J361" i="64"/>
  <c r="K360" i="64"/>
  <c r="J360" i="64"/>
  <c r="K359" i="64"/>
  <c r="J359" i="64"/>
  <c r="K358" i="64"/>
  <c r="J358" i="64"/>
  <c r="K357" i="64"/>
  <c r="J357" i="64"/>
  <c r="K356" i="64"/>
  <c r="J356" i="64"/>
  <c r="K355" i="64"/>
  <c r="J355" i="64"/>
  <c r="K354" i="64"/>
  <c r="J354" i="64"/>
  <c r="K353" i="64"/>
  <c r="J353" i="64"/>
  <c r="K352" i="64"/>
  <c r="J352" i="64"/>
  <c r="K351" i="64"/>
  <c r="J351" i="64"/>
  <c r="K350" i="64"/>
  <c r="J350" i="64"/>
  <c r="K349" i="64"/>
  <c r="J349" i="64"/>
  <c r="K348" i="64"/>
  <c r="J348" i="64"/>
  <c r="K347" i="64"/>
  <c r="J347" i="64"/>
  <c r="K346" i="64"/>
  <c r="J346" i="64"/>
  <c r="K345" i="64"/>
  <c r="J345" i="64"/>
  <c r="K344" i="64"/>
  <c r="J344" i="64"/>
  <c r="K343" i="64"/>
  <c r="J343" i="64"/>
  <c r="K342" i="64"/>
  <c r="J342" i="64"/>
  <c r="K341" i="64"/>
  <c r="J341" i="64"/>
  <c r="K340" i="64"/>
  <c r="J340" i="64"/>
  <c r="K339" i="64"/>
  <c r="J339" i="64"/>
  <c r="K338" i="64"/>
  <c r="J338" i="64"/>
  <c r="K337" i="64"/>
  <c r="J337" i="64"/>
  <c r="K336" i="64"/>
  <c r="J336" i="64"/>
  <c r="K335" i="64"/>
  <c r="J335" i="64"/>
  <c r="K334" i="64"/>
  <c r="J334" i="64"/>
  <c r="K333" i="64"/>
  <c r="J333" i="64"/>
  <c r="K332" i="64"/>
  <c r="J332" i="64"/>
  <c r="K331" i="64"/>
  <c r="J331" i="64"/>
  <c r="K330" i="64"/>
  <c r="J330" i="64"/>
  <c r="K329" i="64"/>
  <c r="J329" i="64"/>
  <c r="K328" i="64"/>
  <c r="J328" i="64"/>
  <c r="K327" i="64"/>
  <c r="J327" i="64"/>
  <c r="K326" i="64"/>
  <c r="J326" i="64"/>
  <c r="K325" i="64"/>
  <c r="J325" i="64"/>
  <c r="K324" i="64"/>
  <c r="J324" i="64"/>
  <c r="K323" i="64"/>
  <c r="J323" i="64"/>
  <c r="K322" i="64"/>
  <c r="J322" i="64"/>
  <c r="K321" i="64"/>
  <c r="J321" i="64"/>
  <c r="K320" i="64"/>
  <c r="J320" i="64"/>
  <c r="K319" i="64"/>
  <c r="J319" i="64"/>
  <c r="K318" i="64"/>
  <c r="J318" i="64"/>
  <c r="K317" i="64"/>
  <c r="J317" i="64"/>
  <c r="K316" i="64"/>
  <c r="J316" i="64"/>
  <c r="K315" i="64"/>
  <c r="J315" i="64"/>
  <c r="K314" i="64"/>
  <c r="J314" i="64"/>
  <c r="K313" i="64"/>
  <c r="J313" i="64"/>
  <c r="K312" i="64"/>
  <c r="J312" i="64"/>
  <c r="K311" i="64"/>
  <c r="J311" i="64"/>
  <c r="K310" i="64"/>
  <c r="J310" i="64"/>
  <c r="K309" i="64"/>
  <c r="J309" i="64"/>
  <c r="K308" i="64"/>
  <c r="J308" i="64"/>
  <c r="K307" i="64"/>
  <c r="J307" i="64"/>
  <c r="K306" i="64"/>
  <c r="J306" i="64"/>
  <c r="K305" i="64"/>
  <c r="J305" i="64"/>
  <c r="K304" i="64"/>
  <c r="J304" i="64"/>
  <c r="K303" i="64"/>
  <c r="J303" i="64"/>
  <c r="K302" i="64"/>
  <c r="J302" i="64"/>
  <c r="K301" i="64"/>
  <c r="J301" i="64"/>
  <c r="K300" i="64"/>
  <c r="J300" i="64"/>
  <c r="K299" i="64"/>
  <c r="J299" i="64"/>
  <c r="K298" i="64"/>
  <c r="J298" i="64"/>
  <c r="K297" i="64"/>
  <c r="J297" i="64"/>
  <c r="K296" i="64"/>
  <c r="J296" i="64"/>
  <c r="K295" i="64"/>
  <c r="J295" i="64"/>
  <c r="K294" i="64"/>
  <c r="J294" i="64"/>
  <c r="K293" i="64"/>
  <c r="J293" i="64"/>
  <c r="K292" i="64"/>
  <c r="J292" i="64"/>
  <c r="K291" i="64"/>
  <c r="J291" i="64"/>
  <c r="K290" i="64"/>
  <c r="J290" i="64"/>
  <c r="K289" i="64"/>
  <c r="J289" i="64"/>
  <c r="K288" i="64"/>
  <c r="J288" i="64"/>
  <c r="K287" i="64"/>
  <c r="J287" i="64"/>
  <c r="K286" i="64"/>
  <c r="J286" i="64"/>
  <c r="K285" i="64"/>
  <c r="J285" i="64"/>
  <c r="K284" i="64"/>
  <c r="J284" i="64"/>
  <c r="K283" i="64"/>
  <c r="J283" i="64"/>
  <c r="K282" i="64"/>
  <c r="J282" i="64"/>
  <c r="K281" i="64"/>
  <c r="J281" i="64"/>
  <c r="K280" i="64"/>
  <c r="J280" i="64"/>
  <c r="K279" i="64"/>
  <c r="J279" i="64"/>
  <c r="K278" i="64"/>
  <c r="J278" i="64"/>
  <c r="K277" i="64"/>
  <c r="J277" i="64"/>
  <c r="K276" i="64"/>
  <c r="J276" i="64"/>
  <c r="K275" i="64"/>
  <c r="J275" i="64"/>
  <c r="K274" i="64"/>
  <c r="J274" i="64"/>
  <c r="K273" i="64"/>
  <c r="J273" i="64"/>
  <c r="K272" i="64"/>
  <c r="J272" i="64"/>
  <c r="K271" i="64"/>
  <c r="J271" i="64"/>
  <c r="K270" i="64"/>
  <c r="J270" i="64"/>
  <c r="K269" i="64"/>
  <c r="J269" i="64"/>
  <c r="K268" i="64"/>
  <c r="J268" i="64"/>
  <c r="K267" i="64"/>
  <c r="J267" i="64"/>
  <c r="K266" i="64"/>
  <c r="J266" i="64"/>
  <c r="K265" i="64"/>
  <c r="J265" i="64"/>
  <c r="K264" i="64"/>
  <c r="J264" i="64"/>
  <c r="K263" i="64"/>
  <c r="J263" i="64"/>
  <c r="K262" i="64"/>
  <c r="J262" i="64"/>
  <c r="K261" i="64"/>
  <c r="J261" i="64"/>
  <c r="K260" i="64"/>
  <c r="J260" i="64"/>
  <c r="K259" i="64"/>
  <c r="J259" i="64"/>
  <c r="K258" i="64"/>
  <c r="J258" i="64"/>
  <c r="K257" i="64"/>
  <c r="J257" i="64"/>
  <c r="K256" i="64"/>
  <c r="J256" i="64"/>
  <c r="K255" i="64"/>
  <c r="J255" i="64"/>
  <c r="K254" i="64"/>
  <c r="J254" i="64"/>
  <c r="K253" i="64"/>
  <c r="J253" i="64"/>
  <c r="K252" i="64"/>
  <c r="J252" i="64"/>
  <c r="K251" i="64"/>
  <c r="J251" i="64"/>
  <c r="K250" i="64"/>
  <c r="J250" i="64"/>
  <c r="K249" i="64"/>
  <c r="J249" i="64"/>
  <c r="K248" i="64"/>
  <c r="J248" i="64"/>
  <c r="K247" i="64"/>
  <c r="J247" i="64"/>
  <c r="K246" i="64"/>
  <c r="J246" i="64"/>
  <c r="K245" i="64"/>
  <c r="J245" i="64"/>
  <c r="K244" i="64"/>
  <c r="J244" i="64"/>
  <c r="K243" i="64"/>
  <c r="J243" i="64"/>
  <c r="K242" i="64"/>
  <c r="J242" i="64"/>
  <c r="K241" i="64"/>
  <c r="J241" i="64"/>
  <c r="K240" i="64"/>
  <c r="J240" i="64"/>
  <c r="K239" i="64"/>
  <c r="J239" i="64"/>
  <c r="K238" i="64"/>
  <c r="J238" i="64"/>
  <c r="K237" i="64"/>
  <c r="J237" i="64"/>
  <c r="K236" i="64"/>
  <c r="J236" i="64"/>
  <c r="K235" i="64"/>
  <c r="J235" i="64"/>
  <c r="K234" i="64"/>
  <c r="J234" i="64"/>
  <c r="K233" i="64"/>
  <c r="J233" i="64"/>
  <c r="K232" i="64"/>
  <c r="J232" i="64"/>
  <c r="K231" i="64"/>
  <c r="J231" i="64"/>
  <c r="K230" i="64"/>
  <c r="J230" i="64"/>
  <c r="K229" i="64"/>
  <c r="J229" i="64"/>
  <c r="K228" i="64"/>
  <c r="J228" i="64"/>
  <c r="K227" i="64"/>
  <c r="J227" i="64"/>
  <c r="K226" i="64"/>
  <c r="J226" i="64"/>
  <c r="K225" i="64"/>
  <c r="J225" i="64"/>
  <c r="K224" i="64"/>
  <c r="J224" i="64"/>
  <c r="K223" i="64"/>
  <c r="J223" i="64"/>
  <c r="K222" i="64"/>
  <c r="J222" i="64"/>
  <c r="K221" i="64"/>
  <c r="J221" i="64"/>
  <c r="K220" i="64"/>
  <c r="J220" i="64"/>
  <c r="K219" i="64"/>
  <c r="J219" i="64"/>
  <c r="K218" i="64"/>
  <c r="J218" i="64"/>
  <c r="K217" i="64"/>
  <c r="J217" i="64"/>
  <c r="K216" i="64"/>
  <c r="J216" i="64"/>
  <c r="K215" i="64"/>
  <c r="J215" i="64"/>
  <c r="K214" i="64"/>
  <c r="J214" i="64"/>
  <c r="K213" i="64"/>
  <c r="J213" i="64"/>
  <c r="K212" i="64"/>
  <c r="J212" i="64"/>
  <c r="K211" i="64"/>
  <c r="J211" i="64"/>
  <c r="K210" i="64"/>
  <c r="J210" i="64"/>
  <c r="K209" i="64"/>
  <c r="J209" i="64"/>
  <c r="K208" i="64"/>
  <c r="J208" i="64"/>
  <c r="K207" i="64"/>
  <c r="J207" i="64"/>
  <c r="K206" i="64"/>
  <c r="J206" i="64"/>
  <c r="K205" i="64"/>
  <c r="J205" i="64"/>
  <c r="K204" i="64"/>
  <c r="J204" i="64"/>
  <c r="K203" i="64"/>
  <c r="J203" i="64"/>
  <c r="K202" i="64"/>
  <c r="J202" i="64"/>
  <c r="K201" i="64"/>
  <c r="J201" i="64"/>
  <c r="K200" i="64"/>
  <c r="J200" i="64"/>
  <c r="K199" i="64"/>
  <c r="J199" i="64"/>
  <c r="K198" i="64"/>
  <c r="J198" i="64"/>
  <c r="K197" i="64"/>
  <c r="J197" i="64"/>
  <c r="K196" i="64"/>
  <c r="J196" i="64"/>
  <c r="K195" i="64"/>
  <c r="J195" i="64"/>
  <c r="K194" i="64"/>
  <c r="J194" i="64"/>
  <c r="K193" i="64"/>
  <c r="J193" i="64"/>
  <c r="K192" i="64"/>
  <c r="J192" i="64"/>
  <c r="K191" i="64"/>
  <c r="J191" i="64"/>
  <c r="K190" i="64"/>
  <c r="J190" i="64"/>
  <c r="K189" i="64"/>
  <c r="J189" i="64"/>
  <c r="K188" i="64"/>
  <c r="J188" i="64"/>
  <c r="K187" i="64"/>
  <c r="J187" i="64"/>
  <c r="K186" i="64"/>
  <c r="J186" i="64"/>
  <c r="K185" i="64"/>
  <c r="J185" i="64"/>
  <c r="K184" i="64"/>
  <c r="J184" i="64"/>
  <c r="K183" i="64"/>
  <c r="J183" i="64"/>
  <c r="K182" i="64"/>
  <c r="J182" i="64"/>
  <c r="K181" i="64"/>
  <c r="J181" i="64"/>
  <c r="K180" i="64"/>
  <c r="J180" i="64"/>
  <c r="K179" i="64"/>
  <c r="J179" i="64"/>
  <c r="K178" i="64"/>
  <c r="J178" i="64"/>
  <c r="K177" i="64"/>
  <c r="J177" i="64"/>
  <c r="K176" i="64"/>
  <c r="J176" i="64"/>
  <c r="K175" i="64"/>
  <c r="J175" i="64"/>
  <c r="K174" i="64"/>
  <c r="J174" i="64"/>
  <c r="K173" i="64"/>
  <c r="J173" i="64"/>
  <c r="K172" i="64"/>
  <c r="J172" i="64"/>
  <c r="K171" i="64"/>
  <c r="J171" i="64"/>
  <c r="K170" i="64"/>
  <c r="J170" i="64"/>
  <c r="K169" i="64"/>
  <c r="J169" i="64"/>
  <c r="K168" i="64"/>
  <c r="J168" i="64"/>
  <c r="K167" i="64"/>
  <c r="J167" i="64"/>
  <c r="K166" i="64"/>
  <c r="J166" i="64"/>
  <c r="K165" i="64"/>
  <c r="J165" i="64"/>
  <c r="K164" i="64"/>
  <c r="J164" i="64"/>
  <c r="K163" i="64"/>
  <c r="J163" i="64"/>
  <c r="K162" i="64"/>
  <c r="J162" i="64"/>
  <c r="K161" i="64"/>
  <c r="J161" i="64"/>
  <c r="K160" i="64"/>
  <c r="J160" i="64"/>
  <c r="K159" i="64"/>
  <c r="J159" i="64"/>
  <c r="K158" i="64"/>
  <c r="J158" i="64"/>
  <c r="K157" i="64"/>
  <c r="J157" i="64"/>
  <c r="K156" i="64"/>
  <c r="J156" i="64"/>
  <c r="K155" i="64"/>
  <c r="J155" i="64"/>
  <c r="K154" i="64"/>
  <c r="J154" i="64"/>
  <c r="K153" i="64"/>
  <c r="J153" i="64"/>
  <c r="K152" i="64"/>
  <c r="J152" i="64"/>
  <c r="K151" i="64"/>
  <c r="J151" i="64"/>
  <c r="K150" i="64"/>
  <c r="J150" i="64"/>
  <c r="K149" i="64"/>
  <c r="J149" i="64"/>
  <c r="K148" i="64"/>
  <c r="J148" i="64"/>
  <c r="K147" i="64"/>
  <c r="J147" i="64"/>
  <c r="K146" i="64"/>
  <c r="J146" i="64"/>
  <c r="K145" i="64"/>
  <c r="J145" i="64"/>
  <c r="K144" i="64"/>
  <c r="J144" i="64"/>
  <c r="K143" i="64"/>
  <c r="J143" i="64"/>
  <c r="K142" i="64"/>
  <c r="J142" i="64"/>
  <c r="K141" i="64"/>
  <c r="J141" i="64"/>
  <c r="K140" i="64"/>
  <c r="J140" i="64"/>
  <c r="K139" i="64"/>
  <c r="J139" i="64"/>
  <c r="K138" i="64"/>
  <c r="J138" i="64"/>
  <c r="K137" i="64"/>
  <c r="J137" i="64"/>
  <c r="K136" i="64"/>
  <c r="J136" i="64"/>
  <c r="K135" i="64"/>
  <c r="J135" i="64"/>
  <c r="K134" i="64"/>
  <c r="J134" i="64"/>
  <c r="K133" i="64"/>
  <c r="J133" i="64"/>
  <c r="K132" i="64"/>
  <c r="J132" i="64"/>
  <c r="K131" i="64"/>
  <c r="J131" i="64"/>
  <c r="K130" i="64"/>
  <c r="J130" i="64"/>
  <c r="K129" i="64"/>
  <c r="J129" i="64"/>
  <c r="K128" i="64"/>
  <c r="J128" i="64"/>
  <c r="K127" i="64"/>
  <c r="J127" i="64"/>
  <c r="K126" i="64"/>
  <c r="J126" i="64"/>
  <c r="K125" i="64"/>
  <c r="J125" i="64"/>
  <c r="K124" i="64"/>
  <c r="J124" i="64"/>
  <c r="K123" i="64"/>
  <c r="J123" i="64"/>
  <c r="K122" i="64"/>
  <c r="J122" i="64"/>
  <c r="K121" i="64"/>
  <c r="J121" i="64"/>
  <c r="K120" i="64"/>
  <c r="J120" i="64"/>
  <c r="K119" i="64"/>
  <c r="J119" i="64"/>
  <c r="K118" i="64"/>
  <c r="J118" i="64"/>
  <c r="K117" i="64"/>
  <c r="J117" i="64"/>
  <c r="K116" i="64"/>
  <c r="J116" i="64"/>
  <c r="K115" i="64"/>
  <c r="J115" i="64"/>
  <c r="K114" i="64"/>
  <c r="J114" i="64"/>
  <c r="K113" i="64"/>
  <c r="J113" i="64"/>
  <c r="K112" i="64"/>
  <c r="J112" i="64"/>
  <c r="K111" i="64"/>
  <c r="J111" i="64"/>
  <c r="K110" i="64"/>
  <c r="J110" i="64"/>
  <c r="K109" i="64"/>
  <c r="J109" i="64"/>
  <c r="K108" i="64"/>
  <c r="J108" i="64"/>
  <c r="K107" i="64"/>
  <c r="J107" i="64"/>
  <c r="K106" i="64"/>
  <c r="J106" i="64"/>
  <c r="K105" i="64"/>
  <c r="J105" i="64"/>
  <c r="K104" i="64"/>
  <c r="J104" i="64"/>
  <c r="K103" i="64"/>
  <c r="J103" i="64"/>
  <c r="K102" i="64"/>
  <c r="J102" i="64"/>
  <c r="K101" i="64"/>
  <c r="J101" i="64"/>
  <c r="K100" i="64"/>
  <c r="J100" i="64"/>
  <c r="K99" i="64"/>
  <c r="J99" i="64"/>
  <c r="K98" i="64"/>
  <c r="J98" i="64"/>
  <c r="K97" i="64"/>
  <c r="J97" i="64"/>
  <c r="K96" i="64"/>
  <c r="J96" i="64"/>
  <c r="K95" i="64"/>
  <c r="J95" i="64"/>
  <c r="K94" i="64"/>
  <c r="J94" i="64"/>
  <c r="K93" i="64"/>
  <c r="J93" i="64"/>
  <c r="K92" i="64"/>
  <c r="J92" i="64"/>
  <c r="K91" i="64"/>
  <c r="J91" i="64"/>
  <c r="K90" i="64"/>
  <c r="J90" i="64"/>
  <c r="K89" i="64"/>
  <c r="J89" i="64"/>
  <c r="K88" i="64"/>
  <c r="J88" i="64"/>
  <c r="K87" i="64"/>
  <c r="J87" i="64"/>
  <c r="K86" i="64"/>
  <c r="J86" i="64"/>
  <c r="K85" i="64"/>
  <c r="J85" i="64"/>
  <c r="K84" i="64"/>
  <c r="J84" i="64"/>
  <c r="K83" i="64"/>
  <c r="J83" i="64"/>
  <c r="K82" i="64"/>
  <c r="J82" i="64"/>
  <c r="K81" i="64"/>
  <c r="J81" i="64"/>
  <c r="K80" i="64"/>
  <c r="J80" i="64"/>
  <c r="K79" i="64"/>
  <c r="J79" i="64"/>
  <c r="K78" i="64"/>
  <c r="J78" i="64"/>
  <c r="K77" i="64"/>
  <c r="J77" i="64"/>
  <c r="K76" i="64"/>
  <c r="J76" i="64"/>
  <c r="K75" i="64"/>
  <c r="J75" i="64"/>
  <c r="K74" i="64"/>
  <c r="J74" i="64"/>
  <c r="K73" i="64"/>
  <c r="J73" i="64"/>
  <c r="K72" i="64"/>
  <c r="J72" i="64"/>
  <c r="K71" i="64"/>
  <c r="J71" i="64"/>
  <c r="K70" i="64"/>
  <c r="J70" i="64"/>
  <c r="K69" i="64"/>
  <c r="J69" i="64"/>
  <c r="K68" i="64"/>
  <c r="J68" i="64"/>
  <c r="K67" i="64"/>
  <c r="J67" i="64"/>
  <c r="K66" i="64"/>
  <c r="J66" i="64"/>
  <c r="K65" i="64"/>
  <c r="J65" i="64"/>
  <c r="K64" i="64"/>
  <c r="J64" i="64"/>
  <c r="K63" i="64"/>
  <c r="J63" i="64"/>
  <c r="K62" i="64"/>
  <c r="J62" i="64"/>
  <c r="K61" i="64"/>
  <c r="J61" i="64"/>
  <c r="K60" i="64"/>
  <c r="J60" i="64"/>
  <c r="K59" i="64"/>
  <c r="J59" i="64"/>
  <c r="K58" i="64"/>
  <c r="J58" i="64"/>
  <c r="K57" i="64"/>
  <c r="J57" i="64"/>
  <c r="K56" i="64"/>
  <c r="J56" i="64"/>
  <c r="K55" i="64"/>
  <c r="J55" i="64"/>
  <c r="K54" i="64"/>
  <c r="J54" i="64"/>
  <c r="K53" i="64"/>
  <c r="J53" i="64"/>
  <c r="K52" i="64"/>
  <c r="J52" i="64"/>
  <c r="K51" i="64"/>
  <c r="J51" i="64"/>
  <c r="K50" i="64"/>
  <c r="J50" i="64"/>
  <c r="K49" i="64"/>
  <c r="J49" i="64"/>
  <c r="K48" i="64"/>
  <c r="J48" i="64"/>
  <c r="K47" i="64"/>
  <c r="J47" i="64"/>
  <c r="K46" i="64"/>
  <c r="J46" i="64"/>
  <c r="K45" i="64"/>
  <c r="J45" i="64"/>
  <c r="K44" i="64"/>
  <c r="J44" i="64"/>
  <c r="K43" i="64"/>
  <c r="J43" i="64"/>
  <c r="K42" i="64"/>
  <c r="J42" i="64"/>
  <c r="K41" i="64"/>
  <c r="J41" i="64"/>
  <c r="K40" i="64"/>
  <c r="J40" i="64"/>
  <c r="K39" i="64"/>
  <c r="J39" i="64"/>
  <c r="K38" i="64"/>
  <c r="J38" i="64"/>
  <c r="K37" i="64"/>
  <c r="J37" i="64"/>
  <c r="K36" i="64"/>
  <c r="J36" i="64"/>
  <c r="K35" i="64"/>
  <c r="J35" i="64"/>
  <c r="K34" i="64"/>
  <c r="J34" i="64"/>
  <c r="K33" i="64"/>
  <c r="J33" i="64"/>
  <c r="K32" i="64"/>
  <c r="J32" i="64"/>
  <c r="K31" i="64"/>
  <c r="J31" i="64"/>
  <c r="K30" i="64"/>
  <c r="J30" i="64"/>
  <c r="K29" i="64"/>
  <c r="J29" i="64"/>
  <c r="K28" i="64"/>
  <c r="J28" i="64"/>
  <c r="K27" i="64"/>
  <c r="J27" i="64"/>
  <c r="K26" i="64"/>
  <c r="J26" i="64"/>
  <c r="K25" i="64"/>
  <c r="J25" i="64"/>
  <c r="K24" i="64"/>
  <c r="J24" i="64"/>
  <c r="K23" i="64"/>
  <c r="J23" i="64"/>
  <c r="K22" i="64"/>
  <c r="J22" i="64"/>
  <c r="K21" i="64"/>
  <c r="J21" i="64"/>
  <c r="K20" i="64"/>
  <c r="J20" i="64"/>
  <c r="K19" i="64"/>
  <c r="J19" i="64"/>
  <c r="K18" i="64"/>
  <c r="J18" i="64"/>
  <c r="K17" i="64"/>
  <c r="J17" i="64"/>
  <c r="K16" i="64"/>
  <c r="J16" i="64"/>
  <c r="K15" i="64"/>
  <c r="J15" i="64"/>
  <c r="K14" i="64"/>
  <c r="J14" i="64"/>
  <c r="K13" i="64"/>
  <c r="J13" i="64"/>
  <c r="K12" i="64"/>
  <c r="J12" i="64"/>
  <c r="K11" i="64"/>
  <c r="J11" i="64"/>
  <c r="K10" i="64"/>
  <c r="J10" i="64"/>
  <c r="K9" i="64"/>
  <c r="J9" i="64"/>
  <c r="K8" i="64"/>
  <c r="J8" i="64"/>
  <c r="K7" i="64"/>
  <c r="J7" i="64"/>
  <c r="K6" i="64"/>
  <c r="J6" i="64"/>
  <c r="K3" i="64"/>
  <c r="I3" i="64"/>
  <c r="H3" i="64"/>
  <c r="K499" i="58"/>
  <c r="J499" i="58"/>
  <c r="K498" i="58"/>
  <c r="J498" i="58"/>
  <c r="K497" i="58"/>
  <c r="J497" i="58"/>
  <c r="K496" i="58"/>
  <c r="J496" i="58"/>
  <c r="K495" i="58"/>
  <c r="J495" i="58"/>
  <c r="K494" i="58"/>
  <c r="J494" i="58"/>
  <c r="K493" i="58"/>
  <c r="J493" i="58"/>
  <c r="K492" i="58"/>
  <c r="J492" i="58"/>
  <c r="K491" i="58"/>
  <c r="J491" i="58"/>
  <c r="K490" i="58"/>
  <c r="J490" i="58"/>
  <c r="K489" i="58"/>
  <c r="J489" i="58"/>
  <c r="K488" i="58"/>
  <c r="J488" i="58"/>
  <c r="K487" i="58"/>
  <c r="J487" i="58"/>
  <c r="K486" i="58"/>
  <c r="J486" i="58"/>
  <c r="K485" i="58"/>
  <c r="J485" i="58"/>
  <c r="K484" i="58"/>
  <c r="J484" i="58"/>
  <c r="K483" i="58"/>
  <c r="J483" i="58"/>
  <c r="K482" i="58"/>
  <c r="J482" i="58"/>
  <c r="K481" i="58"/>
  <c r="J481" i="58"/>
  <c r="K480" i="58"/>
  <c r="J480" i="58"/>
  <c r="K479" i="58"/>
  <c r="J479" i="58"/>
  <c r="K478" i="58"/>
  <c r="J478" i="58"/>
  <c r="K477" i="58"/>
  <c r="J477" i="58"/>
  <c r="K476" i="58"/>
  <c r="J476" i="58"/>
  <c r="K475" i="58"/>
  <c r="J475" i="58"/>
  <c r="K474" i="58"/>
  <c r="J474" i="58"/>
  <c r="K473" i="58"/>
  <c r="J473" i="58"/>
  <c r="K472" i="58"/>
  <c r="J472" i="58"/>
  <c r="K471" i="58"/>
  <c r="J471" i="58"/>
  <c r="K470" i="58"/>
  <c r="J470" i="58"/>
  <c r="K469" i="58"/>
  <c r="J469" i="58"/>
  <c r="K468" i="58"/>
  <c r="J468" i="58"/>
  <c r="K467" i="58"/>
  <c r="J467" i="58"/>
  <c r="K466" i="58"/>
  <c r="J466" i="58"/>
  <c r="K465" i="58"/>
  <c r="J465" i="58"/>
  <c r="K464" i="58"/>
  <c r="J464" i="58"/>
  <c r="K463" i="58"/>
  <c r="J463" i="58"/>
  <c r="K462" i="58"/>
  <c r="J462" i="58"/>
  <c r="K461" i="58"/>
  <c r="J461" i="58"/>
  <c r="K460" i="58"/>
  <c r="J460" i="58"/>
  <c r="K459" i="58"/>
  <c r="J459" i="58"/>
  <c r="K458" i="58"/>
  <c r="J458" i="58"/>
  <c r="K457" i="58"/>
  <c r="J457" i="58"/>
  <c r="K456" i="58"/>
  <c r="J456" i="58"/>
  <c r="K455" i="58"/>
  <c r="J455" i="58"/>
  <c r="K454" i="58"/>
  <c r="J454" i="58"/>
  <c r="K453" i="58"/>
  <c r="J453" i="58"/>
  <c r="K452" i="58"/>
  <c r="J452" i="58"/>
  <c r="K451" i="58"/>
  <c r="J451" i="58"/>
  <c r="K450" i="58"/>
  <c r="J450" i="58"/>
  <c r="K449" i="58"/>
  <c r="J449" i="58"/>
  <c r="K448" i="58"/>
  <c r="J448" i="58"/>
  <c r="K447" i="58"/>
  <c r="J447" i="58"/>
  <c r="K446" i="58"/>
  <c r="J446" i="58"/>
  <c r="K445" i="58"/>
  <c r="J445" i="58"/>
  <c r="K444" i="58"/>
  <c r="J444" i="58"/>
  <c r="K443" i="58"/>
  <c r="J443" i="58"/>
  <c r="K442" i="58"/>
  <c r="J442" i="58"/>
  <c r="K441" i="58"/>
  <c r="J441" i="58"/>
  <c r="K440" i="58"/>
  <c r="J440" i="58"/>
  <c r="K439" i="58"/>
  <c r="J439" i="58"/>
  <c r="K438" i="58"/>
  <c r="J438" i="58"/>
  <c r="K437" i="58"/>
  <c r="J437" i="58"/>
  <c r="K436" i="58"/>
  <c r="J436" i="58"/>
  <c r="K435" i="58"/>
  <c r="J435" i="58"/>
  <c r="K434" i="58"/>
  <c r="J434" i="58"/>
  <c r="K433" i="58"/>
  <c r="J433" i="58"/>
  <c r="K432" i="58"/>
  <c r="J432" i="58"/>
  <c r="K431" i="58"/>
  <c r="J431" i="58"/>
  <c r="K430" i="58"/>
  <c r="J430" i="58"/>
  <c r="K429" i="58"/>
  <c r="J429" i="58"/>
  <c r="K428" i="58"/>
  <c r="J428" i="58"/>
  <c r="K427" i="58"/>
  <c r="J427" i="58"/>
  <c r="K426" i="58"/>
  <c r="J426" i="58"/>
  <c r="K425" i="58"/>
  <c r="J425" i="58"/>
  <c r="K424" i="58"/>
  <c r="J424" i="58"/>
  <c r="K423" i="58"/>
  <c r="J423" i="58"/>
  <c r="K422" i="58"/>
  <c r="J422" i="58"/>
  <c r="K421" i="58"/>
  <c r="J421" i="58"/>
  <c r="K420" i="58"/>
  <c r="J420" i="58"/>
  <c r="K419" i="58"/>
  <c r="J419" i="58"/>
  <c r="K418" i="58"/>
  <c r="J418" i="58"/>
  <c r="K417" i="58"/>
  <c r="J417" i="58"/>
  <c r="K416" i="58"/>
  <c r="J416" i="58"/>
  <c r="K415" i="58"/>
  <c r="J415" i="58"/>
  <c r="K414" i="58"/>
  <c r="J414" i="58"/>
  <c r="K413" i="58"/>
  <c r="J413" i="58"/>
  <c r="K412" i="58"/>
  <c r="J412" i="58"/>
  <c r="K411" i="58"/>
  <c r="J411" i="58"/>
  <c r="K410" i="58"/>
  <c r="J410" i="58"/>
  <c r="K409" i="58"/>
  <c r="J409" i="58"/>
  <c r="K408" i="58"/>
  <c r="J408" i="58"/>
  <c r="K407" i="58"/>
  <c r="J407" i="58"/>
  <c r="K406" i="58"/>
  <c r="J406" i="58"/>
  <c r="K405" i="58"/>
  <c r="J405" i="58"/>
  <c r="K404" i="58"/>
  <c r="J404" i="58"/>
  <c r="K403" i="58"/>
  <c r="J403" i="58"/>
  <c r="K402" i="58"/>
  <c r="J402" i="58"/>
  <c r="K401" i="58"/>
  <c r="J401" i="58"/>
  <c r="K400" i="58"/>
  <c r="J400" i="58"/>
  <c r="K399" i="58"/>
  <c r="J399" i="58"/>
  <c r="K398" i="58"/>
  <c r="J398" i="58"/>
  <c r="K397" i="58"/>
  <c r="J397" i="58"/>
  <c r="K396" i="58"/>
  <c r="J396" i="58"/>
  <c r="K395" i="58"/>
  <c r="J395" i="58"/>
  <c r="K394" i="58"/>
  <c r="J394" i="58"/>
  <c r="K393" i="58"/>
  <c r="J393" i="58"/>
  <c r="K392" i="58"/>
  <c r="J392" i="58"/>
  <c r="K391" i="58"/>
  <c r="J391" i="58"/>
  <c r="K390" i="58"/>
  <c r="J390" i="58"/>
  <c r="K389" i="58"/>
  <c r="J389" i="58"/>
  <c r="K388" i="58"/>
  <c r="J388" i="58"/>
  <c r="K387" i="58"/>
  <c r="J387" i="58"/>
  <c r="K386" i="58"/>
  <c r="J386" i="58"/>
  <c r="K385" i="58"/>
  <c r="J385" i="58"/>
  <c r="K384" i="58"/>
  <c r="J384" i="58"/>
  <c r="K383" i="58"/>
  <c r="J383" i="58"/>
  <c r="K382" i="58"/>
  <c r="J382" i="58"/>
  <c r="K381" i="58"/>
  <c r="J381" i="58"/>
  <c r="K380" i="58"/>
  <c r="J380" i="58"/>
  <c r="K379" i="58"/>
  <c r="J379" i="58"/>
  <c r="K378" i="58"/>
  <c r="J378" i="58"/>
  <c r="K377" i="58"/>
  <c r="J377" i="58"/>
  <c r="K376" i="58"/>
  <c r="J376" i="58"/>
  <c r="K375" i="58"/>
  <c r="J375" i="58"/>
  <c r="K374" i="58"/>
  <c r="J374" i="58"/>
  <c r="K373" i="58"/>
  <c r="J373" i="58"/>
  <c r="K372" i="58"/>
  <c r="J372" i="58"/>
  <c r="K371" i="58"/>
  <c r="J371" i="58"/>
  <c r="K370" i="58"/>
  <c r="J370" i="58"/>
  <c r="K369" i="58"/>
  <c r="J369" i="58"/>
  <c r="K368" i="58"/>
  <c r="J368" i="58"/>
  <c r="K367" i="58"/>
  <c r="J367" i="58"/>
  <c r="K366" i="58"/>
  <c r="J366" i="58"/>
  <c r="K365" i="58"/>
  <c r="J365" i="58"/>
  <c r="K364" i="58"/>
  <c r="J364" i="58"/>
  <c r="K363" i="58"/>
  <c r="J363" i="58"/>
  <c r="K362" i="58"/>
  <c r="J362" i="58"/>
  <c r="K361" i="58"/>
  <c r="J361" i="58"/>
  <c r="K360" i="58"/>
  <c r="J360" i="58"/>
  <c r="K359" i="58"/>
  <c r="J359" i="58"/>
  <c r="K358" i="58"/>
  <c r="J358" i="58"/>
  <c r="K357" i="58"/>
  <c r="J357" i="58"/>
  <c r="K356" i="58"/>
  <c r="J356" i="58"/>
  <c r="K355" i="58"/>
  <c r="J355" i="58"/>
  <c r="K354" i="58"/>
  <c r="J354" i="58"/>
  <c r="K353" i="58"/>
  <c r="J353" i="58"/>
  <c r="K352" i="58"/>
  <c r="J352" i="58"/>
  <c r="K351" i="58"/>
  <c r="J351" i="58"/>
  <c r="K350" i="58"/>
  <c r="J350" i="58"/>
  <c r="K349" i="58"/>
  <c r="J349" i="58"/>
  <c r="K348" i="58"/>
  <c r="J348" i="58"/>
  <c r="K347" i="58"/>
  <c r="J347" i="58"/>
  <c r="K346" i="58"/>
  <c r="J346" i="58"/>
  <c r="K345" i="58"/>
  <c r="J345" i="58"/>
  <c r="K344" i="58"/>
  <c r="J344" i="58"/>
  <c r="K343" i="58"/>
  <c r="J343" i="58"/>
  <c r="K342" i="58"/>
  <c r="J342" i="58"/>
  <c r="K341" i="58"/>
  <c r="J341" i="58"/>
  <c r="K340" i="58"/>
  <c r="J340" i="58"/>
  <c r="K339" i="58"/>
  <c r="J339" i="58"/>
  <c r="K338" i="58"/>
  <c r="J338" i="58"/>
  <c r="K337" i="58"/>
  <c r="J337" i="58"/>
  <c r="K336" i="58"/>
  <c r="J336" i="58"/>
  <c r="K335" i="58"/>
  <c r="J335" i="58"/>
  <c r="K334" i="58"/>
  <c r="J334" i="58"/>
  <c r="K333" i="58"/>
  <c r="J333" i="58"/>
  <c r="K332" i="58"/>
  <c r="J332" i="58"/>
  <c r="K331" i="58"/>
  <c r="J331" i="58"/>
  <c r="K330" i="58"/>
  <c r="J330" i="58"/>
  <c r="K329" i="58"/>
  <c r="J329" i="58"/>
  <c r="K328" i="58"/>
  <c r="J328" i="58"/>
  <c r="K327" i="58"/>
  <c r="J327" i="58"/>
  <c r="K326" i="58"/>
  <c r="J326" i="58"/>
  <c r="K325" i="58"/>
  <c r="J325" i="58"/>
  <c r="K324" i="58"/>
  <c r="J324" i="58"/>
  <c r="K323" i="58"/>
  <c r="J323" i="58"/>
  <c r="K322" i="58"/>
  <c r="J322" i="58"/>
  <c r="K321" i="58"/>
  <c r="J321" i="58"/>
  <c r="K320" i="58"/>
  <c r="J320" i="58"/>
  <c r="K319" i="58"/>
  <c r="J319" i="58"/>
  <c r="K318" i="58"/>
  <c r="J318" i="58"/>
  <c r="K317" i="58"/>
  <c r="J317" i="58"/>
  <c r="K316" i="58"/>
  <c r="J316" i="58"/>
  <c r="K315" i="58"/>
  <c r="J315" i="58"/>
  <c r="K314" i="58"/>
  <c r="J314" i="58"/>
  <c r="K313" i="58"/>
  <c r="J313" i="58"/>
  <c r="K312" i="58"/>
  <c r="J312" i="58"/>
  <c r="K311" i="58"/>
  <c r="J311" i="58"/>
  <c r="K310" i="58"/>
  <c r="J310" i="58"/>
  <c r="K309" i="58"/>
  <c r="J309" i="58"/>
  <c r="K308" i="58"/>
  <c r="J308" i="58"/>
  <c r="K307" i="58"/>
  <c r="J307" i="58"/>
  <c r="K306" i="58"/>
  <c r="J306" i="58"/>
  <c r="K305" i="58"/>
  <c r="J305" i="58"/>
  <c r="K304" i="58"/>
  <c r="J304" i="58"/>
  <c r="K303" i="58"/>
  <c r="J303" i="58"/>
  <c r="K302" i="58"/>
  <c r="J302" i="58"/>
  <c r="K301" i="58"/>
  <c r="J301" i="58"/>
  <c r="K300" i="58"/>
  <c r="J300" i="58"/>
  <c r="K299" i="58"/>
  <c r="J299" i="58"/>
  <c r="K298" i="58"/>
  <c r="J298" i="58"/>
  <c r="K297" i="58"/>
  <c r="J297" i="58"/>
  <c r="K296" i="58"/>
  <c r="J296" i="58"/>
  <c r="K295" i="58"/>
  <c r="J295" i="58"/>
  <c r="K294" i="58"/>
  <c r="J294" i="58"/>
  <c r="K293" i="58"/>
  <c r="J293" i="58"/>
  <c r="K292" i="58"/>
  <c r="J292" i="58"/>
  <c r="K291" i="58"/>
  <c r="J291" i="58"/>
  <c r="K290" i="58"/>
  <c r="J290" i="58"/>
  <c r="K289" i="58"/>
  <c r="J289" i="58"/>
  <c r="K288" i="58"/>
  <c r="J288" i="58"/>
  <c r="K287" i="58"/>
  <c r="J287" i="58"/>
  <c r="K286" i="58"/>
  <c r="J286" i="58"/>
  <c r="K285" i="58"/>
  <c r="J285" i="58"/>
  <c r="K284" i="58"/>
  <c r="J284" i="58"/>
  <c r="K283" i="58"/>
  <c r="J283" i="58"/>
  <c r="K282" i="58"/>
  <c r="J282" i="58"/>
  <c r="K281" i="58"/>
  <c r="J281" i="58"/>
  <c r="K280" i="58"/>
  <c r="J280" i="58"/>
  <c r="K279" i="58"/>
  <c r="J279" i="58"/>
  <c r="K278" i="58"/>
  <c r="J278" i="58"/>
  <c r="K277" i="58"/>
  <c r="J277" i="58"/>
  <c r="K276" i="58"/>
  <c r="J276" i="58"/>
  <c r="K275" i="58"/>
  <c r="J275" i="58"/>
  <c r="K274" i="58"/>
  <c r="J274" i="58"/>
  <c r="K273" i="58"/>
  <c r="J273" i="58"/>
  <c r="K272" i="58"/>
  <c r="J272" i="58"/>
  <c r="K271" i="58"/>
  <c r="J271" i="58"/>
  <c r="K270" i="58"/>
  <c r="J270" i="58"/>
  <c r="K269" i="58"/>
  <c r="J269" i="58"/>
  <c r="K268" i="58"/>
  <c r="J268" i="58"/>
  <c r="K267" i="58"/>
  <c r="J267" i="58"/>
  <c r="K266" i="58"/>
  <c r="J266" i="58"/>
  <c r="K265" i="58"/>
  <c r="J265" i="58"/>
  <c r="K264" i="58"/>
  <c r="J264" i="58"/>
  <c r="K263" i="58"/>
  <c r="J263" i="58"/>
  <c r="K262" i="58"/>
  <c r="J262" i="58"/>
  <c r="K261" i="58"/>
  <c r="J261" i="58"/>
  <c r="K260" i="58"/>
  <c r="J260" i="58"/>
  <c r="K259" i="58"/>
  <c r="J259" i="58"/>
  <c r="K258" i="58"/>
  <c r="J258" i="58"/>
  <c r="K257" i="58"/>
  <c r="J257" i="58"/>
  <c r="K256" i="58"/>
  <c r="J256" i="58"/>
  <c r="K255" i="58"/>
  <c r="J255" i="58"/>
  <c r="K254" i="58"/>
  <c r="J254" i="58"/>
  <c r="K253" i="58"/>
  <c r="J253" i="58"/>
  <c r="K252" i="58"/>
  <c r="J252" i="58"/>
  <c r="K251" i="58"/>
  <c r="J251" i="58"/>
  <c r="K250" i="58"/>
  <c r="J250" i="58"/>
  <c r="K249" i="58"/>
  <c r="J249" i="58"/>
  <c r="K248" i="58"/>
  <c r="J248" i="58"/>
  <c r="K247" i="58"/>
  <c r="J247" i="58"/>
  <c r="K246" i="58"/>
  <c r="J246" i="58"/>
  <c r="K245" i="58"/>
  <c r="J245" i="58"/>
  <c r="K244" i="58"/>
  <c r="J244" i="58"/>
  <c r="K243" i="58"/>
  <c r="J243" i="58"/>
  <c r="K242" i="58"/>
  <c r="J242" i="58"/>
  <c r="K241" i="58"/>
  <c r="J241" i="58"/>
  <c r="K240" i="58"/>
  <c r="J240" i="58"/>
  <c r="K239" i="58"/>
  <c r="J239" i="58"/>
  <c r="K238" i="58"/>
  <c r="J238" i="58"/>
  <c r="K237" i="58"/>
  <c r="J237" i="58"/>
  <c r="K236" i="58"/>
  <c r="J236" i="58"/>
  <c r="K235" i="58"/>
  <c r="J235" i="58"/>
  <c r="K234" i="58"/>
  <c r="J234" i="58"/>
  <c r="K233" i="58"/>
  <c r="J233" i="58"/>
  <c r="K232" i="58"/>
  <c r="J232" i="58"/>
  <c r="K231" i="58"/>
  <c r="J231" i="58"/>
  <c r="K230" i="58"/>
  <c r="J230" i="58"/>
  <c r="K229" i="58"/>
  <c r="J229" i="58"/>
  <c r="K228" i="58"/>
  <c r="J228" i="58"/>
  <c r="K227" i="58"/>
  <c r="J227" i="58"/>
  <c r="K226" i="58"/>
  <c r="J226" i="58"/>
  <c r="K225" i="58"/>
  <c r="J225" i="58"/>
  <c r="K224" i="58"/>
  <c r="J224" i="58"/>
  <c r="K223" i="58"/>
  <c r="J223" i="58"/>
  <c r="K222" i="58"/>
  <c r="J222" i="58"/>
  <c r="K221" i="58"/>
  <c r="J221" i="58"/>
  <c r="K220" i="58"/>
  <c r="J220" i="58"/>
  <c r="K219" i="58"/>
  <c r="J219" i="58"/>
  <c r="K218" i="58"/>
  <c r="J218" i="58"/>
  <c r="K217" i="58"/>
  <c r="J217" i="58"/>
  <c r="K216" i="58"/>
  <c r="J216" i="58"/>
  <c r="K215" i="58"/>
  <c r="J215" i="58"/>
  <c r="K214" i="58"/>
  <c r="J214" i="58"/>
  <c r="K213" i="58"/>
  <c r="J213" i="58"/>
  <c r="K212" i="58"/>
  <c r="J212" i="58"/>
  <c r="K211" i="58"/>
  <c r="J211" i="58"/>
  <c r="K210" i="58"/>
  <c r="J210" i="58"/>
  <c r="K209" i="58"/>
  <c r="J209" i="58"/>
  <c r="K208" i="58"/>
  <c r="J208" i="58"/>
  <c r="K207" i="58"/>
  <c r="J207" i="58"/>
  <c r="K206" i="58"/>
  <c r="J206" i="58"/>
  <c r="K205" i="58"/>
  <c r="J205" i="58"/>
  <c r="K204" i="58"/>
  <c r="J204" i="58"/>
  <c r="K203" i="58"/>
  <c r="J203" i="58"/>
  <c r="K202" i="58"/>
  <c r="J202" i="58"/>
  <c r="K201" i="58"/>
  <c r="J201" i="58"/>
  <c r="K200" i="58"/>
  <c r="J200" i="58"/>
  <c r="K199" i="58"/>
  <c r="J199" i="58"/>
  <c r="K198" i="58"/>
  <c r="J198" i="58"/>
  <c r="K197" i="58"/>
  <c r="J197" i="58"/>
  <c r="K196" i="58"/>
  <c r="J196" i="58"/>
  <c r="K195" i="58"/>
  <c r="J195" i="58"/>
  <c r="K194" i="58"/>
  <c r="J194" i="58"/>
  <c r="K193" i="58"/>
  <c r="J193" i="58"/>
  <c r="K192" i="58"/>
  <c r="J192" i="58"/>
  <c r="K191" i="58"/>
  <c r="J191" i="58"/>
  <c r="K190" i="58"/>
  <c r="J190" i="58"/>
  <c r="K189" i="58"/>
  <c r="J189" i="58"/>
  <c r="K188" i="58"/>
  <c r="J188" i="58"/>
  <c r="K187" i="58"/>
  <c r="J187" i="58"/>
  <c r="K186" i="58"/>
  <c r="J186" i="58"/>
  <c r="K185" i="58"/>
  <c r="J185" i="58"/>
  <c r="K184" i="58"/>
  <c r="J184" i="58"/>
  <c r="K183" i="58"/>
  <c r="J183" i="58"/>
  <c r="K182" i="58"/>
  <c r="J182" i="58"/>
  <c r="K181" i="58"/>
  <c r="J181" i="58"/>
  <c r="K180" i="58"/>
  <c r="J180" i="58"/>
  <c r="K179" i="58"/>
  <c r="J179" i="58"/>
  <c r="K178" i="58"/>
  <c r="J178" i="58"/>
  <c r="K177" i="58"/>
  <c r="J177" i="58"/>
  <c r="K176" i="58"/>
  <c r="J176" i="58"/>
  <c r="K175" i="58"/>
  <c r="J175" i="58"/>
  <c r="K174" i="58"/>
  <c r="J174" i="58"/>
  <c r="K173" i="58"/>
  <c r="J173" i="58"/>
  <c r="K172" i="58"/>
  <c r="J172" i="58"/>
  <c r="K171" i="58"/>
  <c r="J171" i="58"/>
  <c r="K170" i="58"/>
  <c r="J170" i="58"/>
  <c r="K169" i="58"/>
  <c r="J169" i="58"/>
  <c r="K168" i="58"/>
  <c r="J168" i="58"/>
  <c r="K167" i="58"/>
  <c r="J167" i="58"/>
  <c r="K166" i="58"/>
  <c r="J166" i="58"/>
  <c r="K165" i="58"/>
  <c r="J165" i="58"/>
  <c r="K164" i="58"/>
  <c r="J164" i="58"/>
  <c r="K163" i="58"/>
  <c r="J163" i="58"/>
  <c r="K162" i="58"/>
  <c r="J162" i="58"/>
  <c r="K161" i="58"/>
  <c r="J161" i="58"/>
  <c r="K160" i="58"/>
  <c r="J160" i="58"/>
  <c r="K159" i="58"/>
  <c r="J159" i="58"/>
  <c r="K158" i="58"/>
  <c r="J158" i="58"/>
  <c r="K157" i="58"/>
  <c r="J157" i="58"/>
  <c r="K156" i="58"/>
  <c r="J156" i="58"/>
  <c r="K155" i="58"/>
  <c r="J155" i="58"/>
  <c r="K154" i="58"/>
  <c r="J154" i="58"/>
  <c r="K153" i="58"/>
  <c r="J153" i="58"/>
  <c r="K152" i="58"/>
  <c r="J152" i="58"/>
  <c r="K151" i="58"/>
  <c r="J151" i="58"/>
  <c r="K150" i="58"/>
  <c r="J150" i="58"/>
  <c r="K149" i="58"/>
  <c r="J149" i="58"/>
  <c r="K148" i="58"/>
  <c r="J148" i="58"/>
  <c r="K147" i="58"/>
  <c r="J147" i="58"/>
  <c r="K146" i="58"/>
  <c r="J146" i="58"/>
  <c r="K145" i="58"/>
  <c r="J145" i="58"/>
  <c r="K144" i="58"/>
  <c r="J144" i="58"/>
  <c r="K143" i="58"/>
  <c r="J143" i="58"/>
  <c r="K142" i="58"/>
  <c r="J142" i="58"/>
  <c r="K141" i="58"/>
  <c r="J141" i="58"/>
  <c r="K140" i="58"/>
  <c r="J140" i="58"/>
  <c r="K139" i="58"/>
  <c r="J139" i="58"/>
  <c r="K138" i="58"/>
  <c r="J138" i="58"/>
  <c r="K137" i="58"/>
  <c r="J137" i="58"/>
  <c r="K136" i="58"/>
  <c r="J136" i="58"/>
  <c r="K135" i="58"/>
  <c r="J135" i="58"/>
  <c r="K134" i="58"/>
  <c r="J134" i="58"/>
  <c r="K133" i="58"/>
  <c r="J133" i="58"/>
  <c r="K132" i="58"/>
  <c r="J132" i="58"/>
  <c r="K131" i="58"/>
  <c r="J131" i="58"/>
  <c r="K130" i="58"/>
  <c r="J130" i="58"/>
  <c r="K129" i="58"/>
  <c r="J129" i="58"/>
  <c r="K128" i="58"/>
  <c r="J128" i="58"/>
  <c r="K127" i="58"/>
  <c r="J127" i="58"/>
  <c r="K126" i="58"/>
  <c r="J126" i="58"/>
  <c r="K125" i="58"/>
  <c r="J125" i="58"/>
  <c r="K124" i="58"/>
  <c r="J124" i="58"/>
  <c r="K123" i="58"/>
  <c r="J123" i="58"/>
  <c r="K122" i="58"/>
  <c r="J122" i="58"/>
  <c r="K121" i="58"/>
  <c r="J121" i="58"/>
  <c r="K120" i="58"/>
  <c r="J120" i="58"/>
  <c r="K119" i="58"/>
  <c r="J119" i="58"/>
  <c r="K118" i="58"/>
  <c r="J118" i="58"/>
  <c r="K117" i="58"/>
  <c r="J117" i="58"/>
  <c r="K116" i="58"/>
  <c r="J116" i="58"/>
  <c r="K115" i="58"/>
  <c r="J115" i="58"/>
  <c r="K114" i="58"/>
  <c r="J114" i="58"/>
  <c r="K113" i="58"/>
  <c r="J113" i="58"/>
  <c r="K112" i="58"/>
  <c r="J112" i="58"/>
  <c r="K111" i="58"/>
  <c r="J111" i="58"/>
  <c r="K110" i="58"/>
  <c r="J110" i="58"/>
  <c r="K109" i="58"/>
  <c r="J109" i="58"/>
  <c r="K108" i="58"/>
  <c r="J108" i="58"/>
  <c r="K107" i="58"/>
  <c r="J107" i="58"/>
  <c r="K106" i="58"/>
  <c r="J106" i="58"/>
  <c r="K105" i="58"/>
  <c r="J105" i="58"/>
  <c r="K104" i="58"/>
  <c r="J104" i="58"/>
  <c r="K103" i="58"/>
  <c r="J103" i="58"/>
  <c r="K102" i="58"/>
  <c r="J102" i="58"/>
  <c r="K101" i="58"/>
  <c r="J101" i="58"/>
  <c r="K100" i="58"/>
  <c r="J100" i="58"/>
  <c r="K99" i="58"/>
  <c r="J99" i="58"/>
  <c r="K98" i="58"/>
  <c r="J98" i="58"/>
  <c r="K97" i="58"/>
  <c r="J97" i="58"/>
  <c r="K96" i="58"/>
  <c r="J96" i="58"/>
  <c r="K95" i="58"/>
  <c r="J95" i="58"/>
  <c r="K94" i="58"/>
  <c r="J94" i="58"/>
  <c r="K93" i="58"/>
  <c r="J93" i="58"/>
  <c r="K92" i="58"/>
  <c r="J92" i="58"/>
  <c r="K91" i="58"/>
  <c r="J91" i="58"/>
  <c r="K90" i="58"/>
  <c r="J90" i="58"/>
  <c r="K89" i="58"/>
  <c r="J89" i="58"/>
  <c r="K88" i="58"/>
  <c r="J88" i="58"/>
  <c r="K87" i="58"/>
  <c r="J87" i="58"/>
  <c r="K86" i="58"/>
  <c r="J86" i="58"/>
  <c r="K85" i="58"/>
  <c r="J85" i="58"/>
  <c r="K84" i="58"/>
  <c r="J84" i="58"/>
  <c r="K83" i="58"/>
  <c r="J83" i="58"/>
  <c r="K82" i="58"/>
  <c r="J82" i="58"/>
  <c r="K81" i="58"/>
  <c r="J81" i="58"/>
  <c r="K80" i="58"/>
  <c r="J80" i="58"/>
  <c r="K79" i="58"/>
  <c r="J79" i="58"/>
  <c r="K78" i="58"/>
  <c r="J78" i="58"/>
  <c r="K77" i="58"/>
  <c r="J77" i="58"/>
  <c r="K76" i="58"/>
  <c r="J76" i="58"/>
  <c r="K75" i="58"/>
  <c r="J75" i="58"/>
  <c r="K74" i="58"/>
  <c r="J74" i="58"/>
  <c r="K73" i="58"/>
  <c r="J73" i="58"/>
  <c r="K72" i="58"/>
  <c r="J72" i="58"/>
  <c r="K71" i="58"/>
  <c r="J71" i="58"/>
  <c r="K70" i="58"/>
  <c r="J70" i="58"/>
  <c r="K69" i="58"/>
  <c r="J69" i="58"/>
  <c r="K68" i="58"/>
  <c r="J68" i="58"/>
  <c r="K67" i="58"/>
  <c r="J67" i="58"/>
  <c r="K66" i="58"/>
  <c r="J66" i="58"/>
  <c r="K65" i="58"/>
  <c r="J65" i="58"/>
  <c r="K64" i="58"/>
  <c r="J64" i="58"/>
  <c r="K63" i="58"/>
  <c r="J63" i="58"/>
  <c r="K62" i="58"/>
  <c r="J62" i="58"/>
  <c r="K61" i="58"/>
  <c r="J61" i="58"/>
  <c r="K60" i="58"/>
  <c r="J60" i="58"/>
  <c r="K59" i="58"/>
  <c r="J59" i="58"/>
  <c r="K58" i="58"/>
  <c r="J58" i="58"/>
  <c r="K57" i="58"/>
  <c r="J57" i="58"/>
  <c r="K56" i="58"/>
  <c r="J56" i="58"/>
  <c r="K55" i="58"/>
  <c r="J55" i="58"/>
  <c r="K54" i="58"/>
  <c r="J54" i="58"/>
  <c r="K53" i="58"/>
  <c r="J53" i="58"/>
  <c r="K52" i="58"/>
  <c r="J52" i="58"/>
  <c r="K51" i="58"/>
  <c r="J51" i="58"/>
  <c r="K50" i="58"/>
  <c r="J50" i="58"/>
  <c r="K49" i="58"/>
  <c r="J49" i="58"/>
  <c r="K48" i="58"/>
  <c r="J48" i="58"/>
  <c r="K47" i="58"/>
  <c r="J47" i="58"/>
  <c r="K46" i="58"/>
  <c r="J46" i="58"/>
  <c r="K45" i="58"/>
  <c r="J45" i="58"/>
  <c r="K44" i="58"/>
  <c r="J44" i="58"/>
  <c r="K43" i="58"/>
  <c r="J43" i="58"/>
  <c r="K42" i="58"/>
  <c r="J42" i="58"/>
  <c r="K41" i="58"/>
  <c r="J41" i="58"/>
  <c r="K40" i="58"/>
  <c r="J40" i="58"/>
  <c r="K39" i="58"/>
  <c r="J39" i="58"/>
  <c r="K38" i="58"/>
  <c r="J38" i="58"/>
  <c r="K37" i="58"/>
  <c r="J37" i="58"/>
  <c r="K36" i="58"/>
  <c r="J36" i="58"/>
  <c r="K35" i="58"/>
  <c r="J35" i="58"/>
  <c r="K34" i="58"/>
  <c r="J34" i="58"/>
  <c r="K33" i="58"/>
  <c r="J33" i="58"/>
  <c r="K32" i="58"/>
  <c r="J32" i="58"/>
  <c r="K31" i="58"/>
  <c r="J31" i="58"/>
  <c r="K30" i="58"/>
  <c r="J30" i="58"/>
  <c r="K29" i="58"/>
  <c r="J29" i="58"/>
  <c r="K28" i="58"/>
  <c r="J28" i="58"/>
  <c r="K27" i="58"/>
  <c r="J27" i="58"/>
  <c r="K26" i="58"/>
  <c r="J26" i="58"/>
  <c r="K25" i="58"/>
  <c r="J25" i="58"/>
  <c r="K24" i="58"/>
  <c r="J24" i="58"/>
  <c r="K23" i="58"/>
  <c r="J23" i="58"/>
  <c r="K22" i="58"/>
  <c r="J22" i="58"/>
  <c r="K21" i="58"/>
  <c r="J21" i="58"/>
  <c r="K20" i="58"/>
  <c r="J20" i="58"/>
  <c r="K19" i="58"/>
  <c r="J19" i="58"/>
  <c r="K18" i="58"/>
  <c r="J18" i="58"/>
  <c r="K17" i="58"/>
  <c r="J17" i="58"/>
  <c r="K16" i="58"/>
  <c r="J16" i="58"/>
  <c r="K15" i="58"/>
  <c r="J15" i="58"/>
  <c r="K14" i="58"/>
  <c r="J14" i="58"/>
  <c r="K13" i="58"/>
  <c r="J13" i="58"/>
  <c r="K12" i="58"/>
  <c r="J12" i="58"/>
  <c r="K11" i="58"/>
  <c r="J11" i="58"/>
  <c r="K10" i="58"/>
  <c r="J10" i="58"/>
  <c r="K9" i="58"/>
  <c r="J9" i="58"/>
  <c r="K8" i="58"/>
  <c r="J8" i="58"/>
  <c r="K7" i="58"/>
  <c r="J7" i="58"/>
  <c r="K6" i="58"/>
  <c r="J6" i="58"/>
  <c r="K3" i="58"/>
  <c r="I3" i="58"/>
  <c r="H3" i="58"/>
  <c r="K499" i="56"/>
  <c r="J499" i="56"/>
  <c r="K498" i="56"/>
  <c r="J498" i="56"/>
  <c r="K497" i="56"/>
  <c r="J497" i="56"/>
  <c r="K496" i="56"/>
  <c r="J496" i="56"/>
  <c r="K495" i="56"/>
  <c r="J495" i="56"/>
  <c r="K494" i="56"/>
  <c r="J494" i="56"/>
  <c r="K493" i="56"/>
  <c r="J493" i="56"/>
  <c r="K492" i="56"/>
  <c r="J492" i="56"/>
  <c r="K491" i="56"/>
  <c r="J491" i="56"/>
  <c r="K490" i="56"/>
  <c r="J490" i="56"/>
  <c r="K489" i="56"/>
  <c r="J489" i="56"/>
  <c r="K488" i="56"/>
  <c r="J488" i="56"/>
  <c r="K487" i="56"/>
  <c r="J487" i="56"/>
  <c r="K486" i="56"/>
  <c r="J486" i="56"/>
  <c r="K485" i="56"/>
  <c r="J485" i="56"/>
  <c r="K484" i="56"/>
  <c r="J484" i="56"/>
  <c r="K483" i="56"/>
  <c r="J483" i="56"/>
  <c r="K482" i="56"/>
  <c r="J482" i="56"/>
  <c r="K481" i="56"/>
  <c r="J481" i="56"/>
  <c r="K480" i="56"/>
  <c r="J480" i="56"/>
  <c r="K479" i="56"/>
  <c r="J479" i="56"/>
  <c r="K478" i="56"/>
  <c r="J478" i="56"/>
  <c r="K477" i="56"/>
  <c r="J477" i="56"/>
  <c r="K476" i="56"/>
  <c r="J476" i="56"/>
  <c r="K475" i="56"/>
  <c r="J475" i="56"/>
  <c r="K474" i="56"/>
  <c r="J474" i="56"/>
  <c r="K473" i="56"/>
  <c r="J473" i="56"/>
  <c r="K472" i="56"/>
  <c r="J472" i="56"/>
  <c r="K471" i="56"/>
  <c r="J471" i="56"/>
  <c r="K470" i="56"/>
  <c r="J470" i="56"/>
  <c r="K469" i="56"/>
  <c r="J469" i="56"/>
  <c r="K468" i="56"/>
  <c r="J468" i="56"/>
  <c r="K467" i="56"/>
  <c r="J467" i="56"/>
  <c r="K466" i="56"/>
  <c r="J466" i="56"/>
  <c r="K465" i="56"/>
  <c r="J465" i="56"/>
  <c r="K464" i="56"/>
  <c r="J464" i="56"/>
  <c r="K463" i="56"/>
  <c r="J463" i="56"/>
  <c r="K462" i="56"/>
  <c r="J462" i="56"/>
  <c r="K461" i="56"/>
  <c r="J461" i="56"/>
  <c r="K460" i="56"/>
  <c r="J460" i="56"/>
  <c r="K459" i="56"/>
  <c r="J459" i="56"/>
  <c r="K458" i="56"/>
  <c r="J458" i="56"/>
  <c r="K457" i="56"/>
  <c r="J457" i="56"/>
  <c r="K456" i="56"/>
  <c r="J456" i="56"/>
  <c r="K455" i="56"/>
  <c r="J455" i="56"/>
  <c r="K454" i="56"/>
  <c r="J454" i="56"/>
  <c r="K453" i="56"/>
  <c r="J453" i="56"/>
  <c r="K452" i="56"/>
  <c r="J452" i="56"/>
  <c r="K451" i="56"/>
  <c r="J451" i="56"/>
  <c r="K450" i="56"/>
  <c r="J450" i="56"/>
  <c r="K449" i="56"/>
  <c r="J449" i="56"/>
  <c r="K448" i="56"/>
  <c r="J448" i="56"/>
  <c r="K447" i="56"/>
  <c r="J447" i="56"/>
  <c r="K446" i="56"/>
  <c r="J446" i="56"/>
  <c r="K445" i="56"/>
  <c r="J445" i="56"/>
  <c r="K444" i="56"/>
  <c r="J444" i="56"/>
  <c r="K443" i="56"/>
  <c r="J443" i="56"/>
  <c r="K442" i="56"/>
  <c r="J442" i="56"/>
  <c r="K441" i="56"/>
  <c r="J441" i="56"/>
  <c r="K440" i="56"/>
  <c r="J440" i="56"/>
  <c r="K439" i="56"/>
  <c r="J439" i="56"/>
  <c r="K438" i="56"/>
  <c r="J438" i="56"/>
  <c r="K437" i="56"/>
  <c r="J437" i="56"/>
  <c r="K436" i="56"/>
  <c r="J436" i="56"/>
  <c r="K435" i="56"/>
  <c r="J435" i="56"/>
  <c r="K434" i="56"/>
  <c r="J434" i="56"/>
  <c r="K433" i="56"/>
  <c r="J433" i="56"/>
  <c r="K432" i="56"/>
  <c r="J432" i="56"/>
  <c r="K431" i="56"/>
  <c r="J431" i="56"/>
  <c r="K430" i="56"/>
  <c r="J430" i="56"/>
  <c r="K429" i="56"/>
  <c r="J429" i="56"/>
  <c r="K428" i="56"/>
  <c r="J428" i="56"/>
  <c r="K427" i="56"/>
  <c r="J427" i="56"/>
  <c r="K426" i="56"/>
  <c r="J426" i="56"/>
  <c r="K425" i="56"/>
  <c r="J425" i="56"/>
  <c r="K424" i="56"/>
  <c r="J424" i="56"/>
  <c r="K423" i="56"/>
  <c r="J423" i="56"/>
  <c r="K422" i="56"/>
  <c r="J422" i="56"/>
  <c r="K421" i="56"/>
  <c r="J421" i="56"/>
  <c r="K420" i="56"/>
  <c r="J420" i="56"/>
  <c r="K419" i="56"/>
  <c r="J419" i="56"/>
  <c r="K418" i="56"/>
  <c r="J418" i="56"/>
  <c r="K417" i="56"/>
  <c r="J417" i="56"/>
  <c r="K416" i="56"/>
  <c r="J416" i="56"/>
  <c r="K415" i="56"/>
  <c r="J415" i="56"/>
  <c r="K414" i="56"/>
  <c r="J414" i="56"/>
  <c r="K413" i="56"/>
  <c r="J413" i="56"/>
  <c r="K412" i="56"/>
  <c r="J412" i="56"/>
  <c r="K411" i="56"/>
  <c r="J411" i="56"/>
  <c r="K410" i="56"/>
  <c r="J410" i="56"/>
  <c r="K409" i="56"/>
  <c r="J409" i="56"/>
  <c r="K408" i="56"/>
  <c r="J408" i="56"/>
  <c r="K407" i="56"/>
  <c r="J407" i="56"/>
  <c r="K406" i="56"/>
  <c r="J406" i="56"/>
  <c r="K405" i="56"/>
  <c r="J405" i="56"/>
  <c r="K404" i="56"/>
  <c r="J404" i="56"/>
  <c r="K403" i="56"/>
  <c r="J403" i="56"/>
  <c r="K402" i="56"/>
  <c r="J402" i="56"/>
  <c r="K401" i="56"/>
  <c r="J401" i="56"/>
  <c r="K400" i="56"/>
  <c r="J400" i="56"/>
  <c r="K399" i="56"/>
  <c r="J399" i="56"/>
  <c r="K398" i="56"/>
  <c r="J398" i="56"/>
  <c r="K397" i="56"/>
  <c r="J397" i="56"/>
  <c r="K396" i="56"/>
  <c r="J396" i="56"/>
  <c r="K395" i="56"/>
  <c r="J395" i="56"/>
  <c r="K394" i="56"/>
  <c r="J394" i="56"/>
  <c r="K393" i="56"/>
  <c r="J393" i="56"/>
  <c r="K392" i="56"/>
  <c r="J392" i="56"/>
  <c r="K391" i="56"/>
  <c r="J391" i="56"/>
  <c r="K390" i="56"/>
  <c r="J390" i="56"/>
  <c r="K389" i="56"/>
  <c r="J389" i="56"/>
  <c r="K388" i="56"/>
  <c r="J388" i="56"/>
  <c r="K387" i="56"/>
  <c r="J387" i="56"/>
  <c r="K386" i="56"/>
  <c r="J386" i="56"/>
  <c r="K385" i="56"/>
  <c r="J385" i="56"/>
  <c r="K384" i="56"/>
  <c r="J384" i="56"/>
  <c r="K383" i="56"/>
  <c r="J383" i="56"/>
  <c r="K382" i="56"/>
  <c r="J382" i="56"/>
  <c r="K381" i="56"/>
  <c r="J381" i="56"/>
  <c r="K380" i="56"/>
  <c r="J380" i="56"/>
  <c r="K379" i="56"/>
  <c r="J379" i="56"/>
  <c r="K378" i="56"/>
  <c r="J378" i="56"/>
  <c r="K377" i="56"/>
  <c r="J377" i="56"/>
  <c r="K376" i="56"/>
  <c r="J376" i="56"/>
  <c r="K375" i="56"/>
  <c r="J375" i="56"/>
  <c r="K374" i="56"/>
  <c r="J374" i="56"/>
  <c r="K373" i="56"/>
  <c r="J373" i="56"/>
  <c r="K372" i="56"/>
  <c r="J372" i="56"/>
  <c r="K371" i="56"/>
  <c r="J371" i="56"/>
  <c r="K370" i="56"/>
  <c r="J370" i="56"/>
  <c r="K369" i="56"/>
  <c r="J369" i="56"/>
  <c r="K368" i="56"/>
  <c r="J368" i="56"/>
  <c r="K367" i="56"/>
  <c r="J367" i="56"/>
  <c r="K366" i="56"/>
  <c r="J366" i="56"/>
  <c r="K365" i="56"/>
  <c r="J365" i="56"/>
  <c r="K364" i="56"/>
  <c r="J364" i="56"/>
  <c r="K363" i="56"/>
  <c r="J363" i="56"/>
  <c r="K362" i="56"/>
  <c r="J362" i="56"/>
  <c r="K361" i="56"/>
  <c r="J361" i="56"/>
  <c r="K360" i="56"/>
  <c r="J360" i="56"/>
  <c r="K359" i="56"/>
  <c r="J359" i="56"/>
  <c r="K358" i="56"/>
  <c r="J358" i="56"/>
  <c r="K357" i="56"/>
  <c r="J357" i="56"/>
  <c r="K356" i="56"/>
  <c r="J356" i="56"/>
  <c r="K355" i="56"/>
  <c r="J355" i="56"/>
  <c r="K354" i="56"/>
  <c r="J354" i="56"/>
  <c r="K353" i="56"/>
  <c r="J353" i="56"/>
  <c r="K352" i="56"/>
  <c r="J352" i="56"/>
  <c r="K351" i="56"/>
  <c r="J351" i="56"/>
  <c r="K350" i="56"/>
  <c r="J350" i="56"/>
  <c r="K349" i="56"/>
  <c r="J349" i="56"/>
  <c r="K348" i="56"/>
  <c r="J348" i="56"/>
  <c r="K347" i="56"/>
  <c r="J347" i="56"/>
  <c r="K346" i="56"/>
  <c r="J346" i="56"/>
  <c r="K345" i="56"/>
  <c r="J345" i="56"/>
  <c r="K344" i="56"/>
  <c r="J344" i="56"/>
  <c r="K343" i="56"/>
  <c r="J343" i="56"/>
  <c r="K342" i="56"/>
  <c r="J342" i="56"/>
  <c r="K341" i="56"/>
  <c r="J341" i="56"/>
  <c r="K340" i="56"/>
  <c r="J340" i="56"/>
  <c r="K339" i="56"/>
  <c r="J339" i="56"/>
  <c r="K338" i="56"/>
  <c r="J338" i="56"/>
  <c r="K337" i="56"/>
  <c r="J337" i="56"/>
  <c r="K336" i="56"/>
  <c r="J336" i="56"/>
  <c r="K335" i="56"/>
  <c r="J335" i="56"/>
  <c r="K334" i="56"/>
  <c r="J334" i="56"/>
  <c r="K333" i="56"/>
  <c r="J333" i="56"/>
  <c r="K332" i="56"/>
  <c r="J332" i="56"/>
  <c r="K331" i="56"/>
  <c r="J331" i="56"/>
  <c r="K330" i="56"/>
  <c r="J330" i="56"/>
  <c r="K329" i="56"/>
  <c r="J329" i="56"/>
  <c r="K328" i="56"/>
  <c r="J328" i="56"/>
  <c r="K327" i="56"/>
  <c r="J327" i="56"/>
  <c r="K326" i="56"/>
  <c r="J326" i="56"/>
  <c r="K325" i="56"/>
  <c r="J325" i="56"/>
  <c r="K324" i="56"/>
  <c r="J324" i="56"/>
  <c r="K323" i="56"/>
  <c r="J323" i="56"/>
  <c r="K322" i="56"/>
  <c r="J322" i="56"/>
  <c r="K321" i="56"/>
  <c r="J321" i="56"/>
  <c r="K320" i="56"/>
  <c r="J320" i="56"/>
  <c r="K319" i="56"/>
  <c r="J319" i="56"/>
  <c r="K318" i="56"/>
  <c r="J318" i="56"/>
  <c r="K317" i="56"/>
  <c r="J317" i="56"/>
  <c r="K316" i="56"/>
  <c r="J316" i="56"/>
  <c r="K315" i="56"/>
  <c r="J315" i="56"/>
  <c r="K314" i="56"/>
  <c r="J314" i="56"/>
  <c r="K313" i="56"/>
  <c r="J313" i="56"/>
  <c r="K312" i="56"/>
  <c r="J312" i="56"/>
  <c r="K311" i="56"/>
  <c r="J311" i="56"/>
  <c r="K310" i="56"/>
  <c r="J310" i="56"/>
  <c r="K309" i="56"/>
  <c r="J309" i="56"/>
  <c r="K308" i="56"/>
  <c r="J308" i="56"/>
  <c r="K307" i="56"/>
  <c r="J307" i="56"/>
  <c r="K306" i="56"/>
  <c r="J306" i="56"/>
  <c r="K305" i="56"/>
  <c r="J305" i="56"/>
  <c r="K304" i="56"/>
  <c r="J304" i="56"/>
  <c r="K303" i="56"/>
  <c r="J303" i="56"/>
  <c r="K302" i="56"/>
  <c r="J302" i="56"/>
  <c r="K301" i="56"/>
  <c r="J301" i="56"/>
  <c r="K300" i="56"/>
  <c r="J300" i="56"/>
  <c r="K299" i="56"/>
  <c r="J299" i="56"/>
  <c r="K298" i="56"/>
  <c r="J298" i="56"/>
  <c r="K297" i="56"/>
  <c r="J297" i="56"/>
  <c r="K296" i="56"/>
  <c r="J296" i="56"/>
  <c r="K295" i="56"/>
  <c r="J295" i="56"/>
  <c r="K294" i="56"/>
  <c r="J294" i="56"/>
  <c r="K293" i="56"/>
  <c r="J293" i="56"/>
  <c r="K292" i="56"/>
  <c r="J292" i="56"/>
  <c r="K291" i="56"/>
  <c r="J291" i="56"/>
  <c r="K290" i="56"/>
  <c r="J290" i="56"/>
  <c r="K289" i="56"/>
  <c r="J289" i="56"/>
  <c r="K288" i="56"/>
  <c r="J288" i="56"/>
  <c r="K287" i="56"/>
  <c r="J287" i="56"/>
  <c r="K286" i="56"/>
  <c r="J286" i="56"/>
  <c r="K285" i="56"/>
  <c r="J285" i="56"/>
  <c r="K284" i="56"/>
  <c r="J284" i="56"/>
  <c r="K283" i="56"/>
  <c r="J283" i="56"/>
  <c r="K282" i="56"/>
  <c r="J282" i="56"/>
  <c r="K281" i="56"/>
  <c r="J281" i="56"/>
  <c r="K280" i="56"/>
  <c r="J280" i="56"/>
  <c r="K279" i="56"/>
  <c r="J279" i="56"/>
  <c r="K278" i="56"/>
  <c r="J278" i="56"/>
  <c r="K277" i="56"/>
  <c r="J277" i="56"/>
  <c r="K276" i="56"/>
  <c r="J276" i="56"/>
  <c r="K275" i="56"/>
  <c r="J275" i="56"/>
  <c r="K274" i="56"/>
  <c r="J274" i="56"/>
  <c r="K273" i="56"/>
  <c r="J273" i="56"/>
  <c r="K272" i="56"/>
  <c r="J272" i="56"/>
  <c r="K271" i="56"/>
  <c r="J271" i="56"/>
  <c r="K270" i="56"/>
  <c r="J270" i="56"/>
  <c r="K269" i="56"/>
  <c r="J269" i="56"/>
  <c r="K268" i="56"/>
  <c r="J268" i="56"/>
  <c r="K267" i="56"/>
  <c r="J267" i="56"/>
  <c r="K266" i="56"/>
  <c r="J266" i="56"/>
  <c r="K265" i="56"/>
  <c r="J265" i="56"/>
  <c r="K264" i="56"/>
  <c r="J264" i="56"/>
  <c r="K263" i="56"/>
  <c r="J263" i="56"/>
  <c r="K262" i="56"/>
  <c r="J262" i="56"/>
  <c r="K261" i="56"/>
  <c r="J261" i="56"/>
  <c r="K260" i="56"/>
  <c r="J260" i="56"/>
  <c r="K259" i="56"/>
  <c r="J259" i="56"/>
  <c r="K258" i="56"/>
  <c r="J258" i="56"/>
  <c r="K257" i="56"/>
  <c r="J257" i="56"/>
  <c r="K256" i="56"/>
  <c r="J256" i="56"/>
  <c r="K255" i="56"/>
  <c r="J255" i="56"/>
  <c r="K254" i="56"/>
  <c r="J254" i="56"/>
  <c r="K253" i="56"/>
  <c r="J253" i="56"/>
  <c r="K252" i="56"/>
  <c r="J252" i="56"/>
  <c r="K251" i="56"/>
  <c r="J251" i="56"/>
  <c r="K250" i="56"/>
  <c r="J250" i="56"/>
  <c r="K249" i="56"/>
  <c r="J249" i="56"/>
  <c r="K248" i="56"/>
  <c r="J248" i="56"/>
  <c r="K247" i="56"/>
  <c r="J247" i="56"/>
  <c r="K246" i="56"/>
  <c r="J246" i="56"/>
  <c r="K245" i="56"/>
  <c r="J245" i="56"/>
  <c r="K244" i="56"/>
  <c r="J244" i="56"/>
  <c r="K243" i="56"/>
  <c r="J243" i="56"/>
  <c r="K242" i="56"/>
  <c r="J242" i="56"/>
  <c r="K241" i="56"/>
  <c r="J241" i="56"/>
  <c r="K240" i="56"/>
  <c r="J240" i="56"/>
  <c r="K239" i="56"/>
  <c r="J239" i="56"/>
  <c r="K238" i="56"/>
  <c r="J238" i="56"/>
  <c r="K237" i="56"/>
  <c r="J237" i="56"/>
  <c r="K236" i="56"/>
  <c r="J236" i="56"/>
  <c r="K235" i="56"/>
  <c r="J235" i="56"/>
  <c r="K234" i="56"/>
  <c r="J234" i="56"/>
  <c r="K233" i="56"/>
  <c r="J233" i="56"/>
  <c r="K232" i="56"/>
  <c r="J232" i="56"/>
  <c r="K231" i="56"/>
  <c r="J231" i="56"/>
  <c r="K230" i="56"/>
  <c r="J230" i="56"/>
  <c r="K229" i="56"/>
  <c r="J229" i="56"/>
  <c r="K228" i="56"/>
  <c r="J228" i="56"/>
  <c r="K227" i="56"/>
  <c r="J227" i="56"/>
  <c r="K226" i="56"/>
  <c r="J226" i="56"/>
  <c r="K225" i="56"/>
  <c r="J225" i="56"/>
  <c r="K224" i="56"/>
  <c r="J224" i="56"/>
  <c r="K223" i="56"/>
  <c r="J223" i="56"/>
  <c r="K222" i="56"/>
  <c r="J222" i="56"/>
  <c r="K221" i="56"/>
  <c r="J221" i="56"/>
  <c r="K220" i="56"/>
  <c r="J220" i="56"/>
  <c r="K219" i="56"/>
  <c r="J219" i="56"/>
  <c r="K218" i="56"/>
  <c r="J218" i="56"/>
  <c r="K217" i="56"/>
  <c r="J217" i="56"/>
  <c r="K216" i="56"/>
  <c r="J216" i="56"/>
  <c r="K215" i="56"/>
  <c r="J215" i="56"/>
  <c r="K214" i="56"/>
  <c r="J214" i="56"/>
  <c r="K213" i="56"/>
  <c r="J213" i="56"/>
  <c r="K212" i="56"/>
  <c r="J212" i="56"/>
  <c r="K211" i="56"/>
  <c r="J211" i="56"/>
  <c r="K210" i="56"/>
  <c r="J210" i="56"/>
  <c r="K209" i="56"/>
  <c r="J209" i="56"/>
  <c r="K208" i="56"/>
  <c r="J208" i="56"/>
  <c r="K207" i="56"/>
  <c r="J207" i="56"/>
  <c r="K206" i="56"/>
  <c r="J206" i="56"/>
  <c r="K205" i="56"/>
  <c r="J205" i="56"/>
  <c r="K204" i="56"/>
  <c r="J204" i="56"/>
  <c r="K203" i="56"/>
  <c r="J203" i="56"/>
  <c r="K202" i="56"/>
  <c r="J202" i="56"/>
  <c r="K201" i="56"/>
  <c r="J201" i="56"/>
  <c r="K200" i="56"/>
  <c r="J200" i="56"/>
  <c r="K199" i="56"/>
  <c r="J199" i="56"/>
  <c r="K198" i="56"/>
  <c r="J198" i="56"/>
  <c r="K197" i="56"/>
  <c r="J197" i="56"/>
  <c r="K196" i="56"/>
  <c r="J196" i="56"/>
  <c r="K195" i="56"/>
  <c r="J195" i="56"/>
  <c r="K194" i="56"/>
  <c r="J194" i="56"/>
  <c r="K193" i="56"/>
  <c r="J193" i="56"/>
  <c r="K192" i="56"/>
  <c r="J192" i="56"/>
  <c r="K191" i="56"/>
  <c r="J191" i="56"/>
  <c r="K190" i="56"/>
  <c r="J190" i="56"/>
  <c r="K189" i="56"/>
  <c r="J189" i="56"/>
  <c r="K188" i="56"/>
  <c r="J188" i="56"/>
  <c r="K187" i="56"/>
  <c r="J187" i="56"/>
  <c r="K186" i="56"/>
  <c r="J186" i="56"/>
  <c r="K185" i="56"/>
  <c r="J185" i="56"/>
  <c r="K184" i="56"/>
  <c r="J184" i="56"/>
  <c r="K183" i="56"/>
  <c r="J183" i="56"/>
  <c r="K182" i="56"/>
  <c r="J182" i="56"/>
  <c r="K181" i="56"/>
  <c r="J181" i="56"/>
  <c r="K180" i="56"/>
  <c r="J180" i="56"/>
  <c r="K179" i="56"/>
  <c r="J179" i="56"/>
  <c r="K178" i="56"/>
  <c r="J178" i="56"/>
  <c r="K177" i="56"/>
  <c r="J177" i="56"/>
  <c r="K176" i="56"/>
  <c r="J176" i="56"/>
  <c r="K175" i="56"/>
  <c r="J175" i="56"/>
  <c r="K174" i="56"/>
  <c r="J174" i="56"/>
  <c r="K173" i="56"/>
  <c r="J173" i="56"/>
  <c r="K172" i="56"/>
  <c r="J172" i="56"/>
  <c r="K171" i="56"/>
  <c r="J171" i="56"/>
  <c r="K170" i="56"/>
  <c r="J170" i="56"/>
  <c r="K169" i="56"/>
  <c r="J169" i="56"/>
  <c r="K168" i="56"/>
  <c r="J168" i="56"/>
  <c r="K167" i="56"/>
  <c r="J167" i="56"/>
  <c r="K166" i="56"/>
  <c r="J166" i="56"/>
  <c r="K165" i="56"/>
  <c r="J165" i="56"/>
  <c r="K164" i="56"/>
  <c r="J164" i="56"/>
  <c r="K163" i="56"/>
  <c r="J163" i="56"/>
  <c r="K162" i="56"/>
  <c r="J162" i="56"/>
  <c r="K161" i="56"/>
  <c r="J161" i="56"/>
  <c r="K160" i="56"/>
  <c r="J160" i="56"/>
  <c r="K159" i="56"/>
  <c r="J159" i="56"/>
  <c r="K158" i="56"/>
  <c r="J158" i="56"/>
  <c r="K157" i="56"/>
  <c r="J157" i="56"/>
  <c r="K156" i="56"/>
  <c r="J156" i="56"/>
  <c r="K155" i="56"/>
  <c r="J155" i="56"/>
  <c r="K154" i="56"/>
  <c r="J154" i="56"/>
  <c r="K153" i="56"/>
  <c r="J153" i="56"/>
  <c r="K152" i="56"/>
  <c r="J152" i="56"/>
  <c r="K151" i="56"/>
  <c r="J151" i="56"/>
  <c r="K150" i="56"/>
  <c r="J150" i="56"/>
  <c r="K149" i="56"/>
  <c r="J149" i="56"/>
  <c r="K148" i="56"/>
  <c r="J148" i="56"/>
  <c r="K147" i="56"/>
  <c r="J147" i="56"/>
  <c r="K146" i="56"/>
  <c r="J146" i="56"/>
  <c r="K145" i="56"/>
  <c r="J145" i="56"/>
  <c r="K144" i="56"/>
  <c r="J144" i="56"/>
  <c r="K143" i="56"/>
  <c r="J143" i="56"/>
  <c r="K142" i="56"/>
  <c r="J142" i="56"/>
  <c r="K141" i="56"/>
  <c r="J141" i="56"/>
  <c r="K140" i="56"/>
  <c r="J140" i="56"/>
  <c r="K139" i="56"/>
  <c r="J139" i="56"/>
  <c r="K138" i="56"/>
  <c r="J138" i="56"/>
  <c r="K137" i="56"/>
  <c r="J137" i="56"/>
  <c r="K136" i="56"/>
  <c r="J136" i="56"/>
  <c r="K135" i="56"/>
  <c r="J135" i="56"/>
  <c r="K134" i="56"/>
  <c r="J134" i="56"/>
  <c r="K133" i="56"/>
  <c r="J133" i="56"/>
  <c r="K132" i="56"/>
  <c r="J132" i="56"/>
  <c r="K131" i="56"/>
  <c r="J131" i="56"/>
  <c r="K130" i="56"/>
  <c r="J130" i="56"/>
  <c r="K129" i="56"/>
  <c r="J129" i="56"/>
  <c r="K128" i="56"/>
  <c r="J128" i="56"/>
  <c r="K127" i="56"/>
  <c r="J127" i="56"/>
  <c r="K126" i="56"/>
  <c r="J126" i="56"/>
  <c r="K125" i="56"/>
  <c r="J125" i="56"/>
  <c r="K124" i="56"/>
  <c r="J124" i="56"/>
  <c r="K123" i="56"/>
  <c r="J123" i="56"/>
  <c r="K122" i="56"/>
  <c r="J122" i="56"/>
  <c r="K121" i="56"/>
  <c r="J121" i="56"/>
  <c r="K120" i="56"/>
  <c r="J120" i="56"/>
  <c r="K119" i="56"/>
  <c r="J119" i="56"/>
  <c r="K118" i="56"/>
  <c r="J118" i="56"/>
  <c r="K117" i="56"/>
  <c r="J117" i="56"/>
  <c r="K116" i="56"/>
  <c r="J116" i="56"/>
  <c r="K115" i="56"/>
  <c r="J115" i="56"/>
  <c r="K114" i="56"/>
  <c r="J114" i="56"/>
  <c r="K113" i="56"/>
  <c r="J113" i="56"/>
  <c r="K112" i="56"/>
  <c r="J112" i="56"/>
  <c r="K111" i="56"/>
  <c r="J111" i="56"/>
  <c r="K110" i="56"/>
  <c r="J110" i="56"/>
  <c r="K109" i="56"/>
  <c r="J109" i="56"/>
  <c r="K108" i="56"/>
  <c r="J108" i="56"/>
  <c r="K107" i="56"/>
  <c r="J107" i="56"/>
  <c r="K106" i="56"/>
  <c r="J106" i="56"/>
  <c r="K105" i="56"/>
  <c r="J105" i="56"/>
  <c r="K104" i="56"/>
  <c r="J104" i="56"/>
  <c r="K103" i="56"/>
  <c r="J103" i="56"/>
  <c r="K102" i="56"/>
  <c r="J102" i="56"/>
  <c r="K101" i="56"/>
  <c r="J101" i="56"/>
  <c r="K100" i="56"/>
  <c r="J100" i="56"/>
  <c r="K99" i="56"/>
  <c r="J99" i="56"/>
  <c r="K98" i="56"/>
  <c r="J98" i="56"/>
  <c r="K97" i="56"/>
  <c r="J97" i="56"/>
  <c r="K96" i="56"/>
  <c r="J96" i="56"/>
  <c r="K95" i="56"/>
  <c r="J95" i="56"/>
  <c r="K94" i="56"/>
  <c r="J94" i="56"/>
  <c r="K93" i="56"/>
  <c r="J93" i="56"/>
  <c r="K92" i="56"/>
  <c r="J92" i="56"/>
  <c r="K91" i="56"/>
  <c r="J91" i="56"/>
  <c r="K90" i="56"/>
  <c r="J90" i="56"/>
  <c r="K89" i="56"/>
  <c r="J89" i="56"/>
  <c r="K88" i="56"/>
  <c r="J88" i="56"/>
  <c r="K87" i="56"/>
  <c r="J87" i="56"/>
  <c r="K86" i="56"/>
  <c r="J86" i="56"/>
  <c r="K85" i="56"/>
  <c r="J85" i="56"/>
  <c r="K84" i="56"/>
  <c r="J84" i="56"/>
  <c r="K83" i="56"/>
  <c r="J83" i="56"/>
  <c r="K82" i="56"/>
  <c r="J82" i="56"/>
  <c r="K81" i="56"/>
  <c r="J81" i="56"/>
  <c r="K80" i="56"/>
  <c r="J80" i="56"/>
  <c r="K79" i="56"/>
  <c r="J79" i="56"/>
  <c r="K78" i="56"/>
  <c r="J78" i="56"/>
  <c r="K77" i="56"/>
  <c r="J77" i="56"/>
  <c r="K76" i="56"/>
  <c r="J76" i="56"/>
  <c r="K75" i="56"/>
  <c r="J75" i="56"/>
  <c r="K74" i="56"/>
  <c r="J74" i="56"/>
  <c r="K73" i="56"/>
  <c r="J73" i="56"/>
  <c r="K72" i="56"/>
  <c r="J72" i="56"/>
  <c r="K71" i="56"/>
  <c r="J71" i="56"/>
  <c r="K70" i="56"/>
  <c r="J70" i="56"/>
  <c r="K69" i="56"/>
  <c r="J69" i="56"/>
  <c r="K68" i="56"/>
  <c r="J68" i="56"/>
  <c r="K67" i="56"/>
  <c r="J67" i="56"/>
  <c r="K66" i="56"/>
  <c r="J66" i="56"/>
  <c r="K65" i="56"/>
  <c r="J65" i="56"/>
  <c r="K64" i="56"/>
  <c r="J64" i="56"/>
  <c r="K63" i="56"/>
  <c r="J63" i="56"/>
  <c r="K62" i="56"/>
  <c r="J62" i="56"/>
  <c r="K61" i="56"/>
  <c r="J61" i="56"/>
  <c r="K60" i="56"/>
  <c r="J60" i="56"/>
  <c r="K59" i="56"/>
  <c r="J59" i="56"/>
  <c r="K58" i="56"/>
  <c r="J58" i="56"/>
  <c r="K57" i="56"/>
  <c r="J57" i="56"/>
  <c r="K56" i="56"/>
  <c r="J56" i="56"/>
  <c r="K55" i="56"/>
  <c r="J55" i="56"/>
  <c r="K54" i="56"/>
  <c r="J54" i="56"/>
  <c r="K53" i="56"/>
  <c r="J53" i="56"/>
  <c r="K52" i="56"/>
  <c r="J52" i="56"/>
  <c r="K51" i="56"/>
  <c r="J51" i="56"/>
  <c r="K50" i="56"/>
  <c r="J50" i="56"/>
  <c r="K49" i="56"/>
  <c r="J49" i="56"/>
  <c r="K48" i="56"/>
  <c r="J48" i="56"/>
  <c r="K47" i="56"/>
  <c r="J47" i="56"/>
  <c r="K46" i="56"/>
  <c r="J46" i="56"/>
  <c r="K45" i="56"/>
  <c r="J45" i="56"/>
  <c r="K44" i="56"/>
  <c r="J44" i="56"/>
  <c r="K43" i="56"/>
  <c r="J43" i="56"/>
  <c r="K42" i="56"/>
  <c r="J42" i="56"/>
  <c r="K41" i="56"/>
  <c r="J41" i="56"/>
  <c r="K40" i="56"/>
  <c r="J40" i="56"/>
  <c r="K39" i="56"/>
  <c r="J39" i="56"/>
  <c r="K38" i="56"/>
  <c r="J38" i="56"/>
  <c r="K37" i="56"/>
  <c r="J37" i="56"/>
  <c r="K36" i="56"/>
  <c r="J36" i="56"/>
  <c r="K35" i="56"/>
  <c r="J35" i="56"/>
  <c r="K34" i="56"/>
  <c r="J34" i="56"/>
  <c r="K33" i="56"/>
  <c r="J33" i="56"/>
  <c r="K32" i="56"/>
  <c r="J32" i="56"/>
  <c r="K31" i="56"/>
  <c r="J31" i="56"/>
  <c r="K30" i="56"/>
  <c r="J30" i="56"/>
  <c r="K29" i="56"/>
  <c r="J29" i="56"/>
  <c r="K28" i="56"/>
  <c r="J28" i="56"/>
  <c r="K27" i="56"/>
  <c r="J27" i="56"/>
  <c r="K26" i="56"/>
  <c r="J26" i="56"/>
  <c r="K25" i="56"/>
  <c r="J25" i="56"/>
  <c r="K24" i="56"/>
  <c r="J24" i="56"/>
  <c r="K23" i="56"/>
  <c r="J23" i="56"/>
  <c r="K22" i="56"/>
  <c r="J22" i="56"/>
  <c r="K21" i="56"/>
  <c r="J21" i="56"/>
  <c r="K20" i="56"/>
  <c r="J20" i="56"/>
  <c r="K19" i="56"/>
  <c r="J19" i="56"/>
  <c r="K18" i="56"/>
  <c r="J18" i="56"/>
  <c r="K17" i="56"/>
  <c r="J17" i="56"/>
  <c r="K16" i="56"/>
  <c r="J16" i="56"/>
  <c r="K15" i="56"/>
  <c r="J15" i="56"/>
  <c r="K14" i="56"/>
  <c r="J14" i="56"/>
  <c r="K13" i="56"/>
  <c r="J13" i="56"/>
  <c r="K12" i="56"/>
  <c r="J12" i="56"/>
  <c r="K11" i="56"/>
  <c r="J11" i="56"/>
  <c r="K10" i="56"/>
  <c r="J10" i="56"/>
  <c r="K9" i="56"/>
  <c r="J9" i="56"/>
  <c r="K8" i="56"/>
  <c r="J8" i="56"/>
  <c r="K7" i="56"/>
  <c r="J7" i="56"/>
  <c r="K6" i="56"/>
  <c r="J6" i="56"/>
  <c r="K3" i="56"/>
  <c r="I3" i="56"/>
  <c r="H3" i="56"/>
  <c r="K499" i="55"/>
  <c r="J499" i="55"/>
  <c r="K498" i="55"/>
  <c r="J498" i="55"/>
  <c r="K497" i="55"/>
  <c r="J497" i="55"/>
  <c r="K496" i="55"/>
  <c r="J496" i="55"/>
  <c r="K495" i="55"/>
  <c r="J495" i="55"/>
  <c r="K494" i="55"/>
  <c r="J494" i="55"/>
  <c r="K493" i="55"/>
  <c r="J493" i="55"/>
  <c r="K492" i="55"/>
  <c r="J492" i="55"/>
  <c r="K491" i="55"/>
  <c r="J491" i="55"/>
  <c r="K490" i="55"/>
  <c r="J490" i="55"/>
  <c r="K489" i="55"/>
  <c r="J489" i="55"/>
  <c r="K488" i="55"/>
  <c r="J488" i="55"/>
  <c r="K487" i="55"/>
  <c r="J487" i="55"/>
  <c r="K486" i="55"/>
  <c r="J486" i="55"/>
  <c r="K485" i="55"/>
  <c r="J485" i="55"/>
  <c r="K484" i="55"/>
  <c r="J484" i="55"/>
  <c r="K483" i="55"/>
  <c r="J483" i="55"/>
  <c r="K482" i="55"/>
  <c r="J482" i="55"/>
  <c r="K481" i="55"/>
  <c r="J481" i="55"/>
  <c r="K480" i="55"/>
  <c r="J480" i="55"/>
  <c r="K479" i="55"/>
  <c r="J479" i="55"/>
  <c r="K478" i="55"/>
  <c r="J478" i="55"/>
  <c r="K477" i="55"/>
  <c r="J477" i="55"/>
  <c r="K476" i="55"/>
  <c r="J476" i="55"/>
  <c r="K475" i="55"/>
  <c r="J475" i="55"/>
  <c r="K474" i="55"/>
  <c r="J474" i="55"/>
  <c r="K473" i="55"/>
  <c r="J473" i="55"/>
  <c r="K472" i="55"/>
  <c r="J472" i="55"/>
  <c r="K471" i="55"/>
  <c r="J471" i="55"/>
  <c r="K470" i="55"/>
  <c r="J470" i="55"/>
  <c r="K469" i="55"/>
  <c r="J469" i="55"/>
  <c r="K468" i="55"/>
  <c r="J468" i="55"/>
  <c r="K467" i="55"/>
  <c r="J467" i="55"/>
  <c r="K466" i="55"/>
  <c r="J466" i="55"/>
  <c r="K465" i="55"/>
  <c r="J465" i="55"/>
  <c r="K464" i="55"/>
  <c r="J464" i="55"/>
  <c r="K463" i="55"/>
  <c r="J463" i="55"/>
  <c r="K462" i="55"/>
  <c r="J462" i="55"/>
  <c r="K461" i="55"/>
  <c r="J461" i="55"/>
  <c r="K460" i="55"/>
  <c r="J460" i="55"/>
  <c r="K459" i="55"/>
  <c r="J459" i="55"/>
  <c r="K458" i="55"/>
  <c r="J458" i="55"/>
  <c r="K457" i="55"/>
  <c r="J457" i="55"/>
  <c r="K456" i="55"/>
  <c r="J456" i="55"/>
  <c r="K455" i="55"/>
  <c r="J455" i="55"/>
  <c r="K454" i="55"/>
  <c r="J454" i="55"/>
  <c r="K453" i="55"/>
  <c r="J453" i="55"/>
  <c r="K452" i="55"/>
  <c r="J452" i="55"/>
  <c r="K451" i="55"/>
  <c r="J451" i="55"/>
  <c r="K450" i="55"/>
  <c r="J450" i="55"/>
  <c r="K449" i="55"/>
  <c r="J449" i="55"/>
  <c r="K448" i="55"/>
  <c r="J448" i="55"/>
  <c r="K447" i="55"/>
  <c r="J447" i="55"/>
  <c r="K446" i="55"/>
  <c r="J446" i="55"/>
  <c r="K445" i="55"/>
  <c r="J445" i="55"/>
  <c r="K444" i="55"/>
  <c r="J444" i="55"/>
  <c r="K443" i="55"/>
  <c r="J443" i="55"/>
  <c r="K442" i="55"/>
  <c r="J442" i="55"/>
  <c r="K441" i="55"/>
  <c r="J441" i="55"/>
  <c r="K440" i="55"/>
  <c r="J440" i="55"/>
  <c r="K439" i="55"/>
  <c r="J439" i="55"/>
  <c r="K438" i="55"/>
  <c r="J438" i="55"/>
  <c r="K437" i="55"/>
  <c r="J437" i="55"/>
  <c r="K436" i="55"/>
  <c r="J436" i="55"/>
  <c r="K435" i="55"/>
  <c r="J435" i="55"/>
  <c r="K434" i="55"/>
  <c r="J434" i="55"/>
  <c r="K433" i="55"/>
  <c r="J433" i="55"/>
  <c r="K432" i="55"/>
  <c r="J432" i="55"/>
  <c r="K431" i="55"/>
  <c r="J431" i="55"/>
  <c r="K430" i="55"/>
  <c r="J430" i="55"/>
  <c r="K429" i="55"/>
  <c r="J429" i="55"/>
  <c r="K428" i="55"/>
  <c r="J428" i="55"/>
  <c r="K427" i="55"/>
  <c r="J427" i="55"/>
  <c r="K426" i="55"/>
  <c r="J426" i="55"/>
  <c r="K425" i="55"/>
  <c r="J425" i="55"/>
  <c r="K424" i="55"/>
  <c r="J424" i="55"/>
  <c r="K423" i="55"/>
  <c r="J423" i="55"/>
  <c r="K422" i="55"/>
  <c r="J422" i="55"/>
  <c r="K421" i="55"/>
  <c r="J421" i="55"/>
  <c r="K420" i="55"/>
  <c r="J420" i="55"/>
  <c r="K419" i="55"/>
  <c r="J419" i="55"/>
  <c r="K418" i="55"/>
  <c r="J418" i="55"/>
  <c r="K417" i="55"/>
  <c r="J417" i="55"/>
  <c r="K416" i="55"/>
  <c r="J416" i="55"/>
  <c r="K415" i="55"/>
  <c r="J415" i="55"/>
  <c r="K414" i="55"/>
  <c r="J414" i="55"/>
  <c r="K413" i="55"/>
  <c r="J413" i="55"/>
  <c r="K412" i="55"/>
  <c r="J412" i="55"/>
  <c r="K411" i="55"/>
  <c r="J411" i="55"/>
  <c r="K410" i="55"/>
  <c r="J410" i="55"/>
  <c r="K409" i="55"/>
  <c r="J409" i="55"/>
  <c r="K408" i="55"/>
  <c r="J408" i="55"/>
  <c r="K407" i="55"/>
  <c r="J407" i="55"/>
  <c r="K406" i="55"/>
  <c r="J406" i="55"/>
  <c r="K405" i="55"/>
  <c r="J405" i="55"/>
  <c r="K404" i="55"/>
  <c r="J404" i="55"/>
  <c r="K403" i="55"/>
  <c r="J403" i="55"/>
  <c r="K402" i="55"/>
  <c r="J402" i="55"/>
  <c r="K401" i="55"/>
  <c r="J401" i="55"/>
  <c r="K400" i="55"/>
  <c r="J400" i="55"/>
  <c r="K399" i="55"/>
  <c r="J399" i="55"/>
  <c r="K398" i="55"/>
  <c r="J398" i="55"/>
  <c r="K397" i="55"/>
  <c r="J397" i="55"/>
  <c r="K396" i="55"/>
  <c r="J396" i="55"/>
  <c r="K395" i="55"/>
  <c r="J395" i="55"/>
  <c r="K394" i="55"/>
  <c r="J394" i="55"/>
  <c r="K393" i="55"/>
  <c r="J393" i="55"/>
  <c r="K392" i="55"/>
  <c r="J392" i="55"/>
  <c r="K391" i="55"/>
  <c r="J391" i="55"/>
  <c r="K390" i="55"/>
  <c r="J390" i="55"/>
  <c r="K389" i="55"/>
  <c r="J389" i="55"/>
  <c r="K388" i="55"/>
  <c r="J388" i="55"/>
  <c r="K387" i="55"/>
  <c r="J387" i="55"/>
  <c r="K386" i="55"/>
  <c r="J386" i="55"/>
  <c r="K385" i="55"/>
  <c r="J385" i="55"/>
  <c r="K384" i="55"/>
  <c r="J384" i="55"/>
  <c r="K383" i="55"/>
  <c r="J383" i="55"/>
  <c r="K382" i="55"/>
  <c r="J382" i="55"/>
  <c r="K381" i="55"/>
  <c r="J381" i="55"/>
  <c r="K380" i="55"/>
  <c r="J380" i="55"/>
  <c r="K379" i="55"/>
  <c r="J379" i="55"/>
  <c r="K378" i="55"/>
  <c r="J378" i="55"/>
  <c r="K377" i="55"/>
  <c r="J377" i="55"/>
  <c r="K376" i="55"/>
  <c r="J376" i="55"/>
  <c r="K375" i="55"/>
  <c r="J375" i="55"/>
  <c r="K374" i="55"/>
  <c r="J374" i="55"/>
  <c r="K373" i="55"/>
  <c r="J373" i="55"/>
  <c r="K372" i="55"/>
  <c r="J372" i="55"/>
  <c r="K371" i="55"/>
  <c r="J371" i="55"/>
  <c r="K370" i="55"/>
  <c r="J370" i="55"/>
  <c r="K369" i="55"/>
  <c r="J369" i="55"/>
  <c r="K368" i="55"/>
  <c r="J368" i="55"/>
  <c r="K367" i="55"/>
  <c r="J367" i="55"/>
  <c r="K366" i="55"/>
  <c r="J366" i="55"/>
  <c r="K365" i="55"/>
  <c r="J365" i="55"/>
  <c r="K364" i="55"/>
  <c r="J364" i="55"/>
  <c r="K363" i="55"/>
  <c r="J363" i="55"/>
  <c r="K362" i="55"/>
  <c r="J362" i="55"/>
  <c r="K361" i="55"/>
  <c r="J361" i="55"/>
  <c r="K360" i="55"/>
  <c r="J360" i="55"/>
  <c r="K359" i="55"/>
  <c r="J359" i="55"/>
  <c r="K358" i="55"/>
  <c r="J358" i="55"/>
  <c r="K357" i="55"/>
  <c r="J357" i="55"/>
  <c r="K356" i="55"/>
  <c r="J356" i="55"/>
  <c r="K355" i="55"/>
  <c r="J355" i="55"/>
  <c r="K354" i="55"/>
  <c r="J354" i="55"/>
  <c r="K353" i="55"/>
  <c r="J353" i="55"/>
  <c r="K352" i="55"/>
  <c r="J352" i="55"/>
  <c r="K351" i="55"/>
  <c r="J351" i="55"/>
  <c r="K350" i="55"/>
  <c r="J350" i="55"/>
  <c r="K349" i="55"/>
  <c r="J349" i="55"/>
  <c r="K348" i="55"/>
  <c r="J348" i="55"/>
  <c r="K347" i="55"/>
  <c r="J347" i="55"/>
  <c r="K346" i="55"/>
  <c r="J346" i="55"/>
  <c r="K345" i="55"/>
  <c r="J345" i="55"/>
  <c r="K344" i="55"/>
  <c r="J344" i="55"/>
  <c r="K343" i="55"/>
  <c r="J343" i="55"/>
  <c r="K342" i="55"/>
  <c r="J342" i="55"/>
  <c r="K341" i="55"/>
  <c r="J341" i="55"/>
  <c r="K340" i="55"/>
  <c r="J340" i="55"/>
  <c r="K339" i="55"/>
  <c r="J339" i="55"/>
  <c r="K338" i="55"/>
  <c r="J338" i="55"/>
  <c r="K337" i="55"/>
  <c r="J337" i="55"/>
  <c r="K336" i="55"/>
  <c r="J336" i="55"/>
  <c r="K335" i="55"/>
  <c r="J335" i="55"/>
  <c r="K334" i="55"/>
  <c r="J334" i="55"/>
  <c r="K333" i="55"/>
  <c r="J333" i="55"/>
  <c r="K332" i="55"/>
  <c r="J332" i="55"/>
  <c r="K331" i="55"/>
  <c r="J331" i="55"/>
  <c r="K330" i="55"/>
  <c r="J330" i="55"/>
  <c r="K329" i="55"/>
  <c r="J329" i="55"/>
  <c r="K328" i="55"/>
  <c r="J328" i="55"/>
  <c r="K327" i="55"/>
  <c r="J327" i="55"/>
  <c r="K326" i="55"/>
  <c r="J326" i="55"/>
  <c r="K325" i="55"/>
  <c r="J325" i="55"/>
  <c r="K324" i="55"/>
  <c r="J324" i="55"/>
  <c r="K323" i="55"/>
  <c r="J323" i="55"/>
  <c r="K322" i="55"/>
  <c r="J322" i="55"/>
  <c r="K321" i="55"/>
  <c r="J321" i="55"/>
  <c r="K320" i="55"/>
  <c r="J320" i="55"/>
  <c r="K319" i="55"/>
  <c r="J319" i="55"/>
  <c r="K318" i="55"/>
  <c r="J318" i="55"/>
  <c r="K317" i="55"/>
  <c r="J317" i="55"/>
  <c r="K316" i="55"/>
  <c r="J316" i="55"/>
  <c r="K315" i="55"/>
  <c r="J315" i="55"/>
  <c r="K314" i="55"/>
  <c r="J314" i="55"/>
  <c r="K313" i="55"/>
  <c r="J313" i="55"/>
  <c r="K312" i="55"/>
  <c r="J312" i="55"/>
  <c r="K311" i="55"/>
  <c r="J311" i="55"/>
  <c r="K310" i="55"/>
  <c r="J310" i="55"/>
  <c r="K309" i="55"/>
  <c r="J309" i="55"/>
  <c r="K308" i="55"/>
  <c r="J308" i="55"/>
  <c r="K307" i="55"/>
  <c r="J307" i="55"/>
  <c r="K306" i="55"/>
  <c r="J306" i="55"/>
  <c r="K305" i="55"/>
  <c r="J305" i="55"/>
  <c r="K304" i="55"/>
  <c r="J304" i="55"/>
  <c r="K303" i="55"/>
  <c r="J303" i="55"/>
  <c r="K302" i="55"/>
  <c r="J302" i="55"/>
  <c r="K301" i="55"/>
  <c r="J301" i="55"/>
  <c r="K300" i="55"/>
  <c r="J300" i="55"/>
  <c r="K299" i="55"/>
  <c r="J299" i="55"/>
  <c r="K298" i="55"/>
  <c r="J298" i="55"/>
  <c r="K297" i="55"/>
  <c r="J297" i="55"/>
  <c r="K296" i="55"/>
  <c r="J296" i="55"/>
  <c r="K295" i="55"/>
  <c r="J295" i="55"/>
  <c r="K294" i="55"/>
  <c r="J294" i="55"/>
  <c r="K293" i="55"/>
  <c r="J293" i="55"/>
  <c r="K292" i="55"/>
  <c r="J292" i="55"/>
  <c r="K291" i="55"/>
  <c r="J291" i="55"/>
  <c r="K290" i="55"/>
  <c r="J290" i="55"/>
  <c r="K289" i="55"/>
  <c r="J289" i="55"/>
  <c r="K288" i="55"/>
  <c r="J288" i="55"/>
  <c r="K287" i="55"/>
  <c r="J287" i="55"/>
  <c r="K286" i="55"/>
  <c r="J286" i="55"/>
  <c r="K285" i="55"/>
  <c r="J285" i="55"/>
  <c r="K284" i="55"/>
  <c r="J284" i="55"/>
  <c r="K283" i="55"/>
  <c r="J283" i="55"/>
  <c r="K282" i="55"/>
  <c r="J282" i="55"/>
  <c r="K281" i="55"/>
  <c r="J281" i="55"/>
  <c r="K280" i="55"/>
  <c r="J280" i="55"/>
  <c r="K279" i="55"/>
  <c r="J279" i="55"/>
  <c r="K278" i="55"/>
  <c r="J278" i="55"/>
  <c r="K277" i="55"/>
  <c r="J277" i="55"/>
  <c r="K276" i="55"/>
  <c r="J276" i="55"/>
  <c r="K275" i="55"/>
  <c r="J275" i="55"/>
  <c r="K274" i="55"/>
  <c r="J274" i="55"/>
  <c r="K273" i="55"/>
  <c r="J273" i="55"/>
  <c r="K272" i="55"/>
  <c r="J272" i="55"/>
  <c r="K271" i="55"/>
  <c r="J271" i="55"/>
  <c r="K270" i="55"/>
  <c r="J270" i="55"/>
  <c r="K269" i="55"/>
  <c r="J269" i="55"/>
  <c r="K268" i="55"/>
  <c r="J268" i="55"/>
  <c r="K267" i="55"/>
  <c r="J267" i="55"/>
  <c r="K266" i="55"/>
  <c r="J266" i="55"/>
  <c r="K265" i="55"/>
  <c r="J265" i="55"/>
  <c r="K264" i="55"/>
  <c r="J264" i="55"/>
  <c r="K263" i="55"/>
  <c r="J263" i="55"/>
  <c r="K262" i="55"/>
  <c r="J262" i="55"/>
  <c r="K261" i="55"/>
  <c r="J261" i="55"/>
  <c r="K260" i="55"/>
  <c r="J260" i="55"/>
  <c r="K259" i="55"/>
  <c r="J259" i="55"/>
  <c r="K258" i="55"/>
  <c r="J258" i="55"/>
  <c r="K257" i="55"/>
  <c r="J257" i="55"/>
  <c r="K256" i="55"/>
  <c r="J256" i="55"/>
  <c r="K255" i="55"/>
  <c r="J255" i="55"/>
  <c r="K254" i="55"/>
  <c r="J254" i="55"/>
  <c r="K253" i="55"/>
  <c r="J253" i="55"/>
  <c r="K252" i="55"/>
  <c r="J252" i="55"/>
  <c r="K251" i="55"/>
  <c r="J251" i="55"/>
  <c r="K250" i="55"/>
  <c r="J250" i="55"/>
  <c r="K249" i="55"/>
  <c r="J249" i="55"/>
  <c r="K248" i="55"/>
  <c r="J248" i="55"/>
  <c r="K247" i="55"/>
  <c r="J247" i="55"/>
  <c r="K246" i="55"/>
  <c r="J246" i="55"/>
  <c r="K245" i="55"/>
  <c r="J245" i="55"/>
  <c r="K244" i="55"/>
  <c r="J244" i="55"/>
  <c r="K243" i="55"/>
  <c r="J243" i="55"/>
  <c r="K242" i="55"/>
  <c r="J242" i="55"/>
  <c r="K241" i="55"/>
  <c r="J241" i="55"/>
  <c r="K240" i="55"/>
  <c r="J240" i="55"/>
  <c r="K239" i="55"/>
  <c r="J239" i="55"/>
  <c r="K238" i="55"/>
  <c r="J238" i="55"/>
  <c r="K237" i="55"/>
  <c r="J237" i="55"/>
  <c r="K236" i="55"/>
  <c r="J236" i="55"/>
  <c r="K235" i="55"/>
  <c r="J235" i="55"/>
  <c r="K234" i="55"/>
  <c r="J234" i="55"/>
  <c r="K233" i="55"/>
  <c r="J233" i="55"/>
  <c r="K232" i="55"/>
  <c r="J232" i="55"/>
  <c r="K231" i="55"/>
  <c r="J231" i="55"/>
  <c r="K230" i="55"/>
  <c r="J230" i="55"/>
  <c r="K229" i="55"/>
  <c r="J229" i="55"/>
  <c r="K228" i="55"/>
  <c r="J228" i="55"/>
  <c r="K227" i="55"/>
  <c r="J227" i="55"/>
  <c r="K226" i="55"/>
  <c r="J226" i="55"/>
  <c r="K225" i="55"/>
  <c r="J225" i="55"/>
  <c r="K224" i="55"/>
  <c r="J224" i="55"/>
  <c r="K223" i="55"/>
  <c r="J223" i="55"/>
  <c r="K222" i="55"/>
  <c r="J222" i="55"/>
  <c r="K221" i="55"/>
  <c r="J221" i="55"/>
  <c r="K220" i="55"/>
  <c r="J220" i="55"/>
  <c r="K219" i="55"/>
  <c r="J219" i="55"/>
  <c r="K218" i="55"/>
  <c r="J218" i="55"/>
  <c r="K217" i="55"/>
  <c r="J217" i="55"/>
  <c r="K216" i="55"/>
  <c r="J216" i="55"/>
  <c r="K215" i="55"/>
  <c r="J215" i="55"/>
  <c r="K214" i="55"/>
  <c r="J214" i="55"/>
  <c r="K213" i="55"/>
  <c r="J213" i="55"/>
  <c r="K212" i="55"/>
  <c r="J212" i="55"/>
  <c r="K211" i="55"/>
  <c r="J211" i="55"/>
  <c r="K210" i="55"/>
  <c r="J210" i="55"/>
  <c r="K209" i="55"/>
  <c r="J209" i="55"/>
  <c r="K208" i="55"/>
  <c r="J208" i="55"/>
  <c r="K207" i="55"/>
  <c r="J207" i="55"/>
  <c r="K206" i="55"/>
  <c r="J206" i="55"/>
  <c r="K205" i="55"/>
  <c r="J205" i="55"/>
  <c r="K204" i="55"/>
  <c r="J204" i="55"/>
  <c r="K203" i="55"/>
  <c r="J203" i="55"/>
  <c r="K202" i="55"/>
  <c r="J202" i="55"/>
  <c r="K201" i="55"/>
  <c r="J201" i="55"/>
  <c r="K200" i="55"/>
  <c r="J200" i="55"/>
  <c r="K199" i="55"/>
  <c r="J199" i="55"/>
  <c r="K198" i="55"/>
  <c r="J198" i="55"/>
  <c r="K197" i="55"/>
  <c r="J197" i="55"/>
  <c r="K196" i="55"/>
  <c r="J196" i="55"/>
  <c r="K195" i="55"/>
  <c r="J195" i="55"/>
  <c r="K194" i="55"/>
  <c r="J194" i="55"/>
  <c r="K193" i="55"/>
  <c r="J193" i="55"/>
  <c r="K192" i="55"/>
  <c r="J192" i="55"/>
  <c r="K191" i="55"/>
  <c r="J191" i="55"/>
  <c r="K190" i="55"/>
  <c r="J190" i="55"/>
  <c r="K189" i="55"/>
  <c r="J189" i="55"/>
  <c r="K188" i="55"/>
  <c r="J188" i="55"/>
  <c r="K187" i="55"/>
  <c r="J187" i="55"/>
  <c r="K186" i="55"/>
  <c r="J186" i="55"/>
  <c r="K185" i="55"/>
  <c r="J185" i="55"/>
  <c r="K184" i="55"/>
  <c r="J184" i="55"/>
  <c r="K183" i="55"/>
  <c r="J183" i="55"/>
  <c r="K182" i="55"/>
  <c r="J182" i="55"/>
  <c r="K181" i="55"/>
  <c r="J181" i="55"/>
  <c r="K180" i="55"/>
  <c r="J180" i="55"/>
  <c r="K179" i="55"/>
  <c r="J179" i="55"/>
  <c r="K178" i="55"/>
  <c r="J178" i="55"/>
  <c r="K177" i="55"/>
  <c r="J177" i="55"/>
  <c r="K176" i="55"/>
  <c r="J176" i="55"/>
  <c r="K175" i="55"/>
  <c r="J175" i="55"/>
  <c r="K174" i="55"/>
  <c r="J174" i="55"/>
  <c r="K173" i="55"/>
  <c r="J173" i="55"/>
  <c r="K172" i="55"/>
  <c r="J172" i="55"/>
  <c r="K171" i="55"/>
  <c r="J171" i="55"/>
  <c r="K170" i="55"/>
  <c r="J170" i="55"/>
  <c r="K169" i="55"/>
  <c r="J169" i="55"/>
  <c r="K168" i="55"/>
  <c r="J168" i="55"/>
  <c r="K167" i="55"/>
  <c r="J167" i="55"/>
  <c r="K166" i="55"/>
  <c r="J166" i="55"/>
  <c r="K165" i="55"/>
  <c r="J165" i="55"/>
  <c r="K164" i="55"/>
  <c r="J164" i="55"/>
  <c r="K163" i="55"/>
  <c r="J163" i="55"/>
  <c r="K162" i="55"/>
  <c r="J162" i="55"/>
  <c r="K161" i="55"/>
  <c r="J161" i="55"/>
  <c r="K160" i="55"/>
  <c r="J160" i="55"/>
  <c r="K159" i="55"/>
  <c r="J159" i="55"/>
  <c r="K158" i="55"/>
  <c r="J158" i="55"/>
  <c r="K157" i="55"/>
  <c r="J157" i="55"/>
  <c r="K156" i="55"/>
  <c r="J156" i="55"/>
  <c r="K155" i="55"/>
  <c r="J155" i="55"/>
  <c r="K154" i="55"/>
  <c r="J154" i="55"/>
  <c r="K153" i="55"/>
  <c r="J153" i="55"/>
  <c r="K152" i="55"/>
  <c r="J152" i="55"/>
  <c r="K151" i="55"/>
  <c r="J151" i="55"/>
  <c r="K150" i="55"/>
  <c r="J150" i="55"/>
  <c r="K149" i="55"/>
  <c r="J149" i="55"/>
  <c r="K148" i="55"/>
  <c r="J148" i="55"/>
  <c r="K147" i="55"/>
  <c r="J147" i="55"/>
  <c r="K146" i="55"/>
  <c r="J146" i="55"/>
  <c r="K145" i="55"/>
  <c r="J145" i="55"/>
  <c r="K144" i="55"/>
  <c r="J144" i="55"/>
  <c r="K143" i="55"/>
  <c r="J143" i="55"/>
  <c r="K142" i="55"/>
  <c r="J142" i="55"/>
  <c r="K141" i="55"/>
  <c r="J141" i="55"/>
  <c r="K140" i="55"/>
  <c r="J140" i="55"/>
  <c r="K139" i="55"/>
  <c r="J139" i="55"/>
  <c r="K138" i="55"/>
  <c r="J138" i="55"/>
  <c r="K137" i="55"/>
  <c r="J137" i="55"/>
  <c r="K136" i="55"/>
  <c r="J136" i="55"/>
  <c r="K135" i="55"/>
  <c r="J135" i="55"/>
  <c r="K134" i="55"/>
  <c r="J134" i="55"/>
  <c r="K133" i="55"/>
  <c r="J133" i="55"/>
  <c r="K132" i="55"/>
  <c r="J132" i="55"/>
  <c r="K131" i="55"/>
  <c r="J131" i="55"/>
  <c r="K130" i="55"/>
  <c r="J130" i="55"/>
  <c r="K129" i="55"/>
  <c r="J129" i="55"/>
  <c r="K128" i="55"/>
  <c r="J128" i="55"/>
  <c r="K127" i="55"/>
  <c r="J127" i="55"/>
  <c r="K126" i="55"/>
  <c r="J126" i="55"/>
  <c r="K125" i="55"/>
  <c r="J125" i="55"/>
  <c r="K124" i="55"/>
  <c r="J124" i="55"/>
  <c r="K123" i="55"/>
  <c r="J123" i="55"/>
  <c r="K122" i="55"/>
  <c r="J122" i="55"/>
  <c r="K121" i="55"/>
  <c r="J121" i="55"/>
  <c r="K120" i="55"/>
  <c r="J120" i="55"/>
  <c r="K119" i="55"/>
  <c r="J119" i="55"/>
  <c r="K118" i="55"/>
  <c r="J118" i="55"/>
  <c r="K117" i="55"/>
  <c r="J117" i="55"/>
  <c r="K116" i="55"/>
  <c r="J116" i="55"/>
  <c r="K115" i="55"/>
  <c r="J115" i="55"/>
  <c r="K114" i="55"/>
  <c r="J114" i="55"/>
  <c r="K113" i="55"/>
  <c r="J113" i="55"/>
  <c r="K112" i="55"/>
  <c r="J112" i="55"/>
  <c r="K111" i="55"/>
  <c r="J111" i="55"/>
  <c r="K110" i="55"/>
  <c r="J110" i="55"/>
  <c r="K109" i="55"/>
  <c r="J109" i="55"/>
  <c r="K108" i="55"/>
  <c r="J108" i="55"/>
  <c r="K107" i="55"/>
  <c r="J107" i="55"/>
  <c r="K106" i="55"/>
  <c r="J106" i="55"/>
  <c r="K105" i="55"/>
  <c r="J105" i="55"/>
  <c r="K104" i="55"/>
  <c r="J104" i="55"/>
  <c r="K103" i="55"/>
  <c r="J103" i="55"/>
  <c r="K102" i="55"/>
  <c r="J102" i="55"/>
  <c r="K101" i="55"/>
  <c r="J101" i="55"/>
  <c r="K100" i="55"/>
  <c r="J100" i="55"/>
  <c r="K99" i="55"/>
  <c r="J99" i="55"/>
  <c r="K98" i="55"/>
  <c r="J98" i="55"/>
  <c r="K97" i="55"/>
  <c r="J97" i="55"/>
  <c r="K96" i="55"/>
  <c r="J96" i="55"/>
  <c r="K95" i="55"/>
  <c r="J95" i="55"/>
  <c r="K94" i="55"/>
  <c r="J94" i="55"/>
  <c r="K93" i="55"/>
  <c r="J93" i="55"/>
  <c r="K92" i="55"/>
  <c r="J92" i="55"/>
  <c r="K91" i="55"/>
  <c r="J91" i="55"/>
  <c r="K90" i="55"/>
  <c r="J90" i="55"/>
  <c r="K89" i="55"/>
  <c r="J89" i="55"/>
  <c r="K88" i="55"/>
  <c r="J88" i="55"/>
  <c r="K87" i="55"/>
  <c r="J87" i="55"/>
  <c r="K86" i="55"/>
  <c r="J86" i="55"/>
  <c r="K85" i="55"/>
  <c r="J85" i="55"/>
  <c r="K84" i="55"/>
  <c r="J84" i="55"/>
  <c r="K83" i="55"/>
  <c r="J83" i="55"/>
  <c r="K82" i="55"/>
  <c r="J82" i="55"/>
  <c r="K81" i="55"/>
  <c r="J81" i="55"/>
  <c r="K80" i="55"/>
  <c r="J80" i="55"/>
  <c r="K79" i="55"/>
  <c r="J79" i="55"/>
  <c r="K78" i="55"/>
  <c r="J78" i="55"/>
  <c r="K77" i="55"/>
  <c r="J77" i="55"/>
  <c r="K76" i="55"/>
  <c r="J76" i="55"/>
  <c r="K75" i="55"/>
  <c r="J75" i="55"/>
  <c r="K74" i="55"/>
  <c r="J74" i="55"/>
  <c r="K73" i="55"/>
  <c r="J73" i="55"/>
  <c r="K72" i="55"/>
  <c r="J72" i="55"/>
  <c r="K71" i="55"/>
  <c r="J71" i="55"/>
  <c r="K70" i="55"/>
  <c r="J70" i="55"/>
  <c r="K69" i="55"/>
  <c r="J69" i="55"/>
  <c r="K68" i="55"/>
  <c r="J68" i="55"/>
  <c r="K67" i="55"/>
  <c r="J67" i="55"/>
  <c r="K66" i="55"/>
  <c r="J66" i="55"/>
  <c r="K65" i="55"/>
  <c r="J65" i="55"/>
  <c r="K64" i="55"/>
  <c r="J64" i="55"/>
  <c r="K63" i="55"/>
  <c r="J63" i="55"/>
  <c r="K62" i="55"/>
  <c r="J62" i="55"/>
  <c r="K61" i="55"/>
  <c r="J61" i="55"/>
  <c r="K60" i="55"/>
  <c r="J60" i="55"/>
  <c r="K59" i="55"/>
  <c r="J59" i="55"/>
  <c r="K58" i="55"/>
  <c r="J58" i="55"/>
  <c r="K57" i="55"/>
  <c r="J57" i="55"/>
  <c r="K56" i="55"/>
  <c r="J56" i="55"/>
  <c r="K55" i="55"/>
  <c r="J55" i="55"/>
  <c r="K54" i="55"/>
  <c r="J54" i="55"/>
  <c r="K53" i="55"/>
  <c r="J53" i="55"/>
  <c r="K52" i="55"/>
  <c r="J52" i="55"/>
  <c r="K51" i="55"/>
  <c r="J51" i="55"/>
  <c r="K50" i="55"/>
  <c r="J50" i="55"/>
  <c r="K49" i="55"/>
  <c r="J49" i="55"/>
  <c r="K48" i="55"/>
  <c r="J48" i="55"/>
  <c r="K47" i="55"/>
  <c r="J47" i="55"/>
  <c r="K46" i="55"/>
  <c r="J46" i="55"/>
  <c r="K45" i="55"/>
  <c r="J45" i="55"/>
  <c r="K44" i="55"/>
  <c r="J44" i="55"/>
  <c r="K43" i="55"/>
  <c r="J43" i="55"/>
  <c r="K42" i="55"/>
  <c r="J42" i="55"/>
  <c r="K41" i="55"/>
  <c r="J41" i="55"/>
  <c r="K40" i="55"/>
  <c r="J40" i="55"/>
  <c r="K39" i="55"/>
  <c r="J39" i="55"/>
  <c r="K38" i="55"/>
  <c r="J38" i="55"/>
  <c r="K37" i="55"/>
  <c r="J37" i="55"/>
  <c r="K36" i="55"/>
  <c r="J36" i="55"/>
  <c r="K35" i="55"/>
  <c r="J35" i="55"/>
  <c r="K34" i="55"/>
  <c r="J34" i="55"/>
  <c r="K33" i="55"/>
  <c r="J33" i="55"/>
  <c r="K32" i="55"/>
  <c r="J32" i="55"/>
  <c r="K31" i="55"/>
  <c r="J31" i="55"/>
  <c r="K30" i="55"/>
  <c r="J30" i="55"/>
  <c r="K29" i="55"/>
  <c r="J29" i="55"/>
  <c r="K28" i="55"/>
  <c r="J28" i="55"/>
  <c r="K27" i="55"/>
  <c r="J27" i="55"/>
  <c r="K26" i="55"/>
  <c r="J26" i="55"/>
  <c r="K25" i="55"/>
  <c r="J25" i="55"/>
  <c r="K24" i="55"/>
  <c r="J24" i="55"/>
  <c r="K23" i="55"/>
  <c r="J23" i="55"/>
  <c r="K22" i="55"/>
  <c r="J22" i="55"/>
  <c r="K21" i="55"/>
  <c r="J21" i="55"/>
  <c r="K20" i="55"/>
  <c r="J20" i="55"/>
  <c r="K19" i="55"/>
  <c r="J19" i="55"/>
  <c r="K18" i="55"/>
  <c r="J18" i="55"/>
  <c r="K17" i="55"/>
  <c r="J17" i="55"/>
  <c r="K16" i="55"/>
  <c r="J16" i="55"/>
  <c r="K15" i="55"/>
  <c r="J15" i="55"/>
  <c r="K14" i="55"/>
  <c r="J14" i="55"/>
  <c r="K13" i="55"/>
  <c r="J13" i="55"/>
  <c r="K12" i="55"/>
  <c r="J12" i="55"/>
  <c r="K11" i="55"/>
  <c r="J11" i="55"/>
  <c r="K10" i="55"/>
  <c r="J10" i="55"/>
  <c r="K9" i="55"/>
  <c r="J9" i="55"/>
  <c r="K8" i="55"/>
  <c r="J8" i="55"/>
  <c r="K7" i="55"/>
  <c r="J7" i="55"/>
  <c r="K6" i="55"/>
  <c r="J6" i="55"/>
  <c r="K3" i="55"/>
  <c r="I3" i="55"/>
  <c r="H3" i="55"/>
  <c r="K499" i="54"/>
  <c r="J499" i="54"/>
  <c r="K498" i="54"/>
  <c r="J498" i="54"/>
  <c r="K497" i="54"/>
  <c r="J497" i="54"/>
  <c r="K496" i="54"/>
  <c r="J496" i="54"/>
  <c r="K495" i="54"/>
  <c r="J495" i="54"/>
  <c r="K494" i="54"/>
  <c r="J494" i="54"/>
  <c r="K493" i="54"/>
  <c r="J493" i="54"/>
  <c r="K492" i="54"/>
  <c r="J492" i="54"/>
  <c r="K491" i="54"/>
  <c r="J491" i="54"/>
  <c r="K490" i="54"/>
  <c r="J490" i="54"/>
  <c r="K489" i="54"/>
  <c r="J489" i="54"/>
  <c r="K488" i="54"/>
  <c r="J488" i="54"/>
  <c r="K487" i="54"/>
  <c r="J487" i="54"/>
  <c r="K486" i="54"/>
  <c r="J486" i="54"/>
  <c r="K485" i="54"/>
  <c r="J485" i="54"/>
  <c r="K484" i="54"/>
  <c r="J484" i="54"/>
  <c r="K483" i="54"/>
  <c r="J483" i="54"/>
  <c r="K482" i="54"/>
  <c r="J482" i="54"/>
  <c r="K481" i="54"/>
  <c r="J481" i="54"/>
  <c r="K480" i="54"/>
  <c r="J480" i="54"/>
  <c r="K479" i="54"/>
  <c r="J479" i="54"/>
  <c r="K478" i="54"/>
  <c r="J478" i="54"/>
  <c r="K477" i="54"/>
  <c r="J477" i="54"/>
  <c r="K476" i="54"/>
  <c r="J476" i="54"/>
  <c r="K475" i="54"/>
  <c r="J475" i="54"/>
  <c r="K474" i="54"/>
  <c r="J474" i="54"/>
  <c r="K473" i="54"/>
  <c r="J473" i="54"/>
  <c r="K472" i="54"/>
  <c r="J472" i="54"/>
  <c r="K471" i="54"/>
  <c r="J471" i="54"/>
  <c r="K470" i="54"/>
  <c r="J470" i="54"/>
  <c r="K469" i="54"/>
  <c r="J469" i="54"/>
  <c r="K468" i="54"/>
  <c r="J468" i="54"/>
  <c r="K467" i="54"/>
  <c r="J467" i="54"/>
  <c r="K466" i="54"/>
  <c r="J466" i="54"/>
  <c r="K465" i="54"/>
  <c r="J465" i="54"/>
  <c r="K464" i="54"/>
  <c r="J464" i="54"/>
  <c r="K463" i="54"/>
  <c r="J463" i="54"/>
  <c r="K462" i="54"/>
  <c r="J462" i="54"/>
  <c r="K461" i="54"/>
  <c r="J461" i="54"/>
  <c r="K460" i="54"/>
  <c r="J460" i="54"/>
  <c r="K459" i="54"/>
  <c r="J459" i="54"/>
  <c r="K458" i="54"/>
  <c r="J458" i="54"/>
  <c r="K457" i="54"/>
  <c r="J457" i="54"/>
  <c r="K456" i="54"/>
  <c r="J456" i="54"/>
  <c r="K455" i="54"/>
  <c r="J455" i="54"/>
  <c r="K454" i="54"/>
  <c r="J454" i="54"/>
  <c r="K453" i="54"/>
  <c r="J453" i="54"/>
  <c r="K452" i="54"/>
  <c r="J452" i="54"/>
  <c r="K451" i="54"/>
  <c r="J451" i="54"/>
  <c r="K450" i="54"/>
  <c r="J450" i="54"/>
  <c r="K449" i="54"/>
  <c r="J449" i="54"/>
  <c r="K448" i="54"/>
  <c r="J448" i="54"/>
  <c r="K447" i="54"/>
  <c r="J447" i="54"/>
  <c r="K446" i="54"/>
  <c r="J446" i="54"/>
  <c r="K445" i="54"/>
  <c r="J445" i="54"/>
  <c r="K444" i="54"/>
  <c r="J444" i="54"/>
  <c r="K443" i="54"/>
  <c r="J443" i="54"/>
  <c r="K442" i="54"/>
  <c r="J442" i="54"/>
  <c r="K441" i="54"/>
  <c r="J441" i="54"/>
  <c r="K440" i="54"/>
  <c r="J440" i="54"/>
  <c r="K439" i="54"/>
  <c r="J439" i="54"/>
  <c r="K438" i="54"/>
  <c r="J438" i="54"/>
  <c r="K437" i="54"/>
  <c r="J437" i="54"/>
  <c r="K436" i="54"/>
  <c r="J436" i="54"/>
  <c r="K435" i="54"/>
  <c r="J435" i="54"/>
  <c r="K434" i="54"/>
  <c r="J434" i="54"/>
  <c r="K433" i="54"/>
  <c r="J433" i="54"/>
  <c r="K432" i="54"/>
  <c r="J432" i="54"/>
  <c r="K431" i="54"/>
  <c r="J431" i="54"/>
  <c r="K430" i="54"/>
  <c r="J430" i="54"/>
  <c r="K429" i="54"/>
  <c r="J429" i="54"/>
  <c r="K428" i="54"/>
  <c r="J428" i="54"/>
  <c r="K427" i="54"/>
  <c r="J427" i="54"/>
  <c r="K426" i="54"/>
  <c r="J426" i="54"/>
  <c r="K425" i="54"/>
  <c r="J425" i="54"/>
  <c r="K424" i="54"/>
  <c r="J424" i="54"/>
  <c r="K423" i="54"/>
  <c r="J423" i="54"/>
  <c r="K422" i="54"/>
  <c r="J422" i="54"/>
  <c r="K421" i="54"/>
  <c r="J421" i="54"/>
  <c r="K420" i="54"/>
  <c r="J420" i="54"/>
  <c r="K419" i="54"/>
  <c r="J419" i="54"/>
  <c r="K418" i="54"/>
  <c r="J418" i="54"/>
  <c r="K417" i="54"/>
  <c r="J417" i="54"/>
  <c r="K416" i="54"/>
  <c r="J416" i="54"/>
  <c r="K415" i="54"/>
  <c r="J415" i="54"/>
  <c r="K414" i="54"/>
  <c r="J414" i="54"/>
  <c r="K413" i="54"/>
  <c r="J413" i="54"/>
  <c r="K412" i="54"/>
  <c r="J412" i="54"/>
  <c r="K411" i="54"/>
  <c r="J411" i="54"/>
  <c r="K410" i="54"/>
  <c r="J410" i="54"/>
  <c r="K409" i="54"/>
  <c r="J409" i="54"/>
  <c r="K408" i="54"/>
  <c r="J408" i="54"/>
  <c r="K407" i="54"/>
  <c r="J407" i="54"/>
  <c r="K406" i="54"/>
  <c r="J406" i="54"/>
  <c r="K405" i="54"/>
  <c r="J405" i="54"/>
  <c r="K404" i="54"/>
  <c r="J404" i="54"/>
  <c r="K403" i="54"/>
  <c r="J403" i="54"/>
  <c r="K402" i="54"/>
  <c r="J402" i="54"/>
  <c r="K401" i="54"/>
  <c r="J401" i="54"/>
  <c r="K400" i="54"/>
  <c r="J400" i="54"/>
  <c r="K399" i="54"/>
  <c r="J399" i="54"/>
  <c r="K398" i="54"/>
  <c r="J398" i="54"/>
  <c r="K397" i="54"/>
  <c r="J397" i="54"/>
  <c r="K396" i="54"/>
  <c r="J396" i="54"/>
  <c r="K395" i="54"/>
  <c r="J395" i="54"/>
  <c r="K394" i="54"/>
  <c r="J394" i="54"/>
  <c r="K393" i="54"/>
  <c r="J393" i="54"/>
  <c r="K392" i="54"/>
  <c r="J392" i="54"/>
  <c r="K391" i="54"/>
  <c r="J391" i="54"/>
  <c r="K390" i="54"/>
  <c r="J390" i="54"/>
  <c r="K389" i="54"/>
  <c r="J389" i="54"/>
  <c r="K388" i="54"/>
  <c r="J388" i="54"/>
  <c r="K387" i="54"/>
  <c r="J387" i="54"/>
  <c r="K386" i="54"/>
  <c r="J386" i="54"/>
  <c r="K385" i="54"/>
  <c r="J385" i="54"/>
  <c r="K384" i="54"/>
  <c r="J384" i="54"/>
  <c r="K383" i="54"/>
  <c r="J383" i="54"/>
  <c r="K382" i="54"/>
  <c r="J382" i="54"/>
  <c r="K381" i="54"/>
  <c r="J381" i="54"/>
  <c r="K380" i="54"/>
  <c r="J380" i="54"/>
  <c r="K379" i="54"/>
  <c r="J379" i="54"/>
  <c r="K378" i="54"/>
  <c r="J378" i="54"/>
  <c r="K377" i="54"/>
  <c r="J377" i="54"/>
  <c r="K376" i="54"/>
  <c r="J376" i="54"/>
  <c r="K375" i="54"/>
  <c r="J375" i="54"/>
  <c r="K374" i="54"/>
  <c r="J374" i="54"/>
  <c r="K373" i="54"/>
  <c r="J373" i="54"/>
  <c r="K372" i="54"/>
  <c r="J372" i="54"/>
  <c r="K371" i="54"/>
  <c r="J371" i="54"/>
  <c r="K370" i="54"/>
  <c r="J370" i="54"/>
  <c r="K369" i="54"/>
  <c r="J369" i="54"/>
  <c r="K368" i="54"/>
  <c r="J368" i="54"/>
  <c r="K367" i="54"/>
  <c r="J367" i="54"/>
  <c r="K366" i="54"/>
  <c r="J366" i="54"/>
  <c r="K365" i="54"/>
  <c r="J365" i="54"/>
  <c r="K364" i="54"/>
  <c r="J364" i="54"/>
  <c r="K363" i="54"/>
  <c r="J363" i="54"/>
  <c r="K362" i="54"/>
  <c r="J362" i="54"/>
  <c r="K361" i="54"/>
  <c r="J361" i="54"/>
  <c r="K360" i="54"/>
  <c r="J360" i="54"/>
  <c r="K359" i="54"/>
  <c r="J359" i="54"/>
  <c r="K358" i="54"/>
  <c r="J358" i="54"/>
  <c r="K357" i="54"/>
  <c r="J357" i="54"/>
  <c r="K356" i="54"/>
  <c r="J356" i="54"/>
  <c r="K355" i="54"/>
  <c r="J355" i="54"/>
  <c r="K354" i="54"/>
  <c r="J354" i="54"/>
  <c r="K353" i="54"/>
  <c r="J353" i="54"/>
  <c r="K352" i="54"/>
  <c r="J352" i="54"/>
  <c r="K351" i="54"/>
  <c r="J351" i="54"/>
  <c r="K350" i="54"/>
  <c r="J350" i="54"/>
  <c r="K349" i="54"/>
  <c r="J349" i="54"/>
  <c r="K348" i="54"/>
  <c r="J348" i="54"/>
  <c r="K347" i="54"/>
  <c r="J347" i="54"/>
  <c r="K346" i="54"/>
  <c r="J346" i="54"/>
  <c r="K345" i="54"/>
  <c r="J345" i="54"/>
  <c r="K344" i="54"/>
  <c r="J344" i="54"/>
  <c r="K343" i="54"/>
  <c r="J343" i="54"/>
  <c r="K342" i="54"/>
  <c r="J342" i="54"/>
  <c r="K341" i="54"/>
  <c r="J341" i="54"/>
  <c r="K340" i="54"/>
  <c r="J340" i="54"/>
  <c r="K339" i="54"/>
  <c r="J339" i="54"/>
  <c r="K338" i="54"/>
  <c r="J338" i="54"/>
  <c r="K337" i="54"/>
  <c r="J337" i="54"/>
  <c r="K336" i="54"/>
  <c r="J336" i="54"/>
  <c r="K335" i="54"/>
  <c r="J335" i="54"/>
  <c r="K334" i="54"/>
  <c r="J334" i="54"/>
  <c r="K333" i="54"/>
  <c r="J333" i="54"/>
  <c r="K332" i="54"/>
  <c r="J332" i="54"/>
  <c r="K331" i="54"/>
  <c r="J331" i="54"/>
  <c r="K330" i="54"/>
  <c r="J330" i="54"/>
  <c r="K329" i="54"/>
  <c r="J329" i="54"/>
  <c r="K328" i="54"/>
  <c r="J328" i="54"/>
  <c r="K327" i="54"/>
  <c r="J327" i="54"/>
  <c r="K326" i="54"/>
  <c r="J326" i="54"/>
  <c r="K325" i="54"/>
  <c r="J325" i="54"/>
  <c r="K324" i="54"/>
  <c r="J324" i="54"/>
  <c r="K323" i="54"/>
  <c r="J323" i="54"/>
  <c r="K322" i="54"/>
  <c r="J322" i="54"/>
  <c r="K321" i="54"/>
  <c r="J321" i="54"/>
  <c r="K320" i="54"/>
  <c r="J320" i="54"/>
  <c r="K319" i="54"/>
  <c r="J319" i="54"/>
  <c r="K318" i="54"/>
  <c r="J318" i="54"/>
  <c r="K317" i="54"/>
  <c r="J317" i="54"/>
  <c r="K316" i="54"/>
  <c r="J316" i="54"/>
  <c r="K315" i="54"/>
  <c r="J315" i="54"/>
  <c r="K314" i="54"/>
  <c r="J314" i="54"/>
  <c r="K313" i="54"/>
  <c r="J313" i="54"/>
  <c r="K312" i="54"/>
  <c r="J312" i="54"/>
  <c r="K311" i="54"/>
  <c r="J311" i="54"/>
  <c r="K310" i="54"/>
  <c r="J310" i="54"/>
  <c r="K309" i="54"/>
  <c r="J309" i="54"/>
  <c r="K308" i="54"/>
  <c r="J308" i="54"/>
  <c r="K307" i="54"/>
  <c r="J307" i="54"/>
  <c r="K306" i="54"/>
  <c r="J306" i="54"/>
  <c r="K305" i="54"/>
  <c r="J305" i="54"/>
  <c r="K304" i="54"/>
  <c r="J304" i="54"/>
  <c r="K303" i="54"/>
  <c r="J303" i="54"/>
  <c r="K302" i="54"/>
  <c r="J302" i="54"/>
  <c r="K301" i="54"/>
  <c r="J301" i="54"/>
  <c r="K300" i="54"/>
  <c r="J300" i="54"/>
  <c r="K299" i="54"/>
  <c r="J299" i="54"/>
  <c r="K298" i="54"/>
  <c r="J298" i="54"/>
  <c r="K297" i="54"/>
  <c r="J297" i="54"/>
  <c r="K296" i="54"/>
  <c r="J296" i="54"/>
  <c r="K295" i="54"/>
  <c r="J295" i="54"/>
  <c r="K294" i="54"/>
  <c r="J294" i="54"/>
  <c r="K293" i="54"/>
  <c r="J293" i="54"/>
  <c r="K292" i="54"/>
  <c r="J292" i="54"/>
  <c r="K291" i="54"/>
  <c r="J291" i="54"/>
  <c r="K290" i="54"/>
  <c r="J290" i="54"/>
  <c r="K289" i="54"/>
  <c r="J289" i="54"/>
  <c r="K288" i="54"/>
  <c r="J288" i="54"/>
  <c r="K287" i="54"/>
  <c r="J287" i="54"/>
  <c r="K286" i="54"/>
  <c r="J286" i="54"/>
  <c r="K285" i="54"/>
  <c r="J285" i="54"/>
  <c r="K284" i="54"/>
  <c r="J284" i="54"/>
  <c r="K283" i="54"/>
  <c r="J283" i="54"/>
  <c r="K282" i="54"/>
  <c r="J282" i="54"/>
  <c r="K281" i="54"/>
  <c r="J281" i="54"/>
  <c r="K280" i="54"/>
  <c r="J280" i="54"/>
  <c r="K279" i="54"/>
  <c r="J279" i="54"/>
  <c r="K278" i="54"/>
  <c r="J278" i="54"/>
  <c r="K277" i="54"/>
  <c r="J277" i="54"/>
  <c r="K276" i="54"/>
  <c r="J276" i="54"/>
  <c r="K275" i="54"/>
  <c r="J275" i="54"/>
  <c r="K274" i="54"/>
  <c r="J274" i="54"/>
  <c r="K273" i="54"/>
  <c r="J273" i="54"/>
  <c r="K272" i="54"/>
  <c r="J272" i="54"/>
  <c r="K271" i="54"/>
  <c r="J271" i="54"/>
  <c r="K270" i="54"/>
  <c r="J270" i="54"/>
  <c r="K269" i="54"/>
  <c r="J269" i="54"/>
  <c r="K268" i="54"/>
  <c r="J268" i="54"/>
  <c r="K267" i="54"/>
  <c r="J267" i="54"/>
  <c r="K266" i="54"/>
  <c r="J266" i="54"/>
  <c r="K265" i="54"/>
  <c r="J265" i="54"/>
  <c r="K264" i="54"/>
  <c r="J264" i="54"/>
  <c r="K263" i="54"/>
  <c r="J263" i="54"/>
  <c r="K262" i="54"/>
  <c r="J262" i="54"/>
  <c r="K261" i="54"/>
  <c r="J261" i="54"/>
  <c r="K260" i="54"/>
  <c r="J260" i="54"/>
  <c r="K259" i="54"/>
  <c r="J259" i="54"/>
  <c r="K258" i="54"/>
  <c r="J258" i="54"/>
  <c r="K257" i="54"/>
  <c r="J257" i="54"/>
  <c r="K256" i="54"/>
  <c r="J256" i="54"/>
  <c r="K255" i="54"/>
  <c r="J255" i="54"/>
  <c r="K254" i="54"/>
  <c r="J254" i="54"/>
  <c r="K253" i="54"/>
  <c r="J253" i="54"/>
  <c r="K252" i="54"/>
  <c r="J252" i="54"/>
  <c r="K251" i="54"/>
  <c r="J251" i="54"/>
  <c r="K250" i="54"/>
  <c r="J250" i="54"/>
  <c r="K249" i="54"/>
  <c r="J249" i="54"/>
  <c r="K248" i="54"/>
  <c r="J248" i="54"/>
  <c r="K247" i="54"/>
  <c r="J247" i="54"/>
  <c r="K246" i="54"/>
  <c r="J246" i="54"/>
  <c r="K245" i="54"/>
  <c r="J245" i="54"/>
  <c r="K244" i="54"/>
  <c r="J244" i="54"/>
  <c r="K243" i="54"/>
  <c r="J243" i="54"/>
  <c r="K242" i="54"/>
  <c r="J242" i="54"/>
  <c r="K241" i="54"/>
  <c r="J241" i="54"/>
  <c r="K240" i="54"/>
  <c r="J240" i="54"/>
  <c r="K239" i="54"/>
  <c r="J239" i="54"/>
  <c r="K238" i="54"/>
  <c r="J238" i="54"/>
  <c r="K237" i="54"/>
  <c r="J237" i="54"/>
  <c r="K236" i="54"/>
  <c r="J236" i="54"/>
  <c r="K235" i="54"/>
  <c r="J235" i="54"/>
  <c r="K234" i="54"/>
  <c r="J234" i="54"/>
  <c r="K233" i="54"/>
  <c r="J233" i="54"/>
  <c r="K232" i="54"/>
  <c r="J232" i="54"/>
  <c r="K231" i="54"/>
  <c r="J231" i="54"/>
  <c r="K230" i="54"/>
  <c r="J230" i="54"/>
  <c r="K229" i="54"/>
  <c r="J229" i="54"/>
  <c r="K228" i="54"/>
  <c r="J228" i="54"/>
  <c r="K227" i="54"/>
  <c r="J227" i="54"/>
  <c r="K226" i="54"/>
  <c r="J226" i="54"/>
  <c r="K225" i="54"/>
  <c r="J225" i="54"/>
  <c r="K224" i="54"/>
  <c r="J224" i="54"/>
  <c r="K223" i="54"/>
  <c r="J223" i="54"/>
  <c r="K222" i="54"/>
  <c r="J222" i="54"/>
  <c r="K221" i="54"/>
  <c r="J221" i="54"/>
  <c r="K220" i="54"/>
  <c r="J220" i="54"/>
  <c r="K219" i="54"/>
  <c r="J219" i="54"/>
  <c r="K218" i="54"/>
  <c r="J218" i="54"/>
  <c r="K217" i="54"/>
  <c r="J217" i="54"/>
  <c r="K216" i="54"/>
  <c r="J216" i="54"/>
  <c r="K215" i="54"/>
  <c r="J215" i="54"/>
  <c r="K214" i="54"/>
  <c r="J214" i="54"/>
  <c r="K213" i="54"/>
  <c r="J213" i="54"/>
  <c r="K212" i="54"/>
  <c r="J212" i="54"/>
  <c r="K211" i="54"/>
  <c r="J211" i="54"/>
  <c r="K210" i="54"/>
  <c r="J210" i="54"/>
  <c r="K209" i="54"/>
  <c r="J209" i="54"/>
  <c r="K208" i="54"/>
  <c r="J208" i="54"/>
  <c r="K207" i="54"/>
  <c r="J207" i="54"/>
  <c r="K206" i="54"/>
  <c r="J206" i="54"/>
  <c r="K205" i="54"/>
  <c r="J205" i="54"/>
  <c r="K204" i="54"/>
  <c r="J204" i="54"/>
  <c r="K203" i="54"/>
  <c r="J203" i="54"/>
  <c r="K202" i="54"/>
  <c r="J202" i="54"/>
  <c r="K201" i="54"/>
  <c r="J201" i="54"/>
  <c r="K200" i="54"/>
  <c r="J200" i="54"/>
  <c r="K199" i="54"/>
  <c r="J199" i="54"/>
  <c r="K198" i="54"/>
  <c r="J198" i="54"/>
  <c r="K197" i="54"/>
  <c r="J197" i="54"/>
  <c r="K196" i="54"/>
  <c r="J196" i="54"/>
  <c r="K195" i="54"/>
  <c r="J195" i="54"/>
  <c r="K194" i="54"/>
  <c r="J194" i="54"/>
  <c r="K193" i="54"/>
  <c r="J193" i="54"/>
  <c r="K192" i="54"/>
  <c r="J192" i="54"/>
  <c r="K191" i="54"/>
  <c r="J191" i="54"/>
  <c r="K190" i="54"/>
  <c r="J190" i="54"/>
  <c r="K189" i="54"/>
  <c r="J189" i="54"/>
  <c r="K188" i="54"/>
  <c r="J188" i="54"/>
  <c r="K187" i="54"/>
  <c r="J187" i="54"/>
  <c r="K186" i="54"/>
  <c r="J186" i="54"/>
  <c r="K185" i="54"/>
  <c r="J185" i="54"/>
  <c r="K184" i="54"/>
  <c r="J184" i="54"/>
  <c r="K183" i="54"/>
  <c r="J183" i="54"/>
  <c r="K182" i="54"/>
  <c r="J182" i="54"/>
  <c r="K181" i="54"/>
  <c r="J181" i="54"/>
  <c r="K180" i="54"/>
  <c r="J180" i="54"/>
  <c r="K179" i="54"/>
  <c r="J179" i="54"/>
  <c r="K178" i="54"/>
  <c r="J178" i="54"/>
  <c r="K177" i="54"/>
  <c r="J177" i="54"/>
  <c r="K176" i="54"/>
  <c r="J176" i="54"/>
  <c r="K175" i="54"/>
  <c r="J175" i="54"/>
  <c r="K174" i="54"/>
  <c r="J174" i="54"/>
  <c r="K173" i="54"/>
  <c r="J173" i="54"/>
  <c r="K172" i="54"/>
  <c r="J172" i="54"/>
  <c r="K171" i="54"/>
  <c r="J171" i="54"/>
  <c r="K170" i="54"/>
  <c r="J170" i="54"/>
  <c r="K169" i="54"/>
  <c r="J169" i="54"/>
  <c r="K168" i="54"/>
  <c r="J168" i="54"/>
  <c r="K167" i="54"/>
  <c r="J167" i="54"/>
  <c r="K166" i="54"/>
  <c r="J166" i="54"/>
  <c r="K165" i="54"/>
  <c r="J165" i="54"/>
  <c r="K164" i="54"/>
  <c r="J164" i="54"/>
  <c r="K163" i="54"/>
  <c r="J163" i="54"/>
  <c r="K162" i="54"/>
  <c r="J162" i="54"/>
  <c r="K161" i="54"/>
  <c r="J161" i="54"/>
  <c r="K160" i="54"/>
  <c r="J160" i="54"/>
  <c r="K159" i="54"/>
  <c r="J159" i="54"/>
  <c r="K158" i="54"/>
  <c r="J158" i="54"/>
  <c r="K157" i="54"/>
  <c r="J157" i="54"/>
  <c r="K156" i="54"/>
  <c r="J156" i="54"/>
  <c r="K155" i="54"/>
  <c r="J155" i="54"/>
  <c r="K154" i="54"/>
  <c r="J154" i="54"/>
  <c r="K153" i="54"/>
  <c r="J153" i="54"/>
  <c r="K152" i="54"/>
  <c r="J152" i="54"/>
  <c r="K151" i="54"/>
  <c r="J151" i="54"/>
  <c r="K150" i="54"/>
  <c r="J150" i="54"/>
  <c r="K149" i="54"/>
  <c r="J149" i="54"/>
  <c r="K148" i="54"/>
  <c r="J148" i="54"/>
  <c r="K147" i="54"/>
  <c r="J147" i="54"/>
  <c r="K146" i="54"/>
  <c r="J146" i="54"/>
  <c r="K145" i="54"/>
  <c r="J145" i="54"/>
  <c r="K144" i="54"/>
  <c r="J144" i="54"/>
  <c r="K143" i="54"/>
  <c r="J143" i="54"/>
  <c r="K142" i="54"/>
  <c r="J142" i="54"/>
  <c r="K141" i="54"/>
  <c r="J141" i="54"/>
  <c r="K140" i="54"/>
  <c r="J140" i="54"/>
  <c r="K139" i="54"/>
  <c r="J139" i="54"/>
  <c r="K138" i="54"/>
  <c r="J138" i="54"/>
  <c r="K137" i="54"/>
  <c r="J137" i="54"/>
  <c r="K136" i="54"/>
  <c r="J136" i="54"/>
  <c r="K135" i="54"/>
  <c r="J135" i="54"/>
  <c r="K134" i="54"/>
  <c r="J134" i="54"/>
  <c r="K133" i="54"/>
  <c r="J133" i="54"/>
  <c r="K132" i="54"/>
  <c r="J132" i="54"/>
  <c r="K131" i="54"/>
  <c r="J131" i="54"/>
  <c r="K130" i="54"/>
  <c r="J130" i="54"/>
  <c r="K129" i="54"/>
  <c r="J129" i="54"/>
  <c r="K128" i="54"/>
  <c r="J128" i="54"/>
  <c r="K127" i="54"/>
  <c r="J127" i="54"/>
  <c r="K126" i="54"/>
  <c r="J126" i="54"/>
  <c r="K125" i="54"/>
  <c r="J125" i="54"/>
  <c r="K124" i="54"/>
  <c r="J124" i="54"/>
  <c r="K123" i="54"/>
  <c r="J123" i="54"/>
  <c r="K122" i="54"/>
  <c r="J122" i="54"/>
  <c r="K121" i="54"/>
  <c r="J121" i="54"/>
  <c r="K120" i="54"/>
  <c r="J120" i="54"/>
  <c r="K119" i="54"/>
  <c r="J119" i="54"/>
  <c r="K118" i="54"/>
  <c r="J118" i="54"/>
  <c r="K117" i="54"/>
  <c r="J117" i="54"/>
  <c r="K116" i="54"/>
  <c r="J116" i="54"/>
  <c r="K115" i="54"/>
  <c r="J115" i="54"/>
  <c r="K114" i="54"/>
  <c r="J114" i="54"/>
  <c r="K113" i="54"/>
  <c r="J113" i="54"/>
  <c r="K112" i="54"/>
  <c r="J112" i="54"/>
  <c r="K111" i="54"/>
  <c r="J111" i="54"/>
  <c r="K110" i="54"/>
  <c r="J110" i="54"/>
  <c r="K109" i="54"/>
  <c r="J109" i="54"/>
  <c r="K108" i="54"/>
  <c r="J108" i="54"/>
  <c r="K107" i="54"/>
  <c r="J107" i="54"/>
  <c r="K106" i="54"/>
  <c r="J106" i="54"/>
  <c r="K105" i="54"/>
  <c r="J105" i="54"/>
  <c r="K104" i="54"/>
  <c r="J104" i="54"/>
  <c r="K103" i="54"/>
  <c r="J103" i="54"/>
  <c r="K102" i="54"/>
  <c r="J102" i="54"/>
  <c r="K101" i="54"/>
  <c r="J101" i="54"/>
  <c r="K100" i="54"/>
  <c r="J100" i="54"/>
  <c r="K99" i="54"/>
  <c r="J99" i="54"/>
  <c r="K98" i="54"/>
  <c r="J98" i="54"/>
  <c r="K97" i="54"/>
  <c r="J97" i="54"/>
  <c r="K96" i="54"/>
  <c r="J96" i="54"/>
  <c r="K95" i="54"/>
  <c r="J95" i="54"/>
  <c r="K94" i="54"/>
  <c r="J94" i="54"/>
  <c r="K93" i="54"/>
  <c r="J93" i="54"/>
  <c r="K92" i="54"/>
  <c r="J92" i="54"/>
  <c r="K91" i="54"/>
  <c r="J91" i="54"/>
  <c r="K90" i="54"/>
  <c r="J90" i="54"/>
  <c r="K89" i="54"/>
  <c r="J89" i="54"/>
  <c r="K88" i="54"/>
  <c r="J88" i="54"/>
  <c r="K87" i="54"/>
  <c r="J87" i="54"/>
  <c r="K86" i="54"/>
  <c r="J86" i="54"/>
  <c r="K85" i="54"/>
  <c r="J85" i="54"/>
  <c r="K84" i="54"/>
  <c r="J84" i="54"/>
  <c r="K83" i="54"/>
  <c r="J83" i="54"/>
  <c r="K82" i="54"/>
  <c r="J82" i="54"/>
  <c r="K81" i="54"/>
  <c r="J81" i="54"/>
  <c r="K80" i="54"/>
  <c r="J80" i="54"/>
  <c r="K79" i="54"/>
  <c r="J79" i="54"/>
  <c r="K78" i="54"/>
  <c r="J78" i="54"/>
  <c r="K77" i="54"/>
  <c r="J77" i="54"/>
  <c r="K76" i="54"/>
  <c r="J76" i="54"/>
  <c r="K75" i="54"/>
  <c r="J75" i="54"/>
  <c r="K74" i="54"/>
  <c r="J74" i="54"/>
  <c r="K73" i="54"/>
  <c r="J73" i="54"/>
  <c r="K72" i="54"/>
  <c r="J72" i="54"/>
  <c r="K71" i="54"/>
  <c r="J71" i="54"/>
  <c r="K70" i="54"/>
  <c r="J70" i="54"/>
  <c r="K69" i="54"/>
  <c r="J69" i="54"/>
  <c r="K68" i="54"/>
  <c r="J68" i="54"/>
  <c r="K67" i="54"/>
  <c r="J67" i="54"/>
  <c r="K66" i="54"/>
  <c r="J66" i="54"/>
  <c r="K65" i="54"/>
  <c r="J65" i="54"/>
  <c r="K64" i="54"/>
  <c r="J64" i="54"/>
  <c r="K63" i="54"/>
  <c r="J63" i="54"/>
  <c r="K62" i="54"/>
  <c r="J62" i="54"/>
  <c r="K61" i="54"/>
  <c r="J61" i="54"/>
  <c r="K60" i="54"/>
  <c r="J60" i="54"/>
  <c r="K59" i="54"/>
  <c r="J59" i="54"/>
  <c r="K58" i="54"/>
  <c r="J58" i="54"/>
  <c r="K57" i="54"/>
  <c r="J57" i="54"/>
  <c r="K56" i="54"/>
  <c r="J56" i="54"/>
  <c r="K55" i="54"/>
  <c r="J55" i="54"/>
  <c r="K54" i="54"/>
  <c r="J54" i="54"/>
  <c r="K53" i="54"/>
  <c r="J53" i="54"/>
  <c r="K52" i="54"/>
  <c r="J52" i="54"/>
  <c r="K51" i="54"/>
  <c r="J51" i="54"/>
  <c r="K50" i="54"/>
  <c r="J50" i="54"/>
  <c r="K49" i="54"/>
  <c r="J49" i="54"/>
  <c r="K48" i="54"/>
  <c r="J48" i="54"/>
  <c r="K47" i="54"/>
  <c r="J47" i="54"/>
  <c r="K46" i="54"/>
  <c r="J46" i="54"/>
  <c r="K45" i="54"/>
  <c r="J45" i="54"/>
  <c r="K44" i="54"/>
  <c r="J44" i="54"/>
  <c r="K43" i="54"/>
  <c r="J43" i="54"/>
  <c r="K42" i="54"/>
  <c r="J42" i="54"/>
  <c r="K41" i="54"/>
  <c r="J41" i="54"/>
  <c r="K40" i="54"/>
  <c r="J40" i="54"/>
  <c r="K39" i="54"/>
  <c r="J39" i="54"/>
  <c r="K38" i="54"/>
  <c r="J38" i="54"/>
  <c r="K37" i="54"/>
  <c r="J37" i="54"/>
  <c r="K36" i="54"/>
  <c r="J36" i="54"/>
  <c r="K35" i="54"/>
  <c r="J35" i="54"/>
  <c r="K34" i="54"/>
  <c r="J34" i="54"/>
  <c r="K33" i="54"/>
  <c r="J33" i="54"/>
  <c r="K32" i="54"/>
  <c r="J32" i="54"/>
  <c r="K31" i="54"/>
  <c r="J31" i="54"/>
  <c r="K30" i="54"/>
  <c r="J30" i="54"/>
  <c r="K29" i="54"/>
  <c r="J29" i="54"/>
  <c r="K28" i="54"/>
  <c r="J28" i="54"/>
  <c r="K27" i="54"/>
  <c r="J27" i="54"/>
  <c r="K26" i="54"/>
  <c r="J26" i="54"/>
  <c r="K25" i="54"/>
  <c r="J25" i="54"/>
  <c r="K24" i="54"/>
  <c r="J24" i="54"/>
  <c r="K23" i="54"/>
  <c r="J23" i="54"/>
  <c r="K22" i="54"/>
  <c r="J22" i="54"/>
  <c r="K21" i="54"/>
  <c r="J21" i="54"/>
  <c r="K20" i="54"/>
  <c r="J20" i="54"/>
  <c r="K19" i="54"/>
  <c r="J19" i="54"/>
  <c r="K18" i="54"/>
  <c r="J18" i="54"/>
  <c r="K17" i="54"/>
  <c r="J17" i="54"/>
  <c r="K16" i="54"/>
  <c r="J16" i="54"/>
  <c r="K15" i="54"/>
  <c r="J15" i="54"/>
  <c r="K14" i="54"/>
  <c r="J14" i="54"/>
  <c r="K13" i="54"/>
  <c r="J13" i="54"/>
  <c r="K12" i="54"/>
  <c r="J12" i="54"/>
  <c r="K11" i="54"/>
  <c r="J11" i="54"/>
  <c r="K10" i="54"/>
  <c r="J10" i="54"/>
  <c r="K9" i="54"/>
  <c r="J9" i="54"/>
  <c r="K8" i="54"/>
  <c r="J8" i="54"/>
  <c r="K7" i="54"/>
  <c r="J7" i="54"/>
  <c r="K6" i="54"/>
  <c r="J6" i="54"/>
  <c r="K3" i="54"/>
  <c r="I3" i="54"/>
  <c r="H3" i="54"/>
  <c r="K499" i="53"/>
  <c r="J499" i="53"/>
  <c r="K498" i="53"/>
  <c r="J498" i="53"/>
  <c r="K497" i="53"/>
  <c r="J497" i="53"/>
  <c r="K496" i="53"/>
  <c r="J496" i="53"/>
  <c r="K495" i="53"/>
  <c r="J495" i="53"/>
  <c r="K494" i="53"/>
  <c r="J494" i="53"/>
  <c r="K493" i="53"/>
  <c r="J493" i="53"/>
  <c r="K492" i="53"/>
  <c r="J492" i="53"/>
  <c r="K491" i="53"/>
  <c r="J491" i="53"/>
  <c r="K490" i="53"/>
  <c r="J490" i="53"/>
  <c r="K489" i="53"/>
  <c r="J489" i="53"/>
  <c r="K488" i="53"/>
  <c r="J488" i="53"/>
  <c r="K487" i="53"/>
  <c r="J487" i="53"/>
  <c r="K486" i="53"/>
  <c r="J486" i="53"/>
  <c r="K485" i="53"/>
  <c r="J485" i="53"/>
  <c r="K484" i="53"/>
  <c r="J484" i="53"/>
  <c r="K483" i="53"/>
  <c r="J483" i="53"/>
  <c r="K482" i="53"/>
  <c r="J482" i="53"/>
  <c r="K481" i="53"/>
  <c r="J481" i="53"/>
  <c r="K480" i="53"/>
  <c r="J480" i="53"/>
  <c r="K479" i="53"/>
  <c r="J479" i="53"/>
  <c r="K478" i="53"/>
  <c r="J478" i="53"/>
  <c r="K477" i="53"/>
  <c r="J477" i="53"/>
  <c r="K476" i="53"/>
  <c r="J476" i="53"/>
  <c r="K475" i="53"/>
  <c r="J475" i="53"/>
  <c r="K474" i="53"/>
  <c r="J474" i="53"/>
  <c r="K473" i="53"/>
  <c r="J473" i="53"/>
  <c r="K472" i="53"/>
  <c r="J472" i="53"/>
  <c r="K471" i="53"/>
  <c r="J471" i="53"/>
  <c r="K470" i="53"/>
  <c r="J470" i="53"/>
  <c r="K469" i="53"/>
  <c r="J469" i="53"/>
  <c r="K468" i="53"/>
  <c r="J468" i="53"/>
  <c r="K467" i="53"/>
  <c r="J467" i="53"/>
  <c r="K466" i="53"/>
  <c r="J466" i="53"/>
  <c r="K465" i="53"/>
  <c r="J465" i="53"/>
  <c r="K464" i="53"/>
  <c r="J464" i="53"/>
  <c r="K463" i="53"/>
  <c r="J463" i="53"/>
  <c r="K462" i="53"/>
  <c r="J462" i="53"/>
  <c r="K461" i="53"/>
  <c r="J461" i="53"/>
  <c r="K460" i="53"/>
  <c r="J460" i="53"/>
  <c r="K459" i="53"/>
  <c r="J459" i="53"/>
  <c r="K458" i="53"/>
  <c r="J458" i="53"/>
  <c r="K457" i="53"/>
  <c r="J457" i="53"/>
  <c r="K456" i="53"/>
  <c r="J456" i="53"/>
  <c r="K455" i="53"/>
  <c r="J455" i="53"/>
  <c r="K454" i="53"/>
  <c r="J454" i="53"/>
  <c r="K453" i="53"/>
  <c r="J453" i="53"/>
  <c r="K452" i="53"/>
  <c r="J452" i="53"/>
  <c r="K451" i="53"/>
  <c r="J451" i="53"/>
  <c r="K450" i="53"/>
  <c r="J450" i="53"/>
  <c r="K449" i="53"/>
  <c r="J449" i="53"/>
  <c r="K448" i="53"/>
  <c r="J448" i="53"/>
  <c r="K447" i="53"/>
  <c r="J447" i="53"/>
  <c r="K446" i="53"/>
  <c r="J446" i="53"/>
  <c r="K445" i="53"/>
  <c r="J445" i="53"/>
  <c r="K444" i="53"/>
  <c r="J444" i="53"/>
  <c r="K443" i="53"/>
  <c r="J443" i="53"/>
  <c r="K442" i="53"/>
  <c r="J442" i="53"/>
  <c r="K441" i="53"/>
  <c r="J441" i="53"/>
  <c r="K440" i="53"/>
  <c r="J440" i="53"/>
  <c r="K439" i="53"/>
  <c r="J439" i="53"/>
  <c r="K438" i="53"/>
  <c r="J438" i="53"/>
  <c r="K437" i="53"/>
  <c r="J437" i="53"/>
  <c r="K436" i="53"/>
  <c r="J436" i="53"/>
  <c r="K435" i="53"/>
  <c r="J435" i="53"/>
  <c r="K434" i="53"/>
  <c r="J434" i="53"/>
  <c r="K433" i="53"/>
  <c r="J433" i="53"/>
  <c r="K432" i="53"/>
  <c r="J432" i="53"/>
  <c r="K431" i="53"/>
  <c r="J431" i="53"/>
  <c r="K430" i="53"/>
  <c r="J430" i="53"/>
  <c r="K429" i="53"/>
  <c r="J429" i="53"/>
  <c r="K428" i="53"/>
  <c r="J428" i="53"/>
  <c r="K427" i="53"/>
  <c r="J427" i="53"/>
  <c r="K426" i="53"/>
  <c r="J426" i="53"/>
  <c r="K425" i="53"/>
  <c r="J425" i="53"/>
  <c r="K424" i="53"/>
  <c r="J424" i="53"/>
  <c r="K423" i="53"/>
  <c r="J423" i="53"/>
  <c r="K422" i="53"/>
  <c r="J422" i="53"/>
  <c r="K421" i="53"/>
  <c r="J421" i="53"/>
  <c r="K420" i="53"/>
  <c r="J420" i="53"/>
  <c r="K419" i="53"/>
  <c r="J419" i="53"/>
  <c r="K418" i="53"/>
  <c r="J418" i="53"/>
  <c r="K417" i="53"/>
  <c r="J417" i="53"/>
  <c r="K416" i="53"/>
  <c r="J416" i="53"/>
  <c r="K415" i="53"/>
  <c r="J415" i="53"/>
  <c r="K414" i="53"/>
  <c r="J414" i="53"/>
  <c r="K413" i="53"/>
  <c r="J413" i="53"/>
  <c r="K412" i="53"/>
  <c r="J412" i="53"/>
  <c r="K411" i="53"/>
  <c r="J411" i="53"/>
  <c r="K410" i="53"/>
  <c r="J410" i="53"/>
  <c r="K409" i="53"/>
  <c r="J409" i="53"/>
  <c r="K408" i="53"/>
  <c r="J408" i="53"/>
  <c r="K407" i="53"/>
  <c r="J407" i="53"/>
  <c r="K406" i="53"/>
  <c r="J406" i="53"/>
  <c r="K405" i="53"/>
  <c r="J405" i="53"/>
  <c r="K404" i="53"/>
  <c r="J404" i="53"/>
  <c r="K403" i="53"/>
  <c r="J403" i="53"/>
  <c r="K402" i="53"/>
  <c r="J402" i="53"/>
  <c r="K401" i="53"/>
  <c r="J401" i="53"/>
  <c r="K400" i="53"/>
  <c r="J400" i="53"/>
  <c r="K399" i="53"/>
  <c r="J399" i="53"/>
  <c r="K398" i="53"/>
  <c r="J398" i="53"/>
  <c r="K397" i="53"/>
  <c r="J397" i="53"/>
  <c r="K396" i="53"/>
  <c r="J396" i="53"/>
  <c r="K395" i="53"/>
  <c r="J395" i="53"/>
  <c r="K394" i="53"/>
  <c r="J394" i="53"/>
  <c r="K393" i="53"/>
  <c r="J393" i="53"/>
  <c r="K392" i="53"/>
  <c r="J392" i="53"/>
  <c r="K391" i="53"/>
  <c r="J391" i="53"/>
  <c r="K390" i="53"/>
  <c r="J390" i="53"/>
  <c r="K389" i="53"/>
  <c r="J389" i="53"/>
  <c r="K388" i="53"/>
  <c r="J388" i="53"/>
  <c r="K387" i="53"/>
  <c r="J387" i="53"/>
  <c r="K386" i="53"/>
  <c r="J386" i="53"/>
  <c r="K385" i="53"/>
  <c r="J385" i="53"/>
  <c r="K384" i="53"/>
  <c r="J384" i="53"/>
  <c r="K383" i="53"/>
  <c r="J383" i="53"/>
  <c r="K382" i="53"/>
  <c r="J382" i="53"/>
  <c r="K381" i="53"/>
  <c r="J381" i="53"/>
  <c r="K380" i="53"/>
  <c r="J380" i="53"/>
  <c r="K379" i="53"/>
  <c r="J379" i="53"/>
  <c r="K378" i="53"/>
  <c r="J378" i="53"/>
  <c r="K377" i="53"/>
  <c r="J377" i="53"/>
  <c r="K376" i="53"/>
  <c r="J376" i="53"/>
  <c r="K375" i="53"/>
  <c r="J375" i="53"/>
  <c r="K374" i="53"/>
  <c r="J374" i="53"/>
  <c r="K373" i="53"/>
  <c r="J373" i="53"/>
  <c r="K372" i="53"/>
  <c r="J372" i="53"/>
  <c r="K371" i="53"/>
  <c r="J371" i="53"/>
  <c r="K370" i="53"/>
  <c r="J370" i="53"/>
  <c r="K369" i="53"/>
  <c r="J369" i="53"/>
  <c r="K368" i="53"/>
  <c r="J368" i="53"/>
  <c r="K367" i="53"/>
  <c r="J367" i="53"/>
  <c r="K366" i="53"/>
  <c r="J366" i="53"/>
  <c r="K365" i="53"/>
  <c r="J365" i="53"/>
  <c r="K364" i="53"/>
  <c r="J364" i="53"/>
  <c r="K363" i="53"/>
  <c r="J363" i="53"/>
  <c r="K362" i="53"/>
  <c r="J362" i="53"/>
  <c r="K361" i="53"/>
  <c r="J361" i="53"/>
  <c r="K360" i="53"/>
  <c r="J360" i="53"/>
  <c r="K359" i="53"/>
  <c r="J359" i="53"/>
  <c r="K358" i="53"/>
  <c r="J358" i="53"/>
  <c r="K357" i="53"/>
  <c r="J357" i="53"/>
  <c r="K356" i="53"/>
  <c r="J356" i="53"/>
  <c r="K355" i="53"/>
  <c r="J355" i="53"/>
  <c r="K354" i="53"/>
  <c r="J354" i="53"/>
  <c r="K353" i="53"/>
  <c r="J353" i="53"/>
  <c r="K352" i="53"/>
  <c r="J352" i="53"/>
  <c r="K351" i="53"/>
  <c r="J351" i="53"/>
  <c r="K350" i="53"/>
  <c r="J350" i="53"/>
  <c r="K349" i="53"/>
  <c r="J349" i="53"/>
  <c r="K348" i="53"/>
  <c r="J348" i="53"/>
  <c r="K347" i="53"/>
  <c r="J347" i="53"/>
  <c r="K346" i="53"/>
  <c r="J346" i="53"/>
  <c r="K345" i="53"/>
  <c r="J345" i="53"/>
  <c r="K344" i="53"/>
  <c r="J344" i="53"/>
  <c r="K343" i="53"/>
  <c r="J343" i="53"/>
  <c r="K342" i="53"/>
  <c r="J342" i="53"/>
  <c r="K341" i="53"/>
  <c r="J341" i="53"/>
  <c r="K340" i="53"/>
  <c r="J340" i="53"/>
  <c r="K339" i="53"/>
  <c r="J339" i="53"/>
  <c r="K338" i="53"/>
  <c r="J338" i="53"/>
  <c r="K337" i="53"/>
  <c r="J337" i="53"/>
  <c r="K336" i="53"/>
  <c r="J336" i="53"/>
  <c r="K335" i="53"/>
  <c r="J335" i="53"/>
  <c r="K334" i="53"/>
  <c r="J334" i="53"/>
  <c r="K333" i="53"/>
  <c r="J333" i="53"/>
  <c r="K332" i="53"/>
  <c r="J332" i="53"/>
  <c r="K331" i="53"/>
  <c r="J331" i="53"/>
  <c r="K330" i="53"/>
  <c r="J330" i="53"/>
  <c r="K329" i="53"/>
  <c r="J329" i="53"/>
  <c r="K328" i="53"/>
  <c r="J328" i="53"/>
  <c r="K327" i="53"/>
  <c r="J327" i="53"/>
  <c r="K326" i="53"/>
  <c r="J326" i="53"/>
  <c r="K325" i="53"/>
  <c r="J325" i="53"/>
  <c r="K324" i="53"/>
  <c r="J324" i="53"/>
  <c r="K323" i="53"/>
  <c r="J323" i="53"/>
  <c r="K322" i="53"/>
  <c r="J322" i="53"/>
  <c r="K321" i="53"/>
  <c r="J321" i="53"/>
  <c r="K320" i="53"/>
  <c r="J320" i="53"/>
  <c r="K319" i="53"/>
  <c r="J319" i="53"/>
  <c r="K318" i="53"/>
  <c r="J318" i="53"/>
  <c r="K317" i="53"/>
  <c r="J317" i="53"/>
  <c r="K316" i="53"/>
  <c r="J316" i="53"/>
  <c r="K315" i="53"/>
  <c r="J315" i="53"/>
  <c r="K314" i="53"/>
  <c r="J314" i="53"/>
  <c r="K313" i="53"/>
  <c r="J313" i="53"/>
  <c r="K312" i="53"/>
  <c r="J312" i="53"/>
  <c r="K311" i="53"/>
  <c r="J311" i="53"/>
  <c r="K310" i="53"/>
  <c r="J310" i="53"/>
  <c r="K309" i="53"/>
  <c r="J309" i="53"/>
  <c r="K308" i="53"/>
  <c r="J308" i="53"/>
  <c r="K307" i="53"/>
  <c r="J307" i="53"/>
  <c r="K306" i="53"/>
  <c r="J306" i="53"/>
  <c r="K305" i="53"/>
  <c r="J305" i="53"/>
  <c r="K304" i="53"/>
  <c r="J304" i="53"/>
  <c r="K303" i="53"/>
  <c r="J303" i="53"/>
  <c r="K302" i="53"/>
  <c r="J302" i="53"/>
  <c r="K301" i="53"/>
  <c r="J301" i="53"/>
  <c r="K300" i="53"/>
  <c r="J300" i="53"/>
  <c r="K299" i="53"/>
  <c r="J299" i="53"/>
  <c r="K298" i="53"/>
  <c r="J298" i="53"/>
  <c r="K297" i="53"/>
  <c r="J297" i="53"/>
  <c r="K296" i="53"/>
  <c r="J296" i="53"/>
  <c r="K295" i="53"/>
  <c r="J295" i="53"/>
  <c r="K294" i="53"/>
  <c r="J294" i="53"/>
  <c r="K293" i="53"/>
  <c r="J293" i="53"/>
  <c r="K292" i="53"/>
  <c r="J292" i="53"/>
  <c r="K291" i="53"/>
  <c r="J291" i="53"/>
  <c r="K290" i="53"/>
  <c r="J290" i="53"/>
  <c r="K289" i="53"/>
  <c r="J289" i="53"/>
  <c r="K288" i="53"/>
  <c r="J288" i="53"/>
  <c r="K287" i="53"/>
  <c r="J287" i="53"/>
  <c r="K286" i="53"/>
  <c r="J286" i="53"/>
  <c r="K285" i="53"/>
  <c r="J285" i="53"/>
  <c r="K284" i="53"/>
  <c r="J284" i="53"/>
  <c r="K283" i="53"/>
  <c r="J283" i="53"/>
  <c r="K282" i="53"/>
  <c r="J282" i="53"/>
  <c r="K281" i="53"/>
  <c r="J281" i="53"/>
  <c r="K280" i="53"/>
  <c r="J280" i="53"/>
  <c r="K279" i="53"/>
  <c r="J279" i="53"/>
  <c r="K278" i="53"/>
  <c r="J278" i="53"/>
  <c r="K277" i="53"/>
  <c r="J277" i="53"/>
  <c r="K276" i="53"/>
  <c r="J276" i="53"/>
  <c r="K275" i="53"/>
  <c r="J275" i="53"/>
  <c r="K274" i="53"/>
  <c r="J274" i="53"/>
  <c r="K273" i="53"/>
  <c r="J273" i="53"/>
  <c r="K272" i="53"/>
  <c r="J272" i="53"/>
  <c r="K271" i="53"/>
  <c r="J271" i="53"/>
  <c r="K270" i="53"/>
  <c r="J270" i="53"/>
  <c r="K269" i="53"/>
  <c r="J269" i="53"/>
  <c r="K268" i="53"/>
  <c r="J268" i="53"/>
  <c r="K267" i="53"/>
  <c r="J267" i="53"/>
  <c r="K266" i="53"/>
  <c r="J266" i="53"/>
  <c r="K265" i="53"/>
  <c r="J265" i="53"/>
  <c r="K264" i="53"/>
  <c r="J264" i="53"/>
  <c r="K263" i="53"/>
  <c r="J263" i="53"/>
  <c r="K262" i="53"/>
  <c r="J262" i="53"/>
  <c r="K261" i="53"/>
  <c r="J261" i="53"/>
  <c r="K260" i="53"/>
  <c r="J260" i="53"/>
  <c r="K259" i="53"/>
  <c r="J259" i="53"/>
  <c r="K258" i="53"/>
  <c r="J258" i="53"/>
  <c r="K257" i="53"/>
  <c r="J257" i="53"/>
  <c r="K256" i="53"/>
  <c r="J256" i="53"/>
  <c r="K255" i="53"/>
  <c r="J255" i="53"/>
  <c r="K254" i="53"/>
  <c r="J254" i="53"/>
  <c r="K253" i="53"/>
  <c r="J253" i="53"/>
  <c r="K252" i="53"/>
  <c r="J252" i="53"/>
  <c r="K251" i="53"/>
  <c r="J251" i="53"/>
  <c r="K250" i="53"/>
  <c r="J250" i="53"/>
  <c r="K249" i="53"/>
  <c r="J249" i="53"/>
  <c r="K248" i="53"/>
  <c r="J248" i="53"/>
  <c r="K247" i="53"/>
  <c r="J247" i="53"/>
  <c r="K246" i="53"/>
  <c r="J246" i="53"/>
  <c r="K245" i="53"/>
  <c r="J245" i="53"/>
  <c r="K244" i="53"/>
  <c r="J244" i="53"/>
  <c r="K243" i="53"/>
  <c r="J243" i="53"/>
  <c r="K242" i="53"/>
  <c r="J242" i="53"/>
  <c r="K241" i="53"/>
  <c r="J241" i="53"/>
  <c r="K240" i="53"/>
  <c r="J240" i="53"/>
  <c r="K239" i="53"/>
  <c r="J239" i="53"/>
  <c r="K238" i="53"/>
  <c r="J238" i="53"/>
  <c r="K237" i="53"/>
  <c r="J237" i="53"/>
  <c r="K236" i="53"/>
  <c r="J236" i="53"/>
  <c r="K235" i="53"/>
  <c r="J235" i="53"/>
  <c r="K234" i="53"/>
  <c r="J234" i="53"/>
  <c r="K233" i="53"/>
  <c r="J233" i="53"/>
  <c r="K232" i="53"/>
  <c r="J232" i="53"/>
  <c r="K231" i="53"/>
  <c r="J231" i="53"/>
  <c r="K230" i="53"/>
  <c r="J230" i="53"/>
  <c r="K229" i="53"/>
  <c r="J229" i="53"/>
  <c r="K228" i="53"/>
  <c r="J228" i="53"/>
  <c r="K227" i="53"/>
  <c r="J227" i="53"/>
  <c r="K226" i="53"/>
  <c r="J226" i="53"/>
  <c r="K225" i="53"/>
  <c r="J225" i="53"/>
  <c r="K224" i="53"/>
  <c r="J224" i="53"/>
  <c r="K223" i="53"/>
  <c r="J223" i="53"/>
  <c r="K222" i="53"/>
  <c r="J222" i="53"/>
  <c r="K221" i="53"/>
  <c r="J221" i="53"/>
  <c r="K220" i="53"/>
  <c r="J220" i="53"/>
  <c r="K219" i="53"/>
  <c r="J219" i="53"/>
  <c r="K218" i="53"/>
  <c r="J218" i="53"/>
  <c r="K217" i="53"/>
  <c r="J217" i="53"/>
  <c r="K216" i="53"/>
  <c r="J216" i="53"/>
  <c r="K215" i="53"/>
  <c r="J215" i="53"/>
  <c r="K214" i="53"/>
  <c r="J214" i="53"/>
  <c r="K213" i="53"/>
  <c r="J213" i="53"/>
  <c r="K212" i="53"/>
  <c r="J212" i="53"/>
  <c r="K211" i="53"/>
  <c r="J211" i="53"/>
  <c r="K210" i="53"/>
  <c r="J210" i="53"/>
  <c r="K209" i="53"/>
  <c r="J209" i="53"/>
  <c r="K208" i="53"/>
  <c r="J208" i="53"/>
  <c r="K207" i="53"/>
  <c r="J207" i="53"/>
  <c r="K206" i="53"/>
  <c r="J206" i="53"/>
  <c r="K205" i="53"/>
  <c r="J205" i="53"/>
  <c r="K204" i="53"/>
  <c r="J204" i="53"/>
  <c r="K203" i="53"/>
  <c r="J203" i="53"/>
  <c r="K202" i="53"/>
  <c r="J202" i="53"/>
  <c r="K201" i="53"/>
  <c r="J201" i="53"/>
  <c r="K200" i="53"/>
  <c r="J200" i="53"/>
  <c r="K199" i="53"/>
  <c r="J199" i="53"/>
  <c r="K198" i="53"/>
  <c r="J198" i="53"/>
  <c r="K197" i="53"/>
  <c r="J197" i="53"/>
  <c r="K196" i="53"/>
  <c r="J196" i="53"/>
  <c r="K195" i="53"/>
  <c r="J195" i="53"/>
  <c r="K194" i="53"/>
  <c r="J194" i="53"/>
  <c r="K193" i="53"/>
  <c r="J193" i="53"/>
  <c r="K192" i="53"/>
  <c r="J192" i="53"/>
  <c r="K191" i="53"/>
  <c r="J191" i="53"/>
  <c r="K190" i="53"/>
  <c r="J190" i="53"/>
  <c r="K189" i="53"/>
  <c r="J189" i="53"/>
  <c r="K188" i="53"/>
  <c r="J188" i="53"/>
  <c r="K187" i="53"/>
  <c r="J187" i="53"/>
  <c r="K186" i="53"/>
  <c r="J186" i="53"/>
  <c r="K185" i="53"/>
  <c r="J185" i="53"/>
  <c r="K184" i="53"/>
  <c r="J184" i="53"/>
  <c r="K183" i="53"/>
  <c r="J183" i="53"/>
  <c r="K182" i="53"/>
  <c r="J182" i="53"/>
  <c r="K181" i="53"/>
  <c r="J181" i="53"/>
  <c r="K180" i="53"/>
  <c r="J180" i="53"/>
  <c r="K179" i="53"/>
  <c r="J179" i="53"/>
  <c r="K178" i="53"/>
  <c r="J178" i="53"/>
  <c r="K177" i="53"/>
  <c r="J177" i="53"/>
  <c r="K176" i="53"/>
  <c r="J176" i="53"/>
  <c r="K175" i="53"/>
  <c r="J175" i="53"/>
  <c r="K174" i="53"/>
  <c r="J174" i="53"/>
  <c r="K173" i="53"/>
  <c r="J173" i="53"/>
  <c r="K172" i="53"/>
  <c r="J172" i="53"/>
  <c r="K171" i="53"/>
  <c r="J171" i="53"/>
  <c r="K170" i="53"/>
  <c r="J170" i="53"/>
  <c r="K169" i="53"/>
  <c r="J169" i="53"/>
  <c r="K168" i="53"/>
  <c r="J168" i="53"/>
  <c r="K167" i="53"/>
  <c r="J167" i="53"/>
  <c r="K166" i="53"/>
  <c r="J166" i="53"/>
  <c r="K165" i="53"/>
  <c r="J165" i="53"/>
  <c r="K164" i="53"/>
  <c r="J164" i="53"/>
  <c r="K163" i="53"/>
  <c r="J163" i="53"/>
  <c r="K162" i="53"/>
  <c r="J162" i="53"/>
  <c r="K161" i="53"/>
  <c r="J161" i="53"/>
  <c r="K160" i="53"/>
  <c r="J160" i="53"/>
  <c r="K159" i="53"/>
  <c r="J159" i="53"/>
  <c r="K158" i="53"/>
  <c r="J158" i="53"/>
  <c r="K157" i="53"/>
  <c r="J157" i="53"/>
  <c r="K156" i="53"/>
  <c r="J156" i="53"/>
  <c r="K155" i="53"/>
  <c r="J155" i="53"/>
  <c r="K154" i="53"/>
  <c r="J154" i="53"/>
  <c r="K153" i="53"/>
  <c r="J153" i="53"/>
  <c r="K152" i="53"/>
  <c r="J152" i="53"/>
  <c r="K151" i="53"/>
  <c r="J151" i="53"/>
  <c r="K150" i="53"/>
  <c r="J150" i="53"/>
  <c r="K149" i="53"/>
  <c r="J149" i="53"/>
  <c r="K148" i="53"/>
  <c r="J148" i="53"/>
  <c r="K147" i="53"/>
  <c r="J147" i="53"/>
  <c r="K146" i="53"/>
  <c r="J146" i="53"/>
  <c r="K145" i="53"/>
  <c r="J145" i="53"/>
  <c r="K144" i="53"/>
  <c r="J144" i="53"/>
  <c r="K143" i="53"/>
  <c r="J143" i="53"/>
  <c r="K142" i="53"/>
  <c r="J142" i="53"/>
  <c r="K141" i="53"/>
  <c r="J141" i="53"/>
  <c r="K140" i="53"/>
  <c r="J140" i="53"/>
  <c r="K139" i="53"/>
  <c r="J139" i="53"/>
  <c r="K138" i="53"/>
  <c r="J138" i="53"/>
  <c r="K137" i="53"/>
  <c r="J137" i="53"/>
  <c r="K136" i="53"/>
  <c r="J136" i="53"/>
  <c r="K135" i="53"/>
  <c r="J135" i="53"/>
  <c r="K134" i="53"/>
  <c r="J134" i="53"/>
  <c r="K133" i="53"/>
  <c r="J133" i="53"/>
  <c r="K132" i="53"/>
  <c r="J132" i="53"/>
  <c r="K131" i="53"/>
  <c r="J131" i="53"/>
  <c r="K130" i="53"/>
  <c r="J130" i="53"/>
  <c r="K129" i="53"/>
  <c r="J129" i="53"/>
  <c r="K128" i="53"/>
  <c r="J128" i="53"/>
  <c r="K127" i="53"/>
  <c r="J127" i="53"/>
  <c r="K126" i="53"/>
  <c r="J126" i="53"/>
  <c r="K125" i="53"/>
  <c r="J125" i="53"/>
  <c r="K124" i="53"/>
  <c r="J124" i="53"/>
  <c r="K123" i="53"/>
  <c r="J123" i="53"/>
  <c r="K122" i="53"/>
  <c r="J122" i="53"/>
  <c r="K121" i="53"/>
  <c r="J121" i="53"/>
  <c r="K120" i="53"/>
  <c r="J120" i="53"/>
  <c r="K119" i="53"/>
  <c r="J119" i="53"/>
  <c r="K118" i="53"/>
  <c r="J118" i="53"/>
  <c r="K117" i="53"/>
  <c r="J117" i="53"/>
  <c r="K116" i="53"/>
  <c r="J116" i="53"/>
  <c r="K115" i="53"/>
  <c r="J115" i="53"/>
  <c r="K114" i="53"/>
  <c r="J114" i="53"/>
  <c r="K113" i="53"/>
  <c r="J113" i="53"/>
  <c r="K112" i="53"/>
  <c r="J112" i="53"/>
  <c r="K111" i="53"/>
  <c r="J111" i="53"/>
  <c r="K110" i="53"/>
  <c r="J110" i="53"/>
  <c r="K109" i="53"/>
  <c r="J109" i="53"/>
  <c r="K108" i="53"/>
  <c r="J108" i="53"/>
  <c r="K107" i="53"/>
  <c r="J107" i="53"/>
  <c r="K106" i="53"/>
  <c r="J106" i="53"/>
  <c r="K105" i="53"/>
  <c r="J105" i="53"/>
  <c r="K104" i="53"/>
  <c r="J104" i="53"/>
  <c r="K103" i="53"/>
  <c r="J103" i="53"/>
  <c r="K102" i="53"/>
  <c r="J102" i="53"/>
  <c r="K101" i="53"/>
  <c r="J101" i="53"/>
  <c r="K100" i="53"/>
  <c r="J100" i="53"/>
  <c r="K99" i="53"/>
  <c r="J99" i="53"/>
  <c r="K98" i="53"/>
  <c r="J98" i="53"/>
  <c r="K97" i="53"/>
  <c r="J97" i="53"/>
  <c r="K96" i="53"/>
  <c r="J96" i="53"/>
  <c r="K95" i="53"/>
  <c r="J95" i="53"/>
  <c r="K94" i="53"/>
  <c r="J94" i="53"/>
  <c r="K93" i="53"/>
  <c r="J93" i="53"/>
  <c r="K92" i="53"/>
  <c r="J92" i="53"/>
  <c r="K91" i="53"/>
  <c r="J91" i="53"/>
  <c r="K90" i="53"/>
  <c r="J90" i="53"/>
  <c r="K89" i="53"/>
  <c r="J89" i="53"/>
  <c r="K88" i="53"/>
  <c r="J88" i="53"/>
  <c r="K87" i="53"/>
  <c r="J87" i="53"/>
  <c r="K86" i="53"/>
  <c r="J86" i="53"/>
  <c r="K85" i="53"/>
  <c r="J85" i="53"/>
  <c r="K84" i="53"/>
  <c r="J84" i="53"/>
  <c r="K83" i="53"/>
  <c r="J83" i="53"/>
  <c r="K82" i="53"/>
  <c r="J82" i="53"/>
  <c r="K81" i="53"/>
  <c r="J81" i="53"/>
  <c r="K80" i="53"/>
  <c r="J80" i="53"/>
  <c r="K79" i="53"/>
  <c r="J79" i="53"/>
  <c r="K78" i="53"/>
  <c r="J78" i="53"/>
  <c r="K77" i="53"/>
  <c r="J77" i="53"/>
  <c r="K76" i="53"/>
  <c r="J76" i="53"/>
  <c r="K75" i="53"/>
  <c r="J75" i="53"/>
  <c r="K74" i="53"/>
  <c r="J74" i="53"/>
  <c r="K73" i="53"/>
  <c r="J73" i="53"/>
  <c r="K72" i="53"/>
  <c r="J72" i="53"/>
  <c r="K71" i="53"/>
  <c r="J71" i="53"/>
  <c r="K70" i="53"/>
  <c r="J70" i="53"/>
  <c r="K69" i="53"/>
  <c r="J69" i="53"/>
  <c r="K68" i="53"/>
  <c r="J68" i="53"/>
  <c r="K67" i="53"/>
  <c r="J67" i="53"/>
  <c r="K66" i="53"/>
  <c r="J66" i="53"/>
  <c r="K65" i="53"/>
  <c r="J65" i="53"/>
  <c r="K64" i="53"/>
  <c r="J64" i="53"/>
  <c r="K63" i="53"/>
  <c r="J63" i="53"/>
  <c r="K62" i="53"/>
  <c r="J62" i="53"/>
  <c r="K61" i="53"/>
  <c r="J61" i="53"/>
  <c r="K60" i="53"/>
  <c r="J60" i="53"/>
  <c r="K59" i="53"/>
  <c r="J59" i="53"/>
  <c r="K58" i="53"/>
  <c r="J58" i="53"/>
  <c r="K57" i="53"/>
  <c r="J57" i="53"/>
  <c r="K56" i="53"/>
  <c r="J56" i="53"/>
  <c r="K55" i="53"/>
  <c r="J55" i="53"/>
  <c r="K54" i="53"/>
  <c r="J54" i="53"/>
  <c r="K53" i="53"/>
  <c r="J53" i="53"/>
  <c r="K52" i="53"/>
  <c r="J52" i="53"/>
  <c r="K51" i="53"/>
  <c r="J51" i="53"/>
  <c r="K50" i="53"/>
  <c r="J50" i="53"/>
  <c r="K49" i="53"/>
  <c r="J49" i="53"/>
  <c r="K48" i="53"/>
  <c r="J48" i="53"/>
  <c r="K47" i="53"/>
  <c r="J47" i="53"/>
  <c r="K46" i="53"/>
  <c r="J46" i="53"/>
  <c r="K45" i="53"/>
  <c r="J45" i="53"/>
  <c r="K44" i="53"/>
  <c r="J44" i="53"/>
  <c r="K43" i="53"/>
  <c r="J43" i="53"/>
  <c r="K42" i="53"/>
  <c r="J42" i="53"/>
  <c r="K41" i="53"/>
  <c r="J41" i="53"/>
  <c r="K40" i="53"/>
  <c r="J40" i="53"/>
  <c r="K39" i="53"/>
  <c r="J39" i="53"/>
  <c r="K38" i="53"/>
  <c r="J38" i="53"/>
  <c r="K37" i="53"/>
  <c r="J37" i="53"/>
  <c r="K36" i="53"/>
  <c r="J36" i="53"/>
  <c r="K35" i="53"/>
  <c r="J35" i="53"/>
  <c r="K34" i="53"/>
  <c r="J34" i="53"/>
  <c r="K33" i="53"/>
  <c r="J33" i="53"/>
  <c r="K32" i="53"/>
  <c r="J32" i="53"/>
  <c r="K31" i="53"/>
  <c r="J31" i="53"/>
  <c r="K30" i="53"/>
  <c r="J30" i="53"/>
  <c r="K29" i="53"/>
  <c r="J29" i="53"/>
  <c r="K28" i="53"/>
  <c r="J28" i="53"/>
  <c r="K27" i="53"/>
  <c r="J27" i="53"/>
  <c r="K26" i="53"/>
  <c r="J26" i="53"/>
  <c r="K25" i="53"/>
  <c r="J25" i="53"/>
  <c r="K24" i="53"/>
  <c r="J24" i="53"/>
  <c r="K23" i="53"/>
  <c r="J23" i="53"/>
  <c r="K22" i="53"/>
  <c r="J22" i="53"/>
  <c r="K21" i="53"/>
  <c r="J21" i="53"/>
  <c r="K20" i="53"/>
  <c r="J20" i="53"/>
  <c r="K19" i="53"/>
  <c r="J19" i="53"/>
  <c r="K18" i="53"/>
  <c r="J18" i="53"/>
  <c r="K17" i="53"/>
  <c r="J17" i="53"/>
  <c r="K16" i="53"/>
  <c r="J16" i="53"/>
  <c r="K15" i="53"/>
  <c r="J15" i="53"/>
  <c r="K14" i="53"/>
  <c r="J14" i="53"/>
  <c r="K13" i="53"/>
  <c r="J13" i="53"/>
  <c r="K12" i="53"/>
  <c r="J12" i="53"/>
  <c r="K11" i="53"/>
  <c r="J11" i="53"/>
  <c r="K10" i="53"/>
  <c r="J10" i="53"/>
  <c r="K9" i="53"/>
  <c r="J9" i="53"/>
  <c r="K8" i="53"/>
  <c r="J8" i="53"/>
  <c r="K7" i="53"/>
  <c r="J7" i="53"/>
  <c r="K6" i="53"/>
  <c r="J6" i="53"/>
  <c r="K3" i="53"/>
  <c r="I3" i="53"/>
  <c r="H3" i="53"/>
  <c r="K487" i="52"/>
  <c r="J487" i="52"/>
  <c r="K486" i="52"/>
  <c r="J486" i="52"/>
  <c r="K485" i="52"/>
  <c r="J485" i="52"/>
  <c r="K484" i="52"/>
  <c r="J484" i="52"/>
  <c r="K483" i="52"/>
  <c r="J483" i="52"/>
  <c r="K482" i="52"/>
  <c r="J482" i="52"/>
  <c r="K481" i="52"/>
  <c r="J481" i="52"/>
  <c r="K480" i="52"/>
  <c r="J480" i="52"/>
  <c r="K479" i="52"/>
  <c r="J479" i="52"/>
  <c r="K478" i="52"/>
  <c r="J478" i="52"/>
  <c r="K477" i="52"/>
  <c r="J477" i="52"/>
  <c r="K476" i="52"/>
  <c r="J476" i="52"/>
  <c r="K475" i="52"/>
  <c r="J475" i="52"/>
  <c r="K474" i="52"/>
  <c r="J474" i="52"/>
  <c r="K473" i="52"/>
  <c r="J473" i="52"/>
  <c r="K472" i="52"/>
  <c r="J472" i="52"/>
  <c r="K471" i="52"/>
  <c r="J471" i="52"/>
  <c r="K470" i="52"/>
  <c r="J470" i="52"/>
  <c r="K469" i="52"/>
  <c r="J469" i="52"/>
  <c r="K468" i="52"/>
  <c r="J468" i="52"/>
  <c r="K467" i="52"/>
  <c r="J467" i="52"/>
  <c r="K466" i="52"/>
  <c r="J466" i="52"/>
  <c r="K465" i="52"/>
  <c r="J465" i="52"/>
  <c r="K464" i="52"/>
  <c r="J464" i="52"/>
  <c r="K463" i="52"/>
  <c r="J463" i="52"/>
  <c r="K462" i="52"/>
  <c r="J462" i="52"/>
  <c r="K461" i="52"/>
  <c r="J461" i="52"/>
  <c r="K460" i="52"/>
  <c r="J460" i="52"/>
  <c r="K459" i="52"/>
  <c r="J459" i="52"/>
  <c r="K458" i="52"/>
  <c r="J458" i="52"/>
  <c r="K457" i="52"/>
  <c r="J457" i="52"/>
  <c r="K456" i="52"/>
  <c r="J456" i="52"/>
  <c r="K455" i="52"/>
  <c r="J455" i="52"/>
  <c r="K454" i="52"/>
  <c r="J454" i="52"/>
  <c r="K453" i="52"/>
  <c r="J453" i="52"/>
  <c r="K452" i="52"/>
  <c r="J452" i="52"/>
  <c r="K451" i="52"/>
  <c r="J451" i="52"/>
  <c r="K450" i="52"/>
  <c r="J450" i="52"/>
  <c r="K449" i="52"/>
  <c r="J449" i="52"/>
  <c r="K448" i="52"/>
  <c r="J448" i="52"/>
  <c r="K447" i="52"/>
  <c r="J447" i="52"/>
  <c r="K446" i="52"/>
  <c r="J446" i="52"/>
  <c r="K445" i="52"/>
  <c r="J445" i="52"/>
  <c r="K444" i="52"/>
  <c r="J444" i="52"/>
  <c r="K443" i="52"/>
  <c r="J443" i="52"/>
  <c r="K442" i="52"/>
  <c r="J442" i="52"/>
  <c r="K441" i="52"/>
  <c r="J441" i="52"/>
  <c r="K440" i="52"/>
  <c r="J440" i="52"/>
  <c r="K439" i="52"/>
  <c r="J439" i="52"/>
  <c r="K438" i="52"/>
  <c r="J438" i="52"/>
  <c r="K437" i="52"/>
  <c r="J437" i="52"/>
  <c r="K436" i="52"/>
  <c r="J436" i="52"/>
  <c r="K435" i="52"/>
  <c r="J435" i="52"/>
  <c r="K434" i="52"/>
  <c r="J434" i="52"/>
  <c r="K433" i="52"/>
  <c r="J433" i="52"/>
  <c r="K432" i="52"/>
  <c r="J432" i="52"/>
  <c r="K431" i="52"/>
  <c r="J431" i="52"/>
  <c r="K430" i="52"/>
  <c r="J430" i="52"/>
  <c r="K429" i="52"/>
  <c r="J429" i="52"/>
  <c r="K428" i="52"/>
  <c r="J428" i="52"/>
  <c r="K427" i="52"/>
  <c r="J427" i="52"/>
  <c r="K426" i="52"/>
  <c r="J426" i="52"/>
  <c r="K425" i="52"/>
  <c r="J425" i="52"/>
  <c r="K424" i="52"/>
  <c r="J424" i="52"/>
  <c r="K423" i="52"/>
  <c r="J423" i="52"/>
  <c r="K422" i="52"/>
  <c r="J422" i="52"/>
  <c r="K421" i="52"/>
  <c r="J421" i="52"/>
  <c r="K420" i="52"/>
  <c r="J420" i="52"/>
  <c r="K419" i="52"/>
  <c r="J419" i="52"/>
  <c r="K418" i="52"/>
  <c r="J418" i="52"/>
  <c r="K417" i="52"/>
  <c r="J417" i="52"/>
  <c r="K416" i="52"/>
  <c r="J416" i="52"/>
  <c r="K415" i="52"/>
  <c r="J415" i="52"/>
  <c r="K414" i="52"/>
  <c r="J414" i="52"/>
  <c r="K413" i="52"/>
  <c r="J413" i="52"/>
  <c r="K412" i="52"/>
  <c r="J412" i="52"/>
  <c r="K411" i="52"/>
  <c r="J411" i="52"/>
  <c r="K410" i="52"/>
  <c r="J410" i="52"/>
  <c r="K409" i="52"/>
  <c r="J409" i="52"/>
  <c r="K408" i="52"/>
  <c r="J408" i="52"/>
  <c r="K407" i="52"/>
  <c r="J407" i="52"/>
  <c r="K406" i="52"/>
  <c r="J406" i="52"/>
  <c r="K405" i="52"/>
  <c r="J405" i="52"/>
  <c r="K404" i="52"/>
  <c r="J404" i="52"/>
  <c r="K403" i="52"/>
  <c r="J403" i="52"/>
  <c r="K402" i="52"/>
  <c r="J402" i="52"/>
  <c r="K401" i="52"/>
  <c r="J401" i="52"/>
  <c r="K400" i="52"/>
  <c r="J400" i="52"/>
  <c r="K399" i="52"/>
  <c r="J399" i="52"/>
  <c r="K398" i="52"/>
  <c r="J398" i="52"/>
  <c r="K397" i="52"/>
  <c r="J397" i="52"/>
  <c r="K396" i="52"/>
  <c r="J396" i="52"/>
  <c r="K395" i="52"/>
  <c r="J395" i="52"/>
  <c r="K394" i="52"/>
  <c r="J394" i="52"/>
  <c r="K393" i="52"/>
  <c r="J393" i="52"/>
  <c r="K392" i="52"/>
  <c r="J392" i="52"/>
  <c r="K391" i="52"/>
  <c r="J391" i="52"/>
  <c r="K390" i="52"/>
  <c r="J390" i="52"/>
  <c r="K389" i="52"/>
  <c r="J389" i="52"/>
  <c r="K388" i="52"/>
  <c r="J388" i="52"/>
  <c r="K387" i="52"/>
  <c r="J387" i="52"/>
  <c r="K386" i="52"/>
  <c r="J386" i="52"/>
  <c r="K385" i="52"/>
  <c r="J385" i="52"/>
  <c r="K384" i="52"/>
  <c r="J384" i="52"/>
  <c r="K383" i="52"/>
  <c r="J383" i="52"/>
  <c r="K382" i="52"/>
  <c r="J382" i="52"/>
  <c r="K381" i="52"/>
  <c r="J381" i="52"/>
  <c r="K380" i="52"/>
  <c r="J380" i="52"/>
  <c r="K379" i="52"/>
  <c r="J379" i="52"/>
  <c r="K378" i="52"/>
  <c r="J378" i="52"/>
  <c r="K377" i="52"/>
  <c r="J377" i="52"/>
  <c r="K376" i="52"/>
  <c r="J376" i="52"/>
  <c r="K375" i="52"/>
  <c r="J375" i="52"/>
  <c r="K374" i="52"/>
  <c r="J374" i="52"/>
  <c r="K373" i="52"/>
  <c r="J373" i="52"/>
  <c r="K372" i="52"/>
  <c r="J372" i="52"/>
  <c r="K371" i="52"/>
  <c r="J371" i="52"/>
  <c r="K370" i="52"/>
  <c r="J370" i="52"/>
  <c r="K369" i="52"/>
  <c r="J369" i="52"/>
  <c r="K368" i="52"/>
  <c r="J368" i="52"/>
  <c r="K367" i="52"/>
  <c r="J367" i="52"/>
  <c r="K366" i="52"/>
  <c r="J366" i="52"/>
  <c r="K365" i="52"/>
  <c r="J365" i="52"/>
  <c r="K364" i="52"/>
  <c r="J364" i="52"/>
  <c r="K363" i="52"/>
  <c r="J363" i="52"/>
  <c r="K362" i="52"/>
  <c r="J362" i="52"/>
  <c r="K361" i="52"/>
  <c r="J361" i="52"/>
  <c r="K360" i="52"/>
  <c r="J360" i="52"/>
  <c r="K359" i="52"/>
  <c r="J359" i="52"/>
  <c r="K358" i="52"/>
  <c r="J358" i="52"/>
  <c r="K357" i="52"/>
  <c r="J357" i="52"/>
  <c r="K356" i="52"/>
  <c r="J356" i="52"/>
  <c r="K355" i="52"/>
  <c r="J355" i="52"/>
  <c r="K354" i="52"/>
  <c r="J354" i="52"/>
  <c r="K353" i="52"/>
  <c r="J353" i="52"/>
  <c r="K352" i="52"/>
  <c r="J352" i="52"/>
  <c r="K351" i="52"/>
  <c r="J351" i="52"/>
  <c r="K350" i="52"/>
  <c r="J350" i="52"/>
  <c r="K349" i="52"/>
  <c r="J349" i="52"/>
  <c r="K348" i="52"/>
  <c r="J348" i="52"/>
  <c r="K347" i="52"/>
  <c r="J347" i="52"/>
  <c r="K346" i="52"/>
  <c r="J346" i="52"/>
  <c r="K345" i="52"/>
  <c r="J345" i="52"/>
  <c r="K344" i="52"/>
  <c r="J344" i="52"/>
  <c r="K343" i="52"/>
  <c r="J343" i="52"/>
  <c r="K342" i="52"/>
  <c r="J342" i="52"/>
  <c r="K341" i="52"/>
  <c r="J341" i="52"/>
  <c r="K340" i="52"/>
  <c r="J340" i="52"/>
  <c r="K339" i="52"/>
  <c r="J339" i="52"/>
  <c r="K338" i="52"/>
  <c r="J338" i="52"/>
  <c r="K337" i="52"/>
  <c r="J337" i="52"/>
  <c r="K336" i="52"/>
  <c r="J336" i="52"/>
  <c r="K335" i="52"/>
  <c r="J335" i="52"/>
  <c r="K334" i="52"/>
  <c r="J334" i="52"/>
  <c r="K333" i="52"/>
  <c r="J333" i="52"/>
  <c r="K332" i="52"/>
  <c r="J332" i="52"/>
  <c r="K331" i="52"/>
  <c r="J331" i="52"/>
  <c r="K330" i="52"/>
  <c r="J330" i="52"/>
  <c r="K329" i="52"/>
  <c r="J329" i="52"/>
  <c r="K328" i="52"/>
  <c r="J328" i="52"/>
  <c r="K327" i="52"/>
  <c r="J327" i="52"/>
  <c r="K326" i="52"/>
  <c r="J326" i="52"/>
  <c r="K325" i="52"/>
  <c r="J325" i="52"/>
  <c r="K324" i="52"/>
  <c r="J324" i="52"/>
  <c r="K323" i="52"/>
  <c r="J323" i="52"/>
  <c r="K322" i="52"/>
  <c r="J322" i="52"/>
  <c r="K321" i="52"/>
  <c r="J321" i="52"/>
  <c r="K320" i="52"/>
  <c r="J320" i="52"/>
  <c r="K319" i="52"/>
  <c r="J319" i="52"/>
  <c r="K318" i="52"/>
  <c r="J318" i="52"/>
  <c r="K317" i="52"/>
  <c r="J317" i="52"/>
  <c r="K316" i="52"/>
  <c r="J316" i="52"/>
  <c r="K315" i="52"/>
  <c r="J315" i="52"/>
  <c r="K314" i="52"/>
  <c r="J314" i="52"/>
  <c r="K313" i="52"/>
  <c r="J313" i="52"/>
  <c r="K312" i="52"/>
  <c r="J312" i="52"/>
  <c r="K311" i="52"/>
  <c r="J311" i="52"/>
  <c r="K310" i="52"/>
  <c r="J310" i="52"/>
  <c r="K309" i="52"/>
  <c r="J309" i="52"/>
  <c r="K308" i="52"/>
  <c r="J308" i="52"/>
  <c r="K307" i="52"/>
  <c r="J307" i="52"/>
  <c r="K306" i="52"/>
  <c r="J306" i="52"/>
  <c r="K305" i="52"/>
  <c r="J305" i="52"/>
  <c r="K304" i="52"/>
  <c r="J304" i="52"/>
  <c r="K303" i="52"/>
  <c r="J303" i="52"/>
  <c r="K302" i="52"/>
  <c r="J302" i="52"/>
  <c r="K301" i="52"/>
  <c r="J301" i="52"/>
  <c r="K300" i="52"/>
  <c r="J300" i="52"/>
  <c r="K299" i="52"/>
  <c r="J299" i="52"/>
  <c r="K298" i="52"/>
  <c r="J298" i="52"/>
  <c r="K297" i="52"/>
  <c r="J297" i="52"/>
  <c r="K296" i="52"/>
  <c r="J296" i="52"/>
  <c r="K295" i="52"/>
  <c r="J295" i="52"/>
  <c r="K294" i="52"/>
  <c r="J294" i="52"/>
  <c r="K293" i="52"/>
  <c r="J293" i="52"/>
  <c r="K292" i="52"/>
  <c r="J292" i="52"/>
  <c r="K291" i="52"/>
  <c r="J291" i="52"/>
  <c r="K290" i="52"/>
  <c r="J290" i="52"/>
  <c r="K289" i="52"/>
  <c r="J289" i="52"/>
  <c r="K288" i="52"/>
  <c r="J288" i="52"/>
  <c r="K287" i="52"/>
  <c r="J287" i="52"/>
  <c r="K286" i="52"/>
  <c r="J286" i="52"/>
  <c r="K285" i="52"/>
  <c r="J285" i="52"/>
  <c r="K284" i="52"/>
  <c r="J284" i="52"/>
  <c r="K283" i="52"/>
  <c r="J283" i="52"/>
  <c r="K282" i="52"/>
  <c r="J282" i="52"/>
  <c r="K281" i="52"/>
  <c r="J281" i="52"/>
  <c r="K280" i="52"/>
  <c r="J280" i="52"/>
  <c r="K279" i="52"/>
  <c r="J279" i="52"/>
  <c r="K278" i="52"/>
  <c r="J278" i="52"/>
  <c r="K277" i="52"/>
  <c r="J277" i="52"/>
  <c r="K276" i="52"/>
  <c r="J276" i="52"/>
  <c r="K275" i="52"/>
  <c r="J275" i="52"/>
  <c r="K274" i="52"/>
  <c r="J274" i="52"/>
  <c r="K273" i="52"/>
  <c r="J273" i="52"/>
  <c r="K272" i="52"/>
  <c r="J272" i="52"/>
  <c r="K271" i="52"/>
  <c r="J271" i="52"/>
  <c r="K270" i="52"/>
  <c r="J270" i="52"/>
  <c r="K269" i="52"/>
  <c r="J269" i="52"/>
  <c r="K268" i="52"/>
  <c r="J268" i="52"/>
  <c r="K267" i="52"/>
  <c r="J267" i="52"/>
  <c r="K266" i="52"/>
  <c r="J266" i="52"/>
  <c r="K265" i="52"/>
  <c r="J265" i="52"/>
  <c r="K264" i="52"/>
  <c r="J264" i="52"/>
  <c r="K263" i="52"/>
  <c r="J263" i="52"/>
  <c r="K262" i="52"/>
  <c r="J262" i="52"/>
  <c r="K261" i="52"/>
  <c r="J261" i="52"/>
  <c r="K260" i="52"/>
  <c r="J260" i="52"/>
  <c r="K259" i="52"/>
  <c r="J259" i="52"/>
  <c r="K258" i="52"/>
  <c r="J258" i="52"/>
  <c r="K257" i="52"/>
  <c r="J257" i="52"/>
  <c r="K256" i="52"/>
  <c r="J256" i="52"/>
  <c r="K255" i="52"/>
  <c r="J255" i="52"/>
  <c r="K254" i="52"/>
  <c r="J254" i="52"/>
  <c r="K253" i="52"/>
  <c r="J253" i="52"/>
  <c r="K252" i="52"/>
  <c r="J252" i="52"/>
  <c r="K251" i="52"/>
  <c r="J251" i="52"/>
  <c r="K250" i="52"/>
  <c r="J250" i="52"/>
  <c r="K249" i="52"/>
  <c r="J249" i="52"/>
  <c r="K248" i="52"/>
  <c r="J248" i="52"/>
  <c r="K247" i="52"/>
  <c r="J247" i="52"/>
  <c r="K246" i="52"/>
  <c r="J246" i="52"/>
  <c r="K245" i="52"/>
  <c r="J245" i="52"/>
  <c r="K244" i="52"/>
  <c r="J244" i="52"/>
  <c r="K243" i="52"/>
  <c r="J243" i="52"/>
  <c r="K242" i="52"/>
  <c r="J242" i="52"/>
  <c r="K241" i="52"/>
  <c r="J241" i="52"/>
  <c r="K240" i="52"/>
  <c r="J240" i="52"/>
  <c r="K239" i="52"/>
  <c r="J239" i="52"/>
  <c r="K238" i="52"/>
  <c r="J238" i="52"/>
  <c r="K237" i="52"/>
  <c r="J237" i="52"/>
  <c r="K236" i="52"/>
  <c r="J236" i="52"/>
  <c r="K235" i="52"/>
  <c r="J235" i="52"/>
  <c r="K234" i="52"/>
  <c r="J234" i="52"/>
  <c r="K233" i="52"/>
  <c r="J233" i="52"/>
  <c r="K232" i="52"/>
  <c r="J232" i="52"/>
  <c r="K231" i="52"/>
  <c r="J231" i="52"/>
  <c r="K230" i="52"/>
  <c r="J230" i="52"/>
  <c r="K229" i="52"/>
  <c r="J229" i="52"/>
  <c r="K228" i="52"/>
  <c r="J228" i="52"/>
  <c r="K227" i="52"/>
  <c r="J227" i="52"/>
  <c r="K226" i="52"/>
  <c r="J226" i="52"/>
  <c r="K225" i="52"/>
  <c r="J225" i="52"/>
  <c r="K224" i="52"/>
  <c r="J224" i="52"/>
  <c r="K223" i="52"/>
  <c r="J223" i="52"/>
  <c r="K222" i="52"/>
  <c r="J222" i="52"/>
  <c r="K221" i="52"/>
  <c r="J221" i="52"/>
  <c r="K220" i="52"/>
  <c r="J220" i="52"/>
  <c r="K219" i="52"/>
  <c r="J219" i="52"/>
  <c r="K218" i="52"/>
  <c r="J218" i="52"/>
  <c r="K217" i="52"/>
  <c r="J217" i="52"/>
  <c r="K216" i="52"/>
  <c r="J216" i="52"/>
  <c r="K215" i="52"/>
  <c r="J215" i="52"/>
  <c r="K214" i="52"/>
  <c r="J214" i="52"/>
  <c r="K213" i="52"/>
  <c r="J213" i="52"/>
  <c r="K212" i="52"/>
  <c r="J212" i="52"/>
  <c r="K211" i="52"/>
  <c r="J211" i="52"/>
  <c r="K210" i="52"/>
  <c r="J210" i="52"/>
  <c r="K209" i="52"/>
  <c r="J209" i="52"/>
  <c r="K208" i="52"/>
  <c r="J208" i="52"/>
  <c r="K207" i="52"/>
  <c r="J207" i="52"/>
  <c r="K206" i="52"/>
  <c r="J206" i="52"/>
  <c r="K205" i="52"/>
  <c r="J205" i="52"/>
  <c r="K204" i="52"/>
  <c r="J204" i="52"/>
  <c r="K203" i="52"/>
  <c r="J203" i="52"/>
  <c r="K202" i="52"/>
  <c r="J202" i="52"/>
  <c r="K201" i="52"/>
  <c r="J201" i="52"/>
  <c r="K200" i="52"/>
  <c r="J200" i="52"/>
  <c r="K199" i="52"/>
  <c r="J199" i="52"/>
  <c r="K198" i="52"/>
  <c r="J198" i="52"/>
  <c r="K197" i="52"/>
  <c r="J197" i="52"/>
  <c r="K196" i="52"/>
  <c r="J196" i="52"/>
  <c r="K195" i="52"/>
  <c r="J195" i="52"/>
  <c r="K194" i="52"/>
  <c r="J194" i="52"/>
  <c r="K193" i="52"/>
  <c r="J193" i="52"/>
  <c r="K192" i="52"/>
  <c r="J192" i="52"/>
  <c r="K191" i="52"/>
  <c r="J191" i="52"/>
  <c r="K190" i="52"/>
  <c r="J190" i="52"/>
  <c r="K189" i="52"/>
  <c r="J189" i="52"/>
  <c r="K188" i="52"/>
  <c r="J188" i="52"/>
  <c r="K187" i="52"/>
  <c r="J187" i="52"/>
  <c r="K186" i="52"/>
  <c r="J186" i="52"/>
  <c r="K185" i="52"/>
  <c r="J185" i="52"/>
  <c r="K184" i="52"/>
  <c r="J184" i="52"/>
  <c r="K183" i="52"/>
  <c r="J183" i="52"/>
  <c r="K182" i="52"/>
  <c r="J182" i="52"/>
  <c r="K181" i="52"/>
  <c r="J181" i="52"/>
  <c r="K180" i="52"/>
  <c r="J180" i="52"/>
  <c r="K179" i="52"/>
  <c r="J179" i="52"/>
  <c r="K178" i="52"/>
  <c r="J178" i="52"/>
  <c r="K177" i="52"/>
  <c r="J177" i="52"/>
  <c r="K176" i="52"/>
  <c r="J176" i="52"/>
  <c r="K175" i="52"/>
  <c r="J175" i="52"/>
  <c r="K174" i="52"/>
  <c r="J174" i="52"/>
  <c r="K173" i="52"/>
  <c r="J173" i="52"/>
  <c r="K172" i="52"/>
  <c r="J172" i="52"/>
  <c r="K171" i="52"/>
  <c r="J171" i="52"/>
  <c r="K170" i="52"/>
  <c r="J170" i="52"/>
  <c r="K169" i="52"/>
  <c r="J169" i="52"/>
  <c r="K168" i="52"/>
  <c r="J168" i="52"/>
  <c r="K167" i="52"/>
  <c r="J167" i="52"/>
  <c r="K166" i="52"/>
  <c r="J166" i="52"/>
  <c r="K165" i="52"/>
  <c r="J165" i="52"/>
  <c r="K164" i="52"/>
  <c r="J164" i="52"/>
  <c r="K163" i="52"/>
  <c r="J163" i="52"/>
  <c r="K162" i="52"/>
  <c r="J162" i="52"/>
  <c r="K161" i="52"/>
  <c r="J161" i="52"/>
  <c r="K160" i="52"/>
  <c r="J160" i="52"/>
  <c r="K159" i="52"/>
  <c r="J159" i="52"/>
  <c r="K158" i="52"/>
  <c r="J158" i="52"/>
  <c r="K157" i="52"/>
  <c r="J157" i="52"/>
  <c r="K156" i="52"/>
  <c r="J156" i="52"/>
  <c r="K155" i="52"/>
  <c r="J155" i="52"/>
  <c r="K154" i="52"/>
  <c r="J154" i="52"/>
  <c r="K153" i="52"/>
  <c r="J153" i="52"/>
  <c r="K152" i="52"/>
  <c r="J152" i="52"/>
  <c r="K151" i="52"/>
  <c r="J151" i="52"/>
  <c r="K150" i="52"/>
  <c r="J150" i="52"/>
  <c r="K149" i="52"/>
  <c r="J149" i="52"/>
  <c r="K148" i="52"/>
  <c r="J148" i="52"/>
  <c r="K147" i="52"/>
  <c r="J147" i="52"/>
  <c r="K146" i="52"/>
  <c r="J146" i="52"/>
  <c r="K145" i="52"/>
  <c r="J145" i="52"/>
  <c r="K144" i="52"/>
  <c r="J144" i="52"/>
  <c r="K143" i="52"/>
  <c r="J143" i="52"/>
  <c r="K142" i="52"/>
  <c r="J142" i="52"/>
  <c r="K141" i="52"/>
  <c r="J141" i="52"/>
  <c r="K140" i="52"/>
  <c r="J140" i="52"/>
  <c r="K139" i="52"/>
  <c r="J139" i="52"/>
  <c r="K138" i="52"/>
  <c r="J138" i="52"/>
  <c r="K137" i="52"/>
  <c r="J137" i="52"/>
  <c r="K136" i="52"/>
  <c r="J136" i="52"/>
  <c r="K135" i="52"/>
  <c r="J135" i="52"/>
  <c r="K134" i="52"/>
  <c r="J134" i="52"/>
  <c r="K133" i="52"/>
  <c r="J133" i="52"/>
  <c r="K132" i="52"/>
  <c r="J132" i="52"/>
  <c r="K131" i="52"/>
  <c r="J131" i="52"/>
  <c r="K130" i="52"/>
  <c r="J130" i="52"/>
  <c r="K129" i="52"/>
  <c r="J129" i="52"/>
  <c r="K128" i="52"/>
  <c r="J128" i="52"/>
  <c r="K127" i="52"/>
  <c r="J127" i="52"/>
  <c r="K126" i="52"/>
  <c r="J126" i="52"/>
  <c r="K125" i="52"/>
  <c r="J125" i="52"/>
  <c r="K124" i="52"/>
  <c r="J124" i="52"/>
  <c r="K123" i="52"/>
  <c r="J123" i="52"/>
  <c r="K122" i="52"/>
  <c r="J122" i="52"/>
  <c r="K121" i="52"/>
  <c r="J121" i="52"/>
  <c r="K120" i="52"/>
  <c r="J120" i="52"/>
  <c r="K119" i="52"/>
  <c r="J119" i="52"/>
  <c r="K118" i="52"/>
  <c r="J118" i="52"/>
  <c r="K117" i="52"/>
  <c r="J117" i="52"/>
  <c r="K116" i="52"/>
  <c r="J116" i="52"/>
  <c r="K115" i="52"/>
  <c r="J115" i="52"/>
  <c r="K114" i="52"/>
  <c r="J114" i="52"/>
  <c r="K113" i="52"/>
  <c r="J113" i="52"/>
  <c r="K112" i="52"/>
  <c r="J112" i="52"/>
  <c r="K111" i="52"/>
  <c r="J111" i="52"/>
  <c r="K110" i="52"/>
  <c r="J110" i="52"/>
  <c r="K109" i="52"/>
  <c r="J109" i="52"/>
  <c r="K108" i="52"/>
  <c r="J108" i="52"/>
  <c r="K107" i="52"/>
  <c r="J107" i="52"/>
  <c r="K106" i="52"/>
  <c r="J106" i="52"/>
  <c r="K105" i="52"/>
  <c r="J105" i="52"/>
  <c r="K104" i="52"/>
  <c r="J104" i="52"/>
  <c r="K103" i="52"/>
  <c r="J103" i="52"/>
  <c r="K102" i="52"/>
  <c r="J102" i="52"/>
  <c r="K101" i="52"/>
  <c r="J101" i="52"/>
  <c r="K100" i="52"/>
  <c r="J100" i="52"/>
  <c r="K99" i="52"/>
  <c r="J99" i="52"/>
  <c r="K98" i="52"/>
  <c r="J98" i="52"/>
  <c r="K97" i="52"/>
  <c r="J97" i="52"/>
  <c r="K96" i="52"/>
  <c r="J96" i="52"/>
  <c r="K95" i="52"/>
  <c r="J95" i="52"/>
  <c r="K94" i="52"/>
  <c r="J94" i="52"/>
  <c r="K93" i="52"/>
  <c r="J93" i="52"/>
  <c r="K92" i="52"/>
  <c r="J92" i="52"/>
  <c r="K91" i="52"/>
  <c r="J91" i="52"/>
  <c r="K90" i="52"/>
  <c r="J90" i="52"/>
  <c r="K89" i="52"/>
  <c r="J89" i="52"/>
  <c r="K88" i="52"/>
  <c r="J88" i="52"/>
  <c r="K87" i="52"/>
  <c r="J87" i="52"/>
  <c r="K86" i="52"/>
  <c r="J86" i="52"/>
  <c r="K85" i="52"/>
  <c r="J85" i="52"/>
  <c r="K84" i="52"/>
  <c r="J84" i="52"/>
  <c r="K83" i="52"/>
  <c r="J83" i="52"/>
  <c r="K82" i="52"/>
  <c r="J82" i="52"/>
  <c r="K81" i="52"/>
  <c r="J81" i="52"/>
  <c r="K80" i="52"/>
  <c r="J80" i="52"/>
  <c r="K79" i="52"/>
  <c r="J79" i="52"/>
  <c r="K78" i="52"/>
  <c r="J78" i="52"/>
  <c r="K77" i="52"/>
  <c r="J77" i="52"/>
  <c r="K76" i="52"/>
  <c r="J76" i="52"/>
  <c r="K75" i="52"/>
  <c r="J75" i="52"/>
  <c r="K74" i="52"/>
  <c r="J74" i="52"/>
  <c r="K73" i="52"/>
  <c r="J73" i="52"/>
  <c r="K72" i="52"/>
  <c r="J72" i="52"/>
  <c r="K71" i="52"/>
  <c r="J71" i="52"/>
  <c r="K70" i="52"/>
  <c r="J70" i="52"/>
  <c r="K69" i="52"/>
  <c r="J69" i="52"/>
  <c r="K68" i="52"/>
  <c r="J68" i="52"/>
  <c r="K67" i="52"/>
  <c r="J67" i="52"/>
  <c r="K66" i="52"/>
  <c r="J66" i="52"/>
  <c r="K65" i="52"/>
  <c r="J65" i="52"/>
  <c r="K64" i="52"/>
  <c r="J64" i="52"/>
  <c r="K63" i="52"/>
  <c r="J63" i="52"/>
  <c r="K62" i="52"/>
  <c r="J62" i="52"/>
  <c r="K61" i="52"/>
  <c r="J61" i="52"/>
  <c r="K60" i="52"/>
  <c r="J60" i="52"/>
  <c r="K59" i="52"/>
  <c r="J59" i="52"/>
  <c r="K58" i="52"/>
  <c r="J58" i="52"/>
  <c r="K57" i="52"/>
  <c r="J57" i="52"/>
  <c r="K56" i="52"/>
  <c r="J56" i="52"/>
  <c r="K55" i="52"/>
  <c r="J55" i="52"/>
  <c r="K54" i="52"/>
  <c r="J54" i="52"/>
  <c r="K53" i="52"/>
  <c r="J53" i="52"/>
  <c r="K52" i="52"/>
  <c r="J52" i="52"/>
  <c r="K51" i="52"/>
  <c r="J51" i="52"/>
  <c r="K50" i="52"/>
  <c r="J50" i="52"/>
  <c r="K49" i="52"/>
  <c r="J49" i="52"/>
  <c r="K48" i="52"/>
  <c r="J48" i="52"/>
  <c r="K47" i="52"/>
  <c r="J47" i="52"/>
  <c r="K46" i="52"/>
  <c r="J46" i="52"/>
  <c r="K45" i="52"/>
  <c r="J45" i="52"/>
  <c r="K44" i="52"/>
  <c r="J44" i="52"/>
  <c r="K43" i="52"/>
  <c r="J43" i="52"/>
  <c r="K42" i="52"/>
  <c r="J42" i="52"/>
  <c r="K41" i="52"/>
  <c r="J41" i="52"/>
  <c r="K40" i="52"/>
  <c r="J40" i="52"/>
  <c r="K39" i="52"/>
  <c r="J39" i="52"/>
  <c r="K38" i="52"/>
  <c r="J38" i="52"/>
  <c r="K37" i="52"/>
  <c r="J37" i="52"/>
  <c r="K36" i="52"/>
  <c r="J36" i="52"/>
  <c r="K35" i="52"/>
  <c r="J35" i="52"/>
  <c r="K34" i="52"/>
  <c r="J34" i="52"/>
  <c r="K33" i="52"/>
  <c r="J33" i="52"/>
  <c r="K32" i="52"/>
  <c r="J32" i="52"/>
  <c r="K31" i="52"/>
  <c r="J31" i="52"/>
  <c r="K30" i="52"/>
  <c r="J30" i="52"/>
  <c r="K29" i="52"/>
  <c r="J29" i="52"/>
  <c r="K28" i="52"/>
  <c r="J28" i="52"/>
  <c r="K27" i="52"/>
  <c r="J27" i="52"/>
  <c r="K26" i="52"/>
  <c r="J26" i="52"/>
  <c r="K25" i="52"/>
  <c r="J25" i="52"/>
  <c r="K24" i="52"/>
  <c r="J24" i="52"/>
  <c r="K23" i="52"/>
  <c r="J23" i="52"/>
  <c r="K22" i="52"/>
  <c r="J22" i="52"/>
  <c r="K21" i="52"/>
  <c r="J21" i="52"/>
  <c r="K20" i="52"/>
  <c r="J20" i="52"/>
  <c r="K19" i="52"/>
  <c r="J19" i="52"/>
  <c r="K18" i="52"/>
  <c r="J18" i="52"/>
  <c r="K17" i="52"/>
  <c r="J17" i="52"/>
  <c r="K16" i="52"/>
  <c r="K15" i="52"/>
  <c r="K14" i="52"/>
  <c r="K13" i="52"/>
  <c r="K12" i="52"/>
  <c r="K11" i="52"/>
  <c r="K10" i="52"/>
  <c r="K9" i="52"/>
  <c r="K8" i="52"/>
  <c r="K7" i="52"/>
  <c r="K6" i="52"/>
  <c r="K3" i="52"/>
  <c r="I3" i="52"/>
  <c r="H3" i="52"/>
  <c r="K496" i="47"/>
  <c r="J496" i="47"/>
  <c r="K495" i="47"/>
  <c r="J495" i="47"/>
  <c r="K494" i="47"/>
  <c r="J494" i="47"/>
  <c r="K493" i="47"/>
  <c r="J493" i="47"/>
  <c r="K492" i="47"/>
  <c r="J492" i="47"/>
  <c r="K491" i="47"/>
  <c r="J491" i="47"/>
  <c r="K490" i="47"/>
  <c r="J490" i="47"/>
  <c r="K489" i="47"/>
  <c r="J489" i="47"/>
  <c r="K488" i="47"/>
  <c r="J488" i="47"/>
  <c r="K487" i="47"/>
  <c r="J487" i="47"/>
  <c r="K486" i="47"/>
  <c r="J486" i="47"/>
  <c r="K485" i="47"/>
  <c r="J485" i="47"/>
  <c r="K484" i="47"/>
  <c r="J484" i="47"/>
  <c r="K483" i="47"/>
  <c r="J483" i="47"/>
  <c r="K482" i="47"/>
  <c r="J482" i="47"/>
  <c r="K481" i="47"/>
  <c r="J481" i="47"/>
  <c r="K480" i="47"/>
  <c r="J480" i="47"/>
  <c r="K479" i="47"/>
  <c r="J479" i="47"/>
  <c r="K478" i="47"/>
  <c r="J478" i="47"/>
  <c r="K477" i="47"/>
  <c r="J477" i="47"/>
  <c r="K476" i="47"/>
  <c r="J476" i="47"/>
  <c r="K475" i="47"/>
  <c r="J475" i="47"/>
  <c r="K474" i="47"/>
  <c r="J474" i="47"/>
  <c r="K473" i="47"/>
  <c r="J473" i="47"/>
  <c r="K472" i="47"/>
  <c r="J472" i="47"/>
  <c r="K471" i="47"/>
  <c r="J471" i="47"/>
  <c r="K470" i="47"/>
  <c r="J470" i="47"/>
  <c r="K469" i="47"/>
  <c r="J469" i="47"/>
  <c r="K468" i="47"/>
  <c r="J468" i="47"/>
  <c r="K467" i="47"/>
  <c r="J467" i="47"/>
  <c r="K466" i="47"/>
  <c r="J466" i="47"/>
  <c r="K465" i="47"/>
  <c r="J465" i="47"/>
  <c r="K464" i="47"/>
  <c r="J464" i="47"/>
  <c r="K463" i="47"/>
  <c r="J463" i="47"/>
  <c r="K462" i="47"/>
  <c r="J462" i="47"/>
  <c r="K461" i="47"/>
  <c r="J461" i="47"/>
  <c r="K460" i="47"/>
  <c r="J460" i="47"/>
  <c r="K459" i="47"/>
  <c r="J459" i="47"/>
  <c r="K458" i="47"/>
  <c r="J458" i="47"/>
  <c r="K457" i="47"/>
  <c r="J457" i="47"/>
  <c r="K456" i="47"/>
  <c r="J456" i="47"/>
  <c r="K455" i="47"/>
  <c r="J455" i="47"/>
  <c r="K454" i="47"/>
  <c r="J454" i="47"/>
  <c r="K453" i="47"/>
  <c r="J453" i="47"/>
  <c r="K452" i="47"/>
  <c r="J452" i="47"/>
  <c r="K451" i="47"/>
  <c r="J451" i="47"/>
  <c r="K450" i="47"/>
  <c r="J450" i="47"/>
  <c r="K449" i="47"/>
  <c r="J449" i="47"/>
  <c r="K448" i="47"/>
  <c r="J448" i="47"/>
  <c r="K447" i="47"/>
  <c r="J447" i="47"/>
  <c r="K446" i="47"/>
  <c r="J446" i="47"/>
  <c r="K445" i="47"/>
  <c r="J445" i="47"/>
  <c r="K444" i="47"/>
  <c r="J444" i="47"/>
  <c r="K443" i="47"/>
  <c r="J443" i="47"/>
  <c r="K442" i="47"/>
  <c r="J442" i="47"/>
  <c r="K441" i="47"/>
  <c r="J441" i="47"/>
  <c r="K440" i="47"/>
  <c r="J440" i="47"/>
  <c r="K439" i="47"/>
  <c r="J439" i="47"/>
  <c r="K438" i="47"/>
  <c r="J438" i="47"/>
  <c r="K437" i="47"/>
  <c r="J437" i="47"/>
  <c r="K436" i="47"/>
  <c r="J436" i="47"/>
  <c r="K435" i="47"/>
  <c r="J435" i="47"/>
  <c r="K434" i="47"/>
  <c r="J434" i="47"/>
  <c r="K433" i="47"/>
  <c r="J433" i="47"/>
  <c r="K432" i="47"/>
  <c r="J432" i="47"/>
  <c r="K431" i="47"/>
  <c r="J431" i="47"/>
  <c r="K430" i="47"/>
  <c r="J430" i="47"/>
  <c r="K429" i="47"/>
  <c r="J429" i="47"/>
  <c r="K428" i="47"/>
  <c r="J428" i="47"/>
  <c r="K427" i="47"/>
  <c r="J427" i="47"/>
  <c r="K426" i="47"/>
  <c r="J426" i="47"/>
  <c r="K425" i="47"/>
  <c r="J425" i="47"/>
  <c r="K424" i="47"/>
  <c r="J424" i="47"/>
  <c r="K423" i="47"/>
  <c r="J423" i="47"/>
  <c r="K422" i="47"/>
  <c r="J422" i="47"/>
  <c r="K421" i="47"/>
  <c r="J421" i="47"/>
  <c r="K420" i="47"/>
  <c r="J420" i="47"/>
  <c r="K419" i="47"/>
  <c r="J419" i="47"/>
  <c r="K418" i="47"/>
  <c r="J418" i="47"/>
  <c r="K417" i="47"/>
  <c r="J417" i="47"/>
  <c r="K416" i="47"/>
  <c r="J416" i="47"/>
  <c r="K415" i="47"/>
  <c r="J415" i="47"/>
  <c r="K414" i="47"/>
  <c r="J414" i="47"/>
  <c r="K413" i="47"/>
  <c r="J413" i="47"/>
  <c r="K412" i="47"/>
  <c r="J412" i="47"/>
  <c r="K411" i="47"/>
  <c r="J411" i="47"/>
  <c r="K410" i="47"/>
  <c r="J410" i="47"/>
  <c r="K409" i="47"/>
  <c r="J409" i="47"/>
  <c r="K408" i="47"/>
  <c r="J408" i="47"/>
  <c r="K407" i="47"/>
  <c r="J407" i="47"/>
  <c r="K406" i="47"/>
  <c r="J406" i="47"/>
  <c r="K405" i="47"/>
  <c r="J405" i="47"/>
  <c r="K404" i="47"/>
  <c r="J404" i="47"/>
  <c r="K403" i="47"/>
  <c r="J403" i="47"/>
  <c r="K402" i="47"/>
  <c r="J402" i="47"/>
  <c r="K401" i="47"/>
  <c r="J401" i="47"/>
  <c r="K400" i="47"/>
  <c r="J400" i="47"/>
  <c r="K399" i="47"/>
  <c r="J399" i="47"/>
  <c r="K398" i="47"/>
  <c r="J398" i="47"/>
  <c r="K397" i="47"/>
  <c r="J397" i="47"/>
  <c r="K396" i="47"/>
  <c r="J396" i="47"/>
  <c r="K395" i="47"/>
  <c r="J395" i="47"/>
  <c r="K394" i="47"/>
  <c r="J394" i="47"/>
  <c r="K393" i="47"/>
  <c r="J393" i="47"/>
  <c r="K392" i="47"/>
  <c r="J392" i="47"/>
  <c r="K391" i="47"/>
  <c r="J391" i="47"/>
  <c r="K390" i="47"/>
  <c r="J390" i="47"/>
  <c r="K389" i="47"/>
  <c r="J389" i="47"/>
  <c r="K388" i="47"/>
  <c r="J388" i="47"/>
  <c r="K387" i="47"/>
  <c r="J387" i="47"/>
  <c r="K386" i="47"/>
  <c r="J386" i="47"/>
  <c r="K385" i="47"/>
  <c r="J385" i="47"/>
  <c r="K384" i="47"/>
  <c r="J384" i="47"/>
  <c r="K383" i="47"/>
  <c r="J383" i="47"/>
  <c r="K382" i="47"/>
  <c r="J382" i="47"/>
  <c r="K381" i="47"/>
  <c r="J381" i="47"/>
  <c r="K380" i="47"/>
  <c r="J380" i="47"/>
  <c r="K379" i="47"/>
  <c r="J379" i="47"/>
  <c r="K378" i="47"/>
  <c r="J378" i="47"/>
  <c r="K377" i="47"/>
  <c r="J377" i="47"/>
  <c r="K376" i="47"/>
  <c r="J376" i="47"/>
  <c r="K375" i="47"/>
  <c r="J375" i="47"/>
  <c r="K374" i="47"/>
  <c r="J374" i="47"/>
  <c r="K373" i="47"/>
  <c r="J373" i="47"/>
  <c r="K372" i="47"/>
  <c r="J372" i="47"/>
  <c r="K371" i="47"/>
  <c r="J371" i="47"/>
  <c r="K370" i="47"/>
  <c r="J370" i="47"/>
  <c r="K369" i="47"/>
  <c r="J369" i="47"/>
  <c r="K368" i="47"/>
  <c r="J368" i="47"/>
  <c r="K367" i="47"/>
  <c r="J367" i="47"/>
  <c r="K366" i="47"/>
  <c r="J366" i="47"/>
  <c r="K365" i="47"/>
  <c r="J365" i="47"/>
  <c r="K364" i="47"/>
  <c r="J364" i="47"/>
  <c r="K363" i="47"/>
  <c r="J363" i="47"/>
  <c r="K362" i="47"/>
  <c r="J362" i="47"/>
  <c r="K361" i="47"/>
  <c r="J361" i="47"/>
  <c r="K360" i="47"/>
  <c r="J360" i="47"/>
  <c r="K359" i="47"/>
  <c r="J359" i="47"/>
  <c r="K358" i="47"/>
  <c r="J358" i="47"/>
  <c r="K357" i="47"/>
  <c r="J357" i="47"/>
  <c r="K356" i="47"/>
  <c r="J356" i="47"/>
  <c r="K355" i="47"/>
  <c r="J355" i="47"/>
  <c r="K354" i="47"/>
  <c r="J354" i="47"/>
  <c r="K353" i="47"/>
  <c r="J353" i="47"/>
  <c r="K352" i="47"/>
  <c r="J352" i="47"/>
  <c r="K351" i="47"/>
  <c r="J351" i="47"/>
  <c r="K350" i="47"/>
  <c r="J350" i="47"/>
  <c r="K349" i="47"/>
  <c r="J349" i="47"/>
  <c r="K348" i="47"/>
  <c r="J348" i="47"/>
  <c r="K347" i="47"/>
  <c r="J347" i="47"/>
  <c r="K346" i="47"/>
  <c r="J346" i="47"/>
  <c r="K345" i="47"/>
  <c r="J345" i="47"/>
  <c r="K344" i="47"/>
  <c r="J344" i="47"/>
  <c r="K343" i="47"/>
  <c r="J343" i="47"/>
  <c r="K342" i="47"/>
  <c r="J342" i="47"/>
  <c r="K341" i="47"/>
  <c r="J341" i="47"/>
  <c r="K340" i="47"/>
  <c r="J340" i="47"/>
  <c r="K339" i="47"/>
  <c r="J339" i="47"/>
  <c r="K338" i="47"/>
  <c r="J338" i="47"/>
  <c r="K337" i="47"/>
  <c r="J337" i="47"/>
  <c r="K336" i="47"/>
  <c r="J336" i="47"/>
  <c r="K335" i="47"/>
  <c r="J335" i="47"/>
  <c r="K334" i="47"/>
  <c r="J334" i="47"/>
  <c r="K333" i="47"/>
  <c r="J333" i="47"/>
  <c r="K332" i="47"/>
  <c r="J332" i="47"/>
  <c r="K331" i="47"/>
  <c r="J331" i="47"/>
  <c r="K330" i="47"/>
  <c r="J330" i="47"/>
  <c r="K329" i="47"/>
  <c r="J329" i="47"/>
  <c r="K328" i="47"/>
  <c r="J328" i="47"/>
  <c r="K327" i="47"/>
  <c r="J327" i="47"/>
  <c r="K326" i="47"/>
  <c r="J326" i="47"/>
  <c r="K325" i="47"/>
  <c r="J325" i="47"/>
  <c r="K324" i="47"/>
  <c r="J324" i="47"/>
  <c r="K323" i="47"/>
  <c r="J323" i="47"/>
  <c r="K322" i="47"/>
  <c r="J322" i="47"/>
  <c r="K321" i="47"/>
  <c r="J321" i="47"/>
  <c r="K320" i="47"/>
  <c r="J320" i="47"/>
  <c r="K319" i="47"/>
  <c r="J319" i="47"/>
  <c r="K318" i="47"/>
  <c r="J318" i="47"/>
  <c r="K317" i="47"/>
  <c r="J317" i="47"/>
  <c r="K316" i="47"/>
  <c r="J316" i="47"/>
  <c r="K315" i="47"/>
  <c r="J315" i="47"/>
  <c r="K314" i="47"/>
  <c r="J314" i="47"/>
  <c r="K313" i="47"/>
  <c r="J313" i="47"/>
  <c r="K312" i="47"/>
  <c r="J312" i="47"/>
  <c r="K311" i="47"/>
  <c r="J311" i="47"/>
  <c r="K310" i="47"/>
  <c r="J310" i="47"/>
  <c r="K309" i="47"/>
  <c r="J309" i="47"/>
  <c r="K308" i="47"/>
  <c r="J308" i="47"/>
  <c r="K307" i="47"/>
  <c r="J307" i="47"/>
  <c r="K306" i="47"/>
  <c r="J306" i="47"/>
  <c r="K305" i="47"/>
  <c r="J305" i="47"/>
  <c r="K304" i="47"/>
  <c r="J304" i="47"/>
  <c r="K303" i="47"/>
  <c r="J303" i="47"/>
  <c r="K302" i="47"/>
  <c r="J302" i="47"/>
  <c r="K301" i="47"/>
  <c r="J301" i="47"/>
  <c r="K300" i="47"/>
  <c r="J300" i="47"/>
  <c r="K299" i="47"/>
  <c r="J299" i="47"/>
  <c r="K298" i="47"/>
  <c r="J298" i="47"/>
  <c r="K297" i="47"/>
  <c r="J297" i="47"/>
  <c r="K296" i="47"/>
  <c r="J296" i="47"/>
  <c r="K295" i="47"/>
  <c r="J295" i="47"/>
  <c r="K294" i="47"/>
  <c r="J294" i="47"/>
  <c r="K293" i="47"/>
  <c r="J293" i="47"/>
  <c r="K292" i="47"/>
  <c r="J292" i="47"/>
  <c r="K291" i="47"/>
  <c r="J291" i="47"/>
  <c r="K290" i="47"/>
  <c r="J290" i="47"/>
  <c r="K289" i="47"/>
  <c r="J289" i="47"/>
  <c r="K288" i="47"/>
  <c r="J288" i="47"/>
  <c r="K287" i="47"/>
  <c r="J287" i="47"/>
  <c r="K286" i="47"/>
  <c r="J286" i="47"/>
  <c r="K285" i="47"/>
  <c r="J285" i="47"/>
  <c r="K284" i="47"/>
  <c r="J284" i="47"/>
  <c r="K283" i="47"/>
  <c r="J283" i="47"/>
  <c r="K282" i="47"/>
  <c r="J282" i="47"/>
  <c r="K281" i="47"/>
  <c r="J281" i="47"/>
  <c r="K280" i="47"/>
  <c r="J280" i="47"/>
  <c r="K279" i="47"/>
  <c r="J279" i="47"/>
  <c r="K278" i="47"/>
  <c r="J278" i="47"/>
  <c r="K277" i="47"/>
  <c r="J277" i="47"/>
  <c r="K276" i="47"/>
  <c r="J276" i="47"/>
  <c r="K275" i="47"/>
  <c r="J275" i="47"/>
  <c r="K274" i="47"/>
  <c r="J274" i="47"/>
  <c r="K273" i="47"/>
  <c r="J273" i="47"/>
  <c r="K272" i="47"/>
  <c r="J272" i="47"/>
  <c r="K271" i="47"/>
  <c r="J271" i="47"/>
  <c r="K270" i="47"/>
  <c r="J270" i="47"/>
  <c r="K269" i="47"/>
  <c r="J269" i="47"/>
  <c r="K268" i="47"/>
  <c r="J268" i="47"/>
  <c r="K267" i="47"/>
  <c r="J267" i="47"/>
  <c r="K266" i="47"/>
  <c r="J266" i="47"/>
  <c r="K265" i="47"/>
  <c r="J265" i="47"/>
  <c r="K264" i="47"/>
  <c r="J264" i="47"/>
  <c r="K263" i="47"/>
  <c r="J263" i="47"/>
  <c r="K262" i="47"/>
  <c r="J262" i="47"/>
  <c r="K261" i="47"/>
  <c r="J261" i="47"/>
  <c r="K260" i="47"/>
  <c r="J260" i="47"/>
  <c r="K259" i="47"/>
  <c r="J259" i="47"/>
  <c r="K258" i="47"/>
  <c r="J258" i="47"/>
  <c r="K257" i="47"/>
  <c r="J257" i="47"/>
  <c r="K256" i="47"/>
  <c r="J256" i="47"/>
  <c r="K255" i="47"/>
  <c r="J255" i="47"/>
  <c r="K254" i="47"/>
  <c r="J254" i="47"/>
  <c r="K253" i="47"/>
  <c r="J253" i="47"/>
  <c r="K252" i="47"/>
  <c r="J252" i="47"/>
  <c r="K251" i="47"/>
  <c r="J251" i="47"/>
  <c r="K250" i="47"/>
  <c r="J250" i="47"/>
  <c r="K249" i="47"/>
  <c r="J249" i="47"/>
  <c r="K248" i="47"/>
  <c r="J248" i="47"/>
  <c r="K247" i="47"/>
  <c r="J247" i="47"/>
  <c r="K246" i="47"/>
  <c r="J246" i="47"/>
  <c r="K245" i="47"/>
  <c r="J245" i="47"/>
  <c r="K244" i="47"/>
  <c r="J244" i="47"/>
  <c r="K243" i="47"/>
  <c r="J243" i="47"/>
  <c r="K242" i="47"/>
  <c r="J242" i="47"/>
  <c r="K241" i="47"/>
  <c r="J241" i="47"/>
  <c r="K240" i="47"/>
  <c r="J240" i="47"/>
  <c r="K239" i="47"/>
  <c r="J239" i="47"/>
  <c r="K238" i="47"/>
  <c r="J238" i="47"/>
  <c r="K237" i="47"/>
  <c r="J237" i="47"/>
  <c r="K236" i="47"/>
  <c r="J236" i="47"/>
  <c r="K235" i="47"/>
  <c r="J235" i="47"/>
  <c r="K234" i="47"/>
  <c r="J234" i="47"/>
  <c r="K233" i="47"/>
  <c r="J233" i="47"/>
  <c r="K232" i="47"/>
  <c r="J232" i="47"/>
  <c r="K231" i="47"/>
  <c r="J231" i="47"/>
  <c r="K230" i="47"/>
  <c r="J230" i="47"/>
  <c r="K229" i="47"/>
  <c r="J229" i="47"/>
  <c r="K228" i="47"/>
  <c r="J228" i="47"/>
  <c r="K227" i="47"/>
  <c r="J227" i="47"/>
  <c r="K226" i="47"/>
  <c r="J226" i="47"/>
  <c r="K225" i="47"/>
  <c r="J225" i="47"/>
  <c r="K224" i="47"/>
  <c r="J224" i="47"/>
  <c r="K223" i="47"/>
  <c r="J223" i="47"/>
  <c r="K222" i="47"/>
  <c r="J222" i="47"/>
  <c r="K221" i="47"/>
  <c r="J221" i="47"/>
  <c r="K220" i="47"/>
  <c r="J220" i="47"/>
  <c r="K219" i="47"/>
  <c r="J219" i="47"/>
  <c r="K218" i="47"/>
  <c r="J218" i="47"/>
  <c r="K217" i="47"/>
  <c r="J217" i="47"/>
  <c r="K216" i="47"/>
  <c r="J216" i="47"/>
  <c r="K215" i="47"/>
  <c r="J215" i="47"/>
  <c r="K214" i="47"/>
  <c r="J214" i="47"/>
  <c r="K213" i="47"/>
  <c r="J213" i="47"/>
  <c r="K212" i="47"/>
  <c r="J212" i="47"/>
  <c r="K211" i="47"/>
  <c r="J211" i="47"/>
  <c r="K210" i="47"/>
  <c r="J210" i="47"/>
  <c r="K209" i="47"/>
  <c r="J209" i="47"/>
  <c r="K208" i="47"/>
  <c r="J208" i="47"/>
  <c r="K207" i="47"/>
  <c r="J207" i="47"/>
  <c r="K206" i="47"/>
  <c r="J206" i="47"/>
  <c r="K205" i="47"/>
  <c r="J205" i="47"/>
  <c r="K204" i="47"/>
  <c r="J204" i="47"/>
  <c r="K203" i="47"/>
  <c r="J203" i="47"/>
  <c r="K202" i="47"/>
  <c r="J202" i="47"/>
  <c r="K201" i="47"/>
  <c r="J201" i="47"/>
  <c r="K200" i="47"/>
  <c r="J200" i="47"/>
  <c r="K199" i="47"/>
  <c r="J199" i="47"/>
  <c r="K198" i="47"/>
  <c r="J198" i="47"/>
  <c r="K197" i="47"/>
  <c r="J197" i="47"/>
  <c r="K196" i="47"/>
  <c r="J196" i="47"/>
  <c r="K195" i="47"/>
  <c r="J195" i="47"/>
  <c r="K194" i="47"/>
  <c r="J194" i="47"/>
  <c r="K193" i="47"/>
  <c r="J193" i="47"/>
  <c r="K192" i="47"/>
  <c r="J192" i="47"/>
  <c r="K191" i="47"/>
  <c r="J191" i="47"/>
  <c r="K190" i="47"/>
  <c r="J190" i="47"/>
  <c r="K189" i="47"/>
  <c r="J189" i="47"/>
  <c r="K188" i="47"/>
  <c r="J188" i="47"/>
  <c r="K187" i="47"/>
  <c r="J187" i="47"/>
  <c r="K186" i="47"/>
  <c r="J186" i="47"/>
  <c r="K185" i="47"/>
  <c r="J185" i="47"/>
  <c r="K184" i="47"/>
  <c r="J184" i="47"/>
  <c r="K183" i="47"/>
  <c r="J183" i="47"/>
  <c r="K182" i="47"/>
  <c r="J182" i="47"/>
  <c r="K181" i="47"/>
  <c r="J181" i="47"/>
  <c r="K180" i="47"/>
  <c r="J180" i="47"/>
  <c r="K179" i="47"/>
  <c r="J179" i="47"/>
  <c r="K178" i="47"/>
  <c r="J178" i="47"/>
  <c r="K177" i="47"/>
  <c r="J177" i="47"/>
  <c r="K176" i="47"/>
  <c r="J176" i="47"/>
  <c r="K175" i="47"/>
  <c r="J175" i="47"/>
  <c r="K174" i="47"/>
  <c r="J174" i="47"/>
  <c r="K173" i="47"/>
  <c r="J173" i="47"/>
  <c r="K172" i="47"/>
  <c r="J172" i="47"/>
  <c r="K171" i="47"/>
  <c r="J171" i="47"/>
  <c r="K170" i="47"/>
  <c r="J170" i="47"/>
  <c r="K169" i="47"/>
  <c r="J169" i="47"/>
  <c r="K168" i="47"/>
  <c r="J168" i="47"/>
  <c r="K167" i="47"/>
  <c r="J167" i="47"/>
  <c r="K166" i="47"/>
  <c r="J166" i="47"/>
  <c r="K165" i="47"/>
  <c r="J165" i="47"/>
  <c r="K164" i="47"/>
  <c r="J164" i="47"/>
  <c r="K163" i="47"/>
  <c r="J163" i="47"/>
  <c r="K162" i="47"/>
  <c r="J162" i="47"/>
  <c r="K161" i="47"/>
  <c r="J161" i="47"/>
  <c r="K160" i="47"/>
  <c r="J160" i="47"/>
  <c r="K159" i="47"/>
  <c r="J159" i="47"/>
  <c r="K158" i="47"/>
  <c r="J158" i="47"/>
  <c r="K157" i="47"/>
  <c r="J157" i="47"/>
  <c r="K156" i="47"/>
  <c r="J156" i="47"/>
  <c r="K155" i="47"/>
  <c r="J155" i="47"/>
  <c r="K154" i="47"/>
  <c r="J154" i="47"/>
  <c r="K153" i="47"/>
  <c r="J153" i="47"/>
  <c r="K152" i="47"/>
  <c r="J152" i="47"/>
  <c r="K151" i="47"/>
  <c r="J151" i="47"/>
  <c r="K150" i="47"/>
  <c r="J150" i="47"/>
  <c r="K149" i="47"/>
  <c r="J149" i="47"/>
  <c r="K148" i="47"/>
  <c r="J148" i="47"/>
  <c r="K147" i="47"/>
  <c r="J147" i="47"/>
  <c r="K146" i="47"/>
  <c r="J146" i="47"/>
  <c r="K145" i="47"/>
  <c r="J145" i="47"/>
  <c r="K144" i="47"/>
  <c r="J144" i="47"/>
  <c r="K143" i="47"/>
  <c r="J143" i="47"/>
  <c r="K142" i="47"/>
  <c r="J142" i="47"/>
  <c r="K141" i="47"/>
  <c r="J141" i="47"/>
  <c r="K140" i="47"/>
  <c r="J140" i="47"/>
  <c r="K139" i="47"/>
  <c r="J139" i="47"/>
  <c r="K138" i="47"/>
  <c r="J138" i="47"/>
  <c r="K137" i="47"/>
  <c r="J137" i="47"/>
  <c r="K136" i="47"/>
  <c r="J136" i="47"/>
  <c r="K135" i="47"/>
  <c r="J135" i="47"/>
  <c r="K134" i="47"/>
  <c r="J134" i="47"/>
  <c r="K133" i="47"/>
  <c r="J133" i="47"/>
  <c r="K132" i="47"/>
  <c r="J132" i="47"/>
  <c r="K131" i="47"/>
  <c r="J131" i="47"/>
  <c r="K130" i="47"/>
  <c r="J130" i="47"/>
  <c r="K129" i="47"/>
  <c r="J129" i="47"/>
  <c r="K128" i="47"/>
  <c r="J128" i="47"/>
  <c r="K127" i="47"/>
  <c r="J127" i="47"/>
  <c r="K126" i="47"/>
  <c r="J126" i="47"/>
  <c r="K125" i="47"/>
  <c r="J125" i="47"/>
  <c r="K124" i="47"/>
  <c r="J124" i="47"/>
  <c r="K123" i="47"/>
  <c r="J123" i="47"/>
  <c r="K122" i="47"/>
  <c r="J122" i="47"/>
  <c r="K121" i="47"/>
  <c r="J121" i="47"/>
  <c r="K120" i="47"/>
  <c r="J120" i="47"/>
  <c r="K119" i="47"/>
  <c r="J119" i="47"/>
  <c r="K118" i="47"/>
  <c r="J118" i="47"/>
  <c r="K117" i="47"/>
  <c r="J117" i="47"/>
  <c r="K116" i="47"/>
  <c r="J116" i="47"/>
  <c r="K115" i="47"/>
  <c r="J115" i="47"/>
  <c r="K114" i="47"/>
  <c r="J114" i="47"/>
  <c r="K113" i="47"/>
  <c r="J113" i="47"/>
  <c r="K112" i="47"/>
  <c r="J112" i="47"/>
  <c r="K111" i="47"/>
  <c r="J111" i="47"/>
  <c r="K110" i="47"/>
  <c r="J110" i="47"/>
  <c r="K109" i="47"/>
  <c r="J109" i="47"/>
  <c r="K108" i="47"/>
  <c r="J108" i="47"/>
  <c r="K107" i="47"/>
  <c r="J107" i="47"/>
  <c r="K106" i="47"/>
  <c r="J106" i="47"/>
  <c r="K105" i="47"/>
  <c r="J105" i="47"/>
  <c r="K104" i="47"/>
  <c r="J104" i="47"/>
  <c r="K103" i="47"/>
  <c r="J103" i="47"/>
  <c r="K102" i="47"/>
  <c r="J102" i="47"/>
  <c r="K101" i="47"/>
  <c r="J101" i="47"/>
  <c r="K100" i="47"/>
  <c r="J100" i="47"/>
  <c r="K99" i="47"/>
  <c r="J99" i="47"/>
  <c r="K98" i="47"/>
  <c r="J98" i="47"/>
  <c r="K97" i="47"/>
  <c r="J97" i="47"/>
  <c r="K96" i="47"/>
  <c r="J96" i="47"/>
  <c r="K95" i="47"/>
  <c r="J95" i="47"/>
  <c r="K94" i="47"/>
  <c r="J94" i="47"/>
  <c r="K93" i="47"/>
  <c r="J93" i="47"/>
  <c r="K92" i="47"/>
  <c r="J92" i="47"/>
  <c r="K91" i="47"/>
  <c r="J91" i="47"/>
  <c r="K90" i="47"/>
  <c r="J90" i="47"/>
  <c r="K89" i="47"/>
  <c r="J89" i="47"/>
  <c r="K88" i="47"/>
  <c r="J88" i="47"/>
  <c r="K87" i="47"/>
  <c r="J87" i="47"/>
  <c r="K86" i="47"/>
  <c r="J86" i="47"/>
  <c r="K85" i="47"/>
  <c r="J85" i="47"/>
  <c r="K84" i="47"/>
  <c r="J84" i="47"/>
  <c r="K83" i="47"/>
  <c r="J83" i="47"/>
  <c r="K82" i="47"/>
  <c r="J82" i="47"/>
  <c r="K81" i="47"/>
  <c r="J81" i="47"/>
  <c r="K80" i="47"/>
  <c r="J80" i="47"/>
  <c r="K79" i="47"/>
  <c r="J79" i="47"/>
  <c r="K78" i="47"/>
  <c r="J78" i="47"/>
  <c r="K77" i="47"/>
  <c r="J77" i="47"/>
  <c r="K76" i="47"/>
  <c r="J76" i="47"/>
  <c r="K75" i="47"/>
  <c r="J75" i="47"/>
  <c r="K74" i="47"/>
  <c r="J74" i="47"/>
  <c r="K73" i="47"/>
  <c r="J73" i="47"/>
  <c r="K72" i="47"/>
  <c r="J72" i="47"/>
  <c r="K71" i="47"/>
  <c r="J71" i="47"/>
  <c r="K70" i="47"/>
  <c r="J70" i="47"/>
  <c r="K69" i="47"/>
  <c r="J69" i="47"/>
  <c r="K68" i="47"/>
  <c r="J68" i="47"/>
  <c r="K67" i="47"/>
  <c r="J67" i="47"/>
  <c r="K66" i="47"/>
  <c r="J66" i="47"/>
  <c r="K65" i="47"/>
  <c r="J65" i="47"/>
  <c r="K64" i="47"/>
  <c r="J64" i="47"/>
  <c r="K63" i="47"/>
  <c r="J63" i="47"/>
  <c r="K62" i="47"/>
  <c r="J62" i="47"/>
  <c r="K61" i="47"/>
  <c r="J61" i="47"/>
  <c r="K60" i="47"/>
  <c r="J60" i="47"/>
  <c r="K59" i="47"/>
  <c r="J59" i="47"/>
  <c r="K58" i="47"/>
  <c r="J58" i="47"/>
  <c r="K57" i="47"/>
  <c r="J57" i="47"/>
  <c r="K56" i="47"/>
  <c r="J56" i="47"/>
  <c r="K55" i="47"/>
  <c r="J55" i="47"/>
  <c r="K54" i="47"/>
  <c r="J54" i="47"/>
  <c r="K53" i="47"/>
  <c r="J53" i="47"/>
  <c r="K52" i="47"/>
  <c r="J52" i="47"/>
  <c r="K51" i="47"/>
  <c r="J51" i="47"/>
  <c r="K50" i="47"/>
  <c r="J50" i="47"/>
  <c r="K49" i="47"/>
  <c r="J49" i="47"/>
  <c r="K48" i="47"/>
  <c r="J48" i="47"/>
  <c r="K47" i="47"/>
  <c r="J47" i="47"/>
  <c r="K46" i="47"/>
  <c r="J46" i="47"/>
  <c r="K45" i="47"/>
  <c r="J45" i="47"/>
  <c r="K44" i="47"/>
  <c r="J44" i="47"/>
  <c r="K43" i="47"/>
  <c r="J43" i="47"/>
  <c r="K42" i="47"/>
  <c r="J42" i="47"/>
  <c r="K41" i="47"/>
  <c r="J41" i="47"/>
  <c r="K40" i="47"/>
  <c r="J40" i="47"/>
  <c r="K39" i="47"/>
  <c r="J39" i="47"/>
  <c r="K38" i="47"/>
  <c r="J38" i="47"/>
  <c r="K37" i="47"/>
  <c r="J37" i="47"/>
  <c r="K36" i="47"/>
  <c r="J36" i="47"/>
  <c r="K35" i="47"/>
  <c r="J35" i="47"/>
  <c r="K34" i="47"/>
  <c r="J34" i="47"/>
  <c r="K33" i="47"/>
  <c r="J33" i="47"/>
  <c r="K32" i="47"/>
  <c r="J32" i="47"/>
  <c r="K31" i="47"/>
  <c r="J31" i="47"/>
  <c r="K30" i="47"/>
  <c r="J30" i="47"/>
  <c r="K29" i="47"/>
  <c r="J29" i="47"/>
  <c r="K28" i="47"/>
  <c r="J28" i="47"/>
  <c r="K27" i="47"/>
  <c r="J27" i="47"/>
  <c r="K26" i="47"/>
  <c r="J26" i="47"/>
  <c r="K25" i="47"/>
  <c r="J25" i="47"/>
  <c r="K24" i="47"/>
  <c r="J24" i="47"/>
  <c r="K23" i="47"/>
  <c r="J23" i="47"/>
  <c r="K22" i="47"/>
  <c r="J22" i="47"/>
  <c r="K21" i="47"/>
  <c r="J21" i="47"/>
  <c r="K20" i="47"/>
  <c r="J20" i="47"/>
  <c r="K19" i="47"/>
  <c r="J19" i="47"/>
  <c r="K18" i="47"/>
  <c r="J18" i="47"/>
  <c r="K17" i="47"/>
  <c r="J17" i="47"/>
  <c r="K16" i="47"/>
  <c r="J16" i="47"/>
  <c r="K15" i="47"/>
  <c r="J15" i="47"/>
  <c r="K14" i="47"/>
  <c r="J14" i="47"/>
  <c r="K13" i="47"/>
  <c r="J13" i="47"/>
  <c r="K12" i="47"/>
  <c r="J12" i="47"/>
  <c r="K11" i="47"/>
  <c r="J11" i="47"/>
  <c r="K10" i="47"/>
  <c r="J10" i="47"/>
  <c r="K9" i="47"/>
  <c r="J9" i="47"/>
  <c r="K8" i="47"/>
  <c r="J8" i="47"/>
  <c r="K7" i="47"/>
  <c r="J7" i="47"/>
  <c r="K6" i="47"/>
  <c r="J6" i="47"/>
  <c r="K3" i="47"/>
  <c r="I3" i="47"/>
  <c r="H3" i="47"/>
  <c r="K490" i="33"/>
  <c r="J490" i="33"/>
  <c r="K489" i="33"/>
  <c r="J489" i="33"/>
  <c r="K488" i="33"/>
  <c r="J488" i="33"/>
  <c r="K487" i="33"/>
  <c r="J487" i="33"/>
  <c r="K486" i="33"/>
  <c r="J486" i="33"/>
  <c r="K485" i="33"/>
  <c r="J485" i="33"/>
  <c r="K484" i="33"/>
  <c r="J484" i="33"/>
  <c r="K483" i="33"/>
  <c r="J483" i="33"/>
  <c r="K482" i="33"/>
  <c r="J482" i="33"/>
  <c r="K481" i="33"/>
  <c r="J481" i="33"/>
  <c r="K480" i="33"/>
  <c r="J480" i="33"/>
  <c r="K479" i="33"/>
  <c r="J479" i="33"/>
  <c r="K478" i="33"/>
  <c r="J478" i="33"/>
  <c r="K477" i="33"/>
  <c r="J477" i="33"/>
  <c r="K476" i="33"/>
  <c r="J476" i="33"/>
  <c r="K475" i="33"/>
  <c r="J475" i="33"/>
  <c r="K474" i="33"/>
  <c r="J474" i="33"/>
  <c r="K473" i="33"/>
  <c r="J473" i="33"/>
  <c r="K472" i="33"/>
  <c r="J472" i="33"/>
  <c r="K471" i="33"/>
  <c r="J471" i="33"/>
  <c r="K470" i="33"/>
  <c r="J470" i="33"/>
  <c r="K469" i="33"/>
  <c r="J469" i="33"/>
  <c r="K468" i="33"/>
  <c r="J468" i="33"/>
  <c r="K467" i="33"/>
  <c r="J467" i="33"/>
  <c r="K466" i="33"/>
  <c r="J466" i="33"/>
  <c r="K465" i="33"/>
  <c r="J465" i="33"/>
  <c r="K464" i="33"/>
  <c r="J464" i="33"/>
  <c r="K463" i="33"/>
  <c r="J463" i="33"/>
  <c r="K462" i="33"/>
  <c r="J462" i="33"/>
  <c r="K461" i="33"/>
  <c r="J461" i="33"/>
  <c r="K460" i="33"/>
  <c r="J460" i="33"/>
  <c r="K459" i="33"/>
  <c r="J459" i="33"/>
  <c r="K458" i="33"/>
  <c r="J458" i="33"/>
  <c r="K457" i="33"/>
  <c r="J457" i="33"/>
  <c r="K456" i="33"/>
  <c r="J456" i="33"/>
  <c r="K455" i="33"/>
  <c r="J455" i="33"/>
  <c r="K454" i="33"/>
  <c r="J454" i="33"/>
  <c r="K453" i="33"/>
  <c r="J453" i="33"/>
  <c r="K452" i="33"/>
  <c r="J452" i="33"/>
  <c r="K451" i="33"/>
  <c r="J451" i="33"/>
  <c r="K450" i="33"/>
  <c r="J450" i="33"/>
  <c r="K449" i="33"/>
  <c r="J449" i="33"/>
  <c r="K448" i="33"/>
  <c r="J448" i="33"/>
  <c r="K447" i="33"/>
  <c r="J447" i="33"/>
  <c r="K446" i="33"/>
  <c r="J446" i="33"/>
  <c r="K445" i="33"/>
  <c r="J445" i="33"/>
  <c r="K444" i="33"/>
  <c r="J444" i="33"/>
  <c r="K443" i="33"/>
  <c r="J443" i="33"/>
  <c r="K442" i="33"/>
  <c r="J442" i="33"/>
  <c r="K441" i="33"/>
  <c r="J441" i="33"/>
  <c r="K440" i="33"/>
  <c r="J440" i="33"/>
  <c r="K439" i="33"/>
  <c r="J439" i="33"/>
  <c r="K438" i="33"/>
  <c r="J438" i="33"/>
  <c r="K437" i="33"/>
  <c r="J437" i="33"/>
  <c r="K436" i="33"/>
  <c r="J436" i="33"/>
  <c r="K435" i="33"/>
  <c r="J435" i="33"/>
  <c r="K434" i="33"/>
  <c r="J434" i="33"/>
  <c r="K433" i="33"/>
  <c r="J433" i="33"/>
  <c r="K432" i="33"/>
  <c r="J432" i="33"/>
  <c r="K431" i="33"/>
  <c r="J431" i="33"/>
  <c r="K430" i="33"/>
  <c r="J430" i="33"/>
  <c r="K429" i="33"/>
  <c r="J429" i="33"/>
  <c r="K428" i="33"/>
  <c r="J428" i="33"/>
  <c r="K427" i="33"/>
  <c r="J427" i="33"/>
  <c r="K426" i="33"/>
  <c r="J426" i="33"/>
  <c r="K425" i="33"/>
  <c r="J425" i="33"/>
  <c r="K424" i="33"/>
  <c r="J424" i="33"/>
  <c r="K423" i="33"/>
  <c r="J423" i="33"/>
  <c r="K422" i="33"/>
  <c r="J422" i="33"/>
  <c r="K421" i="33"/>
  <c r="J421" i="33"/>
  <c r="K420" i="33"/>
  <c r="J420" i="33"/>
  <c r="K419" i="33"/>
  <c r="J419" i="33"/>
  <c r="K418" i="33"/>
  <c r="J418" i="33"/>
  <c r="K417" i="33"/>
  <c r="J417" i="33"/>
  <c r="K416" i="33"/>
  <c r="J416" i="33"/>
  <c r="K415" i="33"/>
  <c r="J415" i="33"/>
  <c r="K414" i="33"/>
  <c r="J414" i="33"/>
  <c r="K413" i="33"/>
  <c r="J413" i="33"/>
  <c r="K412" i="33"/>
  <c r="J412" i="33"/>
  <c r="K411" i="33"/>
  <c r="J411" i="33"/>
  <c r="K410" i="33"/>
  <c r="J410" i="33"/>
  <c r="K409" i="33"/>
  <c r="J409" i="33"/>
  <c r="K408" i="33"/>
  <c r="J408" i="33"/>
  <c r="K407" i="33"/>
  <c r="J407" i="33"/>
  <c r="K406" i="33"/>
  <c r="J406" i="33"/>
  <c r="K405" i="33"/>
  <c r="J405" i="33"/>
  <c r="K404" i="33"/>
  <c r="J404" i="33"/>
  <c r="K403" i="33"/>
  <c r="J403" i="33"/>
  <c r="K402" i="33"/>
  <c r="J402" i="33"/>
  <c r="K401" i="33"/>
  <c r="J401" i="33"/>
  <c r="K400" i="33"/>
  <c r="J400" i="33"/>
  <c r="K399" i="33"/>
  <c r="J399" i="33"/>
  <c r="K398" i="33"/>
  <c r="J398" i="33"/>
  <c r="K397" i="33"/>
  <c r="J397" i="33"/>
  <c r="K396" i="33"/>
  <c r="J396" i="33"/>
  <c r="K395" i="33"/>
  <c r="J395" i="33"/>
  <c r="K394" i="33"/>
  <c r="J394" i="33"/>
  <c r="K393" i="33"/>
  <c r="J393" i="33"/>
  <c r="K392" i="33"/>
  <c r="J392" i="33"/>
  <c r="K391" i="33"/>
  <c r="J391" i="33"/>
  <c r="K390" i="33"/>
  <c r="J390" i="33"/>
  <c r="K389" i="33"/>
  <c r="J389" i="33"/>
  <c r="K388" i="33"/>
  <c r="J388" i="33"/>
  <c r="K387" i="33"/>
  <c r="J387" i="33"/>
  <c r="K386" i="33"/>
  <c r="J386" i="33"/>
  <c r="K385" i="33"/>
  <c r="J385" i="33"/>
  <c r="K384" i="33"/>
  <c r="J384" i="33"/>
  <c r="K383" i="33"/>
  <c r="J383" i="33"/>
  <c r="K382" i="33"/>
  <c r="J382" i="33"/>
  <c r="K381" i="33"/>
  <c r="J381" i="33"/>
  <c r="K380" i="33"/>
  <c r="J380" i="33"/>
  <c r="K379" i="33"/>
  <c r="J379" i="33"/>
  <c r="K378" i="33"/>
  <c r="J378" i="33"/>
  <c r="K377" i="33"/>
  <c r="J377" i="33"/>
  <c r="K376" i="33"/>
  <c r="J376" i="33"/>
  <c r="K375" i="33"/>
  <c r="J375" i="33"/>
  <c r="K374" i="33"/>
  <c r="J374" i="33"/>
  <c r="K373" i="33"/>
  <c r="J373" i="33"/>
  <c r="K372" i="33"/>
  <c r="J372" i="33"/>
  <c r="K371" i="33"/>
  <c r="J371" i="33"/>
  <c r="K370" i="33"/>
  <c r="J370" i="33"/>
  <c r="K369" i="33"/>
  <c r="J369" i="33"/>
  <c r="K368" i="33"/>
  <c r="J368" i="33"/>
  <c r="K367" i="33"/>
  <c r="J367" i="33"/>
  <c r="K366" i="33"/>
  <c r="J366" i="33"/>
  <c r="K365" i="33"/>
  <c r="J365" i="33"/>
  <c r="K364" i="33"/>
  <c r="J364" i="33"/>
  <c r="K363" i="33"/>
  <c r="J363" i="33"/>
  <c r="K362" i="33"/>
  <c r="J362" i="33"/>
  <c r="K361" i="33"/>
  <c r="J361" i="33"/>
  <c r="K360" i="33"/>
  <c r="J360" i="33"/>
  <c r="K359" i="33"/>
  <c r="J359" i="33"/>
  <c r="K358" i="33"/>
  <c r="J358" i="33"/>
  <c r="K357" i="33"/>
  <c r="J357" i="33"/>
  <c r="K356" i="33"/>
  <c r="J356" i="33"/>
  <c r="K355" i="33"/>
  <c r="J355" i="33"/>
  <c r="K354" i="33"/>
  <c r="J354" i="33"/>
  <c r="K353" i="33"/>
  <c r="J353" i="33"/>
  <c r="K352" i="33"/>
  <c r="J352" i="33"/>
  <c r="K351" i="33"/>
  <c r="J351" i="33"/>
  <c r="K350" i="33"/>
  <c r="J350" i="33"/>
  <c r="K349" i="33"/>
  <c r="J349" i="33"/>
  <c r="K348" i="33"/>
  <c r="J348" i="33"/>
  <c r="K347" i="33"/>
  <c r="J347" i="33"/>
  <c r="K346" i="33"/>
  <c r="J346" i="33"/>
  <c r="K345" i="33"/>
  <c r="J345" i="33"/>
  <c r="K344" i="33"/>
  <c r="J344" i="33"/>
  <c r="K343" i="33"/>
  <c r="J343" i="33"/>
  <c r="K342" i="33"/>
  <c r="J342" i="33"/>
  <c r="K341" i="33"/>
  <c r="J341" i="33"/>
  <c r="K340" i="33"/>
  <c r="J340" i="33"/>
  <c r="K339" i="33"/>
  <c r="J339" i="33"/>
  <c r="K338" i="33"/>
  <c r="J338" i="33"/>
  <c r="K337" i="33"/>
  <c r="J337" i="33"/>
  <c r="K336" i="33"/>
  <c r="J336" i="33"/>
  <c r="K335" i="33"/>
  <c r="J335" i="33"/>
  <c r="K334" i="33"/>
  <c r="J334" i="33"/>
  <c r="K333" i="33"/>
  <c r="J333" i="33"/>
  <c r="K332" i="33"/>
  <c r="J332" i="33"/>
  <c r="K331" i="33"/>
  <c r="J331" i="33"/>
  <c r="K330" i="33"/>
  <c r="J330" i="33"/>
  <c r="K329" i="33"/>
  <c r="J329" i="33"/>
  <c r="K328" i="33"/>
  <c r="J328" i="33"/>
  <c r="K327" i="33"/>
  <c r="J327" i="33"/>
  <c r="K326" i="33"/>
  <c r="J326" i="33"/>
  <c r="K325" i="33"/>
  <c r="J325" i="33"/>
  <c r="K324" i="33"/>
  <c r="J324" i="33"/>
  <c r="K323" i="33"/>
  <c r="J323" i="33"/>
  <c r="K322" i="33"/>
  <c r="J322" i="33"/>
  <c r="K321" i="33"/>
  <c r="J321" i="33"/>
  <c r="K320" i="33"/>
  <c r="J320" i="33"/>
  <c r="K319" i="33"/>
  <c r="J319" i="33"/>
  <c r="K318" i="33"/>
  <c r="J318" i="33"/>
  <c r="K317" i="33"/>
  <c r="J317" i="33"/>
  <c r="K316" i="33"/>
  <c r="J316" i="33"/>
  <c r="K315" i="33"/>
  <c r="J315" i="33"/>
  <c r="K314" i="33"/>
  <c r="J314" i="33"/>
  <c r="K313" i="33"/>
  <c r="J313" i="33"/>
  <c r="K312" i="33"/>
  <c r="J312" i="33"/>
  <c r="K311" i="33"/>
  <c r="J311" i="33"/>
  <c r="K310" i="33"/>
  <c r="J310" i="33"/>
  <c r="K309" i="33"/>
  <c r="J309" i="33"/>
  <c r="K308" i="33"/>
  <c r="J308" i="33"/>
  <c r="K307" i="33"/>
  <c r="J307" i="33"/>
  <c r="K306" i="33"/>
  <c r="J306" i="33"/>
  <c r="K305" i="33"/>
  <c r="J305" i="33"/>
  <c r="K304" i="33"/>
  <c r="J304" i="33"/>
  <c r="K303" i="33"/>
  <c r="J303" i="33"/>
  <c r="K302" i="33"/>
  <c r="J302" i="33"/>
  <c r="K301" i="33"/>
  <c r="J301" i="33"/>
  <c r="K300" i="33"/>
  <c r="J300" i="33"/>
  <c r="K299" i="33"/>
  <c r="J299" i="33"/>
  <c r="K298" i="33"/>
  <c r="J298" i="33"/>
  <c r="K297" i="33"/>
  <c r="J297" i="33"/>
  <c r="K296" i="33"/>
  <c r="J296" i="33"/>
  <c r="K295" i="33"/>
  <c r="J295" i="33"/>
  <c r="K294" i="33"/>
  <c r="J294" i="33"/>
  <c r="K293" i="33"/>
  <c r="J293" i="33"/>
  <c r="K292" i="33"/>
  <c r="J292" i="33"/>
  <c r="K291" i="33"/>
  <c r="J291" i="33"/>
  <c r="K290" i="33"/>
  <c r="J290" i="33"/>
  <c r="K289" i="33"/>
  <c r="J289" i="33"/>
  <c r="K288" i="33"/>
  <c r="J288" i="33"/>
  <c r="K287" i="33"/>
  <c r="J287" i="33"/>
  <c r="K286" i="33"/>
  <c r="J286" i="33"/>
  <c r="K285" i="33"/>
  <c r="J285" i="33"/>
  <c r="K284" i="33"/>
  <c r="J284" i="33"/>
  <c r="K283" i="33"/>
  <c r="J283" i="33"/>
  <c r="K282" i="33"/>
  <c r="J282" i="33"/>
  <c r="K281" i="33"/>
  <c r="J281" i="33"/>
  <c r="K280" i="33"/>
  <c r="J280" i="33"/>
  <c r="K279" i="33"/>
  <c r="J279" i="33"/>
  <c r="K278" i="33"/>
  <c r="J278" i="33"/>
  <c r="K277" i="33"/>
  <c r="J277" i="33"/>
  <c r="K276" i="33"/>
  <c r="J276" i="33"/>
  <c r="K275" i="33"/>
  <c r="J275" i="33"/>
  <c r="K274" i="33"/>
  <c r="J274" i="33"/>
  <c r="K273" i="33"/>
  <c r="J273" i="33"/>
  <c r="K272" i="33"/>
  <c r="J272" i="33"/>
  <c r="K271" i="33"/>
  <c r="J271" i="33"/>
  <c r="K270" i="33"/>
  <c r="J270" i="33"/>
  <c r="K269" i="33"/>
  <c r="J269" i="33"/>
  <c r="K268" i="33"/>
  <c r="J268" i="33"/>
  <c r="K267" i="33"/>
  <c r="J267" i="33"/>
  <c r="K266" i="33"/>
  <c r="J266" i="33"/>
  <c r="K265" i="33"/>
  <c r="J265" i="33"/>
  <c r="K264" i="33"/>
  <c r="J264" i="33"/>
  <c r="K263" i="33"/>
  <c r="J263" i="33"/>
  <c r="K262" i="33"/>
  <c r="J262" i="33"/>
  <c r="K261" i="33"/>
  <c r="J261" i="33"/>
  <c r="K260" i="33"/>
  <c r="J260" i="33"/>
  <c r="K259" i="33"/>
  <c r="J259" i="33"/>
  <c r="K258" i="33"/>
  <c r="J258" i="33"/>
  <c r="K257" i="33"/>
  <c r="J257" i="33"/>
  <c r="K256" i="33"/>
  <c r="J256" i="33"/>
  <c r="K255" i="33"/>
  <c r="J255" i="33"/>
  <c r="K254" i="33"/>
  <c r="J254" i="33"/>
  <c r="K253" i="33"/>
  <c r="J253" i="33"/>
  <c r="K252" i="33"/>
  <c r="J252" i="33"/>
  <c r="K251" i="33"/>
  <c r="J251" i="33"/>
  <c r="K250" i="33"/>
  <c r="J250" i="33"/>
  <c r="K249" i="33"/>
  <c r="J249" i="33"/>
  <c r="K248" i="33"/>
  <c r="J248" i="33"/>
  <c r="K247" i="33"/>
  <c r="J247" i="33"/>
  <c r="K246" i="33"/>
  <c r="J246" i="33"/>
  <c r="K245" i="33"/>
  <c r="J245" i="33"/>
  <c r="K244" i="33"/>
  <c r="J244" i="33"/>
  <c r="K243" i="33"/>
  <c r="J243" i="33"/>
  <c r="K242" i="33"/>
  <c r="J242" i="33"/>
  <c r="K241" i="33"/>
  <c r="J241" i="33"/>
  <c r="K240" i="33"/>
  <c r="J240" i="33"/>
  <c r="K239" i="33"/>
  <c r="J239" i="33"/>
  <c r="K238" i="33"/>
  <c r="J238" i="33"/>
  <c r="K237" i="33"/>
  <c r="J237" i="33"/>
  <c r="K236" i="33"/>
  <c r="J236" i="33"/>
  <c r="K235" i="33"/>
  <c r="J235" i="33"/>
  <c r="K234" i="33"/>
  <c r="J234" i="33"/>
  <c r="K233" i="33"/>
  <c r="J233" i="33"/>
  <c r="K232" i="33"/>
  <c r="J232" i="33"/>
  <c r="K231" i="33"/>
  <c r="J231" i="33"/>
  <c r="K230" i="33"/>
  <c r="J230" i="33"/>
  <c r="K229" i="33"/>
  <c r="J229" i="33"/>
  <c r="K228" i="33"/>
  <c r="J228" i="33"/>
  <c r="K227" i="33"/>
  <c r="J227" i="33"/>
  <c r="K226" i="33"/>
  <c r="J226" i="33"/>
  <c r="K225" i="33"/>
  <c r="J225" i="33"/>
  <c r="K224" i="33"/>
  <c r="J224" i="33"/>
  <c r="K223" i="33"/>
  <c r="J223" i="33"/>
  <c r="K222" i="33"/>
  <c r="J222" i="33"/>
  <c r="K221" i="33"/>
  <c r="J221" i="33"/>
  <c r="K220" i="33"/>
  <c r="J220" i="33"/>
  <c r="K219" i="33"/>
  <c r="J219" i="33"/>
  <c r="K218" i="33"/>
  <c r="J218" i="33"/>
  <c r="K217" i="33"/>
  <c r="J217" i="33"/>
  <c r="K216" i="33"/>
  <c r="J216" i="33"/>
  <c r="K215" i="33"/>
  <c r="J215" i="33"/>
  <c r="K214" i="33"/>
  <c r="J214" i="33"/>
  <c r="K213" i="33"/>
  <c r="J213" i="33"/>
  <c r="K212" i="33"/>
  <c r="J212" i="33"/>
  <c r="K211" i="33"/>
  <c r="J211" i="33"/>
  <c r="K210" i="33"/>
  <c r="J210" i="33"/>
  <c r="K209" i="33"/>
  <c r="J209" i="33"/>
  <c r="K208" i="33"/>
  <c r="J208" i="33"/>
  <c r="K207" i="33"/>
  <c r="J207" i="33"/>
  <c r="K206" i="33"/>
  <c r="J206" i="33"/>
  <c r="K205" i="33"/>
  <c r="J205" i="33"/>
  <c r="K204" i="33"/>
  <c r="J204" i="33"/>
  <c r="K203" i="33"/>
  <c r="J203" i="33"/>
  <c r="K202" i="33"/>
  <c r="J202" i="33"/>
  <c r="K201" i="33"/>
  <c r="J201" i="33"/>
  <c r="K200" i="33"/>
  <c r="J200" i="33"/>
  <c r="K199" i="33"/>
  <c r="J199" i="33"/>
  <c r="K198" i="33"/>
  <c r="J198" i="33"/>
  <c r="K197" i="33"/>
  <c r="J197" i="33"/>
  <c r="K196" i="33"/>
  <c r="J196" i="33"/>
  <c r="K195" i="33"/>
  <c r="J195" i="33"/>
  <c r="K194" i="33"/>
  <c r="J194" i="33"/>
  <c r="K193" i="33"/>
  <c r="J193" i="33"/>
  <c r="K192" i="33"/>
  <c r="J192" i="33"/>
  <c r="K191" i="33"/>
  <c r="J191" i="33"/>
  <c r="K190" i="33"/>
  <c r="J190" i="33"/>
  <c r="K189" i="33"/>
  <c r="J189" i="33"/>
  <c r="K188" i="33"/>
  <c r="J188" i="33"/>
  <c r="K187" i="33"/>
  <c r="J187" i="33"/>
  <c r="K186" i="33"/>
  <c r="J186" i="33"/>
  <c r="K185" i="33"/>
  <c r="J185" i="33"/>
  <c r="K184" i="33"/>
  <c r="J184" i="33"/>
  <c r="K183" i="33"/>
  <c r="J183" i="33"/>
  <c r="K182" i="33"/>
  <c r="J182" i="33"/>
  <c r="K181" i="33"/>
  <c r="J181" i="33"/>
  <c r="K180" i="33"/>
  <c r="J180" i="33"/>
  <c r="K179" i="33"/>
  <c r="J179" i="33"/>
  <c r="K178" i="33"/>
  <c r="J178" i="33"/>
  <c r="K177" i="33"/>
  <c r="J177" i="33"/>
  <c r="K176" i="33"/>
  <c r="J176" i="33"/>
  <c r="K175" i="33"/>
  <c r="J175" i="33"/>
  <c r="K174" i="33"/>
  <c r="J174" i="33"/>
  <c r="K173" i="33"/>
  <c r="J173" i="33"/>
  <c r="K172" i="33"/>
  <c r="J172" i="33"/>
  <c r="K171" i="33"/>
  <c r="J171" i="33"/>
  <c r="K170" i="33"/>
  <c r="J170" i="33"/>
  <c r="K169" i="33"/>
  <c r="J169" i="33"/>
  <c r="K168" i="33"/>
  <c r="J168" i="33"/>
  <c r="K167" i="33"/>
  <c r="J167" i="33"/>
  <c r="K166" i="33"/>
  <c r="J166" i="33"/>
  <c r="K165" i="33"/>
  <c r="J165" i="33"/>
  <c r="K164" i="33"/>
  <c r="J164" i="33"/>
  <c r="K163" i="33"/>
  <c r="J163" i="33"/>
  <c r="K162" i="33"/>
  <c r="J162" i="33"/>
  <c r="K161" i="33"/>
  <c r="J161" i="33"/>
  <c r="K160" i="33"/>
  <c r="J160" i="33"/>
  <c r="K159" i="33"/>
  <c r="J159" i="33"/>
  <c r="K158" i="33"/>
  <c r="J158" i="33"/>
  <c r="K157" i="33"/>
  <c r="J157" i="33"/>
  <c r="K156" i="33"/>
  <c r="J156" i="33"/>
  <c r="K155" i="33"/>
  <c r="J155" i="33"/>
  <c r="K154" i="33"/>
  <c r="J154" i="33"/>
  <c r="K153" i="33"/>
  <c r="J153" i="33"/>
  <c r="K152" i="33"/>
  <c r="J152" i="33"/>
  <c r="K151" i="33"/>
  <c r="J151" i="33"/>
  <c r="K150" i="33"/>
  <c r="J150" i="33"/>
  <c r="K149" i="33"/>
  <c r="J149" i="33"/>
  <c r="K148" i="33"/>
  <c r="J148" i="33"/>
  <c r="K147" i="33"/>
  <c r="J147" i="33"/>
  <c r="K146" i="33"/>
  <c r="J146" i="33"/>
  <c r="K145" i="33"/>
  <c r="J145" i="33"/>
  <c r="K144" i="33"/>
  <c r="J144" i="33"/>
  <c r="K143" i="33"/>
  <c r="J143" i="33"/>
  <c r="K142" i="33"/>
  <c r="J142" i="33"/>
  <c r="K141" i="33"/>
  <c r="J141" i="33"/>
  <c r="K140" i="33"/>
  <c r="J140" i="33"/>
  <c r="K139" i="33"/>
  <c r="J139" i="33"/>
  <c r="K138" i="33"/>
  <c r="J138" i="33"/>
  <c r="K137" i="33"/>
  <c r="J137" i="33"/>
  <c r="K136" i="33"/>
  <c r="J136" i="33"/>
  <c r="K135" i="33"/>
  <c r="J135" i="33"/>
  <c r="K134" i="33"/>
  <c r="J134" i="33"/>
  <c r="K133" i="33"/>
  <c r="J133" i="33"/>
  <c r="K132" i="33"/>
  <c r="J132" i="33"/>
  <c r="K131" i="33"/>
  <c r="J131" i="33"/>
  <c r="K130" i="33"/>
  <c r="J130" i="33"/>
  <c r="K129" i="33"/>
  <c r="J129" i="33"/>
  <c r="K128" i="33"/>
  <c r="J128" i="33"/>
  <c r="K127" i="33"/>
  <c r="J127" i="33"/>
  <c r="K126" i="33"/>
  <c r="J126" i="33"/>
  <c r="K125" i="33"/>
  <c r="J125" i="33"/>
  <c r="K124" i="33"/>
  <c r="J124" i="33"/>
  <c r="K123" i="33"/>
  <c r="J123" i="33"/>
  <c r="K122" i="33"/>
  <c r="J122" i="33"/>
  <c r="K121" i="33"/>
  <c r="J121" i="33"/>
  <c r="K120" i="33"/>
  <c r="J120" i="33"/>
  <c r="K119" i="33"/>
  <c r="J119" i="33"/>
  <c r="K118" i="33"/>
  <c r="J118" i="33"/>
  <c r="K117" i="33"/>
  <c r="J117" i="33"/>
  <c r="K116" i="33"/>
  <c r="J116" i="33"/>
  <c r="K115" i="33"/>
  <c r="J115" i="33"/>
  <c r="K114" i="33"/>
  <c r="J114" i="33"/>
  <c r="K113" i="33"/>
  <c r="J113" i="33"/>
  <c r="K112" i="33"/>
  <c r="J112" i="33"/>
  <c r="K111" i="33"/>
  <c r="J111" i="33"/>
  <c r="K110" i="33"/>
  <c r="J110" i="33"/>
  <c r="K109" i="33"/>
  <c r="J109" i="33"/>
  <c r="K108" i="33"/>
  <c r="J108" i="33"/>
  <c r="K107" i="33"/>
  <c r="J107" i="33"/>
  <c r="K106" i="33"/>
  <c r="J106" i="33"/>
  <c r="K105" i="33"/>
  <c r="J105" i="33"/>
  <c r="K104" i="33"/>
  <c r="J104" i="33"/>
  <c r="K103" i="33"/>
  <c r="J103" i="33"/>
  <c r="K102" i="33"/>
  <c r="J102" i="33"/>
  <c r="K101" i="33"/>
  <c r="J101" i="33"/>
  <c r="K100" i="33"/>
  <c r="J100" i="33"/>
  <c r="K99" i="33"/>
  <c r="J99" i="33"/>
  <c r="K98" i="33"/>
  <c r="J98" i="33"/>
  <c r="K97" i="33"/>
  <c r="J97" i="33"/>
  <c r="K96" i="33"/>
  <c r="J96" i="33"/>
  <c r="K95" i="33"/>
  <c r="J95" i="33"/>
  <c r="K94" i="33"/>
  <c r="J94" i="33"/>
  <c r="K93" i="33"/>
  <c r="J93" i="33"/>
  <c r="K92" i="33"/>
  <c r="J92" i="33"/>
  <c r="K91" i="33"/>
  <c r="J91" i="33"/>
  <c r="K90" i="33"/>
  <c r="J90" i="33"/>
  <c r="K89" i="33"/>
  <c r="J89" i="33"/>
  <c r="K88" i="33"/>
  <c r="J88" i="33"/>
  <c r="K87" i="33"/>
  <c r="J87" i="33"/>
  <c r="K86" i="33"/>
  <c r="J86" i="33"/>
  <c r="K85" i="33"/>
  <c r="J85" i="33"/>
  <c r="K84" i="33"/>
  <c r="J84" i="33"/>
  <c r="K83" i="33"/>
  <c r="J83" i="33"/>
  <c r="K82" i="33"/>
  <c r="J82" i="33"/>
  <c r="K81" i="33"/>
  <c r="J81" i="33"/>
  <c r="K80" i="33"/>
  <c r="J80" i="33"/>
  <c r="K79" i="33"/>
  <c r="J79" i="33"/>
  <c r="K78" i="33"/>
  <c r="J78" i="33"/>
  <c r="K77" i="33"/>
  <c r="J77" i="33"/>
  <c r="K76" i="33"/>
  <c r="J76" i="33"/>
  <c r="K75" i="33"/>
  <c r="J75" i="33"/>
  <c r="K74" i="33"/>
  <c r="J74" i="33"/>
  <c r="K73" i="33"/>
  <c r="J73" i="33"/>
  <c r="K72" i="33"/>
  <c r="J72" i="33"/>
  <c r="K71" i="33"/>
  <c r="J71" i="33"/>
  <c r="K70" i="33"/>
  <c r="J70" i="33"/>
  <c r="K69" i="33"/>
  <c r="J69" i="33"/>
  <c r="K68" i="33"/>
  <c r="J68" i="33"/>
  <c r="K67" i="33"/>
  <c r="J67" i="33"/>
  <c r="K66" i="33"/>
  <c r="J66" i="33"/>
  <c r="K65" i="33"/>
  <c r="J65" i="33"/>
  <c r="K64" i="33"/>
  <c r="J64" i="33"/>
  <c r="K63" i="33"/>
  <c r="J63" i="33"/>
  <c r="K62" i="33"/>
  <c r="J62" i="33"/>
  <c r="K61" i="33"/>
  <c r="J61" i="33"/>
  <c r="K60" i="33"/>
  <c r="J60" i="33"/>
  <c r="K59" i="33"/>
  <c r="J59" i="33"/>
  <c r="K58" i="33"/>
  <c r="J58" i="33"/>
  <c r="K57" i="33"/>
  <c r="J57" i="33"/>
  <c r="K56" i="33"/>
  <c r="J56" i="33"/>
  <c r="K55" i="33"/>
  <c r="J55" i="33"/>
  <c r="K54" i="33"/>
  <c r="J54" i="33"/>
  <c r="K53" i="33"/>
  <c r="J53" i="33"/>
  <c r="K52" i="33"/>
  <c r="J52" i="33"/>
  <c r="K51" i="33"/>
  <c r="J51" i="33"/>
  <c r="K50" i="33"/>
  <c r="J50" i="33"/>
  <c r="K49" i="33"/>
  <c r="J49" i="33"/>
  <c r="K48" i="33"/>
  <c r="J48" i="33"/>
  <c r="K47" i="33"/>
  <c r="J47" i="33"/>
  <c r="K46" i="33"/>
  <c r="J46" i="33"/>
  <c r="K45" i="33"/>
  <c r="J45" i="33"/>
  <c r="K44" i="33"/>
  <c r="J44" i="33"/>
  <c r="K43" i="33"/>
  <c r="J43" i="33"/>
  <c r="K42" i="33"/>
  <c r="J42" i="33"/>
  <c r="K41" i="33"/>
  <c r="J41" i="33"/>
  <c r="K40" i="33"/>
  <c r="J40" i="33"/>
  <c r="K39" i="33"/>
  <c r="J39" i="33"/>
  <c r="K38" i="33"/>
  <c r="J38" i="33"/>
  <c r="K37" i="33"/>
  <c r="J37" i="33"/>
  <c r="K36" i="33"/>
  <c r="J36" i="33"/>
  <c r="K35" i="33"/>
  <c r="J35" i="33"/>
  <c r="K34" i="33"/>
  <c r="J34" i="33"/>
  <c r="K33" i="33"/>
  <c r="J33" i="33"/>
  <c r="K32" i="33"/>
  <c r="J32" i="33"/>
  <c r="K31" i="33"/>
  <c r="J31" i="33"/>
  <c r="K30" i="33"/>
  <c r="J30" i="33"/>
  <c r="K29" i="33"/>
  <c r="J29" i="33"/>
  <c r="K28" i="33"/>
  <c r="J28" i="33"/>
  <c r="K27" i="33"/>
  <c r="J27" i="33"/>
  <c r="K26" i="33"/>
  <c r="J26" i="33"/>
  <c r="K25" i="33"/>
  <c r="J25" i="33"/>
  <c r="K24" i="33"/>
  <c r="J24" i="33"/>
  <c r="K23" i="33"/>
  <c r="J23" i="33"/>
  <c r="K22" i="33"/>
  <c r="J22" i="33"/>
  <c r="K21" i="33"/>
  <c r="J21" i="33"/>
  <c r="K20" i="33"/>
  <c r="J20" i="33"/>
  <c r="K19" i="33"/>
  <c r="J19" i="33"/>
  <c r="K18" i="33"/>
  <c r="J18" i="33"/>
  <c r="K17" i="33"/>
  <c r="J17" i="33"/>
  <c r="K16" i="33"/>
  <c r="J16" i="33"/>
  <c r="K15" i="33"/>
  <c r="J15" i="33"/>
  <c r="K14" i="33"/>
  <c r="J14" i="33"/>
  <c r="K13" i="33"/>
  <c r="J13" i="33"/>
  <c r="K12" i="33"/>
  <c r="J12" i="33"/>
  <c r="K11" i="33"/>
  <c r="J11" i="33"/>
  <c r="K10" i="33"/>
  <c r="J10" i="33"/>
  <c r="K9" i="33"/>
  <c r="J9" i="33"/>
  <c r="K8" i="33"/>
  <c r="J8" i="33"/>
  <c r="K7" i="33"/>
  <c r="J7" i="33"/>
  <c r="K6" i="33"/>
  <c r="J6" i="33"/>
  <c r="K3" i="33"/>
  <c r="I3" i="33"/>
  <c r="H3" i="33"/>
  <c r="J497" i="19"/>
  <c r="I497" i="19"/>
  <c r="J496" i="19"/>
  <c r="I496" i="19"/>
  <c r="J495" i="19"/>
  <c r="I495" i="19"/>
  <c r="J494" i="19"/>
  <c r="I494" i="19"/>
  <c r="J493" i="19"/>
  <c r="I493" i="19"/>
  <c r="J492" i="19"/>
  <c r="I492" i="19"/>
  <c r="J491" i="19"/>
  <c r="I491" i="19"/>
  <c r="J490" i="19"/>
  <c r="I490" i="19"/>
  <c r="J489" i="19"/>
  <c r="I489" i="19"/>
  <c r="J488" i="19"/>
  <c r="I488" i="19"/>
  <c r="J487" i="19"/>
  <c r="I487" i="19"/>
  <c r="J486" i="19"/>
  <c r="I486" i="19"/>
  <c r="J485" i="19"/>
  <c r="I485" i="19"/>
  <c r="J484" i="19"/>
  <c r="I484" i="19"/>
  <c r="J483" i="19"/>
  <c r="I483" i="19"/>
  <c r="J482" i="19"/>
  <c r="I482" i="19"/>
  <c r="J481" i="19"/>
  <c r="I481" i="19"/>
  <c r="J480" i="19"/>
  <c r="I480" i="19"/>
  <c r="J479" i="19"/>
  <c r="I479" i="19"/>
  <c r="J478" i="19"/>
  <c r="I478" i="19"/>
  <c r="J477" i="19"/>
  <c r="I477" i="19"/>
  <c r="J476" i="19"/>
  <c r="I476" i="19"/>
  <c r="J475" i="19"/>
  <c r="I475" i="19"/>
  <c r="J474" i="19"/>
  <c r="I474" i="19"/>
  <c r="J473" i="19"/>
  <c r="I473" i="19"/>
  <c r="J472" i="19"/>
  <c r="I472" i="19"/>
  <c r="J471" i="19"/>
  <c r="I471" i="19"/>
  <c r="J470" i="19"/>
  <c r="I470" i="19"/>
  <c r="J469" i="19"/>
  <c r="I469" i="19"/>
  <c r="J468" i="19"/>
  <c r="I468" i="19"/>
  <c r="J467" i="19"/>
  <c r="I467" i="19"/>
  <c r="J466" i="19"/>
  <c r="I466" i="19"/>
  <c r="J465" i="19"/>
  <c r="I465" i="19"/>
  <c r="J464" i="19"/>
  <c r="I464" i="19"/>
  <c r="J463" i="19"/>
  <c r="I463" i="19"/>
  <c r="J462" i="19"/>
  <c r="I462" i="19"/>
  <c r="J461" i="19"/>
  <c r="I461" i="19"/>
  <c r="J460" i="19"/>
  <c r="I460" i="19"/>
  <c r="J459" i="19"/>
  <c r="I459" i="19"/>
  <c r="J458" i="19"/>
  <c r="I458" i="19"/>
  <c r="J457" i="19"/>
  <c r="I457" i="19"/>
  <c r="J456" i="19"/>
  <c r="I456" i="19"/>
  <c r="J455" i="19"/>
  <c r="I455" i="19"/>
  <c r="J454" i="19"/>
  <c r="I454" i="19"/>
  <c r="J453" i="19"/>
  <c r="I453" i="19"/>
  <c r="J452" i="19"/>
  <c r="I452" i="19"/>
  <c r="J451" i="19"/>
  <c r="I451" i="19"/>
  <c r="J450" i="19"/>
  <c r="I450" i="19"/>
  <c r="J449" i="19"/>
  <c r="I449" i="19"/>
  <c r="J448" i="19"/>
  <c r="I448" i="19"/>
  <c r="J447" i="19"/>
  <c r="I447" i="19"/>
  <c r="J446" i="19"/>
  <c r="I446" i="19"/>
  <c r="J445" i="19"/>
  <c r="I445" i="19"/>
  <c r="J444" i="19"/>
  <c r="I444" i="19"/>
  <c r="J443" i="19"/>
  <c r="I443" i="19"/>
  <c r="J442" i="19"/>
  <c r="I442" i="19"/>
  <c r="J441" i="19"/>
  <c r="I441" i="19"/>
  <c r="J440" i="19"/>
  <c r="I440" i="19"/>
  <c r="J439" i="19"/>
  <c r="I439" i="19"/>
  <c r="J438" i="19"/>
  <c r="I438" i="19"/>
  <c r="J437" i="19"/>
  <c r="I437" i="19"/>
  <c r="J436" i="19"/>
  <c r="I436" i="19"/>
  <c r="J435" i="19"/>
  <c r="I435" i="19"/>
  <c r="J434" i="19"/>
  <c r="I434" i="19"/>
  <c r="J433" i="19"/>
  <c r="I433" i="19"/>
  <c r="J432" i="19"/>
  <c r="I432" i="19"/>
  <c r="J431" i="19"/>
  <c r="I431" i="19"/>
  <c r="J430" i="19"/>
  <c r="I430" i="19"/>
  <c r="J429" i="19"/>
  <c r="I429" i="19"/>
  <c r="J428" i="19"/>
  <c r="I428" i="19"/>
  <c r="J427" i="19"/>
  <c r="I427" i="19"/>
  <c r="J426" i="19"/>
  <c r="I426" i="19"/>
  <c r="J425" i="19"/>
  <c r="I425" i="19"/>
  <c r="J424" i="19"/>
  <c r="I424" i="19"/>
  <c r="J423" i="19"/>
  <c r="I423" i="19"/>
  <c r="J422" i="19"/>
  <c r="I422" i="19"/>
  <c r="J421" i="19"/>
  <c r="I421" i="19"/>
  <c r="J420" i="19"/>
  <c r="I420" i="19"/>
  <c r="J419" i="19"/>
  <c r="I419" i="19"/>
  <c r="J418" i="19"/>
  <c r="I418" i="19"/>
  <c r="J417" i="19"/>
  <c r="I417" i="19"/>
  <c r="J416" i="19"/>
  <c r="I416" i="19"/>
  <c r="J415" i="19"/>
  <c r="I415" i="19"/>
  <c r="J414" i="19"/>
  <c r="I414" i="19"/>
  <c r="J413" i="19"/>
  <c r="I413" i="19"/>
  <c r="J412" i="19"/>
  <c r="I412" i="19"/>
  <c r="J411" i="19"/>
  <c r="I411" i="19"/>
  <c r="J410" i="19"/>
  <c r="I410" i="19"/>
  <c r="J409" i="19"/>
  <c r="I409" i="19"/>
  <c r="J408" i="19"/>
  <c r="I408" i="19"/>
  <c r="J407" i="19"/>
  <c r="I407" i="19"/>
  <c r="J406" i="19"/>
  <c r="I406" i="19"/>
  <c r="J405" i="19"/>
  <c r="I405" i="19"/>
  <c r="J404" i="19"/>
  <c r="I404" i="19"/>
  <c r="J403" i="19"/>
  <c r="I403" i="19"/>
  <c r="J402" i="19"/>
  <c r="I402" i="19"/>
  <c r="J401" i="19"/>
  <c r="I401" i="19"/>
  <c r="J400" i="19"/>
  <c r="I400" i="19"/>
  <c r="J399" i="19"/>
  <c r="I399" i="19"/>
  <c r="J398" i="19"/>
  <c r="I398" i="19"/>
  <c r="J397" i="19"/>
  <c r="I397" i="19"/>
  <c r="J396" i="19"/>
  <c r="I396" i="19"/>
  <c r="J395" i="19"/>
  <c r="I395" i="19"/>
  <c r="J394" i="19"/>
  <c r="I394" i="19"/>
  <c r="J393" i="19"/>
  <c r="I393" i="19"/>
  <c r="J392" i="19"/>
  <c r="I392" i="19"/>
  <c r="J391" i="19"/>
  <c r="I391" i="19"/>
  <c r="J390" i="19"/>
  <c r="I390" i="19"/>
  <c r="J389" i="19"/>
  <c r="I389" i="19"/>
  <c r="J388" i="19"/>
  <c r="I388" i="19"/>
  <c r="J387" i="19"/>
  <c r="I387" i="19"/>
  <c r="J386" i="19"/>
  <c r="I386" i="19"/>
  <c r="J385" i="19"/>
  <c r="I385" i="19"/>
  <c r="J384" i="19"/>
  <c r="I384" i="19"/>
  <c r="J383" i="19"/>
  <c r="I383" i="19"/>
  <c r="J382" i="19"/>
  <c r="I382" i="19"/>
  <c r="J381" i="19"/>
  <c r="I381" i="19"/>
  <c r="J380" i="19"/>
  <c r="I380" i="19"/>
  <c r="J379" i="19"/>
  <c r="I379" i="19"/>
  <c r="J378" i="19"/>
  <c r="I378" i="19"/>
  <c r="J377" i="19"/>
  <c r="I377" i="19"/>
  <c r="J376" i="19"/>
  <c r="I376" i="19"/>
  <c r="J375" i="19"/>
  <c r="I375" i="19"/>
  <c r="J374" i="19"/>
  <c r="I374" i="19"/>
  <c r="J373" i="19"/>
  <c r="I373" i="19"/>
  <c r="J372" i="19"/>
  <c r="I372" i="19"/>
  <c r="J371" i="19"/>
  <c r="I371" i="19"/>
  <c r="J370" i="19"/>
  <c r="I370" i="19"/>
  <c r="J369" i="19"/>
  <c r="I369" i="19"/>
  <c r="J368" i="19"/>
  <c r="I368" i="19"/>
  <c r="J367" i="19"/>
  <c r="I367" i="19"/>
  <c r="J366" i="19"/>
  <c r="I366" i="19"/>
  <c r="J365" i="19"/>
  <c r="I365" i="19"/>
  <c r="J364" i="19"/>
  <c r="I364" i="19"/>
  <c r="J363" i="19"/>
  <c r="I363" i="19"/>
  <c r="J362" i="19"/>
  <c r="I362" i="19"/>
  <c r="J361" i="19"/>
  <c r="I361" i="19"/>
  <c r="J360" i="19"/>
  <c r="I360" i="19"/>
  <c r="J359" i="19"/>
  <c r="I359" i="19"/>
  <c r="J358" i="19"/>
  <c r="I358" i="19"/>
  <c r="J357" i="19"/>
  <c r="I357" i="19"/>
  <c r="J356" i="19"/>
  <c r="I356" i="19"/>
  <c r="J355" i="19"/>
  <c r="I355" i="19"/>
  <c r="J354" i="19"/>
  <c r="I354" i="19"/>
  <c r="J353" i="19"/>
  <c r="I353" i="19"/>
  <c r="J352" i="19"/>
  <c r="I352" i="19"/>
  <c r="J351" i="19"/>
  <c r="I351" i="19"/>
  <c r="J350" i="19"/>
  <c r="I350" i="19"/>
  <c r="J349" i="19"/>
  <c r="I349" i="19"/>
  <c r="J348" i="19"/>
  <c r="I348" i="19"/>
  <c r="J347" i="19"/>
  <c r="I347" i="19"/>
  <c r="J346" i="19"/>
  <c r="I346" i="19"/>
  <c r="J345" i="19"/>
  <c r="I345" i="19"/>
  <c r="J344" i="19"/>
  <c r="I344" i="19"/>
  <c r="J343" i="19"/>
  <c r="I343" i="19"/>
  <c r="J342" i="19"/>
  <c r="I342" i="19"/>
  <c r="J341" i="19"/>
  <c r="I341" i="19"/>
  <c r="J340" i="19"/>
  <c r="I340" i="19"/>
  <c r="J339" i="19"/>
  <c r="I339" i="19"/>
  <c r="J338" i="19"/>
  <c r="I338" i="19"/>
  <c r="J337" i="19"/>
  <c r="I337" i="19"/>
  <c r="J336" i="19"/>
  <c r="I336" i="19"/>
  <c r="J335" i="19"/>
  <c r="I335" i="19"/>
  <c r="J334" i="19"/>
  <c r="I334" i="19"/>
  <c r="J333" i="19"/>
  <c r="I333" i="19"/>
  <c r="J332" i="19"/>
  <c r="I332" i="19"/>
  <c r="J331" i="19"/>
  <c r="I331" i="19"/>
  <c r="J330" i="19"/>
  <c r="I330" i="19"/>
  <c r="J329" i="19"/>
  <c r="I329" i="19"/>
  <c r="J328" i="19"/>
  <c r="I328" i="19"/>
  <c r="J327" i="19"/>
  <c r="I327" i="19"/>
  <c r="J326" i="19"/>
  <c r="I326" i="19"/>
  <c r="J325" i="19"/>
  <c r="I325" i="19"/>
  <c r="J324" i="19"/>
  <c r="I324" i="19"/>
  <c r="J323" i="19"/>
  <c r="I323" i="19"/>
  <c r="J322" i="19"/>
  <c r="I322" i="19"/>
  <c r="J321" i="19"/>
  <c r="I321" i="19"/>
  <c r="J320" i="19"/>
  <c r="I320" i="19"/>
  <c r="J319" i="19"/>
  <c r="I319" i="19"/>
  <c r="J318" i="19"/>
  <c r="I318" i="19"/>
  <c r="J317" i="19"/>
  <c r="I317" i="19"/>
  <c r="J316" i="19"/>
  <c r="I316" i="19"/>
  <c r="J315" i="19"/>
  <c r="I315" i="19"/>
  <c r="J314" i="19"/>
  <c r="I314" i="19"/>
  <c r="J313" i="19"/>
  <c r="I313" i="19"/>
  <c r="J312" i="19"/>
  <c r="I312" i="19"/>
  <c r="J311" i="19"/>
  <c r="I311" i="19"/>
  <c r="J310" i="19"/>
  <c r="I310" i="19"/>
  <c r="J309" i="19"/>
  <c r="I309" i="19"/>
  <c r="J308" i="19"/>
  <c r="I308" i="19"/>
  <c r="J307" i="19"/>
  <c r="I307" i="19"/>
  <c r="J306" i="19"/>
  <c r="I306" i="19"/>
  <c r="J305" i="19"/>
  <c r="I305" i="19"/>
  <c r="J304" i="19"/>
  <c r="I304" i="19"/>
  <c r="J303" i="19"/>
  <c r="I303" i="19"/>
  <c r="J302" i="19"/>
  <c r="I302" i="19"/>
  <c r="J301" i="19"/>
  <c r="I301" i="19"/>
  <c r="J300" i="19"/>
  <c r="I300" i="19"/>
  <c r="J299" i="19"/>
  <c r="I299" i="19"/>
  <c r="J298" i="19"/>
  <c r="I298" i="19"/>
  <c r="J297" i="19"/>
  <c r="I297" i="19"/>
  <c r="J296" i="19"/>
  <c r="I296" i="19"/>
  <c r="J295" i="19"/>
  <c r="I295" i="19"/>
  <c r="J294" i="19"/>
  <c r="I294" i="19"/>
  <c r="J293" i="19"/>
  <c r="I293" i="19"/>
  <c r="J292" i="19"/>
  <c r="I292" i="19"/>
  <c r="J291" i="19"/>
  <c r="I291" i="19"/>
  <c r="J290" i="19"/>
  <c r="I290" i="19"/>
  <c r="J289" i="19"/>
  <c r="I289" i="19"/>
  <c r="J288" i="19"/>
  <c r="I288" i="19"/>
  <c r="J287" i="19"/>
  <c r="I287" i="19"/>
  <c r="J286" i="19"/>
  <c r="I286" i="19"/>
  <c r="J285" i="19"/>
  <c r="I285" i="19"/>
  <c r="J284" i="19"/>
  <c r="I284" i="19"/>
  <c r="J283" i="19"/>
  <c r="I283" i="19"/>
  <c r="J282" i="19"/>
  <c r="I282" i="19"/>
  <c r="J281" i="19"/>
  <c r="I281" i="19"/>
  <c r="J280" i="19"/>
  <c r="I280" i="19"/>
  <c r="J279" i="19"/>
  <c r="I279" i="19"/>
  <c r="J278" i="19"/>
  <c r="I278" i="19"/>
  <c r="J277" i="19"/>
  <c r="I277" i="19"/>
  <c r="J276" i="19"/>
  <c r="I276" i="19"/>
  <c r="J275" i="19"/>
  <c r="I275" i="19"/>
  <c r="J274" i="19"/>
  <c r="I274" i="19"/>
  <c r="J273" i="19"/>
  <c r="I273" i="19"/>
  <c r="J272" i="19"/>
  <c r="I272" i="19"/>
  <c r="J271" i="19"/>
  <c r="I271" i="19"/>
  <c r="J270" i="19"/>
  <c r="I270" i="19"/>
  <c r="J269" i="19"/>
  <c r="I269" i="19"/>
  <c r="J268" i="19"/>
  <c r="I268" i="19"/>
  <c r="J267" i="19"/>
  <c r="I267" i="19"/>
  <c r="J266" i="19"/>
  <c r="I266" i="19"/>
  <c r="J265" i="19"/>
  <c r="I265" i="19"/>
  <c r="J264" i="19"/>
  <c r="I264" i="19"/>
  <c r="J263" i="19"/>
  <c r="I263" i="19"/>
  <c r="J262" i="19"/>
  <c r="I262" i="19"/>
  <c r="J261" i="19"/>
  <c r="I261" i="19"/>
  <c r="J260" i="19"/>
  <c r="I260" i="19"/>
  <c r="J259" i="19"/>
  <c r="I259" i="19"/>
  <c r="J258" i="19"/>
  <c r="I258" i="19"/>
  <c r="J257" i="19"/>
  <c r="I257" i="19"/>
  <c r="J256" i="19"/>
  <c r="I256" i="19"/>
  <c r="J255" i="19"/>
  <c r="I255" i="19"/>
  <c r="J254" i="19"/>
  <c r="I254" i="19"/>
  <c r="J253" i="19"/>
  <c r="I253" i="19"/>
  <c r="J252" i="19"/>
  <c r="I252" i="19"/>
  <c r="J251" i="19"/>
  <c r="I251" i="19"/>
  <c r="J250" i="19"/>
  <c r="I250" i="19"/>
  <c r="J249" i="19"/>
  <c r="I249" i="19"/>
  <c r="J248" i="19"/>
  <c r="I248" i="19"/>
  <c r="J247" i="19"/>
  <c r="I247" i="19"/>
  <c r="J246" i="19"/>
  <c r="I246" i="19"/>
  <c r="J245" i="19"/>
  <c r="I245" i="19"/>
  <c r="J244" i="19"/>
  <c r="I244" i="19"/>
  <c r="J243" i="19"/>
  <c r="I243" i="19"/>
  <c r="J242" i="19"/>
  <c r="I242" i="19"/>
  <c r="J241" i="19"/>
  <c r="I241" i="19"/>
  <c r="J240" i="19"/>
  <c r="I240" i="19"/>
  <c r="J239" i="19"/>
  <c r="I239" i="19"/>
  <c r="J238" i="19"/>
  <c r="I238" i="19"/>
  <c r="J237" i="19"/>
  <c r="I237" i="19"/>
  <c r="J236" i="19"/>
  <c r="I236" i="19"/>
  <c r="J235" i="19"/>
  <c r="I235" i="19"/>
  <c r="J234" i="19"/>
  <c r="I234" i="19"/>
  <c r="J233" i="19"/>
  <c r="I233" i="19"/>
  <c r="J232" i="19"/>
  <c r="I232" i="19"/>
  <c r="J231" i="19"/>
  <c r="I231" i="19"/>
  <c r="J230" i="19"/>
  <c r="I230" i="19"/>
  <c r="J229" i="19"/>
  <c r="I229" i="19"/>
  <c r="J228" i="19"/>
  <c r="I228" i="19"/>
  <c r="J227" i="19"/>
  <c r="I227" i="19"/>
  <c r="J226" i="19"/>
  <c r="I226" i="19"/>
  <c r="J225" i="19"/>
  <c r="I225" i="19"/>
  <c r="J224" i="19"/>
  <c r="I224" i="19"/>
  <c r="J223" i="19"/>
  <c r="I223" i="19"/>
  <c r="J222" i="19"/>
  <c r="I222" i="19"/>
  <c r="J221" i="19"/>
  <c r="I221" i="19"/>
  <c r="J220" i="19"/>
  <c r="I220" i="19"/>
  <c r="J219" i="19"/>
  <c r="I219" i="19"/>
  <c r="J218" i="19"/>
  <c r="I218" i="19"/>
  <c r="J217" i="19"/>
  <c r="I217" i="19"/>
  <c r="J216" i="19"/>
  <c r="I216" i="19"/>
  <c r="J215" i="19"/>
  <c r="I215" i="19"/>
  <c r="J214" i="19"/>
  <c r="I214" i="19"/>
  <c r="J213" i="19"/>
  <c r="I213" i="19"/>
  <c r="J212" i="19"/>
  <c r="I212" i="19"/>
  <c r="J211" i="19"/>
  <c r="I211" i="19"/>
  <c r="J210" i="19"/>
  <c r="I210" i="19"/>
  <c r="J209" i="19"/>
  <c r="I209" i="19"/>
  <c r="J208" i="19"/>
  <c r="I208" i="19"/>
  <c r="J207" i="19"/>
  <c r="I207" i="19"/>
  <c r="J206" i="19"/>
  <c r="I206" i="19"/>
  <c r="J205" i="19"/>
  <c r="I205" i="19"/>
  <c r="J204" i="19"/>
  <c r="I204" i="19"/>
  <c r="J203" i="19"/>
  <c r="I203" i="19"/>
  <c r="J202" i="19"/>
  <c r="I202" i="19"/>
  <c r="J201" i="19"/>
  <c r="I201" i="19"/>
  <c r="J200" i="19"/>
  <c r="I200" i="19"/>
  <c r="J199" i="19"/>
  <c r="I199" i="19"/>
  <c r="J198" i="19"/>
  <c r="I198" i="19"/>
  <c r="J197" i="19"/>
  <c r="I197" i="19"/>
  <c r="J196" i="19"/>
  <c r="I196" i="19"/>
  <c r="J195" i="19"/>
  <c r="I195" i="19"/>
  <c r="J194" i="19"/>
  <c r="I194" i="19"/>
  <c r="J193" i="19"/>
  <c r="I193" i="19"/>
  <c r="J192" i="19"/>
  <c r="I192" i="19"/>
  <c r="J191" i="19"/>
  <c r="I191" i="19"/>
  <c r="J190" i="19"/>
  <c r="I190" i="19"/>
  <c r="J189" i="19"/>
  <c r="I189" i="19"/>
  <c r="J188" i="19"/>
  <c r="I188" i="19"/>
  <c r="J187" i="19"/>
  <c r="I187" i="19"/>
  <c r="J186" i="19"/>
  <c r="I186" i="19"/>
  <c r="J185" i="19"/>
  <c r="I185" i="19"/>
  <c r="J184" i="19"/>
  <c r="I184" i="19"/>
  <c r="J183" i="19"/>
  <c r="I183" i="19"/>
  <c r="J182" i="19"/>
  <c r="I182" i="19"/>
  <c r="J181" i="19"/>
  <c r="I181" i="19"/>
  <c r="J180" i="19"/>
  <c r="I180" i="19"/>
  <c r="J179" i="19"/>
  <c r="I179" i="19"/>
  <c r="J178" i="19"/>
  <c r="I178" i="19"/>
  <c r="J177" i="19"/>
  <c r="I177" i="19"/>
  <c r="J176" i="19"/>
  <c r="I176" i="19"/>
  <c r="J175" i="19"/>
  <c r="I175" i="19"/>
  <c r="J174" i="19"/>
  <c r="I174" i="19"/>
  <c r="J173" i="19"/>
  <c r="I173" i="19"/>
  <c r="J172" i="19"/>
  <c r="I172" i="19"/>
  <c r="J171" i="19"/>
  <c r="I171" i="19"/>
  <c r="J170" i="19"/>
  <c r="I170" i="19"/>
  <c r="J169" i="19"/>
  <c r="I169" i="19"/>
  <c r="J168" i="19"/>
  <c r="I168" i="19"/>
  <c r="J167" i="19"/>
  <c r="I167" i="19"/>
  <c r="J166" i="19"/>
  <c r="I166" i="19"/>
  <c r="J165" i="19"/>
  <c r="I165" i="19"/>
  <c r="J164" i="19"/>
  <c r="I164" i="19"/>
  <c r="J163" i="19"/>
  <c r="I163" i="19"/>
  <c r="J162" i="19"/>
  <c r="I162" i="19"/>
  <c r="J161" i="19"/>
  <c r="I161" i="19"/>
  <c r="J160" i="19"/>
  <c r="I160" i="19"/>
  <c r="J159" i="19"/>
  <c r="I159" i="19"/>
  <c r="J158" i="19"/>
  <c r="I158" i="19"/>
  <c r="J157" i="19"/>
  <c r="I157" i="19"/>
  <c r="J156" i="19"/>
  <c r="I156" i="19"/>
  <c r="J155" i="19"/>
  <c r="I155" i="19"/>
  <c r="J154" i="19"/>
  <c r="I154" i="19"/>
  <c r="J153" i="19"/>
  <c r="I153" i="19"/>
  <c r="J152" i="19"/>
  <c r="I152" i="19"/>
  <c r="J151" i="19"/>
  <c r="I151" i="19"/>
  <c r="J150" i="19"/>
  <c r="I150" i="19"/>
  <c r="J149" i="19"/>
  <c r="I149" i="19"/>
  <c r="J148" i="19"/>
  <c r="I148" i="19"/>
  <c r="J147" i="19"/>
  <c r="I147" i="19"/>
  <c r="J146" i="19"/>
  <c r="I146" i="19"/>
  <c r="J145" i="19"/>
  <c r="I145" i="19"/>
  <c r="J144" i="19"/>
  <c r="I144" i="19"/>
  <c r="J143" i="19"/>
  <c r="I143" i="19"/>
  <c r="J142" i="19"/>
  <c r="I142" i="19"/>
  <c r="J141" i="19"/>
  <c r="I141" i="19"/>
  <c r="J140" i="19"/>
  <c r="I140" i="19"/>
  <c r="J139" i="19"/>
  <c r="I139" i="19"/>
  <c r="J138" i="19"/>
  <c r="I138" i="19"/>
  <c r="J137" i="19"/>
  <c r="I137" i="19"/>
  <c r="J136" i="19"/>
  <c r="I136" i="19"/>
  <c r="J135" i="19"/>
  <c r="I135" i="19"/>
  <c r="J134" i="19"/>
  <c r="I134" i="19"/>
  <c r="J133" i="19"/>
  <c r="I133" i="19"/>
  <c r="J132" i="19"/>
  <c r="I132" i="19"/>
  <c r="J131" i="19"/>
  <c r="I131" i="19"/>
  <c r="J130" i="19"/>
  <c r="I130" i="19"/>
  <c r="J129" i="19"/>
  <c r="I129" i="19"/>
  <c r="J128" i="19"/>
  <c r="I128" i="19"/>
  <c r="J127" i="19"/>
  <c r="I127" i="19"/>
  <c r="J126" i="19"/>
  <c r="I126" i="19"/>
  <c r="J125" i="19"/>
  <c r="I125" i="19"/>
  <c r="J124" i="19"/>
  <c r="I124" i="19"/>
  <c r="J123" i="19"/>
  <c r="I123" i="19"/>
  <c r="J122" i="19"/>
  <c r="I122" i="19"/>
  <c r="J121" i="19"/>
  <c r="I121" i="19"/>
  <c r="J120" i="19"/>
  <c r="I120" i="19"/>
  <c r="J119" i="19"/>
  <c r="I119" i="19"/>
  <c r="J118" i="19"/>
  <c r="I118" i="19"/>
  <c r="J117" i="19"/>
  <c r="I117" i="19"/>
  <c r="J116" i="19"/>
  <c r="I116" i="19"/>
  <c r="J115" i="19"/>
  <c r="I115" i="19"/>
  <c r="J114" i="19"/>
  <c r="I114" i="19"/>
  <c r="J113" i="19"/>
  <c r="I113" i="19"/>
  <c r="J112" i="19"/>
  <c r="I112" i="19"/>
  <c r="J111" i="19"/>
  <c r="I111" i="19"/>
  <c r="J110" i="19"/>
  <c r="I110" i="19"/>
  <c r="J109" i="19"/>
  <c r="I109" i="19"/>
  <c r="J108" i="19"/>
  <c r="I108" i="19"/>
  <c r="J107" i="19"/>
  <c r="I107" i="19"/>
  <c r="J106" i="19"/>
  <c r="I106" i="19"/>
  <c r="J105" i="19"/>
  <c r="I105" i="19"/>
  <c r="J104" i="19"/>
  <c r="I104" i="19"/>
  <c r="J103" i="19"/>
  <c r="I103" i="19"/>
  <c r="J102" i="19"/>
  <c r="I102" i="19"/>
  <c r="J101" i="19"/>
  <c r="I101" i="19"/>
  <c r="J100" i="19"/>
  <c r="I100" i="19"/>
  <c r="J99" i="19"/>
  <c r="I99" i="19"/>
  <c r="J98" i="19"/>
  <c r="I98" i="19"/>
  <c r="J97" i="19"/>
  <c r="I97" i="19"/>
  <c r="J96" i="19"/>
  <c r="I96" i="19"/>
  <c r="J95" i="19"/>
  <c r="I95" i="19"/>
  <c r="J94" i="19"/>
  <c r="I94" i="19"/>
  <c r="J93" i="19"/>
  <c r="I93" i="19"/>
  <c r="J92" i="19"/>
  <c r="I92" i="19"/>
  <c r="J91" i="19"/>
  <c r="I91" i="19"/>
  <c r="J90" i="19"/>
  <c r="I90" i="19"/>
  <c r="J89" i="19"/>
  <c r="I89" i="19"/>
  <c r="J88" i="19"/>
  <c r="I88" i="19"/>
  <c r="J87" i="19"/>
  <c r="I87" i="19"/>
  <c r="J86" i="19"/>
  <c r="I86" i="19"/>
  <c r="J85" i="19"/>
  <c r="I85" i="19"/>
  <c r="J84" i="19"/>
  <c r="I84" i="19"/>
  <c r="J83" i="19"/>
  <c r="I83" i="19"/>
  <c r="J82" i="19"/>
  <c r="I82" i="19"/>
  <c r="J81" i="19"/>
  <c r="I81" i="19"/>
  <c r="J80" i="19"/>
  <c r="I80" i="19"/>
  <c r="J79" i="19"/>
  <c r="I79" i="19"/>
  <c r="J78" i="19"/>
  <c r="I78" i="19"/>
  <c r="J77" i="19"/>
  <c r="I77" i="19"/>
  <c r="J76" i="19"/>
  <c r="I76" i="19"/>
  <c r="J75" i="19"/>
  <c r="I75" i="19"/>
  <c r="J74" i="19"/>
  <c r="I74" i="19"/>
  <c r="J73" i="19"/>
  <c r="I73" i="19"/>
  <c r="J72" i="19"/>
  <c r="I72" i="19"/>
  <c r="J71" i="19"/>
  <c r="I71" i="19"/>
  <c r="J70" i="19"/>
  <c r="I70" i="19"/>
  <c r="J69" i="19"/>
  <c r="I69" i="19"/>
  <c r="J68" i="19"/>
  <c r="I68" i="19"/>
  <c r="J67" i="19"/>
  <c r="I67" i="19"/>
  <c r="J66" i="19"/>
  <c r="I66" i="19"/>
  <c r="J65" i="19"/>
  <c r="I65" i="19"/>
  <c r="J64" i="19"/>
  <c r="I64" i="19"/>
  <c r="J63" i="19"/>
  <c r="I63" i="19"/>
  <c r="J62" i="19"/>
  <c r="I62" i="19"/>
  <c r="J61" i="19"/>
  <c r="I61" i="19"/>
  <c r="J60" i="19"/>
  <c r="I60" i="19"/>
  <c r="J59" i="19"/>
  <c r="I59" i="19"/>
  <c r="J58" i="19"/>
  <c r="I58" i="19"/>
  <c r="J57" i="19"/>
  <c r="I57" i="19"/>
  <c r="J56" i="19"/>
  <c r="I56" i="19"/>
  <c r="J55" i="19"/>
  <c r="I55" i="19"/>
  <c r="J54" i="19"/>
  <c r="I54" i="19"/>
  <c r="J53" i="19"/>
  <c r="I53" i="19"/>
  <c r="J52" i="19"/>
  <c r="I52" i="19"/>
  <c r="J51" i="19"/>
  <c r="I51" i="19"/>
  <c r="J50" i="19"/>
  <c r="I50" i="19"/>
  <c r="J49" i="19"/>
  <c r="I49" i="19"/>
  <c r="J48" i="19"/>
  <c r="I48" i="19"/>
  <c r="J47" i="19"/>
  <c r="I47" i="19"/>
  <c r="J46" i="19"/>
  <c r="I46" i="19"/>
  <c r="J45" i="19"/>
  <c r="I45" i="19"/>
  <c r="J44" i="19"/>
  <c r="I44" i="19"/>
  <c r="J43" i="19"/>
  <c r="I43" i="19"/>
  <c r="J42" i="19"/>
  <c r="I42" i="19"/>
  <c r="J41" i="19"/>
  <c r="I41" i="19"/>
  <c r="J40" i="19"/>
  <c r="I40" i="19"/>
  <c r="J39" i="19"/>
  <c r="I39" i="19"/>
  <c r="J38" i="19"/>
  <c r="I38" i="19"/>
  <c r="J37" i="19"/>
  <c r="I37" i="19"/>
  <c r="J36" i="19"/>
  <c r="I36" i="19"/>
  <c r="J35" i="19"/>
  <c r="I35" i="19"/>
  <c r="J34" i="19"/>
  <c r="I34" i="19"/>
  <c r="J33" i="19"/>
  <c r="I33" i="19"/>
  <c r="J32" i="19"/>
  <c r="I32" i="19"/>
  <c r="J31" i="19"/>
  <c r="I31" i="19"/>
  <c r="J30" i="19"/>
  <c r="I30" i="19"/>
  <c r="J29" i="19"/>
  <c r="I29" i="19"/>
  <c r="J28" i="19"/>
  <c r="I28" i="19"/>
  <c r="J27" i="19"/>
  <c r="I27" i="19"/>
  <c r="J26" i="19"/>
  <c r="I26" i="19"/>
  <c r="J25" i="19"/>
  <c r="I25" i="19"/>
  <c r="J24" i="19"/>
  <c r="I24" i="19"/>
  <c r="J23" i="19"/>
  <c r="I23" i="19"/>
  <c r="J22" i="19"/>
  <c r="I22" i="19"/>
  <c r="J21" i="19"/>
  <c r="I21" i="19"/>
  <c r="J20" i="19"/>
  <c r="I20" i="19"/>
  <c r="J19" i="19"/>
  <c r="I19" i="19"/>
  <c r="J18" i="19"/>
  <c r="I18" i="19"/>
  <c r="J17" i="19"/>
  <c r="I17" i="19"/>
  <c r="J16" i="19"/>
  <c r="I16" i="19"/>
  <c r="J15" i="19"/>
  <c r="I15" i="19"/>
  <c r="J14" i="19"/>
  <c r="I14" i="19"/>
  <c r="J13" i="19"/>
  <c r="I13" i="19"/>
  <c r="J12" i="19"/>
  <c r="I12" i="19"/>
  <c r="J11" i="19"/>
  <c r="I11" i="19"/>
  <c r="J10" i="19"/>
  <c r="I10" i="19"/>
  <c r="J9" i="19"/>
  <c r="I9" i="19"/>
  <c r="J8" i="19"/>
  <c r="I8" i="19"/>
  <c r="J7" i="19"/>
  <c r="I7" i="19"/>
  <c r="J6" i="19"/>
  <c r="I6" i="19"/>
  <c r="J3" i="19"/>
  <c r="H3" i="19"/>
  <c r="G3" i="19"/>
  <c r="K497" i="20"/>
  <c r="J497" i="20"/>
  <c r="K496" i="20"/>
  <c r="J496" i="20"/>
  <c r="K495" i="20"/>
  <c r="J495" i="20"/>
  <c r="K494" i="20"/>
  <c r="J494" i="20"/>
  <c r="K493" i="20"/>
  <c r="J493" i="20"/>
  <c r="K492" i="20"/>
  <c r="J492" i="20"/>
  <c r="K491" i="20"/>
  <c r="J491" i="20"/>
  <c r="K490" i="20"/>
  <c r="J490" i="20"/>
  <c r="K489" i="20"/>
  <c r="J489" i="20"/>
  <c r="K488" i="20"/>
  <c r="J488" i="20"/>
  <c r="K487" i="20"/>
  <c r="J487" i="20"/>
  <c r="K486" i="20"/>
  <c r="J486" i="20"/>
  <c r="K485" i="20"/>
  <c r="J485" i="20"/>
  <c r="K484" i="20"/>
  <c r="J484" i="20"/>
  <c r="K483" i="20"/>
  <c r="J483" i="20"/>
  <c r="K482" i="20"/>
  <c r="J482" i="20"/>
  <c r="K481" i="20"/>
  <c r="J481" i="20"/>
  <c r="K480" i="20"/>
  <c r="J480" i="20"/>
  <c r="K479" i="20"/>
  <c r="J479" i="20"/>
  <c r="K478" i="20"/>
  <c r="J478" i="20"/>
  <c r="K477" i="20"/>
  <c r="J477" i="20"/>
  <c r="K476" i="20"/>
  <c r="J476" i="20"/>
  <c r="K475" i="20"/>
  <c r="J475" i="20"/>
  <c r="K474" i="20"/>
  <c r="J474" i="20"/>
  <c r="K473" i="20"/>
  <c r="J473" i="20"/>
  <c r="K472" i="20"/>
  <c r="J472" i="20"/>
  <c r="K471" i="20"/>
  <c r="J471" i="20"/>
  <c r="K470" i="20"/>
  <c r="J470" i="20"/>
  <c r="K469" i="20"/>
  <c r="J469" i="20"/>
  <c r="K468" i="20"/>
  <c r="J468" i="20"/>
  <c r="K467" i="20"/>
  <c r="J467" i="20"/>
  <c r="K466" i="20"/>
  <c r="J466" i="20"/>
  <c r="K465" i="20"/>
  <c r="J465" i="20"/>
  <c r="K464" i="20"/>
  <c r="J464" i="20"/>
  <c r="K463" i="20"/>
  <c r="J463" i="20"/>
  <c r="K462" i="20"/>
  <c r="J462" i="20"/>
  <c r="K461" i="20"/>
  <c r="J461" i="20"/>
  <c r="K460" i="20"/>
  <c r="J460" i="20"/>
  <c r="K459" i="20"/>
  <c r="J459" i="20"/>
  <c r="K458" i="20"/>
  <c r="J458" i="20"/>
  <c r="K457" i="20"/>
  <c r="J457" i="20"/>
  <c r="K456" i="20"/>
  <c r="J456" i="20"/>
  <c r="K455" i="20"/>
  <c r="J455" i="20"/>
  <c r="K454" i="20"/>
  <c r="J454" i="20"/>
  <c r="K453" i="20"/>
  <c r="J453" i="20"/>
  <c r="K452" i="20"/>
  <c r="J452" i="20"/>
  <c r="K451" i="20"/>
  <c r="J451" i="20"/>
  <c r="K450" i="20"/>
  <c r="J450" i="20"/>
  <c r="K449" i="20"/>
  <c r="J449" i="20"/>
  <c r="K448" i="20"/>
  <c r="J448" i="20"/>
  <c r="K447" i="20"/>
  <c r="J447" i="20"/>
  <c r="K446" i="20"/>
  <c r="J446" i="20"/>
  <c r="K445" i="20"/>
  <c r="J445" i="20"/>
  <c r="K444" i="20"/>
  <c r="J444" i="20"/>
  <c r="K443" i="20"/>
  <c r="J443" i="20"/>
  <c r="K442" i="20"/>
  <c r="J442" i="20"/>
  <c r="K441" i="20"/>
  <c r="J441" i="20"/>
  <c r="K440" i="20"/>
  <c r="J440" i="20"/>
  <c r="K439" i="20"/>
  <c r="J439" i="20"/>
  <c r="K438" i="20"/>
  <c r="J438" i="20"/>
  <c r="K437" i="20"/>
  <c r="J437" i="20"/>
  <c r="K436" i="20"/>
  <c r="J436" i="20"/>
  <c r="K435" i="20"/>
  <c r="J435" i="20"/>
  <c r="K434" i="20"/>
  <c r="J434" i="20"/>
  <c r="K433" i="20"/>
  <c r="J433" i="20"/>
  <c r="K432" i="20"/>
  <c r="J432" i="20"/>
  <c r="K431" i="20"/>
  <c r="J431" i="20"/>
  <c r="K430" i="20"/>
  <c r="J430" i="20"/>
  <c r="K429" i="20"/>
  <c r="J429" i="20"/>
  <c r="K428" i="20"/>
  <c r="J428" i="20"/>
  <c r="K427" i="20"/>
  <c r="J427" i="20"/>
  <c r="K426" i="20"/>
  <c r="J426" i="20"/>
  <c r="K425" i="20"/>
  <c r="J425" i="20"/>
  <c r="K424" i="20"/>
  <c r="J424" i="20"/>
  <c r="K423" i="20"/>
  <c r="J423" i="20"/>
  <c r="K422" i="20"/>
  <c r="J422" i="20"/>
  <c r="K421" i="20"/>
  <c r="J421" i="20"/>
  <c r="K420" i="20"/>
  <c r="J420" i="20"/>
  <c r="K419" i="20"/>
  <c r="J419" i="20"/>
  <c r="K418" i="20"/>
  <c r="J418" i="20"/>
  <c r="K417" i="20"/>
  <c r="J417" i="20"/>
  <c r="K416" i="20"/>
  <c r="J416" i="20"/>
  <c r="K415" i="20"/>
  <c r="J415" i="20"/>
  <c r="K414" i="20"/>
  <c r="J414" i="20"/>
  <c r="K413" i="20"/>
  <c r="J413" i="20"/>
  <c r="K412" i="20"/>
  <c r="J412" i="20"/>
  <c r="K411" i="20"/>
  <c r="J411" i="20"/>
  <c r="K410" i="20"/>
  <c r="J410" i="20"/>
  <c r="K409" i="20"/>
  <c r="J409" i="20"/>
  <c r="K408" i="20"/>
  <c r="J408" i="20"/>
  <c r="K407" i="20"/>
  <c r="J407" i="20"/>
  <c r="K406" i="20"/>
  <c r="J406" i="20"/>
  <c r="K405" i="20"/>
  <c r="J405" i="20"/>
  <c r="K404" i="20"/>
  <c r="J404" i="20"/>
  <c r="K403" i="20"/>
  <c r="J403" i="20"/>
  <c r="K402" i="20"/>
  <c r="J402" i="20"/>
  <c r="K401" i="20"/>
  <c r="J401" i="20"/>
  <c r="K400" i="20"/>
  <c r="J400" i="20"/>
  <c r="K399" i="20"/>
  <c r="J399" i="20"/>
  <c r="K398" i="20"/>
  <c r="J398" i="20"/>
  <c r="K397" i="20"/>
  <c r="J397" i="20"/>
  <c r="K396" i="20"/>
  <c r="J396" i="20"/>
  <c r="K395" i="20"/>
  <c r="J395" i="20"/>
  <c r="K394" i="20"/>
  <c r="J394" i="20"/>
  <c r="K393" i="20"/>
  <c r="J393" i="20"/>
  <c r="K392" i="20"/>
  <c r="J392" i="20"/>
  <c r="K391" i="20"/>
  <c r="J391" i="20"/>
  <c r="K390" i="20"/>
  <c r="J390" i="20"/>
  <c r="K389" i="20"/>
  <c r="J389" i="20"/>
  <c r="K388" i="20"/>
  <c r="J388" i="20"/>
  <c r="K387" i="20"/>
  <c r="J387" i="20"/>
  <c r="K386" i="20"/>
  <c r="J386" i="20"/>
  <c r="K385" i="20"/>
  <c r="J385" i="20"/>
  <c r="K384" i="20"/>
  <c r="J384" i="20"/>
  <c r="K383" i="20"/>
  <c r="J383" i="20"/>
  <c r="K382" i="20"/>
  <c r="J382" i="20"/>
  <c r="K381" i="20"/>
  <c r="J381" i="20"/>
  <c r="K380" i="20"/>
  <c r="J380" i="20"/>
  <c r="K379" i="20"/>
  <c r="J379" i="20"/>
  <c r="K378" i="20"/>
  <c r="J378" i="20"/>
  <c r="K377" i="20"/>
  <c r="J377" i="20"/>
  <c r="K376" i="20"/>
  <c r="J376" i="20"/>
  <c r="K375" i="20"/>
  <c r="J375" i="20"/>
  <c r="K374" i="20"/>
  <c r="J374" i="20"/>
  <c r="K373" i="20"/>
  <c r="J373" i="20"/>
  <c r="K372" i="20"/>
  <c r="J372" i="20"/>
  <c r="K371" i="20"/>
  <c r="J371" i="20"/>
  <c r="K370" i="20"/>
  <c r="J370" i="20"/>
  <c r="K369" i="20"/>
  <c r="J369" i="20"/>
  <c r="K368" i="20"/>
  <c r="J368" i="20"/>
  <c r="K367" i="20"/>
  <c r="J367" i="20"/>
  <c r="K366" i="20"/>
  <c r="J366" i="20"/>
  <c r="K365" i="20"/>
  <c r="J365" i="20"/>
  <c r="K364" i="20"/>
  <c r="J364" i="20"/>
  <c r="K363" i="20"/>
  <c r="J363" i="20"/>
  <c r="K362" i="20"/>
  <c r="J362" i="20"/>
  <c r="K361" i="20"/>
  <c r="J361" i="20"/>
  <c r="K360" i="20"/>
  <c r="J360" i="20"/>
  <c r="K359" i="20"/>
  <c r="J359" i="20"/>
  <c r="K358" i="20"/>
  <c r="J358" i="20"/>
  <c r="K357" i="20"/>
  <c r="J357" i="20"/>
  <c r="K356" i="20"/>
  <c r="J356" i="20"/>
  <c r="K355" i="20"/>
  <c r="J355" i="20"/>
  <c r="K354" i="20"/>
  <c r="J354" i="20"/>
  <c r="K353" i="20"/>
  <c r="J353" i="20"/>
  <c r="K352" i="20"/>
  <c r="J352" i="20"/>
  <c r="K351" i="20"/>
  <c r="J351" i="20"/>
  <c r="K350" i="20"/>
  <c r="J350" i="20"/>
  <c r="K349" i="20"/>
  <c r="J349" i="20"/>
  <c r="K348" i="20"/>
  <c r="J348" i="20"/>
  <c r="K347" i="20"/>
  <c r="J347" i="20"/>
  <c r="K346" i="20"/>
  <c r="J346" i="20"/>
  <c r="K345" i="20"/>
  <c r="J345" i="20"/>
  <c r="K344" i="20"/>
  <c r="J344" i="20"/>
  <c r="K343" i="20"/>
  <c r="J343" i="20"/>
  <c r="K342" i="20"/>
  <c r="J342" i="20"/>
  <c r="K341" i="20"/>
  <c r="J341" i="20"/>
  <c r="K340" i="20"/>
  <c r="J340" i="20"/>
  <c r="K339" i="20"/>
  <c r="J339" i="20"/>
  <c r="K338" i="20"/>
  <c r="J338" i="20"/>
  <c r="K337" i="20"/>
  <c r="J337" i="20"/>
  <c r="K336" i="20"/>
  <c r="J336" i="20"/>
  <c r="K335" i="20"/>
  <c r="J335" i="20"/>
  <c r="K334" i="20"/>
  <c r="J334" i="20"/>
  <c r="K333" i="20"/>
  <c r="J333" i="20"/>
  <c r="K332" i="20"/>
  <c r="J332" i="20"/>
  <c r="K331" i="20"/>
  <c r="J331" i="20"/>
  <c r="K330" i="20"/>
  <c r="J330" i="20"/>
  <c r="K329" i="20"/>
  <c r="J329" i="20"/>
  <c r="K328" i="20"/>
  <c r="J328" i="20"/>
  <c r="K327" i="20"/>
  <c r="J327" i="20"/>
  <c r="K326" i="20"/>
  <c r="J326" i="20"/>
  <c r="K325" i="20"/>
  <c r="J325" i="20"/>
  <c r="K324" i="20"/>
  <c r="J324" i="20"/>
  <c r="K323" i="20"/>
  <c r="J323" i="20"/>
  <c r="K322" i="20"/>
  <c r="J322" i="20"/>
  <c r="K321" i="20"/>
  <c r="J321" i="20"/>
  <c r="K320" i="20"/>
  <c r="J320" i="20"/>
  <c r="K319" i="20"/>
  <c r="J319" i="20"/>
  <c r="K318" i="20"/>
  <c r="J318" i="20"/>
  <c r="K317" i="20"/>
  <c r="J317" i="20"/>
  <c r="K316" i="20"/>
  <c r="J316" i="20"/>
  <c r="K315" i="20"/>
  <c r="J315" i="20"/>
  <c r="K314" i="20"/>
  <c r="J314" i="20"/>
  <c r="K313" i="20"/>
  <c r="J313" i="20"/>
  <c r="K312" i="20"/>
  <c r="J312" i="20"/>
  <c r="K311" i="20"/>
  <c r="J311" i="20"/>
  <c r="K310" i="20"/>
  <c r="J310" i="20"/>
  <c r="K309" i="20"/>
  <c r="J309" i="20"/>
  <c r="K308" i="20"/>
  <c r="J308" i="20"/>
  <c r="K307" i="20"/>
  <c r="J307" i="20"/>
  <c r="K306" i="20"/>
  <c r="J306" i="20"/>
  <c r="K305" i="20"/>
  <c r="J305" i="20"/>
  <c r="K304" i="20"/>
  <c r="J304" i="20"/>
  <c r="K303" i="20"/>
  <c r="J303" i="20"/>
  <c r="K302" i="20"/>
  <c r="J302" i="20"/>
  <c r="K301" i="20"/>
  <c r="J301" i="20"/>
  <c r="K300" i="20"/>
  <c r="J300" i="20"/>
  <c r="K299" i="20"/>
  <c r="J299" i="20"/>
  <c r="K298" i="20"/>
  <c r="J298" i="20"/>
  <c r="K297" i="20"/>
  <c r="J297" i="20"/>
  <c r="K296" i="20"/>
  <c r="J296" i="20"/>
  <c r="K295" i="20"/>
  <c r="J295" i="20"/>
  <c r="K294" i="20"/>
  <c r="J294" i="20"/>
  <c r="K293" i="20"/>
  <c r="J293" i="20"/>
  <c r="K292" i="20"/>
  <c r="J292" i="20"/>
  <c r="K291" i="20"/>
  <c r="J291" i="20"/>
  <c r="K290" i="20"/>
  <c r="J290" i="20"/>
  <c r="K289" i="20"/>
  <c r="J289" i="20"/>
  <c r="K288" i="20"/>
  <c r="J288" i="20"/>
  <c r="K287" i="20"/>
  <c r="J287" i="20"/>
  <c r="K286" i="20"/>
  <c r="J286" i="20"/>
  <c r="K285" i="20"/>
  <c r="J285" i="20"/>
  <c r="K284" i="20"/>
  <c r="J284" i="20"/>
  <c r="K283" i="20"/>
  <c r="J283" i="20"/>
  <c r="K282" i="20"/>
  <c r="J282" i="20"/>
  <c r="K281" i="20"/>
  <c r="J281" i="20"/>
  <c r="K280" i="20"/>
  <c r="J280" i="20"/>
  <c r="K279" i="20"/>
  <c r="J279" i="20"/>
  <c r="K278" i="20"/>
  <c r="J278" i="20"/>
  <c r="K277" i="20"/>
  <c r="J277" i="20"/>
  <c r="K276" i="20"/>
  <c r="J276" i="20"/>
  <c r="K275" i="20"/>
  <c r="J275" i="20"/>
  <c r="K274" i="20"/>
  <c r="J274" i="20"/>
  <c r="K273" i="20"/>
  <c r="J273" i="20"/>
  <c r="K272" i="20"/>
  <c r="J272" i="20"/>
  <c r="K271" i="20"/>
  <c r="J271" i="20"/>
  <c r="K270" i="20"/>
  <c r="J270" i="20"/>
  <c r="K269" i="20"/>
  <c r="J269" i="20"/>
  <c r="K268" i="20"/>
  <c r="J268" i="20"/>
  <c r="K267" i="20"/>
  <c r="J267" i="20"/>
  <c r="K266" i="20"/>
  <c r="J266" i="20"/>
  <c r="K265" i="20"/>
  <c r="J265" i="20"/>
  <c r="K264" i="20"/>
  <c r="J264" i="20"/>
  <c r="K263" i="20"/>
  <c r="J263" i="20"/>
  <c r="K262" i="20"/>
  <c r="J262" i="20"/>
  <c r="K261" i="20"/>
  <c r="J261" i="20"/>
  <c r="K260" i="20"/>
  <c r="J260" i="20"/>
  <c r="K259" i="20"/>
  <c r="J259" i="20"/>
  <c r="K258" i="20"/>
  <c r="J258" i="20"/>
  <c r="K257" i="20"/>
  <c r="J257" i="20"/>
  <c r="K256" i="20"/>
  <c r="J256" i="20"/>
  <c r="K255" i="20"/>
  <c r="J255" i="20"/>
  <c r="K254" i="20"/>
  <c r="J254" i="20"/>
  <c r="K253" i="20"/>
  <c r="J253" i="20"/>
  <c r="K252" i="20"/>
  <c r="J252" i="20"/>
  <c r="K251" i="20"/>
  <c r="J251" i="20"/>
  <c r="K250" i="20"/>
  <c r="J250" i="20"/>
  <c r="K249" i="20"/>
  <c r="J249" i="20"/>
  <c r="K248" i="20"/>
  <c r="J248" i="20"/>
  <c r="K247" i="20"/>
  <c r="J247" i="20"/>
  <c r="K246" i="20"/>
  <c r="J246" i="20"/>
  <c r="K245" i="20"/>
  <c r="J245" i="20"/>
  <c r="K244" i="20"/>
  <c r="J244" i="20"/>
  <c r="K243" i="20"/>
  <c r="J243" i="20"/>
  <c r="K242" i="20"/>
  <c r="J242" i="20"/>
  <c r="K241" i="20"/>
  <c r="J241" i="20"/>
  <c r="K240" i="20"/>
  <c r="J240" i="20"/>
  <c r="K239" i="20"/>
  <c r="J239" i="20"/>
  <c r="K238" i="20"/>
  <c r="J238" i="20"/>
  <c r="K237" i="20"/>
  <c r="J237" i="20"/>
  <c r="K236" i="20"/>
  <c r="J236" i="20"/>
  <c r="K235" i="20"/>
  <c r="J235" i="20"/>
  <c r="K234" i="20"/>
  <c r="J234" i="20"/>
  <c r="K233" i="20"/>
  <c r="J233" i="20"/>
  <c r="K232" i="20"/>
  <c r="J232" i="20"/>
  <c r="K231" i="20"/>
  <c r="J231" i="20"/>
  <c r="K230" i="20"/>
  <c r="J230" i="20"/>
  <c r="K229" i="20"/>
  <c r="J229" i="20"/>
  <c r="K228" i="20"/>
  <c r="J228" i="20"/>
  <c r="K227" i="20"/>
  <c r="J227" i="20"/>
  <c r="K226" i="20"/>
  <c r="J226" i="20"/>
  <c r="K225" i="20"/>
  <c r="J225" i="20"/>
  <c r="K224" i="20"/>
  <c r="J224" i="20"/>
  <c r="K223" i="20"/>
  <c r="J223" i="20"/>
  <c r="K222" i="20"/>
  <c r="J222" i="20"/>
  <c r="K221" i="20"/>
  <c r="J221" i="20"/>
  <c r="K220" i="20"/>
  <c r="J220" i="20"/>
  <c r="K219" i="20"/>
  <c r="J219" i="20"/>
  <c r="K218" i="20"/>
  <c r="J218" i="20"/>
  <c r="K217" i="20"/>
  <c r="J217" i="20"/>
  <c r="K216" i="20"/>
  <c r="J216" i="20"/>
  <c r="K215" i="20"/>
  <c r="J215" i="20"/>
  <c r="K214" i="20"/>
  <c r="J214" i="20"/>
  <c r="K213" i="20"/>
  <c r="J213" i="20"/>
  <c r="K212" i="20"/>
  <c r="J212" i="20"/>
  <c r="K211" i="20"/>
  <c r="J211" i="20"/>
  <c r="K210" i="20"/>
  <c r="J210" i="20"/>
  <c r="K209" i="20"/>
  <c r="J209" i="20"/>
  <c r="K208" i="20"/>
  <c r="J208" i="20"/>
  <c r="K207" i="20"/>
  <c r="J207" i="20"/>
  <c r="K206" i="20"/>
  <c r="J206" i="20"/>
  <c r="K205" i="20"/>
  <c r="J205" i="20"/>
  <c r="K204" i="20"/>
  <c r="J204" i="20"/>
  <c r="K203" i="20"/>
  <c r="J203" i="20"/>
  <c r="K202" i="20"/>
  <c r="J202" i="20"/>
  <c r="K201" i="20"/>
  <c r="J201" i="20"/>
  <c r="K200" i="20"/>
  <c r="J200" i="20"/>
  <c r="K199" i="20"/>
  <c r="J199" i="20"/>
  <c r="K198" i="20"/>
  <c r="J198" i="20"/>
  <c r="K197" i="20"/>
  <c r="J197" i="20"/>
  <c r="K196" i="20"/>
  <c r="J196" i="20"/>
  <c r="K195" i="20"/>
  <c r="J195" i="20"/>
  <c r="K194" i="20"/>
  <c r="J194" i="20"/>
  <c r="K193" i="20"/>
  <c r="J193" i="20"/>
  <c r="K192" i="20"/>
  <c r="J192" i="20"/>
  <c r="K191" i="20"/>
  <c r="J191" i="20"/>
  <c r="K190" i="20"/>
  <c r="J190" i="20"/>
  <c r="K189" i="20"/>
  <c r="J189" i="20"/>
  <c r="K188" i="20"/>
  <c r="J188" i="20"/>
  <c r="K187" i="20"/>
  <c r="J187" i="20"/>
  <c r="K186" i="20"/>
  <c r="J186" i="20"/>
  <c r="K185" i="20"/>
  <c r="J185" i="20"/>
  <c r="K184" i="20"/>
  <c r="J184" i="20"/>
  <c r="K183" i="20"/>
  <c r="J183" i="20"/>
  <c r="K182" i="20"/>
  <c r="J182" i="20"/>
  <c r="K181" i="20"/>
  <c r="J181" i="20"/>
  <c r="K180" i="20"/>
  <c r="J180" i="20"/>
  <c r="K179" i="20"/>
  <c r="J179" i="20"/>
  <c r="K178" i="20"/>
  <c r="J178" i="20"/>
  <c r="K177" i="20"/>
  <c r="J177" i="20"/>
  <c r="K176" i="20"/>
  <c r="J176" i="20"/>
  <c r="K175" i="20"/>
  <c r="J175" i="20"/>
  <c r="K174" i="20"/>
  <c r="J174" i="20"/>
  <c r="K173" i="20"/>
  <c r="J173" i="20"/>
  <c r="K172" i="20"/>
  <c r="J172" i="20"/>
  <c r="K171" i="20"/>
  <c r="J171" i="20"/>
  <c r="K170" i="20"/>
  <c r="J170" i="20"/>
  <c r="K169" i="20"/>
  <c r="J169" i="20"/>
  <c r="K168" i="20"/>
  <c r="J168" i="20"/>
  <c r="K167" i="20"/>
  <c r="J167" i="20"/>
  <c r="K166" i="20"/>
  <c r="J166" i="20"/>
  <c r="K165" i="20"/>
  <c r="J165" i="20"/>
  <c r="K164" i="20"/>
  <c r="J164" i="20"/>
  <c r="K163" i="20"/>
  <c r="J163" i="20"/>
  <c r="K162" i="20"/>
  <c r="J162" i="20"/>
  <c r="K161" i="20"/>
  <c r="J161" i="20"/>
  <c r="K160" i="20"/>
  <c r="J160" i="20"/>
  <c r="K159" i="20"/>
  <c r="J159" i="20"/>
  <c r="K158" i="20"/>
  <c r="J158" i="20"/>
  <c r="K157" i="20"/>
  <c r="J157" i="20"/>
  <c r="K156" i="20"/>
  <c r="J156" i="20"/>
  <c r="K155" i="20"/>
  <c r="J155" i="20"/>
  <c r="K154" i="20"/>
  <c r="J154" i="20"/>
  <c r="K153" i="20"/>
  <c r="J153" i="20"/>
  <c r="K152" i="20"/>
  <c r="J152" i="20"/>
  <c r="K151" i="20"/>
  <c r="J151" i="20"/>
  <c r="K150" i="20"/>
  <c r="J150" i="20"/>
  <c r="K149" i="20"/>
  <c r="J149" i="20"/>
  <c r="K148" i="20"/>
  <c r="J148" i="20"/>
  <c r="K147" i="20"/>
  <c r="J147" i="20"/>
  <c r="K146" i="20"/>
  <c r="J146" i="20"/>
  <c r="K145" i="20"/>
  <c r="J145" i="20"/>
  <c r="K144" i="20"/>
  <c r="J144" i="20"/>
  <c r="K143" i="20"/>
  <c r="J143" i="20"/>
  <c r="K142" i="20"/>
  <c r="J142" i="20"/>
  <c r="K141" i="20"/>
  <c r="J141" i="20"/>
  <c r="K140" i="20"/>
  <c r="J140" i="20"/>
  <c r="K139" i="20"/>
  <c r="J139" i="20"/>
  <c r="K138" i="20"/>
  <c r="J138" i="20"/>
  <c r="K137" i="20"/>
  <c r="J137" i="20"/>
  <c r="K136" i="20"/>
  <c r="J136" i="20"/>
  <c r="K135" i="20"/>
  <c r="J135" i="20"/>
  <c r="K134" i="20"/>
  <c r="J134" i="20"/>
  <c r="K133" i="20"/>
  <c r="J133" i="20"/>
  <c r="K132" i="20"/>
  <c r="J132" i="20"/>
  <c r="K131" i="20"/>
  <c r="J131" i="20"/>
  <c r="K130" i="20"/>
  <c r="J130" i="20"/>
  <c r="K129" i="20"/>
  <c r="J129" i="20"/>
  <c r="K128" i="20"/>
  <c r="J128" i="20"/>
  <c r="K127" i="20"/>
  <c r="J127" i="20"/>
  <c r="K126" i="20"/>
  <c r="J126" i="20"/>
  <c r="K125" i="20"/>
  <c r="J125" i="20"/>
  <c r="K124" i="20"/>
  <c r="J124" i="20"/>
  <c r="K123" i="20"/>
  <c r="J123" i="20"/>
  <c r="K122" i="20"/>
  <c r="J122" i="20"/>
  <c r="K121" i="20"/>
  <c r="J121" i="20"/>
  <c r="K120" i="20"/>
  <c r="J120" i="20"/>
  <c r="K119" i="20"/>
  <c r="J119" i="20"/>
  <c r="K118" i="20"/>
  <c r="J118" i="20"/>
  <c r="K117" i="20"/>
  <c r="J117" i="20"/>
  <c r="K116" i="20"/>
  <c r="J116" i="20"/>
  <c r="K115" i="20"/>
  <c r="J115" i="20"/>
  <c r="K114" i="20"/>
  <c r="J114" i="20"/>
  <c r="K113" i="20"/>
  <c r="J113" i="20"/>
  <c r="K112" i="20"/>
  <c r="J112" i="20"/>
  <c r="K111" i="20"/>
  <c r="J111" i="20"/>
  <c r="K110" i="20"/>
  <c r="J110" i="20"/>
  <c r="K109" i="20"/>
  <c r="J109" i="20"/>
  <c r="K108" i="20"/>
  <c r="J108" i="20"/>
  <c r="K107" i="20"/>
  <c r="J107" i="20"/>
  <c r="K106" i="20"/>
  <c r="J106" i="20"/>
  <c r="K105" i="20"/>
  <c r="J105" i="20"/>
  <c r="K104" i="20"/>
  <c r="J104" i="20"/>
  <c r="K103" i="20"/>
  <c r="J103" i="20"/>
  <c r="K102" i="20"/>
  <c r="J102" i="20"/>
  <c r="K101" i="20"/>
  <c r="J101" i="20"/>
  <c r="K100" i="20"/>
  <c r="J100" i="20"/>
  <c r="K99" i="20"/>
  <c r="J99" i="20"/>
  <c r="K98" i="20"/>
  <c r="J98" i="20"/>
  <c r="K97" i="20"/>
  <c r="J97" i="20"/>
  <c r="K96" i="20"/>
  <c r="J96" i="20"/>
  <c r="K95" i="20"/>
  <c r="J95" i="20"/>
  <c r="K94" i="20"/>
  <c r="J94" i="20"/>
  <c r="K93" i="20"/>
  <c r="J93" i="20"/>
  <c r="K92" i="20"/>
  <c r="J92" i="20"/>
  <c r="K91" i="20"/>
  <c r="J91" i="20"/>
  <c r="K90" i="20"/>
  <c r="J90" i="20"/>
  <c r="K89" i="20"/>
  <c r="J89" i="20"/>
  <c r="K88" i="20"/>
  <c r="J88" i="20"/>
  <c r="K87" i="20"/>
  <c r="J87" i="20"/>
  <c r="K86" i="20"/>
  <c r="J86" i="20"/>
  <c r="K85" i="20"/>
  <c r="J85" i="20"/>
  <c r="K84" i="20"/>
  <c r="J84" i="20"/>
  <c r="K83" i="20"/>
  <c r="J83" i="20"/>
  <c r="K82" i="20"/>
  <c r="J82" i="20"/>
  <c r="K81" i="20"/>
  <c r="J81" i="20"/>
  <c r="K80" i="20"/>
  <c r="J80" i="20"/>
  <c r="K79" i="20"/>
  <c r="J79" i="20"/>
  <c r="K78" i="20"/>
  <c r="J78" i="20"/>
  <c r="K77" i="20"/>
  <c r="J77" i="20"/>
  <c r="K76" i="20"/>
  <c r="J76" i="20"/>
  <c r="K75" i="20"/>
  <c r="J75" i="20"/>
  <c r="K74" i="20"/>
  <c r="J74" i="20"/>
  <c r="K73" i="20"/>
  <c r="J73" i="20"/>
  <c r="K72" i="20"/>
  <c r="J72" i="20"/>
  <c r="K71" i="20"/>
  <c r="J71" i="20"/>
  <c r="K70" i="20"/>
  <c r="J70" i="20"/>
  <c r="K69" i="20"/>
  <c r="J69" i="20"/>
  <c r="K68" i="20"/>
  <c r="J68" i="20"/>
  <c r="K67" i="20"/>
  <c r="J67" i="20"/>
  <c r="K66" i="20"/>
  <c r="J66" i="20"/>
  <c r="K65" i="20"/>
  <c r="J65" i="20"/>
  <c r="K64" i="20"/>
  <c r="J64" i="20"/>
  <c r="K63" i="20"/>
  <c r="J63" i="20"/>
  <c r="K62" i="20"/>
  <c r="J62" i="20"/>
  <c r="K61" i="20"/>
  <c r="J61" i="20"/>
  <c r="K60" i="20"/>
  <c r="J60" i="20"/>
  <c r="K59" i="20"/>
  <c r="J59" i="20"/>
  <c r="K58" i="20"/>
  <c r="J58" i="20"/>
  <c r="K57" i="20"/>
  <c r="J57" i="20"/>
  <c r="K56" i="20"/>
  <c r="J56" i="20"/>
  <c r="K55" i="20"/>
  <c r="J55" i="20"/>
  <c r="K54" i="20"/>
  <c r="J54" i="20"/>
  <c r="K53" i="20"/>
  <c r="J53" i="20"/>
  <c r="K52" i="20"/>
  <c r="J52" i="20"/>
  <c r="K51" i="20"/>
  <c r="J51" i="20"/>
  <c r="K50" i="20"/>
  <c r="J50" i="20"/>
  <c r="K49" i="20"/>
  <c r="J49" i="20"/>
  <c r="K48" i="20"/>
  <c r="J48" i="20"/>
  <c r="K47" i="20"/>
  <c r="J47" i="20"/>
  <c r="K46" i="20"/>
  <c r="J46" i="20"/>
  <c r="K45" i="20"/>
  <c r="J45" i="20"/>
  <c r="K44" i="20"/>
  <c r="J44" i="20"/>
  <c r="K43" i="20"/>
  <c r="J43" i="20"/>
  <c r="K42" i="20"/>
  <c r="J42" i="20"/>
  <c r="K41" i="20"/>
  <c r="J41" i="20"/>
  <c r="K40" i="20"/>
  <c r="J40" i="20"/>
  <c r="K39" i="20"/>
  <c r="J39" i="20"/>
  <c r="K38" i="20"/>
  <c r="J38" i="20"/>
  <c r="K37" i="20"/>
  <c r="J37" i="20"/>
  <c r="K36" i="20"/>
  <c r="J36" i="20"/>
  <c r="K35" i="20"/>
  <c r="J35" i="20"/>
  <c r="K34" i="20"/>
  <c r="J34" i="20"/>
  <c r="K33" i="20"/>
  <c r="J33" i="20"/>
  <c r="K32" i="20"/>
  <c r="J32" i="20"/>
  <c r="K31" i="20"/>
  <c r="J31" i="20"/>
  <c r="K30" i="20"/>
  <c r="J30" i="20"/>
  <c r="K29" i="20"/>
  <c r="J29" i="20"/>
  <c r="K28" i="20"/>
  <c r="J28" i="20"/>
  <c r="K27" i="20"/>
  <c r="J27" i="20"/>
  <c r="K26" i="20"/>
  <c r="J26" i="20"/>
  <c r="K25" i="20"/>
  <c r="J25" i="20"/>
  <c r="K24" i="20"/>
  <c r="J24" i="20"/>
  <c r="K23" i="20"/>
  <c r="J23" i="20"/>
  <c r="K22" i="20"/>
  <c r="J22" i="20"/>
  <c r="K21" i="20"/>
  <c r="J21" i="20"/>
  <c r="K20" i="20"/>
  <c r="J20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3" i="20"/>
  <c r="I3" i="20"/>
  <c r="H3" i="20"/>
  <c r="K497" i="18"/>
  <c r="J497" i="18"/>
  <c r="K496" i="18"/>
  <c r="J496" i="18"/>
  <c r="K495" i="18"/>
  <c r="J495" i="18"/>
  <c r="K494" i="18"/>
  <c r="J494" i="18"/>
  <c r="K493" i="18"/>
  <c r="J493" i="18"/>
  <c r="K492" i="18"/>
  <c r="J492" i="18"/>
  <c r="K491" i="18"/>
  <c r="J491" i="18"/>
  <c r="K490" i="18"/>
  <c r="J490" i="18"/>
  <c r="K489" i="18"/>
  <c r="J489" i="18"/>
  <c r="K488" i="18"/>
  <c r="J488" i="18"/>
  <c r="K487" i="18"/>
  <c r="J487" i="18"/>
  <c r="K486" i="18"/>
  <c r="J486" i="18"/>
  <c r="K485" i="18"/>
  <c r="J485" i="18"/>
  <c r="K484" i="18"/>
  <c r="J484" i="18"/>
  <c r="K483" i="18"/>
  <c r="J483" i="18"/>
  <c r="K482" i="18"/>
  <c r="J482" i="18"/>
  <c r="K481" i="18"/>
  <c r="J481" i="18"/>
  <c r="K480" i="18"/>
  <c r="J480" i="18"/>
  <c r="K479" i="18"/>
  <c r="J479" i="18"/>
  <c r="K478" i="18"/>
  <c r="J478" i="18"/>
  <c r="K477" i="18"/>
  <c r="J477" i="18"/>
  <c r="K476" i="18"/>
  <c r="J476" i="18"/>
  <c r="K475" i="18"/>
  <c r="J475" i="18"/>
  <c r="K474" i="18"/>
  <c r="J474" i="18"/>
  <c r="K473" i="18"/>
  <c r="J473" i="18"/>
  <c r="K472" i="18"/>
  <c r="J472" i="18"/>
  <c r="K471" i="18"/>
  <c r="J471" i="18"/>
  <c r="K470" i="18"/>
  <c r="J470" i="18"/>
  <c r="K469" i="18"/>
  <c r="J469" i="18"/>
  <c r="K468" i="18"/>
  <c r="J468" i="18"/>
  <c r="K467" i="18"/>
  <c r="J467" i="18"/>
  <c r="K466" i="18"/>
  <c r="J466" i="18"/>
  <c r="K465" i="18"/>
  <c r="J465" i="18"/>
  <c r="K464" i="18"/>
  <c r="J464" i="18"/>
  <c r="K463" i="18"/>
  <c r="J463" i="18"/>
  <c r="K462" i="18"/>
  <c r="J462" i="18"/>
  <c r="K461" i="18"/>
  <c r="J461" i="18"/>
  <c r="K460" i="18"/>
  <c r="J460" i="18"/>
  <c r="K459" i="18"/>
  <c r="J459" i="18"/>
  <c r="K458" i="18"/>
  <c r="J458" i="18"/>
  <c r="K457" i="18"/>
  <c r="J457" i="18"/>
  <c r="K456" i="18"/>
  <c r="J456" i="18"/>
  <c r="K455" i="18"/>
  <c r="J455" i="18"/>
  <c r="K454" i="18"/>
  <c r="J454" i="18"/>
  <c r="K453" i="18"/>
  <c r="J453" i="18"/>
  <c r="K452" i="18"/>
  <c r="J452" i="18"/>
  <c r="K451" i="18"/>
  <c r="J451" i="18"/>
  <c r="K450" i="18"/>
  <c r="J450" i="18"/>
  <c r="K449" i="18"/>
  <c r="J449" i="18"/>
  <c r="K448" i="18"/>
  <c r="J448" i="18"/>
  <c r="K447" i="18"/>
  <c r="J447" i="18"/>
  <c r="K446" i="18"/>
  <c r="J446" i="18"/>
  <c r="K445" i="18"/>
  <c r="J445" i="18"/>
  <c r="K444" i="18"/>
  <c r="J444" i="18"/>
  <c r="K443" i="18"/>
  <c r="J443" i="18"/>
  <c r="K442" i="18"/>
  <c r="J442" i="18"/>
  <c r="K441" i="18"/>
  <c r="J441" i="18"/>
  <c r="K440" i="18"/>
  <c r="J440" i="18"/>
  <c r="K439" i="18"/>
  <c r="J439" i="18"/>
  <c r="K438" i="18"/>
  <c r="J438" i="18"/>
  <c r="K437" i="18"/>
  <c r="J437" i="18"/>
  <c r="K436" i="18"/>
  <c r="J436" i="18"/>
  <c r="K435" i="18"/>
  <c r="J435" i="18"/>
  <c r="K434" i="18"/>
  <c r="J434" i="18"/>
  <c r="K433" i="18"/>
  <c r="J433" i="18"/>
  <c r="K432" i="18"/>
  <c r="J432" i="18"/>
  <c r="K431" i="18"/>
  <c r="J431" i="18"/>
  <c r="K430" i="18"/>
  <c r="J430" i="18"/>
  <c r="K429" i="18"/>
  <c r="J429" i="18"/>
  <c r="K428" i="18"/>
  <c r="J428" i="18"/>
  <c r="K427" i="18"/>
  <c r="J427" i="18"/>
  <c r="K426" i="18"/>
  <c r="J426" i="18"/>
  <c r="K425" i="18"/>
  <c r="J425" i="18"/>
  <c r="K424" i="18"/>
  <c r="J424" i="18"/>
  <c r="K423" i="18"/>
  <c r="J423" i="18"/>
  <c r="K422" i="18"/>
  <c r="J422" i="18"/>
  <c r="K421" i="18"/>
  <c r="J421" i="18"/>
  <c r="K420" i="18"/>
  <c r="J420" i="18"/>
  <c r="K419" i="18"/>
  <c r="J419" i="18"/>
  <c r="K418" i="18"/>
  <c r="J418" i="18"/>
  <c r="K417" i="18"/>
  <c r="J417" i="18"/>
  <c r="K416" i="18"/>
  <c r="J416" i="18"/>
  <c r="K415" i="18"/>
  <c r="J415" i="18"/>
  <c r="K414" i="18"/>
  <c r="J414" i="18"/>
  <c r="K413" i="18"/>
  <c r="J413" i="18"/>
  <c r="K412" i="18"/>
  <c r="J412" i="18"/>
  <c r="K411" i="18"/>
  <c r="J411" i="18"/>
  <c r="K410" i="18"/>
  <c r="J410" i="18"/>
  <c r="K409" i="18"/>
  <c r="J409" i="18"/>
  <c r="K408" i="18"/>
  <c r="J408" i="18"/>
  <c r="K407" i="18"/>
  <c r="J407" i="18"/>
  <c r="K406" i="18"/>
  <c r="J406" i="18"/>
  <c r="K405" i="18"/>
  <c r="J405" i="18"/>
  <c r="K404" i="18"/>
  <c r="J404" i="18"/>
  <c r="K403" i="18"/>
  <c r="J403" i="18"/>
  <c r="K402" i="18"/>
  <c r="J402" i="18"/>
  <c r="K401" i="18"/>
  <c r="J401" i="18"/>
  <c r="K400" i="18"/>
  <c r="J400" i="18"/>
  <c r="K399" i="18"/>
  <c r="J399" i="18"/>
  <c r="K398" i="18"/>
  <c r="J398" i="18"/>
  <c r="K397" i="18"/>
  <c r="J397" i="18"/>
  <c r="K396" i="18"/>
  <c r="J396" i="18"/>
  <c r="K395" i="18"/>
  <c r="J395" i="18"/>
  <c r="K394" i="18"/>
  <c r="J394" i="18"/>
  <c r="K393" i="18"/>
  <c r="J393" i="18"/>
  <c r="K392" i="18"/>
  <c r="J392" i="18"/>
  <c r="K391" i="18"/>
  <c r="J391" i="18"/>
  <c r="K390" i="18"/>
  <c r="J390" i="18"/>
  <c r="K389" i="18"/>
  <c r="J389" i="18"/>
  <c r="K388" i="18"/>
  <c r="J388" i="18"/>
  <c r="K387" i="18"/>
  <c r="J387" i="18"/>
  <c r="K386" i="18"/>
  <c r="J386" i="18"/>
  <c r="K385" i="18"/>
  <c r="J385" i="18"/>
  <c r="K384" i="18"/>
  <c r="J384" i="18"/>
  <c r="K383" i="18"/>
  <c r="J383" i="18"/>
  <c r="K382" i="18"/>
  <c r="J382" i="18"/>
  <c r="K381" i="18"/>
  <c r="J381" i="18"/>
  <c r="K380" i="18"/>
  <c r="J380" i="18"/>
  <c r="K379" i="18"/>
  <c r="J379" i="18"/>
  <c r="K378" i="18"/>
  <c r="J378" i="18"/>
  <c r="K377" i="18"/>
  <c r="J377" i="18"/>
  <c r="K376" i="18"/>
  <c r="J376" i="18"/>
  <c r="K375" i="18"/>
  <c r="J375" i="18"/>
  <c r="K374" i="18"/>
  <c r="J374" i="18"/>
  <c r="K373" i="18"/>
  <c r="J373" i="18"/>
  <c r="K372" i="18"/>
  <c r="J372" i="18"/>
  <c r="K371" i="18"/>
  <c r="J371" i="18"/>
  <c r="K370" i="18"/>
  <c r="J370" i="18"/>
  <c r="K369" i="18"/>
  <c r="J369" i="18"/>
  <c r="K368" i="18"/>
  <c r="J368" i="18"/>
  <c r="K367" i="18"/>
  <c r="J367" i="18"/>
  <c r="K366" i="18"/>
  <c r="J366" i="18"/>
  <c r="K365" i="18"/>
  <c r="J365" i="18"/>
  <c r="K364" i="18"/>
  <c r="J364" i="18"/>
  <c r="K363" i="18"/>
  <c r="J363" i="18"/>
  <c r="K362" i="18"/>
  <c r="J362" i="18"/>
  <c r="K361" i="18"/>
  <c r="J361" i="18"/>
  <c r="K360" i="18"/>
  <c r="J360" i="18"/>
  <c r="K359" i="18"/>
  <c r="J359" i="18"/>
  <c r="K358" i="18"/>
  <c r="J358" i="18"/>
  <c r="K357" i="18"/>
  <c r="J357" i="18"/>
  <c r="K356" i="18"/>
  <c r="J356" i="18"/>
  <c r="K355" i="18"/>
  <c r="J355" i="18"/>
  <c r="K354" i="18"/>
  <c r="J354" i="18"/>
  <c r="K353" i="18"/>
  <c r="J353" i="18"/>
  <c r="K352" i="18"/>
  <c r="J352" i="18"/>
  <c r="K351" i="18"/>
  <c r="J351" i="18"/>
  <c r="K350" i="18"/>
  <c r="J350" i="18"/>
  <c r="K349" i="18"/>
  <c r="J349" i="18"/>
  <c r="K348" i="18"/>
  <c r="J348" i="18"/>
  <c r="K347" i="18"/>
  <c r="J347" i="18"/>
  <c r="K346" i="18"/>
  <c r="J346" i="18"/>
  <c r="K345" i="18"/>
  <c r="J345" i="18"/>
  <c r="K344" i="18"/>
  <c r="J344" i="18"/>
  <c r="K343" i="18"/>
  <c r="J343" i="18"/>
  <c r="K342" i="18"/>
  <c r="J342" i="18"/>
  <c r="K341" i="18"/>
  <c r="J341" i="18"/>
  <c r="K340" i="18"/>
  <c r="J340" i="18"/>
  <c r="K339" i="18"/>
  <c r="J339" i="18"/>
  <c r="K338" i="18"/>
  <c r="J338" i="18"/>
  <c r="K337" i="18"/>
  <c r="J337" i="18"/>
  <c r="K336" i="18"/>
  <c r="J336" i="18"/>
  <c r="K335" i="18"/>
  <c r="J335" i="18"/>
  <c r="K334" i="18"/>
  <c r="J334" i="18"/>
  <c r="K333" i="18"/>
  <c r="J333" i="18"/>
  <c r="K332" i="18"/>
  <c r="J332" i="18"/>
  <c r="K331" i="18"/>
  <c r="J331" i="18"/>
  <c r="K330" i="18"/>
  <c r="J330" i="18"/>
  <c r="K329" i="18"/>
  <c r="J329" i="18"/>
  <c r="K328" i="18"/>
  <c r="J328" i="18"/>
  <c r="K327" i="18"/>
  <c r="J327" i="18"/>
  <c r="K326" i="18"/>
  <c r="J326" i="18"/>
  <c r="K325" i="18"/>
  <c r="J325" i="18"/>
  <c r="K324" i="18"/>
  <c r="J324" i="18"/>
  <c r="K323" i="18"/>
  <c r="J323" i="18"/>
  <c r="K322" i="18"/>
  <c r="J322" i="18"/>
  <c r="K321" i="18"/>
  <c r="J321" i="18"/>
  <c r="K320" i="18"/>
  <c r="J320" i="18"/>
  <c r="K319" i="18"/>
  <c r="J319" i="18"/>
  <c r="K318" i="18"/>
  <c r="J318" i="18"/>
  <c r="K317" i="18"/>
  <c r="J317" i="18"/>
  <c r="K316" i="18"/>
  <c r="J316" i="18"/>
  <c r="K315" i="18"/>
  <c r="J315" i="18"/>
  <c r="K314" i="18"/>
  <c r="J314" i="18"/>
  <c r="K313" i="18"/>
  <c r="J313" i="18"/>
  <c r="K312" i="18"/>
  <c r="J312" i="18"/>
  <c r="K311" i="18"/>
  <c r="J311" i="18"/>
  <c r="K310" i="18"/>
  <c r="J310" i="18"/>
  <c r="K309" i="18"/>
  <c r="J309" i="18"/>
  <c r="K308" i="18"/>
  <c r="J308" i="18"/>
  <c r="K307" i="18"/>
  <c r="J307" i="18"/>
  <c r="K306" i="18"/>
  <c r="J306" i="18"/>
  <c r="K305" i="18"/>
  <c r="J305" i="18"/>
  <c r="K304" i="18"/>
  <c r="J304" i="18"/>
  <c r="K303" i="18"/>
  <c r="J303" i="18"/>
  <c r="K302" i="18"/>
  <c r="J302" i="18"/>
  <c r="K301" i="18"/>
  <c r="J301" i="18"/>
  <c r="K300" i="18"/>
  <c r="J300" i="18"/>
  <c r="K299" i="18"/>
  <c r="J299" i="18"/>
  <c r="K298" i="18"/>
  <c r="J298" i="18"/>
  <c r="K297" i="18"/>
  <c r="J297" i="18"/>
  <c r="K296" i="18"/>
  <c r="J296" i="18"/>
  <c r="K295" i="18"/>
  <c r="J295" i="18"/>
  <c r="K294" i="18"/>
  <c r="J294" i="18"/>
  <c r="K293" i="18"/>
  <c r="J293" i="18"/>
  <c r="K292" i="18"/>
  <c r="J292" i="18"/>
  <c r="K291" i="18"/>
  <c r="J291" i="18"/>
  <c r="K290" i="18"/>
  <c r="J290" i="18"/>
  <c r="K289" i="18"/>
  <c r="J289" i="18"/>
  <c r="K288" i="18"/>
  <c r="J288" i="18"/>
  <c r="K287" i="18"/>
  <c r="J287" i="18"/>
  <c r="K286" i="18"/>
  <c r="J286" i="18"/>
  <c r="K285" i="18"/>
  <c r="J285" i="18"/>
  <c r="K284" i="18"/>
  <c r="J284" i="18"/>
  <c r="K283" i="18"/>
  <c r="J283" i="18"/>
  <c r="K282" i="18"/>
  <c r="J282" i="18"/>
  <c r="K281" i="18"/>
  <c r="J281" i="18"/>
  <c r="K280" i="18"/>
  <c r="J280" i="18"/>
  <c r="K279" i="18"/>
  <c r="J279" i="18"/>
  <c r="K278" i="18"/>
  <c r="J278" i="18"/>
  <c r="K277" i="18"/>
  <c r="J277" i="18"/>
  <c r="K276" i="18"/>
  <c r="J276" i="18"/>
  <c r="K275" i="18"/>
  <c r="J275" i="18"/>
  <c r="K274" i="18"/>
  <c r="J274" i="18"/>
  <c r="K273" i="18"/>
  <c r="J273" i="18"/>
  <c r="K272" i="18"/>
  <c r="J272" i="18"/>
  <c r="K271" i="18"/>
  <c r="J271" i="18"/>
  <c r="K270" i="18"/>
  <c r="J270" i="18"/>
  <c r="K269" i="18"/>
  <c r="J269" i="18"/>
  <c r="K268" i="18"/>
  <c r="J268" i="18"/>
  <c r="K267" i="18"/>
  <c r="J267" i="18"/>
  <c r="K266" i="18"/>
  <c r="J266" i="18"/>
  <c r="K265" i="18"/>
  <c r="J265" i="18"/>
  <c r="K264" i="18"/>
  <c r="J264" i="18"/>
  <c r="K263" i="18"/>
  <c r="J263" i="18"/>
  <c r="K262" i="18"/>
  <c r="J262" i="18"/>
  <c r="K261" i="18"/>
  <c r="J261" i="18"/>
  <c r="K260" i="18"/>
  <c r="J260" i="18"/>
  <c r="K259" i="18"/>
  <c r="J259" i="18"/>
  <c r="K258" i="18"/>
  <c r="J258" i="18"/>
  <c r="K257" i="18"/>
  <c r="J257" i="18"/>
  <c r="K256" i="18"/>
  <c r="J256" i="18"/>
  <c r="K255" i="18"/>
  <c r="J255" i="18"/>
  <c r="K254" i="18"/>
  <c r="J254" i="18"/>
  <c r="K253" i="18"/>
  <c r="J253" i="18"/>
  <c r="K252" i="18"/>
  <c r="J252" i="18"/>
  <c r="K251" i="18"/>
  <c r="J251" i="18"/>
  <c r="K250" i="18"/>
  <c r="J250" i="18"/>
  <c r="K249" i="18"/>
  <c r="J249" i="18"/>
  <c r="K248" i="18"/>
  <c r="J248" i="18"/>
  <c r="K247" i="18"/>
  <c r="J247" i="18"/>
  <c r="K246" i="18"/>
  <c r="J246" i="18"/>
  <c r="K245" i="18"/>
  <c r="J245" i="18"/>
  <c r="K244" i="18"/>
  <c r="J244" i="18"/>
  <c r="K243" i="18"/>
  <c r="J243" i="18"/>
  <c r="K242" i="18"/>
  <c r="J242" i="18"/>
  <c r="K241" i="18"/>
  <c r="J241" i="18"/>
  <c r="K240" i="18"/>
  <c r="J240" i="18"/>
  <c r="K239" i="18"/>
  <c r="J239" i="18"/>
  <c r="K238" i="18"/>
  <c r="J238" i="18"/>
  <c r="K237" i="18"/>
  <c r="J237" i="18"/>
  <c r="K236" i="18"/>
  <c r="J236" i="18"/>
  <c r="K235" i="18"/>
  <c r="J235" i="18"/>
  <c r="K234" i="18"/>
  <c r="J234" i="18"/>
  <c r="K233" i="18"/>
  <c r="J233" i="18"/>
  <c r="K232" i="18"/>
  <c r="J232" i="18"/>
  <c r="K231" i="18"/>
  <c r="J231" i="18"/>
  <c r="K230" i="18"/>
  <c r="J230" i="18"/>
  <c r="K229" i="18"/>
  <c r="J229" i="18"/>
  <c r="K228" i="18"/>
  <c r="J228" i="18"/>
  <c r="K227" i="18"/>
  <c r="J227" i="18"/>
  <c r="K226" i="18"/>
  <c r="J226" i="18"/>
  <c r="K225" i="18"/>
  <c r="J225" i="18"/>
  <c r="K224" i="18"/>
  <c r="J224" i="18"/>
  <c r="K223" i="18"/>
  <c r="J223" i="18"/>
  <c r="K222" i="18"/>
  <c r="J222" i="18"/>
  <c r="K221" i="18"/>
  <c r="J221" i="18"/>
  <c r="K220" i="18"/>
  <c r="J220" i="18"/>
  <c r="K219" i="18"/>
  <c r="J219" i="18"/>
  <c r="K218" i="18"/>
  <c r="J218" i="18"/>
  <c r="K217" i="18"/>
  <c r="J217" i="18"/>
  <c r="K216" i="18"/>
  <c r="J216" i="18"/>
  <c r="K215" i="18"/>
  <c r="J215" i="18"/>
  <c r="K214" i="18"/>
  <c r="J214" i="18"/>
  <c r="K213" i="18"/>
  <c r="J213" i="18"/>
  <c r="K212" i="18"/>
  <c r="J212" i="18"/>
  <c r="K211" i="18"/>
  <c r="J211" i="18"/>
  <c r="K210" i="18"/>
  <c r="J210" i="18"/>
  <c r="K209" i="18"/>
  <c r="J209" i="18"/>
  <c r="K208" i="18"/>
  <c r="J208" i="18"/>
  <c r="K207" i="18"/>
  <c r="J207" i="18"/>
  <c r="K206" i="18"/>
  <c r="J206" i="18"/>
  <c r="K205" i="18"/>
  <c r="J205" i="18"/>
  <c r="K204" i="18"/>
  <c r="J204" i="18"/>
  <c r="K203" i="18"/>
  <c r="J203" i="18"/>
  <c r="K202" i="18"/>
  <c r="J202" i="18"/>
  <c r="K201" i="18"/>
  <c r="J201" i="18"/>
  <c r="K200" i="18"/>
  <c r="J200" i="18"/>
  <c r="K199" i="18"/>
  <c r="J199" i="18"/>
  <c r="K198" i="18"/>
  <c r="J198" i="18"/>
  <c r="K197" i="18"/>
  <c r="J197" i="18"/>
  <c r="K196" i="18"/>
  <c r="J196" i="18"/>
  <c r="K195" i="18"/>
  <c r="J195" i="18"/>
  <c r="K194" i="18"/>
  <c r="J194" i="18"/>
  <c r="K193" i="18"/>
  <c r="J193" i="18"/>
  <c r="K192" i="18"/>
  <c r="J192" i="18"/>
  <c r="K191" i="18"/>
  <c r="J191" i="18"/>
  <c r="K190" i="18"/>
  <c r="J190" i="18"/>
  <c r="K189" i="18"/>
  <c r="J189" i="18"/>
  <c r="K188" i="18"/>
  <c r="J188" i="18"/>
  <c r="K187" i="18"/>
  <c r="J187" i="18"/>
  <c r="K186" i="18"/>
  <c r="J186" i="18"/>
  <c r="K185" i="18"/>
  <c r="J185" i="18"/>
  <c r="K184" i="18"/>
  <c r="J184" i="18"/>
  <c r="K183" i="18"/>
  <c r="J183" i="18"/>
  <c r="K182" i="18"/>
  <c r="J182" i="18"/>
  <c r="K181" i="18"/>
  <c r="J181" i="18"/>
  <c r="K180" i="18"/>
  <c r="J180" i="18"/>
  <c r="K179" i="18"/>
  <c r="J179" i="18"/>
  <c r="K178" i="18"/>
  <c r="J178" i="18"/>
  <c r="K177" i="18"/>
  <c r="J177" i="18"/>
  <c r="K176" i="18"/>
  <c r="J176" i="18"/>
  <c r="K175" i="18"/>
  <c r="J175" i="18"/>
  <c r="K174" i="18"/>
  <c r="J174" i="18"/>
  <c r="K173" i="18"/>
  <c r="J173" i="18"/>
  <c r="K172" i="18"/>
  <c r="J172" i="18"/>
  <c r="K171" i="18"/>
  <c r="J171" i="18"/>
  <c r="K170" i="18"/>
  <c r="J170" i="18"/>
  <c r="K169" i="18"/>
  <c r="J169" i="18"/>
  <c r="K168" i="18"/>
  <c r="J168" i="18"/>
  <c r="K167" i="18"/>
  <c r="J167" i="18"/>
  <c r="K166" i="18"/>
  <c r="J166" i="18"/>
  <c r="K165" i="18"/>
  <c r="J165" i="18"/>
  <c r="K164" i="18"/>
  <c r="J164" i="18"/>
  <c r="K163" i="18"/>
  <c r="J163" i="18"/>
  <c r="K162" i="18"/>
  <c r="J162" i="18"/>
  <c r="K161" i="18"/>
  <c r="J161" i="18"/>
  <c r="K160" i="18"/>
  <c r="J160" i="18"/>
  <c r="K159" i="18"/>
  <c r="J159" i="18"/>
  <c r="K158" i="18"/>
  <c r="J158" i="18"/>
  <c r="K157" i="18"/>
  <c r="J157" i="18"/>
  <c r="K156" i="18"/>
  <c r="J156" i="18"/>
  <c r="K155" i="18"/>
  <c r="J155" i="18"/>
  <c r="K154" i="18"/>
  <c r="J154" i="18"/>
  <c r="K153" i="18"/>
  <c r="J153" i="18"/>
  <c r="K152" i="18"/>
  <c r="J152" i="18"/>
  <c r="K151" i="18"/>
  <c r="J151" i="18"/>
  <c r="K150" i="18"/>
  <c r="J150" i="18"/>
  <c r="K149" i="18"/>
  <c r="J149" i="18"/>
  <c r="K148" i="18"/>
  <c r="J148" i="18"/>
  <c r="K147" i="18"/>
  <c r="J147" i="18"/>
  <c r="K146" i="18"/>
  <c r="J146" i="18"/>
  <c r="K145" i="18"/>
  <c r="J145" i="18"/>
  <c r="K144" i="18"/>
  <c r="J144" i="18"/>
  <c r="K143" i="18"/>
  <c r="J143" i="18"/>
  <c r="K142" i="18"/>
  <c r="J142" i="18"/>
  <c r="K141" i="18"/>
  <c r="J141" i="18"/>
  <c r="K140" i="18"/>
  <c r="J140" i="18"/>
  <c r="K139" i="18"/>
  <c r="J139" i="18"/>
  <c r="K138" i="18"/>
  <c r="J138" i="18"/>
  <c r="K137" i="18"/>
  <c r="J137" i="18"/>
  <c r="K136" i="18"/>
  <c r="J136" i="18"/>
  <c r="K135" i="18"/>
  <c r="J135" i="18"/>
  <c r="K134" i="18"/>
  <c r="J134" i="18"/>
  <c r="K133" i="18"/>
  <c r="J133" i="18"/>
  <c r="K132" i="18"/>
  <c r="J132" i="18"/>
  <c r="K131" i="18"/>
  <c r="J131" i="18"/>
  <c r="K130" i="18"/>
  <c r="J130" i="18"/>
  <c r="K129" i="18"/>
  <c r="J129" i="18"/>
  <c r="K128" i="18"/>
  <c r="J128" i="18"/>
  <c r="K127" i="18"/>
  <c r="J127" i="18"/>
  <c r="K126" i="18"/>
  <c r="J126" i="18"/>
  <c r="K125" i="18"/>
  <c r="J125" i="18"/>
  <c r="K124" i="18"/>
  <c r="J124" i="18"/>
  <c r="K123" i="18"/>
  <c r="J123" i="18"/>
  <c r="K122" i="18"/>
  <c r="J122" i="18"/>
  <c r="K121" i="18"/>
  <c r="J121" i="18"/>
  <c r="K120" i="18"/>
  <c r="J120" i="18"/>
  <c r="K119" i="18"/>
  <c r="J119" i="18"/>
  <c r="K118" i="18"/>
  <c r="J118" i="18"/>
  <c r="K117" i="18"/>
  <c r="J117" i="18"/>
  <c r="K116" i="18"/>
  <c r="J116" i="18"/>
  <c r="K115" i="18"/>
  <c r="J115" i="18"/>
  <c r="K114" i="18"/>
  <c r="J114" i="18"/>
  <c r="K113" i="18"/>
  <c r="J113" i="18"/>
  <c r="K112" i="18"/>
  <c r="J112" i="18"/>
  <c r="K111" i="18"/>
  <c r="J111" i="18"/>
  <c r="K110" i="18"/>
  <c r="J110" i="18"/>
  <c r="K109" i="18"/>
  <c r="J109" i="18"/>
  <c r="K108" i="18"/>
  <c r="J108" i="18"/>
  <c r="K107" i="18"/>
  <c r="J107" i="18"/>
  <c r="K106" i="18"/>
  <c r="J106" i="18"/>
  <c r="K105" i="18"/>
  <c r="J105" i="18"/>
  <c r="K104" i="18"/>
  <c r="J104" i="18"/>
  <c r="K103" i="18"/>
  <c r="J103" i="18"/>
  <c r="K102" i="18"/>
  <c r="J102" i="18"/>
  <c r="K101" i="18"/>
  <c r="J101" i="18"/>
  <c r="K100" i="18"/>
  <c r="J100" i="18"/>
  <c r="K99" i="18"/>
  <c r="J99" i="18"/>
  <c r="K98" i="18"/>
  <c r="J98" i="18"/>
  <c r="K97" i="18"/>
  <c r="J97" i="18"/>
  <c r="K96" i="18"/>
  <c r="J96" i="18"/>
  <c r="K95" i="18"/>
  <c r="J95" i="18"/>
  <c r="K94" i="18"/>
  <c r="J94" i="18"/>
  <c r="K93" i="18"/>
  <c r="J93" i="18"/>
  <c r="K92" i="18"/>
  <c r="J92" i="18"/>
  <c r="K91" i="18"/>
  <c r="J91" i="18"/>
  <c r="K90" i="18"/>
  <c r="J90" i="18"/>
  <c r="K89" i="18"/>
  <c r="J89" i="18"/>
  <c r="K88" i="18"/>
  <c r="J88" i="18"/>
  <c r="K87" i="18"/>
  <c r="J87" i="18"/>
  <c r="K86" i="18"/>
  <c r="J86" i="18"/>
  <c r="K85" i="18"/>
  <c r="J85" i="18"/>
  <c r="K84" i="18"/>
  <c r="J84" i="18"/>
  <c r="K83" i="18"/>
  <c r="J83" i="18"/>
  <c r="K82" i="18"/>
  <c r="J82" i="18"/>
  <c r="K81" i="18"/>
  <c r="J81" i="18"/>
  <c r="K80" i="18"/>
  <c r="J80" i="18"/>
  <c r="K79" i="18"/>
  <c r="J79" i="18"/>
  <c r="K78" i="18"/>
  <c r="J78" i="18"/>
  <c r="K77" i="18"/>
  <c r="J77" i="18"/>
  <c r="K76" i="18"/>
  <c r="J76" i="18"/>
  <c r="K75" i="18"/>
  <c r="J75" i="18"/>
  <c r="K74" i="18"/>
  <c r="J74" i="18"/>
  <c r="K73" i="18"/>
  <c r="J73" i="18"/>
  <c r="K72" i="18"/>
  <c r="J72" i="18"/>
  <c r="K71" i="18"/>
  <c r="J71" i="18"/>
  <c r="K70" i="18"/>
  <c r="J70" i="18"/>
  <c r="K69" i="18"/>
  <c r="J69" i="18"/>
  <c r="K68" i="18"/>
  <c r="J68" i="18"/>
  <c r="K67" i="18"/>
  <c r="J67" i="18"/>
  <c r="K66" i="18"/>
  <c r="J66" i="18"/>
  <c r="K65" i="18"/>
  <c r="J65" i="18"/>
  <c r="K64" i="18"/>
  <c r="J64" i="18"/>
  <c r="K63" i="18"/>
  <c r="J63" i="18"/>
  <c r="K62" i="18"/>
  <c r="J62" i="18"/>
  <c r="K61" i="18"/>
  <c r="J61" i="18"/>
  <c r="K60" i="18"/>
  <c r="J60" i="18"/>
  <c r="K59" i="18"/>
  <c r="J59" i="18"/>
  <c r="K58" i="18"/>
  <c r="J58" i="18"/>
  <c r="K57" i="18"/>
  <c r="J57" i="18"/>
  <c r="K56" i="18"/>
  <c r="J56" i="18"/>
  <c r="K55" i="18"/>
  <c r="J55" i="18"/>
  <c r="K54" i="18"/>
  <c r="J54" i="18"/>
  <c r="K53" i="18"/>
  <c r="J53" i="18"/>
  <c r="K52" i="18"/>
  <c r="J52" i="18"/>
  <c r="K51" i="18"/>
  <c r="J51" i="18"/>
  <c r="K50" i="18"/>
  <c r="J50" i="18"/>
  <c r="K49" i="18"/>
  <c r="J49" i="18"/>
  <c r="K48" i="18"/>
  <c r="J48" i="18"/>
  <c r="K47" i="18"/>
  <c r="J47" i="18"/>
  <c r="K46" i="18"/>
  <c r="J46" i="18"/>
  <c r="K45" i="18"/>
  <c r="J45" i="18"/>
  <c r="K44" i="18"/>
  <c r="J44" i="18"/>
  <c r="K43" i="18"/>
  <c r="J43" i="18"/>
  <c r="K42" i="18"/>
  <c r="J42" i="18"/>
  <c r="K41" i="18"/>
  <c r="J41" i="18"/>
  <c r="K40" i="18"/>
  <c r="J40" i="18"/>
  <c r="K39" i="18"/>
  <c r="J39" i="18"/>
  <c r="K38" i="18"/>
  <c r="J38" i="18"/>
  <c r="K37" i="18"/>
  <c r="J37" i="18"/>
  <c r="K36" i="18"/>
  <c r="J36" i="18"/>
  <c r="K35" i="18"/>
  <c r="J35" i="18"/>
  <c r="K34" i="18"/>
  <c r="J34" i="18"/>
  <c r="K33" i="18"/>
  <c r="J33" i="18"/>
  <c r="K32" i="18"/>
  <c r="J32" i="18"/>
  <c r="K31" i="18"/>
  <c r="J31" i="18"/>
  <c r="K30" i="18"/>
  <c r="J30" i="18"/>
  <c r="K29" i="18"/>
  <c r="J29" i="18"/>
  <c r="K28" i="18"/>
  <c r="J28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3" i="18"/>
  <c r="I3" i="18"/>
  <c r="H3" i="18"/>
  <c r="K498" i="16"/>
  <c r="J498" i="16"/>
  <c r="K497" i="16"/>
  <c r="J497" i="16"/>
  <c r="K496" i="16"/>
  <c r="J496" i="16"/>
  <c r="K495" i="16"/>
  <c r="J495" i="16"/>
  <c r="K494" i="16"/>
  <c r="J494" i="16"/>
  <c r="K493" i="16"/>
  <c r="J493" i="16"/>
  <c r="K492" i="16"/>
  <c r="J492" i="16"/>
  <c r="K491" i="16"/>
  <c r="J491" i="16"/>
  <c r="K490" i="16"/>
  <c r="J490" i="16"/>
  <c r="K489" i="16"/>
  <c r="J489" i="16"/>
  <c r="K488" i="16"/>
  <c r="J488" i="16"/>
  <c r="K487" i="16"/>
  <c r="J487" i="16"/>
  <c r="K486" i="16"/>
  <c r="J486" i="16"/>
  <c r="K485" i="16"/>
  <c r="J485" i="16"/>
  <c r="K484" i="16"/>
  <c r="J484" i="16"/>
  <c r="K483" i="16"/>
  <c r="J483" i="16"/>
  <c r="K482" i="16"/>
  <c r="J482" i="16"/>
  <c r="K481" i="16"/>
  <c r="J481" i="16"/>
  <c r="K480" i="16"/>
  <c r="J480" i="16"/>
  <c r="K479" i="16"/>
  <c r="J479" i="16"/>
  <c r="K478" i="16"/>
  <c r="J478" i="16"/>
  <c r="K477" i="16"/>
  <c r="J477" i="16"/>
  <c r="K476" i="16"/>
  <c r="J476" i="16"/>
  <c r="K475" i="16"/>
  <c r="J475" i="16"/>
  <c r="K474" i="16"/>
  <c r="J474" i="16"/>
  <c r="K473" i="16"/>
  <c r="J473" i="16"/>
  <c r="K472" i="16"/>
  <c r="J472" i="16"/>
  <c r="K471" i="16"/>
  <c r="J471" i="16"/>
  <c r="K470" i="16"/>
  <c r="J470" i="16"/>
  <c r="K469" i="16"/>
  <c r="J469" i="16"/>
  <c r="K468" i="16"/>
  <c r="J468" i="16"/>
  <c r="K467" i="16"/>
  <c r="J467" i="16"/>
  <c r="K466" i="16"/>
  <c r="J466" i="16"/>
  <c r="K465" i="16"/>
  <c r="J465" i="16"/>
  <c r="K464" i="16"/>
  <c r="J464" i="16"/>
  <c r="K463" i="16"/>
  <c r="J463" i="16"/>
  <c r="K462" i="16"/>
  <c r="J462" i="16"/>
  <c r="K461" i="16"/>
  <c r="J461" i="16"/>
  <c r="K460" i="16"/>
  <c r="J460" i="16"/>
  <c r="K459" i="16"/>
  <c r="J459" i="16"/>
  <c r="K458" i="16"/>
  <c r="J458" i="16"/>
  <c r="K457" i="16"/>
  <c r="J457" i="16"/>
  <c r="K456" i="16"/>
  <c r="J456" i="16"/>
  <c r="K455" i="16"/>
  <c r="J455" i="16"/>
  <c r="K454" i="16"/>
  <c r="J454" i="16"/>
  <c r="K453" i="16"/>
  <c r="J453" i="16"/>
  <c r="K452" i="16"/>
  <c r="J452" i="16"/>
  <c r="K451" i="16"/>
  <c r="J451" i="16"/>
  <c r="K450" i="16"/>
  <c r="J450" i="16"/>
  <c r="K449" i="16"/>
  <c r="J449" i="16"/>
  <c r="K448" i="16"/>
  <c r="J448" i="16"/>
  <c r="K447" i="16"/>
  <c r="J447" i="16"/>
  <c r="K446" i="16"/>
  <c r="J446" i="16"/>
  <c r="K445" i="16"/>
  <c r="J445" i="16"/>
  <c r="K444" i="16"/>
  <c r="J444" i="16"/>
  <c r="K443" i="16"/>
  <c r="J443" i="16"/>
  <c r="K442" i="16"/>
  <c r="J442" i="16"/>
  <c r="K441" i="16"/>
  <c r="J441" i="16"/>
  <c r="K440" i="16"/>
  <c r="J440" i="16"/>
  <c r="K439" i="16"/>
  <c r="J439" i="16"/>
  <c r="K438" i="16"/>
  <c r="J438" i="16"/>
  <c r="K437" i="16"/>
  <c r="J437" i="16"/>
  <c r="K436" i="16"/>
  <c r="J436" i="16"/>
  <c r="K435" i="16"/>
  <c r="J435" i="16"/>
  <c r="K434" i="16"/>
  <c r="J434" i="16"/>
  <c r="K433" i="16"/>
  <c r="J433" i="16"/>
  <c r="K432" i="16"/>
  <c r="J432" i="16"/>
  <c r="K431" i="16"/>
  <c r="J431" i="16"/>
  <c r="K430" i="16"/>
  <c r="J430" i="16"/>
  <c r="K429" i="16"/>
  <c r="J429" i="16"/>
  <c r="K428" i="16"/>
  <c r="J428" i="16"/>
  <c r="K427" i="16"/>
  <c r="J427" i="16"/>
  <c r="K426" i="16"/>
  <c r="J426" i="16"/>
  <c r="K425" i="16"/>
  <c r="J425" i="16"/>
  <c r="K424" i="16"/>
  <c r="J424" i="16"/>
  <c r="K423" i="16"/>
  <c r="J423" i="16"/>
  <c r="K422" i="16"/>
  <c r="J422" i="16"/>
  <c r="K421" i="16"/>
  <c r="J421" i="16"/>
  <c r="K420" i="16"/>
  <c r="J420" i="16"/>
  <c r="K419" i="16"/>
  <c r="J419" i="16"/>
  <c r="K418" i="16"/>
  <c r="J418" i="16"/>
  <c r="K417" i="16"/>
  <c r="J417" i="16"/>
  <c r="K416" i="16"/>
  <c r="J416" i="16"/>
  <c r="K415" i="16"/>
  <c r="J415" i="16"/>
  <c r="K414" i="16"/>
  <c r="J414" i="16"/>
  <c r="K413" i="16"/>
  <c r="J413" i="16"/>
  <c r="K412" i="16"/>
  <c r="J412" i="16"/>
  <c r="K411" i="16"/>
  <c r="J411" i="16"/>
  <c r="K410" i="16"/>
  <c r="J410" i="16"/>
  <c r="K409" i="16"/>
  <c r="J409" i="16"/>
  <c r="K408" i="16"/>
  <c r="J408" i="16"/>
  <c r="K407" i="16"/>
  <c r="J407" i="16"/>
  <c r="K406" i="16"/>
  <c r="J406" i="16"/>
  <c r="K405" i="16"/>
  <c r="J405" i="16"/>
  <c r="K404" i="16"/>
  <c r="J404" i="16"/>
  <c r="K403" i="16"/>
  <c r="J403" i="16"/>
  <c r="K402" i="16"/>
  <c r="J402" i="16"/>
  <c r="K401" i="16"/>
  <c r="J401" i="16"/>
  <c r="K400" i="16"/>
  <c r="J400" i="16"/>
  <c r="K399" i="16"/>
  <c r="J399" i="16"/>
  <c r="K398" i="16"/>
  <c r="J398" i="16"/>
  <c r="K397" i="16"/>
  <c r="J397" i="16"/>
  <c r="K396" i="16"/>
  <c r="J396" i="16"/>
  <c r="K395" i="16"/>
  <c r="J395" i="16"/>
  <c r="K394" i="16"/>
  <c r="J394" i="16"/>
  <c r="K393" i="16"/>
  <c r="J393" i="16"/>
  <c r="K392" i="16"/>
  <c r="J392" i="16"/>
  <c r="K391" i="16"/>
  <c r="J391" i="16"/>
  <c r="K390" i="16"/>
  <c r="J390" i="16"/>
  <c r="K389" i="16"/>
  <c r="J389" i="16"/>
  <c r="K388" i="16"/>
  <c r="J388" i="16"/>
  <c r="K387" i="16"/>
  <c r="J387" i="16"/>
  <c r="K386" i="16"/>
  <c r="J386" i="16"/>
  <c r="K385" i="16"/>
  <c r="J385" i="16"/>
  <c r="K384" i="16"/>
  <c r="J384" i="16"/>
  <c r="K383" i="16"/>
  <c r="J383" i="16"/>
  <c r="K382" i="16"/>
  <c r="J382" i="16"/>
  <c r="K381" i="16"/>
  <c r="J381" i="16"/>
  <c r="K380" i="16"/>
  <c r="J380" i="16"/>
  <c r="K379" i="16"/>
  <c r="J379" i="16"/>
  <c r="K378" i="16"/>
  <c r="J378" i="16"/>
  <c r="K377" i="16"/>
  <c r="J377" i="16"/>
  <c r="K376" i="16"/>
  <c r="J376" i="16"/>
  <c r="K375" i="16"/>
  <c r="J375" i="16"/>
  <c r="K374" i="16"/>
  <c r="J374" i="16"/>
  <c r="K373" i="16"/>
  <c r="J373" i="16"/>
  <c r="K372" i="16"/>
  <c r="J372" i="16"/>
  <c r="K371" i="16"/>
  <c r="J371" i="16"/>
  <c r="K370" i="16"/>
  <c r="J370" i="16"/>
  <c r="K369" i="16"/>
  <c r="J369" i="16"/>
  <c r="K368" i="16"/>
  <c r="J368" i="16"/>
  <c r="K367" i="16"/>
  <c r="J367" i="16"/>
  <c r="K366" i="16"/>
  <c r="J366" i="16"/>
  <c r="K365" i="16"/>
  <c r="J365" i="16"/>
  <c r="K364" i="16"/>
  <c r="J364" i="16"/>
  <c r="K363" i="16"/>
  <c r="J363" i="16"/>
  <c r="K362" i="16"/>
  <c r="J362" i="16"/>
  <c r="K361" i="16"/>
  <c r="J361" i="16"/>
  <c r="K360" i="16"/>
  <c r="J360" i="16"/>
  <c r="K359" i="16"/>
  <c r="J359" i="16"/>
  <c r="K358" i="16"/>
  <c r="J358" i="16"/>
  <c r="K357" i="16"/>
  <c r="J357" i="16"/>
  <c r="K356" i="16"/>
  <c r="J356" i="16"/>
  <c r="K355" i="16"/>
  <c r="J355" i="16"/>
  <c r="K354" i="16"/>
  <c r="J354" i="16"/>
  <c r="K353" i="16"/>
  <c r="J353" i="16"/>
  <c r="K352" i="16"/>
  <c r="J352" i="16"/>
  <c r="K351" i="16"/>
  <c r="J351" i="16"/>
  <c r="K350" i="16"/>
  <c r="J350" i="16"/>
  <c r="K349" i="16"/>
  <c r="J349" i="16"/>
  <c r="K348" i="16"/>
  <c r="J348" i="16"/>
  <c r="K347" i="16"/>
  <c r="J347" i="16"/>
  <c r="K346" i="16"/>
  <c r="J346" i="16"/>
  <c r="K345" i="16"/>
  <c r="J345" i="16"/>
  <c r="K344" i="16"/>
  <c r="J344" i="16"/>
  <c r="K343" i="16"/>
  <c r="J343" i="16"/>
  <c r="K342" i="16"/>
  <c r="J342" i="16"/>
  <c r="K341" i="16"/>
  <c r="J341" i="16"/>
  <c r="K340" i="16"/>
  <c r="J340" i="16"/>
  <c r="K339" i="16"/>
  <c r="J339" i="16"/>
  <c r="K338" i="16"/>
  <c r="J338" i="16"/>
  <c r="K337" i="16"/>
  <c r="J337" i="16"/>
  <c r="K336" i="16"/>
  <c r="J336" i="16"/>
  <c r="K335" i="16"/>
  <c r="J335" i="16"/>
  <c r="K334" i="16"/>
  <c r="J334" i="16"/>
  <c r="K333" i="16"/>
  <c r="J333" i="16"/>
  <c r="K332" i="16"/>
  <c r="J332" i="16"/>
  <c r="K331" i="16"/>
  <c r="J331" i="16"/>
  <c r="K330" i="16"/>
  <c r="J330" i="16"/>
  <c r="K329" i="16"/>
  <c r="J329" i="16"/>
  <c r="K328" i="16"/>
  <c r="J328" i="16"/>
  <c r="K327" i="16"/>
  <c r="J327" i="16"/>
  <c r="K326" i="16"/>
  <c r="J326" i="16"/>
  <c r="K325" i="16"/>
  <c r="J325" i="16"/>
  <c r="K324" i="16"/>
  <c r="J324" i="16"/>
  <c r="K323" i="16"/>
  <c r="J323" i="16"/>
  <c r="K322" i="16"/>
  <c r="J322" i="16"/>
  <c r="K321" i="16"/>
  <c r="J321" i="16"/>
  <c r="K320" i="16"/>
  <c r="J320" i="16"/>
  <c r="K319" i="16"/>
  <c r="J319" i="16"/>
  <c r="K318" i="16"/>
  <c r="J318" i="16"/>
  <c r="K317" i="16"/>
  <c r="J317" i="16"/>
  <c r="K316" i="16"/>
  <c r="J316" i="16"/>
  <c r="K315" i="16"/>
  <c r="J315" i="16"/>
  <c r="K314" i="16"/>
  <c r="J314" i="16"/>
  <c r="K313" i="16"/>
  <c r="J313" i="16"/>
  <c r="K312" i="16"/>
  <c r="J312" i="16"/>
  <c r="K311" i="16"/>
  <c r="J311" i="16"/>
  <c r="K310" i="16"/>
  <c r="J310" i="16"/>
  <c r="K309" i="16"/>
  <c r="J309" i="16"/>
  <c r="K308" i="16"/>
  <c r="J308" i="16"/>
  <c r="K307" i="16"/>
  <c r="J307" i="16"/>
  <c r="K306" i="16"/>
  <c r="J306" i="16"/>
  <c r="K305" i="16"/>
  <c r="J305" i="16"/>
  <c r="K304" i="16"/>
  <c r="J304" i="16"/>
  <c r="K303" i="16"/>
  <c r="J303" i="16"/>
  <c r="K302" i="16"/>
  <c r="J302" i="16"/>
  <c r="K301" i="16"/>
  <c r="J301" i="16"/>
  <c r="K300" i="16"/>
  <c r="J300" i="16"/>
  <c r="K299" i="16"/>
  <c r="J299" i="16"/>
  <c r="K298" i="16"/>
  <c r="J298" i="16"/>
  <c r="K297" i="16"/>
  <c r="J297" i="16"/>
  <c r="K296" i="16"/>
  <c r="J296" i="16"/>
  <c r="K295" i="16"/>
  <c r="J295" i="16"/>
  <c r="K294" i="16"/>
  <c r="J294" i="16"/>
  <c r="K293" i="16"/>
  <c r="J293" i="16"/>
  <c r="K292" i="16"/>
  <c r="J292" i="16"/>
  <c r="K291" i="16"/>
  <c r="J291" i="16"/>
  <c r="K290" i="16"/>
  <c r="J290" i="16"/>
  <c r="K289" i="16"/>
  <c r="J289" i="16"/>
  <c r="K288" i="16"/>
  <c r="J288" i="16"/>
  <c r="K287" i="16"/>
  <c r="J287" i="16"/>
  <c r="K286" i="16"/>
  <c r="J286" i="16"/>
  <c r="K285" i="16"/>
  <c r="J285" i="16"/>
  <c r="K284" i="16"/>
  <c r="J284" i="16"/>
  <c r="K283" i="16"/>
  <c r="J283" i="16"/>
  <c r="K282" i="16"/>
  <c r="J282" i="16"/>
  <c r="K281" i="16"/>
  <c r="J281" i="16"/>
  <c r="K280" i="16"/>
  <c r="J280" i="16"/>
  <c r="K279" i="16"/>
  <c r="J279" i="16"/>
  <c r="K278" i="16"/>
  <c r="J278" i="16"/>
  <c r="K277" i="16"/>
  <c r="J277" i="16"/>
  <c r="K276" i="16"/>
  <c r="J276" i="16"/>
  <c r="K275" i="16"/>
  <c r="J275" i="16"/>
  <c r="K274" i="16"/>
  <c r="J274" i="16"/>
  <c r="K273" i="16"/>
  <c r="J273" i="16"/>
  <c r="K272" i="16"/>
  <c r="J272" i="16"/>
  <c r="K271" i="16"/>
  <c r="J271" i="16"/>
  <c r="K270" i="16"/>
  <c r="J270" i="16"/>
  <c r="K269" i="16"/>
  <c r="J269" i="16"/>
  <c r="K268" i="16"/>
  <c r="J268" i="16"/>
  <c r="K267" i="16"/>
  <c r="J267" i="16"/>
  <c r="K266" i="16"/>
  <c r="J266" i="16"/>
  <c r="K265" i="16"/>
  <c r="J265" i="16"/>
  <c r="K264" i="16"/>
  <c r="J264" i="16"/>
  <c r="K263" i="16"/>
  <c r="J263" i="16"/>
  <c r="K262" i="16"/>
  <c r="J262" i="16"/>
  <c r="K261" i="16"/>
  <c r="J261" i="16"/>
  <c r="K260" i="16"/>
  <c r="J260" i="16"/>
  <c r="K259" i="16"/>
  <c r="J259" i="16"/>
  <c r="K258" i="16"/>
  <c r="J258" i="16"/>
  <c r="K257" i="16"/>
  <c r="J257" i="16"/>
  <c r="K256" i="16"/>
  <c r="J256" i="16"/>
  <c r="K255" i="16"/>
  <c r="J255" i="16"/>
  <c r="K254" i="16"/>
  <c r="J254" i="16"/>
  <c r="K253" i="16"/>
  <c r="J253" i="16"/>
  <c r="K252" i="16"/>
  <c r="J252" i="16"/>
  <c r="K251" i="16"/>
  <c r="J251" i="16"/>
  <c r="K250" i="16"/>
  <c r="J250" i="16"/>
  <c r="K249" i="16"/>
  <c r="J249" i="16"/>
  <c r="K248" i="16"/>
  <c r="J248" i="16"/>
  <c r="K247" i="16"/>
  <c r="J247" i="16"/>
  <c r="K246" i="16"/>
  <c r="J246" i="16"/>
  <c r="K245" i="16"/>
  <c r="J245" i="16"/>
  <c r="K244" i="16"/>
  <c r="J244" i="16"/>
  <c r="K243" i="16"/>
  <c r="J243" i="16"/>
  <c r="K242" i="16"/>
  <c r="J242" i="16"/>
  <c r="K241" i="16"/>
  <c r="J241" i="16"/>
  <c r="K240" i="16"/>
  <c r="J240" i="16"/>
  <c r="K239" i="16"/>
  <c r="J239" i="16"/>
  <c r="K238" i="16"/>
  <c r="J238" i="16"/>
  <c r="K237" i="16"/>
  <c r="J237" i="16"/>
  <c r="K236" i="16"/>
  <c r="J236" i="16"/>
  <c r="K235" i="16"/>
  <c r="J235" i="16"/>
  <c r="K234" i="16"/>
  <c r="J234" i="16"/>
  <c r="K233" i="16"/>
  <c r="J233" i="16"/>
  <c r="K232" i="16"/>
  <c r="J232" i="16"/>
  <c r="K231" i="16"/>
  <c r="J231" i="16"/>
  <c r="K230" i="16"/>
  <c r="J230" i="16"/>
  <c r="K229" i="16"/>
  <c r="J229" i="16"/>
  <c r="K228" i="16"/>
  <c r="J228" i="16"/>
  <c r="K227" i="16"/>
  <c r="J227" i="16"/>
  <c r="K226" i="16"/>
  <c r="J226" i="16"/>
  <c r="K225" i="16"/>
  <c r="J225" i="16"/>
  <c r="K224" i="16"/>
  <c r="J224" i="16"/>
  <c r="K223" i="16"/>
  <c r="J223" i="16"/>
  <c r="K222" i="16"/>
  <c r="J222" i="16"/>
  <c r="K221" i="16"/>
  <c r="J221" i="16"/>
  <c r="K220" i="16"/>
  <c r="J220" i="16"/>
  <c r="K219" i="16"/>
  <c r="J219" i="16"/>
  <c r="K218" i="16"/>
  <c r="J218" i="16"/>
  <c r="K217" i="16"/>
  <c r="J217" i="16"/>
  <c r="K216" i="16"/>
  <c r="J216" i="16"/>
  <c r="K215" i="16"/>
  <c r="J215" i="16"/>
  <c r="K214" i="16"/>
  <c r="J214" i="16"/>
  <c r="K213" i="16"/>
  <c r="J213" i="16"/>
  <c r="K212" i="16"/>
  <c r="J212" i="16"/>
  <c r="K211" i="16"/>
  <c r="J211" i="16"/>
  <c r="K210" i="16"/>
  <c r="J210" i="16"/>
  <c r="K209" i="16"/>
  <c r="J209" i="16"/>
  <c r="K208" i="16"/>
  <c r="J208" i="16"/>
  <c r="K207" i="16"/>
  <c r="J207" i="16"/>
  <c r="K206" i="16"/>
  <c r="J206" i="16"/>
  <c r="K205" i="16"/>
  <c r="J205" i="16"/>
  <c r="K204" i="16"/>
  <c r="J204" i="16"/>
  <c r="K203" i="16"/>
  <c r="J203" i="16"/>
  <c r="K202" i="16"/>
  <c r="J202" i="16"/>
  <c r="K201" i="16"/>
  <c r="J201" i="16"/>
  <c r="K200" i="16"/>
  <c r="J200" i="16"/>
  <c r="K199" i="16"/>
  <c r="J199" i="16"/>
  <c r="K198" i="16"/>
  <c r="J198" i="16"/>
  <c r="K197" i="16"/>
  <c r="J197" i="16"/>
  <c r="K196" i="16"/>
  <c r="J196" i="16"/>
  <c r="K195" i="16"/>
  <c r="J195" i="16"/>
  <c r="K194" i="16"/>
  <c r="J194" i="16"/>
  <c r="K193" i="16"/>
  <c r="J193" i="16"/>
  <c r="K192" i="16"/>
  <c r="J192" i="16"/>
  <c r="K191" i="16"/>
  <c r="J191" i="16"/>
  <c r="K190" i="16"/>
  <c r="J190" i="16"/>
  <c r="K189" i="16"/>
  <c r="J189" i="16"/>
  <c r="K188" i="16"/>
  <c r="J188" i="16"/>
  <c r="K187" i="16"/>
  <c r="J187" i="16"/>
  <c r="K186" i="16"/>
  <c r="J186" i="16"/>
  <c r="K185" i="16"/>
  <c r="J185" i="16"/>
  <c r="K184" i="16"/>
  <c r="J184" i="16"/>
  <c r="K183" i="16"/>
  <c r="J183" i="16"/>
  <c r="K182" i="16"/>
  <c r="J182" i="16"/>
  <c r="K181" i="16"/>
  <c r="J181" i="16"/>
  <c r="K180" i="16"/>
  <c r="J180" i="16"/>
  <c r="K179" i="16"/>
  <c r="J179" i="16"/>
  <c r="K178" i="16"/>
  <c r="J178" i="16"/>
  <c r="K177" i="16"/>
  <c r="J177" i="16"/>
  <c r="K176" i="16"/>
  <c r="J176" i="16"/>
  <c r="K175" i="16"/>
  <c r="J175" i="16"/>
  <c r="K174" i="16"/>
  <c r="J174" i="16"/>
  <c r="K173" i="16"/>
  <c r="J173" i="16"/>
  <c r="K172" i="16"/>
  <c r="J172" i="16"/>
  <c r="K171" i="16"/>
  <c r="J171" i="16"/>
  <c r="K170" i="16"/>
  <c r="J170" i="16"/>
  <c r="K169" i="16"/>
  <c r="J169" i="16"/>
  <c r="K168" i="16"/>
  <c r="J168" i="16"/>
  <c r="K167" i="16"/>
  <c r="J167" i="16"/>
  <c r="K166" i="16"/>
  <c r="J166" i="16"/>
  <c r="K165" i="16"/>
  <c r="J165" i="16"/>
  <c r="K164" i="16"/>
  <c r="J164" i="16"/>
  <c r="K163" i="16"/>
  <c r="J163" i="16"/>
  <c r="K162" i="16"/>
  <c r="J162" i="16"/>
  <c r="K161" i="16"/>
  <c r="J161" i="16"/>
  <c r="K160" i="16"/>
  <c r="J160" i="16"/>
  <c r="K159" i="16"/>
  <c r="J159" i="16"/>
  <c r="K158" i="16"/>
  <c r="J158" i="16"/>
  <c r="K157" i="16"/>
  <c r="J157" i="16"/>
  <c r="K156" i="16"/>
  <c r="J156" i="16"/>
  <c r="K155" i="16"/>
  <c r="J155" i="16"/>
  <c r="K154" i="16"/>
  <c r="J154" i="16"/>
  <c r="K153" i="16"/>
  <c r="J153" i="16"/>
  <c r="K152" i="16"/>
  <c r="J152" i="16"/>
  <c r="K151" i="16"/>
  <c r="J151" i="16"/>
  <c r="K150" i="16"/>
  <c r="J150" i="16"/>
  <c r="K149" i="16"/>
  <c r="J149" i="16"/>
  <c r="K148" i="16"/>
  <c r="J148" i="16"/>
  <c r="K147" i="16"/>
  <c r="J147" i="16"/>
  <c r="K146" i="16"/>
  <c r="J146" i="16"/>
  <c r="K145" i="16"/>
  <c r="J145" i="16"/>
  <c r="K144" i="16"/>
  <c r="J144" i="16"/>
  <c r="K143" i="16"/>
  <c r="J143" i="16"/>
  <c r="K142" i="16"/>
  <c r="J142" i="16"/>
  <c r="K141" i="16"/>
  <c r="J141" i="16"/>
  <c r="K140" i="16"/>
  <c r="J140" i="16"/>
  <c r="K139" i="16"/>
  <c r="J139" i="16"/>
  <c r="K138" i="16"/>
  <c r="J138" i="16"/>
  <c r="K137" i="16"/>
  <c r="J137" i="16"/>
  <c r="K136" i="16"/>
  <c r="J136" i="16"/>
  <c r="K135" i="16"/>
  <c r="J135" i="16"/>
  <c r="K134" i="16"/>
  <c r="J134" i="16"/>
  <c r="K133" i="16"/>
  <c r="J133" i="16"/>
  <c r="K132" i="16"/>
  <c r="J132" i="16"/>
  <c r="K131" i="16"/>
  <c r="J131" i="16"/>
  <c r="K130" i="16"/>
  <c r="J130" i="16"/>
  <c r="K129" i="16"/>
  <c r="J129" i="16"/>
  <c r="K128" i="16"/>
  <c r="J128" i="16"/>
  <c r="K127" i="16"/>
  <c r="J127" i="16"/>
  <c r="K126" i="16"/>
  <c r="J126" i="16"/>
  <c r="K125" i="16"/>
  <c r="J125" i="16"/>
  <c r="K124" i="16"/>
  <c r="J124" i="16"/>
  <c r="K123" i="16"/>
  <c r="J123" i="16"/>
  <c r="K122" i="16"/>
  <c r="J122" i="16"/>
  <c r="K121" i="16"/>
  <c r="J121" i="16"/>
  <c r="K120" i="16"/>
  <c r="J120" i="16"/>
  <c r="K119" i="16"/>
  <c r="J119" i="16"/>
  <c r="K118" i="16"/>
  <c r="J118" i="16"/>
  <c r="K117" i="16"/>
  <c r="J117" i="16"/>
  <c r="K116" i="16"/>
  <c r="J116" i="16"/>
  <c r="K115" i="16"/>
  <c r="J115" i="16"/>
  <c r="K114" i="16"/>
  <c r="J114" i="16"/>
  <c r="K113" i="16"/>
  <c r="J113" i="16"/>
  <c r="K112" i="16"/>
  <c r="J112" i="16"/>
  <c r="K111" i="16"/>
  <c r="J111" i="16"/>
  <c r="K110" i="16"/>
  <c r="J110" i="16"/>
  <c r="K109" i="16"/>
  <c r="J109" i="16"/>
  <c r="K108" i="16"/>
  <c r="J108" i="16"/>
  <c r="K107" i="16"/>
  <c r="J107" i="16"/>
  <c r="K106" i="16"/>
  <c r="J106" i="16"/>
  <c r="K105" i="16"/>
  <c r="J105" i="16"/>
  <c r="K104" i="16"/>
  <c r="J104" i="16"/>
  <c r="K103" i="16"/>
  <c r="J103" i="16"/>
  <c r="K102" i="16"/>
  <c r="J102" i="16"/>
  <c r="K101" i="16"/>
  <c r="J101" i="16"/>
  <c r="K100" i="16"/>
  <c r="J100" i="16"/>
  <c r="K99" i="16"/>
  <c r="J99" i="16"/>
  <c r="K98" i="16"/>
  <c r="J98" i="16"/>
  <c r="K97" i="16"/>
  <c r="J97" i="16"/>
  <c r="K96" i="16"/>
  <c r="J96" i="16"/>
  <c r="K95" i="16"/>
  <c r="J95" i="16"/>
  <c r="K94" i="16"/>
  <c r="J94" i="16"/>
  <c r="K93" i="16"/>
  <c r="J93" i="16"/>
  <c r="K92" i="16"/>
  <c r="J92" i="16"/>
  <c r="K91" i="16"/>
  <c r="J91" i="16"/>
  <c r="K90" i="16"/>
  <c r="J90" i="16"/>
  <c r="K89" i="16"/>
  <c r="J89" i="16"/>
  <c r="K88" i="16"/>
  <c r="J88" i="16"/>
  <c r="K87" i="16"/>
  <c r="J87" i="16"/>
  <c r="K86" i="16"/>
  <c r="J86" i="16"/>
  <c r="K85" i="16"/>
  <c r="J85" i="16"/>
  <c r="K84" i="16"/>
  <c r="J84" i="16"/>
  <c r="K83" i="16"/>
  <c r="J83" i="16"/>
  <c r="K82" i="16"/>
  <c r="J82" i="16"/>
  <c r="K81" i="16"/>
  <c r="J81" i="16"/>
  <c r="K80" i="16"/>
  <c r="J80" i="16"/>
  <c r="K79" i="16"/>
  <c r="J79" i="16"/>
  <c r="K78" i="16"/>
  <c r="J78" i="16"/>
  <c r="K77" i="16"/>
  <c r="J77" i="16"/>
  <c r="K76" i="16"/>
  <c r="J76" i="16"/>
  <c r="K75" i="16"/>
  <c r="J75" i="16"/>
  <c r="K74" i="16"/>
  <c r="J74" i="16"/>
  <c r="K73" i="16"/>
  <c r="J73" i="16"/>
  <c r="K72" i="16"/>
  <c r="J72" i="16"/>
  <c r="K71" i="16"/>
  <c r="J71" i="16"/>
  <c r="K70" i="16"/>
  <c r="J70" i="16"/>
  <c r="K69" i="16"/>
  <c r="J69" i="16"/>
  <c r="K68" i="16"/>
  <c r="J68" i="16"/>
  <c r="K67" i="16"/>
  <c r="J67" i="16"/>
  <c r="K66" i="16"/>
  <c r="J66" i="16"/>
  <c r="K65" i="16"/>
  <c r="J65" i="16"/>
  <c r="K64" i="16"/>
  <c r="J64" i="16"/>
  <c r="K63" i="16"/>
  <c r="J63" i="16"/>
  <c r="K62" i="16"/>
  <c r="J62" i="16"/>
  <c r="K61" i="16"/>
  <c r="J61" i="16"/>
  <c r="K60" i="16"/>
  <c r="J60" i="16"/>
  <c r="K59" i="16"/>
  <c r="J59" i="16"/>
  <c r="K58" i="16"/>
  <c r="J58" i="16"/>
  <c r="K57" i="16"/>
  <c r="J57" i="16"/>
  <c r="K56" i="16"/>
  <c r="J56" i="16"/>
  <c r="K55" i="16"/>
  <c r="J55" i="16"/>
  <c r="K54" i="16"/>
  <c r="J54" i="16"/>
  <c r="K53" i="16"/>
  <c r="J53" i="16"/>
  <c r="K52" i="16"/>
  <c r="J52" i="16"/>
  <c r="K51" i="16"/>
  <c r="J51" i="16"/>
  <c r="K50" i="16"/>
  <c r="J50" i="16"/>
  <c r="K49" i="16"/>
  <c r="J49" i="16"/>
  <c r="K48" i="16"/>
  <c r="J48" i="16"/>
  <c r="K47" i="16"/>
  <c r="J47" i="16"/>
  <c r="K46" i="16"/>
  <c r="J46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3" i="16"/>
  <c r="I3" i="16"/>
  <c r="H3" i="16"/>
  <c r="K500" i="17"/>
  <c r="J500" i="17"/>
  <c r="K499" i="17"/>
  <c r="J499" i="17"/>
  <c r="K498" i="17"/>
  <c r="J498" i="17"/>
  <c r="K497" i="17"/>
  <c r="J497" i="17"/>
  <c r="K496" i="17"/>
  <c r="J496" i="17"/>
  <c r="K495" i="17"/>
  <c r="J495" i="17"/>
  <c r="K494" i="17"/>
  <c r="J494" i="17"/>
  <c r="K493" i="17"/>
  <c r="J493" i="17"/>
  <c r="K492" i="17"/>
  <c r="J492" i="17"/>
  <c r="K491" i="17"/>
  <c r="J491" i="17"/>
  <c r="K490" i="17"/>
  <c r="J490" i="17"/>
  <c r="K489" i="17"/>
  <c r="J489" i="17"/>
  <c r="K488" i="17"/>
  <c r="J488" i="17"/>
  <c r="K487" i="17"/>
  <c r="J487" i="17"/>
  <c r="K486" i="17"/>
  <c r="J486" i="17"/>
  <c r="K485" i="17"/>
  <c r="J485" i="17"/>
  <c r="K484" i="17"/>
  <c r="J484" i="17"/>
  <c r="K483" i="17"/>
  <c r="J483" i="17"/>
  <c r="K482" i="17"/>
  <c r="J482" i="17"/>
  <c r="K481" i="17"/>
  <c r="J481" i="17"/>
  <c r="K480" i="17"/>
  <c r="J480" i="17"/>
  <c r="K479" i="17"/>
  <c r="J479" i="17"/>
  <c r="K478" i="17"/>
  <c r="J478" i="17"/>
  <c r="K477" i="17"/>
  <c r="J477" i="17"/>
  <c r="K476" i="17"/>
  <c r="J476" i="17"/>
  <c r="K475" i="17"/>
  <c r="J475" i="17"/>
  <c r="K474" i="17"/>
  <c r="J474" i="17"/>
  <c r="K473" i="17"/>
  <c r="J473" i="17"/>
  <c r="K472" i="17"/>
  <c r="J472" i="17"/>
  <c r="K471" i="17"/>
  <c r="J471" i="17"/>
  <c r="K470" i="17"/>
  <c r="J470" i="17"/>
  <c r="K469" i="17"/>
  <c r="J469" i="17"/>
  <c r="K468" i="17"/>
  <c r="J468" i="17"/>
  <c r="K467" i="17"/>
  <c r="J467" i="17"/>
  <c r="K466" i="17"/>
  <c r="J466" i="17"/>
  <c r="K465" i="17"/>
  <c r="J465" i="17"/>
  <c r="K464" i="17"/>
  <c r="J464" i="17"/>
  <c r="K463" i="17"/>
  <c r="J463" i="17"/>
  <c r="K462" i="17"/>
  <c r="J462" i="17"/>
  <c r="K461" i="17"/>
  <c r="J461" i="17"/>
  <c r="K460" i="17"/>
  <c r="J460" i="17"/>
  <c r="K459" i="17"/>
  <c r="J459" i="17"/>
  <c r="K458" i="17"/>
  <c r="J458" i="17"/>
  <c r="K457" i="17"/>
  <c r="J457" i="17"/>
  <c r="K456" i="17"/>
  <c r="J456" i="17"/>
  <c r="K455" i="17"/>
  <c r="J455" i="17"/>
  <c r="K454" i="17"/>
  <c r="J454" i="17"/>
  <c r="K453" i="17"/>
  <c r="J453" i="17"/>
  <c r="K452" i="17"/>
  <c r="J452" i="17"/>
  <c r="K451" i="17"/>
  <c r="J451" i="17"/>
  <c r="K450" i="17"/>
  <c r="J450" i="17"/>
  <c r="K449" i="17"/>
  <c r="J449" i="17"/>
  <c r="K448" i="17"/>
  <c r="J448" i="17"/>
  <c r="K447" i="17"/>
  <c r="J447" i="17"/>
  <c r="K446" i="17"/>
  <c r="J446" i="17"/>
  <c r="K445" i="17"/>
  <c r="J445" i="17"/>
  <c r="K444" i="17"/>
  <c r="J444" i="17"/>
  <c r="K443" i="17"/>
  <c r="J443" i="17"/>
  <c r="K442" i="17"/>
  <c r="J442" i="17"/>
  <c r="K441" i="17"/>
  <c r="J441" i="17"/>
  <c r="K440" i="17"/>
  <c r="J440" i="17"/>
  <c r="K439" i="17"/>
  <c r="J439" i="17"/>
  <c r="K438" i="17"/>
  <c r="J438" i="17"/>
  <c r="K437" i="17"/>
  <c r="J437" i="17"/>
  <c r="K436" i="17"/>
  <c r="J436" i="17"/>
  <c r="K435" i="17"/>
  <c r="J435" i="17"/>
  <c r="K434" i="17"/>
  <c r="J434" i="17"/>
  <c r="K433" i="17"/>
  <c r="J433" i="17"/>
  <c r="K432" i="17"/>
  <c r="J432" i="17"/>
  <c r="K431" i="17"/>
  <c r="J431" i="17"/>
  <c r="K430" i="17"/>
  <c r="J430" i="17"/>
  <c r="K429" i="17"/>
  <c r="J429" i="17"/>
  <c r="K428" i="17"/>
  <c r="J428" i="17"/>
  <c r="K427" i="17"/>
  <c r="J427" i="17"/>
  <c r="K426" i="17"/>
  <c r="J426" i="17"/>
  <c r="K425" i="17"/>
  <c r="J425" i="17"/>
  <c r="K424" i="17"/>
  <c r="J424" i="17"/>
  <c r="K423" i="17"/>
  <c r="J423" i="17"/>
  <c r="K422" i="17"/>
  <c r="J422" i="17"/>
  <c r="K421" i="17"/>
  <c r="J421" i="17"/>
  <c r="K420" i="17"/>
  <c r="J420" i="17"/>
  <c r="K419" i="17"/>
  <c r="J419" i="17"/>
  <c r="K418" i="17"/>
  <c r="J418" i="17"/>
  <c r="K417" i="17"/>
  <c r="J417" i="17"/>
  <c r="K416" i="17"/>
  <c r="J416" i="17"/>
  <c r="K415" i="17"/>
  <c r="J415" i="17"/>
  <c r="K414" i="17"/>
  <c r="J414" i="17"/>
  <c r="K413" i="17"/>
  <c r="J413" i="17"/>
  <c r="K412" i="17"/>
  <c r="J412" i="17"/>
  <c r="K411" i="17"/>
  <c r="J411" i="17"/>
  <c r="K410" i="17"/>
  <c r="J410" i="17"/>
  <c r="K409" i="17"/>
  <c r="J409" i="17"/>
  <c r="K408" i="17"/>
  <c r="J408" i="17"/>
  <c r="K407" i="17"/>
  <c r="J407" i="17"/>
  <c r="K406" i="17"/>
  <c r="J406" i="17"/>
  <c r="K405" i="17"/>
  <c r="J405" i="17"/>
  <c r="K404" i="17"/>
  <c r="J404" i="17"/>
  <c r="K403" i="17"/>
  <c r="J403" i="17"/>
  <c r="K402" i="17"/>
  <c r="J402" i="17"/>
  <c r="K401" i="17"/>
  <c r="J401" i="17"/>
  <c r="K400" i="17"/>
  <c r="J400" i="17"/>
  <c r="K399" i="17"/>
  <c r="J399" i="17"/>
  <c r="K398" i="17"/>
  <c r="J398" i="17"/>
  <c r="K397" i="17"/>
  <c r="J397" i="17"/>
  <c r="K396" i="17"/>
  <c r="J396" i="17"/>
  <c r="K395" i="17"/>
  <c r="J395" i="17"/>
  <c r="K394" i="17"/>
  <c r="J394" i="17"/>
  <c r="K393" i="17"/>
  <c r="J393" i="17"/>
  <c r="K392" i="17"/>
  <c r="J392" i="17"/>
  <c r="K391" i="17"/>
  <c r="J391" i="17"/>
  <c r="K390" i="17"/>
  <c r="J390" i="17"/>
  <c r="K389" i="17"/>
  <c r="J389" i="17"/>
  <c r="K388" i="17"/>
  <c r="J388" i="17"/>
  <c r="K387" i="17"/>
  <c r="J387" i="17"/>
  <c r="K386" i="17"/>
  <c r="J386" i="17"/>
  <c r="K385" i="17"/>
  <c r="J385" i="17"/>
  <c r="K384" i="17"/>
  <c r="J384" i="17"/>
  <c r="K383" i="17"/>
  <c r="J383" i="17"/>
  <c r="K382" i="17"/>
  <c r="J382" i="17"/>
  <c r="K381" i="17"/>
  <c r="J381" i="17"/>
  <c r="K380" i="17"/>
  <c r="J380" i="17"/>
  <c r="K379" i="17"/>
  <c r="J379" i="17"/>
  <c r="K378" i="17"/>
  <c r="J378" i="17"/>
  <c r="K377" i="17"/>
  <c r="J377" i="17"/>
  <c r="K376" i="17"/>
  <c r="J376" i="17"/>
  <c r="K375" i="17"/>
  <c r="J375" i="17"/>
  <c r="K374" i="17"/>
  <c r="J374" i="17"/>
  <c r="K373" i="17"/>
  <c r="J373" i="17"/>
  <c r="K372" i="17"/>
  <c r="J372" i="17"/>
  <c r="K371" i="17"/>
  <c r="J371" i="17"/>
  <c r="K370" i="17"/>
  <c r="J370" i="17"/>
  <c r="K369" i="17"/>
  <c r="J369" i="17"/>
  <c r="K368" i="17"/>
  <c r="J368" i="17"/>
  <c r="K367" i="17"/>
  <c r="J367" i="17"/>
  <c r="K366" i="17"/>
  <c r="J366" i="17"/>
  <c r="K365" i="17"/>
  <c r="J365" i="17"/>
  <c r="K364" i="17"/>
  <c r="J364" i="17"/>
  <c r="K363" i="17"/>
  <c r="J363" i="17"/>
  <c r="K362" i="17"/>
  <c r="J362" i="17"/>
  <c r="K361" i="17"/>
  <c r="J361" i="17"/>
  <c r="K360" i="17"/>
  <c r="J360" i="17"/>
  <c r="K359" i="17"/>
  <c r="J359" i="17"/>
  <c r="K358" i="17"/>
  <c r="J358" i="17"/>
  <c r="K357" i="17"/>
  <c r="J357" i="17"/>
  <c r="K356" i="17"/>
  <c r="J356" i="17"/>
  <c r="K355" i="17"/>
  <c r="J355" i="17"/>
  <c r="K354" i="17"/>
  <c r="J354" i="17"/>
  <c r="K353" i="17"/>
  <c r="J353" i="17"/>
  <c r="K352" i="17"/>
  <c r="J352" i="17"/>
  <c r="K351" i="17"/>
  <c r="J351" i="17"/>
  <c r="K350" i="17"/>
  <c r="J350" i="17"/>
  <c r="K349" i="17"/>
  <c r="J349" i="17"/>
  <c r="K348" i="17"/>
  <c r="J348" i="17"/>
  <c r="K347" i="17"/>
  <c r="J347" i="17"/>
  <c r="K346" i="17"/>
  <c r="J346" i="17"/>
  <c r="K345" i="17"/>
  <c r="J345" i="17"/>
  <c r="K344" i="17"/>
  <c r="J344" i="17"/>
  <c r="K343" i="17"/>
  <c r="J343" i="17"/>
  <c r="K342" i="17"/>
  <c r="J342" i="17"/>
  <c r="K341" i="17"/>
  <c r="J341" i="17"/>
  <c r="K340" i="17"/>
  <c r="J340" i="17"/>
  <c r="K339" i="17"/>
  <c r="J339" i="17"/>
  <c r="K338" i="17"/>
  <c r="J338" i="17"/>
  <c r="K337" i="17"/>
  <c r="J337" i="17"/>
  <c r="K336" i="17"/>
  <c r="J336" i="17"/>
  <c r="K335" i="17"/>
  <c r="J335" i="17"/>
  <c r="K334" i="17"/>
  <c r="J334" i="17"/>
  <c r="K333" i="17"/>
  <c r="J333" i="17"/>
  <c r="K332" i="17"/>
  <c r="J332" i="17"/>
  <c r="K331" i="17"/>
  <c r="J331" i="17"/>
  <c r="K330" i="17"/>
  <c r="J330" i="17"/>
  <c r="K329" i="17"/>
  <c r="J329" i="17"/>
  <c r="K328" i="17"/>
  <c r="J328" i="17"/>
  <c r="K327" i="17"/>
  <c r="J327" i="17"/>
  <c r="K326" i="17"/>
  <c r="J326" i="17"/>
  <c r="K325" i="17"/>
  <c r="J325" i="17"/>
  <c r="K324" i="17"/>
  <c r="J324" i="17"/>
  <c r="K323" i="17"/>
  <c r="J323" i="17"/>
  <c r="K322" i="17"/>
  <c r="J322" i="17"/>
  <c r="K321" i="17"/>
  <c r="J321" i="17"/>
  <c r="K320" i="17"/>
  <c r="J320" i="17"/>
  <c r="K319" i="17"/>
  <c r="J319" i="17"/>
  <c r="K318" i="17"/>
  <c r="J318" i="17"/>
  <c r="K317" i="17"/>
  <c r="J317" i="17"/>
  <c r="K316" i="17"/>
  <c r="J316" i="17"/>
  <c r="K315" i="17"/>
  <c r="J315" i="17"/>
  <c r="K314" i="17"/>
  <c r="J314" i="17"/>
  <c r="K313" i="17"/>
  <c r="J313" i="17"/>
  <c r="K312" i="17"/>
  <c r="J312" i="17"/>
  <c r="K311" i="17"/>
  <c r="J311" i="17"/>
  <c r="K310" i="17"/>
  <c r="J310" i="17"/>
  <c r="K309" i="17"/>
  <c r="J309" i="17"/>
  <c r="K308" i="17"/>
  <c r="J308" i="17"/>
  <c r="K307" i="17"/>
  <c r="J307" i="17"/>
  <c r="K306" i="17"/>
  <c r="J306" i="17"/>
  <c r="K305" i="17"/>
  <c r="J305" i="17"/>
  <c r="K304" i="17"/>
  <c r="J304" i="17"/>
  <c r="K303" i="17"/>
  <c r="J303" i="17"/>
  <c r="K302" i="17"/>
  <c r="J302" i="17"/>
  <c r="K301" i="17"/>
  <c r="J301" i="17"/>
  <c r="K300" i="17"/>
  <c r="J300" i="17"/>
  <c r="K299" i="17"/>
  <c r="J299" i="17"/>
  <c r="K298" i="17"/>
  <c r="J298" i="17"/>
  <c r="K297" i="17"/>
  <c r="J297" i="17"/>
  <c r="K296" i="17"/>
  <c r="J296" i="17"/>
  <c r="K295" i="17"/>
  <c r="J295" i="17"/>
  <c r="K294" i="17"/>
  <c r="J294" i="17"/>
  <c r="K293" i="17"/>
  <c r="J293" i="17"/>
  <c r="K292" i="17"/>
  <c r="J292" i="17"/>
  <c r="K291" i="17"/>
  <c r="J291" i="17"/>
  <c r="K290" i="17"/>
  <c r="J290" i="17"/>
  <c r="K289" i="17"/>
  <c r="J289" i="17"/>
  <c r="K288" i="17"/>
  <c r="J288" i="17"/>
  <c r="K287" i="17"/>
  <c r="J287" i="17"/>
  <c r="K286" i="17"/>
  <c r="J286" i="17"/>
  <c r="K285" i="17"/>
  <c r="J285" i="17"/>
  <c r="K284" i="17"/>
  <c r="J284" i="17"/>
  <c r="K283" i="17"/>
  <c r="J283" i="17"/>
  <c r="K282" i="17"/>
  <c r="J282" i="17"/>
  <c r="K281" i="17"/>
  <c r="J281" i="17"/>
  <c r="K280" i="17"/>
  <c r="J280" i="17"/>
  <c r="K279" i="17"/>
  <c r="J279" i="17"/>
  <c r="K278" i="17"/>
  <c r="J278" i="17"/>
  <c r="K277" i="17"/>
  <c r="J277" i="17"/>
  <c r="K276" i="17"/>
  <c r="J276" i="17"/>
  <c r="K275" i="17"/>
  <c r="J275" i="17"/>
  <c r="K274" i="17"/>
  <c r="J274" i="17"/>
  <c r="K273" i="17"/>
  <c r="J273" i="17"/>
  <c r="K272" i="17"/>
  <c r="J272" i="17"/>
  <c r="K271" i="17"/>
  <c r="J271" i="17"/>
  <c r="K270" i="17"/>
  <c r="J270" i="17"/>
  <c r="K269" i="17"/>
  <c r="J269" i="17"/>
  <c r="K268" i="17"/>
  <c r="J268" i="17"/>
  <c r="K267" i="17"/>
  <c r="J267" i="17"/>
  <c r="K266" i="17"/>
  <c r="J266" i="17"/>
  <c r="K265" i="17"/>
  <c r="J265" i="17"/>
  <c r="K264" i="17"/>
  <c r="J264" i="17"/>
  <c r="K263" i="17"/>
  <c r="J263" i="17"/>
  <c r="K262" i="17"/>
  <c r="J262" i="17"/>
  <c r="K261" i="17"/>
  <c r="J261" i="17"/>
  <c r="K260" i="17"/>
  <c r="J260" i="17"/>
  <c r="K259" i="17"/>
  <c r="J259" i="17"/>
  <c r="K258" i="17"/>
  <c r="J258" i="17"/>
  <c r="K257" i="17"/>
  <c r="J257" i="17"/>
  <c r="K256" i="17"/>
  <c r="J256" i="17"/>
  <c r="K255" i="17"/>
  <c r="J255" i="17"/>
  <c r="K254" i="17"/>
  <c r="J254" i="17"/>
  <c r="K253" i="17"/>
  <c r="J253" i="17"/>
  <c r="K252" i="17"/>
  <c r="J252" i="17"/>
  <c r="K251" i="17"/>
  <c r="J251" i="17"/>
  <c r="K250" i="17"/>
  <c r="J250" i="17"/>
  <c r="K249" i="17"/>
  <c r="J249" i="17"/>
  <c r="K248" i="17"/>
  <c r="J248" i="17"/>
  <c r="K247" i="17"/>
  <c r="J247" i="17"/>
  <c r="K246" i="17"/>
  <c r="J246" i="17"/>
  <c r="K245" i="17"/>
  <c r="J245" i="17"/>
  <c r="K244" i="17"/>
  <c r="J244" i="17"/>
  <c r="K243" i="17"/>
  <c r="J243" i="17"/>
  <c r="K242" i="17"/>
  <c r="J242" i="17"/>
  <c r="K241" i="17"/>
  <c r="J241" i="17"/>
  <c r="K240" i="17"/>
  <c r="J240" i="17"/>
  <c r="K239" i="17"/>
  <c r="J239" i="17"/>
  <c r="K238" i="17"/>
  <c r="J238" i="17"/>
  <c r="K237" i="17"/>
  <c r="J237" i="17"/>
  <c r="K236" i="17"/>
  <c r="J236" i="17"/>
  <c r="K235" i="17"/>
  <c r="J235" i="17"/>
  <c r="K234" i="17"/>
  <c r="J234" i="17"/>
  <c r="K233" i="17"/>
  <c r="J233" i="17"/>
  <c r="K232" i="17"/>
  <c r="J232" i="17"/>
  <c r="K231" i="17"/>
  <c r="J231" i="17"/>
  <c r="K230" i="17"/>
  <c r="J230" i="17"/>
  <c r="K229" i="17"/>
  <c r="J229" i="17"/>
  <c r="K228" i="17"/>
  <c r="J228" i="17"/>
  <c r="K227" i="17"/>
  <c r="J227" i="17"/>
  <c r="K226" i="17"/>
  <c r="J226" i="17"/>
  <c r="K225" i="17"/>
  <c r="J225" i="17"/>
  <c r="K224" i="17"/>
  <c r="J224" i="17"/>
  <c r="K223" i="17"/>
  <c r="J223" i="17"/>
  <c r="K222" i="17"/>
  <c r="J222" i="17"/>
  <c r="K221" i="17"/>
  <c r="J221" i="17"/>
  <c r="K220" i="17"/>
  <c r="J220" i="17"/>
  <c r="K219" i="17"/>
  <c r="J219" i="17"/>
  <c r="K218" i="17"/>
  <c r="J218" i="17"/>
  <c r="K217" i="17"/>
  <c r="J217" i="17"/>
  <c r="K216" i="17"/>
  <c r="J216" i="17"/>
  <c r="K215" i="17"/>
  <c r="J215" i="17"/>
  <c r="K214" i="17"/>
  <c r="J214" i="17"/>
  <c r="K213" i="17"/>
  <c r="J213" i="17"/>
  <c r="K212" i="17"/>
  <c r="J212" i="17"/>
  <c r="K211" i="17"/>
  <c r="J211" i="17"/>
  <c r="K210" i="17"/>
  <c r="J210" i="17"/>
  <c r="K209" i="17"/>
  <c r="J209" i="17"/>
  <c r="K208" i="17"/>
  <c r="J208" i="17"/>
  <c r="K207" i="17"/>
  <c r="J207" i="17"/>
  <c r="K206" i="17"/>
  <c r="J206" i="17"/>
  <c r="K205" i="17"/>
  <c r="J205" i="17"/>
  <c r="K204" i="17"/>
  <c r="J204" i="17"/>
  <c r="K203" i="17"/>
  <c r="J203" i="17"/>
  <c r="K202" i="17"/>
  <c r="J202" i="17"/>
  <c r="K201" i="17"/>
  <c r="J201" i="17"/>
  <c r="K200" i="17"/>
  <c r="J200" i="17"/>
  <c r="K199" i="17"/>
  <c r="J199" i="17"/>
  <c r="K198" i="17"/>
  <c r="J198" i="17"/>
  <c r="K197" i="17"/>
  <c r="J197" i="17"/>
  <c r="K196" i="17"/>
  <c r="J196" i="17"/>
  <c r="K195" i="17"/>
  <c r="J195" i="17"/>
  <c r="K194" i="17"/>
  <c r="J194" i="17"/>
  <c r="K193" i="17"/>
  <c r="J193" i="17"/>
  <c r="K192" i="17"/>
  <c r="J192" i="17"/>
  <c r="K191" i="17"/>
  <c r="J191" i="17"/>
  <c r="K190" i="17"/>
  <c r="J190" i="17"/>
  <c r="K189" i="17"/>
  <c r="J189" i="17"/>
  <c r="K188" i="17"/>
  <c r="J188" i="17"/>
  <c r="K187" i="17"/>
  <c r="J187" i="17"/>
  <c r="K186" i="17"/>
  <c r="J186" i="17"/>
  <c r="K185" i="17"/>
  <c r="J185" i="17"/>
  <c r="K184" i="17"/>
  <c r="J184" i="17"/>
  <c r="K183" i="17"/>
  <c r="J183" i="17"/>
  <c r="K182" i="17"/>
  <c r="J182" i="17"/>
  <c r="K181" i="17"/>
  <c r="J181" i="17"/>
  <c r="K180" i="17"/>
  <c r="J180" i="17"/>
  <c r="K179" i="17"/>
  <c r="J179" i="17"/>
  <c r="K178" i="17"/>
  <c r="J178" i="17"/>
  <c r="K177" i="17"/>
  <c r="J177" i="17"/>
  <c r="K176" i="17"/>
  <c r="J176" i="17"/>
  <c r="K175" i="17"/>
  <c r="J175" i="17"/>
  <c r="K174" i="17"/>
  <c r="J174" i="17"/>
  <c r="K173" i="17"/>
  <c r="J173" i="17"/>
  <c r="K172" i="17"/>
  <c r="J172" i="17"/>
  <c r="K171" i="17"/>
  <c r="J171" i="17"/>
  <c r="K170" i="17"/>
  <c r="J170" i="17"/>
  <c r="K169" i="17"/>
  <c r="J169" i="17"/>
  <c r="K168" i="17"/>
  <c r="J168" i="17"/>
  <c r="K167" i="17"/>
  <c r="J167" i="17"/>
  <c r="K166" i="17"/>
  <c r="J166" i="17"/>
  <c r="K165" i="17"/>
  <c r="J165" i="17"/>
  <c r="K164" i="17"/>
  <c r="J164" i="17"/>
  <c r="K163" i="17"/>
  <c r="J163" i="17"/>
  <c r="K162" i="17"/>
  <c r="J162" i="17"/>
  <c r="K161" i="17"/>
  <c r="J161" i="17"/>
  <c r="K160" i="17"/>
  <c r="J160" i="17"/>
  <c r="K159" i="17"/>
  <c r="J159" i="17"/>
  <c r="K158" i="17"/>
  <c r="J158" i="17"/>
  <c r="K157" i="17"/>
  <c r="J157" i="17"/>
  <c r="K156" i="17"/>
  <c r="J156" i="17"/>
  <c r="K155" i="17"/>
  <c r="J155" i="17"/>
  <c r="K154" i="17"/>
  <c r="J154" i="17"/>
  <c r="K153" i="17"/>
  <c r="J153" i="17"/>
  <c r="K152" i="17"/>
  <c r="J152" i="17"/>
  <c r="K151" i="17"/>
  <c r="J151" i="17"/>
  <c r="K150" i="17"/>
  <c r="J150" i="17"/>
  <c r="K149" i="17"/>
  <c r="J149" i="17"/>
  <c r="K148" i="17"/>
  <c r="J148" i="17"/>
  <c r="K147" i="17"/>
  <c r="J147" i="17"/>
  <c r="K146" i="17"/>
  <c r="J146" i="17"/>
  <c r="K145" i="17"/>
  <c r="J145" i="17"/>
  <c r="K144" i="17"/>
  <c r="J144" i="17"/>
  <c r="K143" i="17"/>
  <c r="J143" i="17"/>
  <c r="K142" i="17"/>
  <c r="J142" i="17"/>
  <c r="K141" i="17"/>
  <c r="J141" i="17"/>
  <c r="K140" i="17"/>
  <c r="J140" i="17"/>
  <c r="K139" i="17"/>
  <c r="J139" i="17"/>
  <c r="K138" i="17"/>
  <c r="J138" i="17"/>
  <c r="K137" i="17"/>
  <c r="J137" i="17"/>
  <c r="K136" i="17"/>
  <c r="J136" i="17"/>
  <c r="K135" i="17"/>
  <c r="J135" i="17"/>
  <c r="K134" i="17"/>
  <c r="J134" i="17"/>
  <c r="K133" i="17"/>
  <c r="J133" i="17"/>
  <c r="K132" i="17"/>
  <c r="J132" i="17"/>
  <c r="K131" i="17"/>
  <c r="J131" i="17"/>
  <c r="K130" i="17"/>
  <c r="J130" i="17"/>
  <c r="K129" i="17"/>
  <c r="J129" i="17"/>
  <c r="K128" i="17"/>
  <c r="J128" i="17"/>
  <c r="K127" i="17"/>
  <c r="J127" i="17"/>
  <c r="K126" i="17"/>
  <c r="J126" i="17"/>
  <c r="K125" i="17"/>
  <c r="J125" i="17"/>
  <c r="K124" i="17"/>
  <c r="J124" i="17"/>
  <c r="K123" i="17"/>
  <c r="J123" i="17"/>
  <c r="K122" i="17"/>
  <c r="J122" i="17"/>
  <c r="K121" i="17"/>
  <c r="J121" i="17"/>
  <c r="K120" i="17"/>
  <c r="J120" i="17"/>
  <c r="K119" i="17"/>
  <c r="J119" i="17"/>
  <c r="K118" i="17"/>
  <c r="J118" i="17"/>
  <c r="K117" i="17"/>
  <c r="J117" i="17"/>
  <c r="K116" i="17"/>
  <c r="J116" i="17"/>
  <c r="K115" i="17"/>
  <c r="J115" i="17"/>
  <c r="K114" i="17"/>
  <c r="J114" i="17"/>
  <c r="K113" i="17"/>
  <c r="J113" i="17"/>
  <c r="K112" i="17"/>
  <c r="J112" i="17"/>
  <c r="K111" i="17"/>
  <c r="J111" i="17"/>
  <c r="K110" i="17"/>
  <c r="J110" i="17"/>
  <c r="K109" i="17"/>
  <c r="J109" i="17"/>
  <c r="K108" i="17"/>
  <c r="J108" i="17"/>
  <c r="K107" i="17"/>
  <c r="J107" i="17"/>
  <c r="K106" i="17"/>
  <c r="J106" i="17"/>
  <c r="K105" i="17"/>
  <c r="J105" i="17"/>
  <c r="K104" i="17"/>
  <c r="J104" i="17"/>
  <c r="K103" i="17"/>
  <c r="J103" i="17"/>
  <c r="K102" i="17"/>
  <c r="J102" i="17"/>
  <c r="K101" i="17"/>
  <c r="J101" i="17"/>
  <c r="K100" i="17"/>
  <c r="J100" i="17"/>
  <c r="K99" i="17"/>
  <c r="J99" i="17"/>
  <c r="K98" i="17"/>
  <c r="J98" i="17"/>
  <c r="K97" i="17"/>
  <c r="J97" i="17"/>
  <c r="K96" i="17"/>
  <c r="J96" i="17"/>
  <c r="K95" i="17"/>
  <c r="J95" i="17"/>
  <c r="K94" i="17"/>
  <c r="J94" i="17"/>
  <c r="K93" i="17"/>
  <c r="J93" i="17"/>
  <c r="K92" i="17"/>
  <c r="J92" i="17"/>
  <c r="K91" i="17"/>
  <c r="J91" i="17"/>
  <c r="K90" i="17"/>
  <c r="J90" i="17"/>
  <c r="K89" i="17"/>
  <c r="J89" i="17"/>
  <c r="K88" i="17"/>
  <c r="J88" i="17"/>
  <c r="K87" i="17"/>
  <c r="J87" i="17"/>
  <c r="K86" i="17"/>
  <c r="J86" i="17"/>
  <c r="K85" i="17"/>
  <c r="J85" i="17"/>
  <c r="K84" i="17"/>
  <c r="J84" i="17"/>
  <c r="K83" i="17"/>
  <c r="J83" i="17"/>
  <c r="K82" i="17"/>
  <c r="J82" i="17"/>
  <c r="K81" i="17"/>
  <c r="J81" i="17"/>
  <c r="K80" i="17"/>
  <c r="J80" i="17"/>
  <c r="K79" i="17"/>
  <c r="J79" i="17"/>
  <c r="K78" i="17"/>
  <c r="J78" i="17"/>
  <c r="K77" i="17"/>
  <c r="J77" i="17"/>
  <c r="K76" i="17"/>
  <c r="J76" i="17"/>
  <c r="K75" i="17"/>
  <c r="J75" i="17"/>
  <c r="K74" i="17"/>
  <c r="J74" i="17"/>
  <c r="K73" i="17"/>
  <c r="J73" i="17"/>
  <c r="K72" i="17"/>
  <c r="J72" i="17"/>
  <c r="K71" i="17"/>
  <c r="J71" i="17"/>
  <c r="K70" i="17"/>
  <c r="J70" i="17"/>
  <c r="K69" i="17"/>
  <c r="J69" i="17"/>
  <c r="K68" i="17"/>
  <c r="J68" i="17"/>
  <c r="K67" i="17"/>
  <c r="J67" i="17"/>
  <c r="K66" i="17"/>
  <c r="J66" i="17"/>
  <c r="K65" i="17"/>
  <c r="J65" i="17"/>
  <c r="K64" i="17"/>
  <c r="J64" i="17"/>
  <c r="K63" i="17"/>
  <c r="J63" i="17"/>
  <c r="K62" i="17"/>
  <c r="J62" i="17"/>
  <c r="K61" i="17"/>
  <c r="J61" i="17"/>
  <c r="K60" i="17"/>
  <c r="J60" i="17"/>
  <c r="K59" i="17"/>
  <c r="J59" i="17"/>
  <c r="K58" i="17"/>
  <c r="J58" i="17"/>
  <c r="K57" i="17"/>
  <c r="J57" i="17"/>
  <c r="K56" i="17"/>
  <c r="J56" i="17"/>
  <c r="K55" i="17"/>
  <c r="J55" i="17"/>
  <c r="K54" i="17"/>
  <c r="J54" i="17"/>
  <c r="K53" i="17"/>
  <c r="J53" i="17"/>
  <c r="K52" i="17"/>
  <c r="J52" i="17"/>
  <c r="K51" i="17"/>
  <c r="J51" i="17"/>
  <c r="K50" i="17"/>
  <c r="J50" i="17"/>
  <c r="K49" i="17"/>
  <c r="J49" i="17"/>
  <c r="K48" i="17"/>
  <c r="J48" i="17"/>
  <c r="K47" i="17"/>
  <c r="J47" i="17"/>
  <c r="K46" i="17"/>
  <c r="J46" i="17"/>
  <c r="K45" i="17"/>
  <c r="J45" i="17"/>
  <c r="K44" i="17"/>
  <c r="J44" i="17"/>
  <c r="K43" i="17"/>
  <c r="J43" i="17"/>
  <c r="K42" i="17"/>
  <c r="J42" i="17"/>
  <c r="K41" i="17"/>
  <c r="J41" i="17"/>
  <c r="K40" i="17"/>
  <c r="J40" i="17"/>
  <c r="K39" i="17"/>
  <c r="J39" i="17"/>
  <c r="K38" i="17"/>
  <c r="J38" i="17"/>
  <c r="K37" i="17"/>
  <c r="J37" i="17"/>
  <c r="K36" i="17"/>
  <c r="J36" i="17"/>
  <c r="K35" i="17"/>
  <c r="J35" i="17"/>
  <c r="K34" i="17"/>
  <c r="J34" i="17"/>
  <c r="K33" i="17"/>
  <c r="J33" i="17"/>
  <c r="K32" i="17"/>
  <c r="J32" i="17"/>
  <c r="K31" i="17"/>
  <c r="J31" i="17"/>
  <c r="K30" i="17"/>
  <c r="J30" i="17"/>
  <c r="K29" i="17"/>
  <c r="J29" i="17"/>
  <c r="K28" i="17"/>
  <c r="J28" i="17"/>
  <c r="K27" i="17"/>
  <c r="J27" i="17"/>
  <c r="K26" i="17"/>
  <c r="J26" i="17"/>
  <c r="K25" i="17"/>
  <c r="J25" i="17"/>
  <c r="K24" i="17"/>
  <c r="J24" i="17"/>
  <c r="K23" i="17"/>
  <c r="J23" i="17"/>
  <c r="K22" i="17"/>
  <c r="J22" i="17"/>
  <c r="K21" i="17"/>
  <c r="J21" i="17"/>
  <c r="K20" i="17"/>
  <c r="J20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3" i="17"/>
  <c r="I3" i="17"/>
  <c r="H3" i="17"/>
  <c r="K500" i="27"/>
  <c r="J500" i="27"/>
  <c r="K499" i="27"/>
  <c r="J499" i="27"/>
  <c r="K498" i="27"/>
  <c r="J498" i="27"/>
  <c r="K497" i="27"/>
  <c r="J497" i="27"/>
  <c r="K496" i="27"/>
  <c r="J496" i="27"/>
  <c r="K495" i="27"/>
  <c r="J495" i="27"/>
  <c r="K494" i="27"/>
  <c r="J494" i="27"/>
  <c r="K493" i="27"/>
  <c r="J493" i="27"/>
  <c r="K492" i="27"/>
  <c r="J492" i="27"/>
  <c r="K491" i="27"/>
  <c r="J491" i="27"/>
  <c r="K490" i="27"/>
  <c r="J490" i="27"/>
  <c r="K489" i="27"/>
  <c r="J489" i="27"/>
  <c r="K488" i="27"/>
  <c r="J488" i="27"/>
  <c r="K487" i="27"/>
  <c r="J487" i="27"/>
  <c r="K486" i="27"/>
  <c r="J486" i="27"/>
  <c r="K485" i="27"/>
  <c r="J485" i="27"/>
  <c r="K484" i="27"/>
  <c r="J484" i="27"/>
  <c r="K483" i="27"/>
  <c r="J483" i="27"/>
  <c r="K482" i="27"/>
  <c r="J482" i="27"/>
  <c r="K481" i="27"/>
  <c r="J481" i="27"/>
  <c r="K480" i="27"/>
  <c r="J480" i="27"/>
  <c r="K479" i="27"/>
  <c r="J479" i="27"/>
  <c r="K478" i="27"/>
  <c r="J478" i="27"/>
  <c r="K477" i="27"/>
  <c r="J477" i="27"/>
  <c r="K476" i="27"/>
  <c r="J476" i="27"/>
  <c r="K475" i="27"/>
  <c r="J475" i="27"/>
  <c r="K474" i="27"/>
  <c r="J474" i="27"/>
  <c r="K473" i="27"/>
  <c r="J473" i="27"/>
  <c r="K472" i="27"/>
  <c r="J472" i="27"/>
  <c r="K471" i="27"/>
  <c r="J471" i="27"/>
  <c r="K470" i="27"/>
  <c r="J470" i="27"/>
  <c r="K469" i="27"/>
  <c r="J469" i="27"/>
  <c r="K468" i="27"/>
  <c r="J468" i="27"/>
  <c r="K467" i="27"/>
  <c r="J467" i="27"/>
  <c r="K466" i="27"/>
  <c r="J466" i="27"/>
  <c r="K465" i="27"/>
  <c r="J465" i="27"/>
  <c r="K464" i="27"/>
  <c r="J464" i="27"/>
  <c r="K463" i="27"/>
  <c r="J463" i="27"/>
  <c r="K462" i="27"/>
  <c r="J462" i="27"/>
  <c r="K461" i="27"/>
  <c r="J461" i="27"/>
  <c r="K460" i="27"/>
  <c r="J460" i="27"/>
  <c r="K459" i="27"/>
  <c r="J459" i="27"/>
  <c r="K458" i="27"/>
  <c r="J458" i="27"/>
  <c r="K457" i="27"/>
  <c r="J457" i="27"/>
  <c r="K456" i="27"/>
  <c r="J456" i="27"/>
  <c r="K455" i="27"/>
  <c r="J455" i="27"/>
  <c r="K454" i="27"/>
  <c r="J454" i="27"/>
  <c r="K453" i="27"/>
  <c r="J453" i="27"/>
  <c r="K452" i="27"/>
  <c r="J452" i="27"/>
  <c r="K451" i="27"/>
  <c r="J451" i="27"/>
  <c r="K450" i="27"/>
  <c r="J450" i="27"/>
  <c r="K449" i="27"/>
  <c r="J449" i="27"/>
  <c r="K448" i="27"/>
  <c r="J448" i="27"/>
  <c r="K447" i="27"/>
  <c r="J447" i="27"/>
  <c r="K446" i="27"/>
  <c r="J446" i="27"/>
  <c r="K445" i="27"/>
  <c r="J445" i="27"/>
  <c r="K444" i="27"/>
  <c r="J444" i="27"/>
  <c r="K443" i="27"/>
  <c r="J443" i="27"/>
  <c r="K442" i="27"/>
  <c r="J442" i="27"/>
  <c r="K441" i="27"/>
  <c r="J441" i="27"/>
  <c r="K440" i="27"/>
  <c r="J440" i="27"/>
  <c r="K439" i="27"/>
  <c r="J439" i="27"/>
  <c r="K438" i="27"/>
  <c r="J438" i="27"/>
  <c r="K437" i="27"/>
  <c r="J437" i="27"/>
  <c r="K436" i="27"/>
  <c r="J436" i="27"/>
  <c r="K435" i="27"/>
  <c r="J435" i="27"/>
  <c r="K434" i="27"/>
  <c r="J434" i="27"/>
  <c r="K433" i="27"/>
  <c r="J433" i="27"/>
  <c r="K432" i="27"/>
  <c r="J432" i="27"/>
  <c r="K431" i="27"/>
  <c r="J431" i="27"/>
  <c r="K430" i="27"/>
  <c r="J430" i="27"/>
  <c r="K429" i="27"/>
  <c r="J429" i="27"/>
  <c r="K428" i="27"/>
  <c r="J428" i="27"/>
  <c r="K427" i="27"/>
  <c r="J427" i="27"/>
  <c r="K426" i="27"/>
  <c r="J426" i="27"/>
  <c r="K425" i="27"/>
  <c r="J425" i="27"/>
  <c r="K424" i="27"/>
  <c r="J424" i="27"/>
  <c r="K423" i="27"/>
  <c r="J423" i="27"/>
  <c r="K422" i="27"/>
  <c r="J422" i="27"/>
  <c r="K421" i="27"/>
  <c r="J421" i="27"/>
  <c r="K420" i="27"/>
  <c r="J420" i="27"/>
  <c r="K419" i="27"/>
  <c r="J419" i="27"/>
  <c r="K418" i="27"/>
  <c r="J418" i="27"/>
  <c r="K417" i="27"/>
  <c r="J417" i="27"/>
  <c r="K416" i="27"/>
  <c r="J416" i="27"/>
  <c r="K415" i="27"/>
  <c r="J415" i="27"/>
  <c r="K414" i="27"/>
  <c r="J414" i="27"/>
  <c r="K413" i="27"/>
  <c r="J413" i="27"/>
  <c r="K412" i="27"/>
  <c r="J412" i="27"/>
  <c r="K411" i="27"/>
  <c r="J411" i="27"/>
  <c r="K410" i="27"/>
  <c r="J410" i="27"/>
  <c r="K409" i="27"/>
  <c r="J409" i="27"/>
  <c r="K408" i="27"/>
  <c r="J408" i="27"/>
  <c r="K407" i="27"/>
  <c r="J407" i="27"/>
  <c r="K406" i="27"/>
  <c r="J406" i="27"/>
  <c r="K405" i="27"/>
  <c r="J405" i="27"/>
  <c r="K404" i="27"/>
  <c r="J404" i="27"/>
  <c r="K403" i="27"/>
  <c r="J403" i="27"/>
  <c r="K402" i="27"/>
  <c r="J402" i="27"/>
  <c r="K401" i="27"/>
  <c r="J401" i="27"/>
  <c r="K400" i="27"/>
  <c r="J400" i="27"/>
  <c r="K399" i="27"/>
  <c r="J399" i="27"/>
  <c r="K398" i="27"/>
  <c r="J398" i="27"/>
  <c r="K397" i="27"/>
  <c r="J397" i="27"/>
  <c r="K396" i="27"/>
  <c r="J396" i="27"/>
  <c r="K395" i="27"/>
  <c r="J395" i="27"/>
  <c r="K394" i="27"/>
  <c r="J394" i="27"/>
  <c r="K393" i="27"/>
  <c r="J393" i="27"/>
  <c r="K392" i="27"/>
  <c r="J392" i="27"/>
  <c r="K391" i="27"/>
  <c r="J391" i="27"/>
  <c r="K390" i="27"/>
  <c r="J390" i="27"/>
  <c r="K389" i="27"/>
  <c r="J389" i="27"/>
  <c r="K388" i="27"/>
  <c r="J388" i="27"/>
  <c r="K387" i="27"/>
  <c r="J387" i="27"/>
  <c r="K386" i="27"/>
  <c r="J386" i="27"/>
  <c r="K385" i="27"/>
  <c r="J385" i="27"/>
  <c r="K384" i="27"/>
  <c r="J384" i="27"/>
  <c r="K383" i="27"/>
  <c r="J383" i="27"/>
  <c r="K382" i="27"/>
  <c r="J382" i="27"/>
  <c r="K381" i="27"/>
  <c r="J381" i="27"/>
  <c r="K380" i="27"/>
  <c r="J380" i="27"/>
  <c r="K379" i="27"/>
  <c r="J379" i="27"/>
  <c r="K378" i="27"/>
  <c r="J378" i="27"/>
  <c r="K377" i="27"/>
  <c r="J377" i="27"/>
  <c r="K376" i="27"/>
  <c r="J376" i="27"/>
  <c r="K375" i="27"/>
  <c r="J375" i="27"/>
  <c r="K374" i="27"/>
  <c r="J374" i="27"/>
  <c r="K373" i="27"/>
  <c r="J373" i="27"/>
  <c r="K372" i="27"/>
  <c r="J372" i="27"/>
  <c r="K371" i="27"/>
  <c r="J371" i="27"/>
  <c r="K370" i="27"/>
  <c r="J370" i="27"/>
  <c r="K369" i="27"/>
  <c r="J369" i="27"/>
  <c r="K368" i="27"/>
  <c r="J368" i="27"/>
  <c r="K367" i="27"/>
  <c r="J367" i="27"/>
  <c r="K366" i="27"/>
  <c r="J366" i="27"/>
  <c r="K365" i="27"/>
  <c r="J365" i="27"/>
  <c r="K364" i="27"/>
  <c r="J364" i="27"/>
  <c r="K363" i="27"/>
  <c r="J363" i="27"/>
  <c r="K362" i="27"/>
  <c r="J362" i="27"/>
  <c r="K361" i="27"/>
  <c r="J361" i="27"/>
  <c r="K360" i="27"/>
  <c r="J360" i="27"/>
  <c r="K359" i="27"/>
  <c r="J359" i="27"/>
  <c r="K358" i="27"/>
  <c r="J358" i="27"/>
  <c r="K357" i="27"/>
  <c r="J357" i="27"/>
  <c r="K356" i="27"/>
  <c r="J356" i="27"/>
  <c r="K355" i="27"/>
  <c r="J355" i="27"/>
  <c r="K354" i="27"/>
  <c r="J354" i="27"/>
  <c r="K353" i="27"/>
  <c r="J353" i="27"/>
  <c r="K352" i="27"/>
  <c r="J352" i="27"/>
  <c r="K351" i="27"/>
  <c r="J351" i="27"/>
  <c r="K350" i="27"/>
  <c r="J350" i="27"/>
  <c r="K349" i="27"/>
  <c r="J349" i="27"/>
  <c r="K348" i="27"/>
  <c r="J348" i="27"/>
  <c r="K347" i="27"/>
  <c r="J347" i="27"/>
  <c r="K346" i="27"/>
  <c r="J346" i="27"/>
  <c r="K345" i="27"/>
  <c r="J345" i="27"/>
  <c r="K344" i="27"/>
  <c r="J344" i="27"/>
  <c r="K343" i="27"/>
  <c r="J343" i="27"/>
  <c r="K342" i="27"/>
  <c r="J342" i="27"/>
  <c r="K341" i="27"/>
  <c r="J341" i="27"/>
  <c r="K340" i="27"/>
  <c r="J340" i="27"/>
  <c r="K339" i="27"/>
  <c r="J339" i="27"/>
  <c r="K338" i="27"/>
  <c r="J338" i="27"/>
  <c r="K337" i="27"/>
  <c r="J337" i="27"/>
  <c r="K336" i="27"/>
  <c r="J336" i="27"/>
  <c r="K335" i="27"/>
  <c r="J335" i="27"/>
  <c r="K334" i="27"/>
  <c r="J334" i="27"/>
  <c r="K333" i="27"/>
  <c r="J333" i="27"/>
  <c r="K332" i="27"/>
  <c r="J332" i="27"/>
  <c r="K331" i="27"/>
  <c r="J331" i="27"/>
  <c r="K330" i="27"/>
  <c r="J330" i="27"/>
  <c r="K329" i="27"/>
  <c r="J329" i="27"/>
  <c r="K328" i="27"/>
  <c r="J328" i="27"/>
  <c r="K327" i="27"/>
  <c r="J327" i="27"/>
  <c r="K326" i="27"/>
  <c r="J326" i="27"/>
  <c r="K325" i="27"/>
  <c r="J325" i="27"/>
  <c r="K324" i="27"/>
  <c r="J324" i="27"/>
  <c r="K323" i="27"/>
  <c r="J323" i="27"/>
  <c r="K322" i="27"/>
  <c r="J322" i="27"/>
  <c r="K321" i="27"/>
  <c r="J321" i="27"/>
  <c r="K320" i="27"/>
  <c r="J320" i="27"/>
  <c r="K319" i="27"/>
  <c r="J319" i="27"/>
  <c r="K318" i="27"/>
  <c r="J318" i="27"/>
  <c r="K317" i="27"/>
  <c r="J317" i="27"/>
  <c r="K316" i="27"/>
  <c r="J316" i="27"/>
  <c r="K315" i="27"/>
  <c r="J315" i="27"/>
  <c r="K314" i="27"/>
  <c r="J314" i="27"/>
  <c r="K313" i="27"/>
  <c r="J313" i="27"/>
  <c r="K312" i="27"/>
  <c r="J312" i="27"/>
  <c r="K311" i="27"/>
  <c r="J311" i="27"/>
  <c r="K310" i="27"/>
  <c r="J310" i="27"/>
  <c r="K309" i="27"/>
  <c r="J309" i="27"/>
  <c r="K308" i="27"/>
  <c r="J308" i="27"/>
  <c r="K307" i="27"/>
  <c r="J307" i="27"/>
  <c r="K306" i="27"/>
  <c r="J306" i="27"/>
  <c r="K305" i="27"/>
  <c r="J305" i="27"/>
  <c r="K304" i="27"/>
  <c r="J304" i="27"/>
  <c r="K303" i="27"/>
  <c r="J303" i="27"/>
  <c r="K302" i="27"/>
  <c r="J302" i="27"/>
  <c r="K301" i="27"/>
  <c r="J301" i="27"/>
  <c r="K300" i="27"/>
  <c r="J300" i="27"/>
  <c r="K299" i="27"/>
  <c r="J299" i="27"/>
  <c r="K298" i="27"/>
  <c r="J298" i="27"/>
  <c r="K297" i="27"/>
  <c r="J297" i="27"/>
  <c r="K296" i="27"/>
  <c r="J296" i="27"/>
  <c r="K295" i="27"/>
  <c r="J295" i="27"/>
  <c r="K294" i="27"/>
  <c r="J294" i="27"/>
  <c r="K293" i="27"/>
  <c r="J293" i="27"/>
  <c r="K292" i="27"/>
  <c r="J292" i="27"/>
  <c r="K291" i="27"/>
  <c r="J291" i="27"/>
  <c r="K290" i="27"/>
  <c r="J290" i="27"/>
  <c r="K289" i="27"/>
  <c r="J289" i="27"/>
  <c r="K288" i="27"/>
  <c r="J288" i="27"/>
  <c r="K287" i="27"/>
  <c r="J287" i="27"/>
  <c r="K286" i="27"/>
  <c r="J286" i="27"/>
  <c r="K285" i="27"/>
  <c r="J285" i="27"/>
  <c r="K284" i="27"/>
  <c r="J284" i="27"/>
  <c r="K283" i="27"/>
  <c r="J283" i="27"/>
  <c r="K282" i="27"/>
  <c r="J282" i="27"/>
  <c r="K281" i="27"/>
  <c r="J281" i="27"/>
  <c r="K280" i="27"/>
  <c r="J280" i="27"/>
  <c r="K279" i="27"/>
  <c r="J279" i="27"/>
  <c r="K278" i="27"/>
  <c r="J278" i="27"/>
  <c r="K277" i="27"/>
  <c r="J277" i="27"/>
  <c r="K276" i="27"/>
  <c r="J276" i="27"/>
  <c r="K275" i="27"/>
  <c r="J275" i="27"/>
  <c r="K274" i="27"/>
  <c r="J274" i="27"/>
  <c r="K273" i="27"/>
  <c r="J273" i="27"/>
  <c r="K272" i="27"/>
  <c r="J272" i="27"/>
  <c r="K271" i="27"/>
  <c r="J271" i="27"/>
  <c r="K270" i="27"/>
  <c r="J270" i="27"/>
  <c r="K269" i="27"/>
  <c r="J269" i="27"/>
  <c r="K268" i="27"/>
  <c r="J268" i="27"/>
  <c r="K267" i="27"/>
  <c r="J267" i="27"/>
  <c r="K266" i="27"/>
  <c r="J266" i="27"/>
  <c r="K265" i="27"/>
  <c r="J265" i="27"/>
  <c r="K264" i="27"/>
  <c r="J264" i="27"/>
  <c r="K263" i="27"/>
  <c r="J263" i="27"/>
  <c r="K262" i="27"/>
  <c r="J262" i="27"/>
  <c r="K261" i="27"/>
  <c r="J261" i="27"/>
  <c r="K260" i="27"/>
  <c r="J260" i="27"/>
  <c r="K259" i="27"/>
  <c r="J259" i="27"/>
  <c r="K258" i="27"/>
  <c r="J258" i="27"/>
  <c r="K257" i="27"/>
  <c r="J257" i="27"/>
  <c r="K256" i="27"/>
  <c r="J256" i="27"/>
  <c r="K255" i="27"/>
  <c r="J255" i="27"/>
  <c r="K254" i="27"/>
  <c r="J254" i="27"/>
  <c r="K253" i="27"/>
  <c r="J253" i="27"/>
  <c r="K252" i="27"/>
  <c r="J252" i="27"/>
  <c r="K251" i="27"/>
  <c r="J251" i="27"/>
  <c r="K250" i="27"/>
  <c r="J250" i="27"/>
  <c r="K249" i="27"/>
  <c r="J249" i="27"/>
  <c r="K248" i="27"/>
  <c r="J248" i="27"/>
  <c r="K247" i="27"/>
  <c r="J247" i="27"/>
  <c r="K246" i="27"/>
  <c r="J246" i="27"/>
  <c r="K245" i="27"/>
  <c r="J245" i="27"/>
  <c r="K244" i="27"/>
  <c r="J244" i="27"/>
  <c r="K243" i="27"/>
  <c r="J243" i="27"/>
  <c r="K242" i="27"/>
  <c r="J242" i="27"/>
  <c r="K241" i="27"/>
  <c r="J241" i="27"/>
  <c r="K240" i="27"/>
  <c r="J240" i="27"/>
  <c r="K239" i="27"/>
  <c r="J239" i="27"/>
  <c r="K238" i="27"/>
  <c r="J238" i="27"/>
  <c r="K237" i="27"/>
  <c r="J237" i="27"/>
  <c r="K236" i="27"/>
  <c r="J236" i="27"/>
  <c r="K235" i="27"/>
  <c r="J235" i="27"/>
  <c r="K234" i="27"/>
  <c r="J234" i="27"/>
  <c r="K233" i="27"/>
  <c r="J233" i="27"/>
  <c r="K232" i="27"/>
  <c r="J232" i="27"/>
  <c r="K231" i="27"/>
  <c r="J231" i="27"/>
  <c r="K230" i="27"/>
  <c r="J230" i="27"/>
  <c r="K229" i="27"/>
  <c r="J229" i="27"/>
  <c r="K228" i="27"/>
  <c r="J228" i="27"/>
  <c r="K227" i="27"/>
  <c r="J227" i="27"/>
  <c r="K226" i="27"/>
  <c r="J226" i="27"/>
  <c r="K225" i="27"/>
  <c r="J225" i="27"/>
  <c r="K224" i="27"/>
  <c r="J224" i="27"/>
  <c r="K223" i="27"/>
  <c r="J223" i="27"/>
  <c r="K222" i="27"/>
  <c r="J222" i="27"/>
  <c r="K221" i="27"/>
  <c r="J221" i="27"/>
  <c r="K220" i="27"/>
  <c r="J220" i="27"/>
  <c r="K219" i="27"/>
  <c r="J219" i="27"/>
  <c r="K218" i="27"/>
  <c r="J218" i="27"/>
  <c r="K217" i="27"/>
  <c r="J217" i="27"/>
  <c r="K216" i="27"/>
  <c r="J216" i="27"/>
  <c r="K215" i="27"/>
  <c r="J215" i="27"/>
  <c r="K214" i="27"/>
  <c r="J214" i="27"/>
  <c r="K213" i="27"/>
  <c r="J213" i="27"/>
  <c r="K212" i="27"/>
  <c r="J212" i="27"/>
  <c r="K211" i="27"/>
  <c r="J211" i="27"/>
  <c r="K210" i="27"/>
  <c r="J210" i="27"/>
  <c r="K209" i="27"/>
  <c r="J209" i="27"/>
  <c r="K208" i="27"/>
  <c r="J208" i="27"/>
  <c r="K207" i="27"/>
  <c r="J207" i="27"/>
  <c r="K206" i="27"/>
  <c r="J206" i="27"/>
  <c r="K205" i="27"/>
  <c r="J205" i="27"/>
  <c r="K204" i="27"/>
  <c r="J204" i="27"/>
  <c r="K203" i="27"/>
  <c r="J203" i="27"/>
  <c r="K202" i="27"/>
  <c r="J202" i="27"/>
  <c r="K201" i="27"/>
  <c r="J201" i="27"/>
  <c r="K200" i="27"/>
  <c r="J200" i="27"/>
  <c r="K199" i="27"/>
  <c r="J199" i="27"/>
  <c r="K198" i="27"/>
  <c r="J198" i="27"/>
  <c r="K197" i="27"/>
  <c r="J197" i="27"/>
  <c r="K196" i="27"/>
  <c r="J196" i="27"/>
  <c r="K195" i="27"/>
  <c r="J195" i="27"/>
  <c r="K194" i="27"/>
  <c r="J194" i="27"/>
  <c r="K193" i="27"/>
  <c r="J193" i="27"/>
  <c r="K192" i="27"/>
  <c r="J192" i="27"/>
  <c r="K191" i="27"/>
  <c r="J191" i="27"/>
  <c r="K190" i="27"/>
  <c r="J190" i="27"/>
  <c r="K189" i="27"/>
  <c r="J189" i="27"/>
  <c r="K188" i="27"/>
  <c r="J188" i="27"/>
  <c r="K187" i="27"/>
  <c r="J187" i="27"/>
  <c r="K186" i="27"/>
  <c r="J186" i="27"/>
  <c r="K185" i="27"/>
  <c r="J185" i="27"/>
  <c r="K184" i="27"/>
  <c r="J184" i="27"/>
  <c r="K183" i="27"/>
  <c r="J183" i="27"/>
  <c r="K182" i="27"/>
  <c r="J182" i="27"/>
  <c r="K181" i="27"/>
  <c r="J181" i="27"/>
  <c r="K180" i="27"/>
  <c r="J180" i="27"/>
  <c r="K179" i="27"/>
  <c r="J179" i="27"/>
  <c r="K178" i="27"/>
  <c r="J178" i="27"/>
  <c r="K177" i="27"/>
  <c r="J177" i="27"/>
  <c r="K176" i="27"/>
  <c r="J176" i="27"/>
  <c r="K175" i="27"/>
  <c r="J175" i="27"/>
  <c r="K174" i="27"/>
  <c r="J174" i="27"/>
  <c r="K173" i="27"/>
  <c r="J173" i="27"/>
  <c r="K172" i="27"/>
  <c r="J172" i="27"/>
  <c r="K171" i="27"/>
  <c r="J171" i="27"/>
  <c r="K170" i="27"/>
  <c r="J170" i="27"/>
  <c r="K169" i="27"/>
  <c r="J169" i="27"/>
  <c r="K168" i="27"/>
  <c r="J168" i="27"/>
  <c r="K167" i="27"/>
  <c r="J167" i="27"/>
  <c r="K166" i="27"/>
  <c r="J166" i="27"/>
  <c r="K165" i="27"/>
  <c r="J165" i="27"/>
  <c r="K164" i="27"/>
  <c r="J164" i="27"/>
  <c r="K163" i="27"/>
  <c r="J163" i="27"/>
  <c r="K162" i="27"/>
  <c r="J162" i="27"/>
  <c r="K161" i="27"/>
  <c r="J161" i="27"/>
  <c r="K160" i="27"/>
  <c r="J160" i="27"/>
  <c r="K159" i="27"/>
  <c r="J159" i="27"/>
  <c r="K158" i="27"/>
  <c r="J158" i="27"/>
  <c r="K157" i="27"/>
  <c r="J157" i="27"/>
  <c r="K156" i="27"/>
  <c r="J156" i="27"/>
  <c r="K155" i="27"/>
  <c r="J155" i="27"/>
  <c r="K154" i="27"/>
  <c r="J154" i="27"/>
  <c r="K153" i="27"/>
  <c r="J153" i="27"/>
  <c r="K152" i="27"/>
  <c r="J152" i="27"/>
  <c r="K151" i="27"/>
  <c r="J151" i="27"/>
  <c r="K150" i="27"/>
  <c r="J150" i="27"/>
  <c r="K149" i="27"/>
  <c r="J149" i="27"/>
  <c r="K148" i="27"/>
  <c r="J148" i="27"/>
  <c r="K147" i="27"/>
  <c r="J147" i="27"/>
  <c r="K146" i="27"/>
  <c r="J146" i="27"/>
  <c r="K145" i="27"/>
  <c r="J145" i="27"/>
  <c r="K144" i="27"/>
  <c r="J144" i="27"/>
  <c r="K143" i="27"/>
  <c r="J143" i="27"/>
  <c r="K142" i="27"/>
  <c r="J142" i="27"/>
  <c r="K141" i="27"/>
  <c r="J141" i="27"/>
  <c r="K140" i="27"/>
  <c r="J140" i="27"/>
  <c r="K139" i="27"/>
  <c r="J139" i="27"/>
  <c r="K138" i="27"/>
  <c r="J138" i="27"/>
  <c r="K137" i="27"/>
  <c r="J137" i="27"/>
  <c r="K136" i="27"/>
  <c r="J136" i="27"/>
  <c r="K135" i="27"/>
  <c r="J135" i="27"/>
  <c r="K134" i="27"/>
  <c r="J134" i="27"/>
  <c r="K133" i="27"/>
  <c r="J133" i="27"/>
  <c r="K132" i="27"/>
  <c r="J132" i="27"/>
  <c r="K131" i="27"/>
  <c r="J131" i="27"/>
  <c r="K130" i="27"/>
  <c r="J130" i="27"/>
  <c r="K129" i="27"/>
  <c r="J129" i="27"/>
  <c r="K128" i="27"/>
  <c r="J128" i="27"/>
  <c r="K127" i="27"/>
  <c r="J127" i="27"/>
  <c r="K126" i="27"/>
  <c r="J126" i="27"/>
  <c r="K125" i="27"/>
  <c r="J125" i="27"/>
  <c r="K124" i="27"/>
  <c r="J124" i="27"/>
  <c r="K123" i="27"/>
  <c r="J123" i="27"/>
  <c r="K122" i="27"/>
  <c r="J122" i="27"/>
  <c r="K121" i="27"/>
  <c r="J121" i="27"/>
  <c r="K120" i="27"/>
  <c r="J120" i="27"/>
  <c r="K119" i="27"/>
  <c r="J119" i="27"/>
  <c r="K118" i="27"/>
  <c r="J118" i="27"/>
  <c r="K117" i="27"/>
  <c r="J117" i="27"/>
  <c r="K116" i="27"/>
  <c r="J116" i="27"/>
  <c r="K115" i="27"/>
  <c r="J115" i="27"/>
  <c r="K114" i="27"/>
  <c r="J114" i="27"/>
  <c r="K113" i="27"/>
  <c r="J113" i="27"/>
  <c r="K112" i="27"/>
  <c r="J112" i="27"/>
  <c r="K111" i="27"/>
  <c r="J111" i="27"/>
  <c r="K110" i="27"/>
  <c r="J110" i="27"/>
  <c r="K109" i="27"/>
  <c r="J109" i="27"/>
  <c r="K108" i="27"/>
  <c r="J108" i="27"/>
  <c r="K107" i="27"/>
  <c r="J107" i="27"/>
  <c r="K106" i="27"/>
  <c r="J106" i="27"/>
  <c r="K105" i="27"/>
  <c r="J105" i="27"/>
  <c r="K104" i="27"/>
  <c r="J104" i="27"/>
  <c r="K103" i="27"/>
  <c r="J103" i="27"/>
  <c r="K102" i="27"/>
  <c r="J102" i="27"/>
  <c r="K101" i="27"/>
  <c r="J101" i="27"/>
  <c r="K100" i="27"/>
  <c r="J100" i="27"/>
  <c r="K99" i="27"/>
  <c r="J99" i="27"/>
  <c r="K98" i="27"/>
  <c r="J98" i="27"/>
  <c r="K97" i="27"/>
  <c r="J97" i="27"/>
  <c r="K96" i="27"/>
  <c r="J96" i="27"/>
  <c r="K95" i="27"/>
  <c r="J95" i="27"/>
  <c r="K94" i="27"/>
  <c r="J94" i="27"/>
  <c r="K93" i="27"/>
  <c r="J93" i="27"/>
  <c r="K92" i="27"/>
  <c r="J92" i="27"/>
  <c r="K91" i="27"/>
  <c r="J91" i="27"/>
  <c r="K90" i="27"/>
  <c r="J90" i="27"/>
  <c r="K89" i="27"/>
  <c r="J89" i="27"/>
  <c r="K88" i="27"/>
  <c r="J88" i="27"/>
  <c r="K87" i="27"/>
  <c r="J87" i="27"/>
  <c r="K86" i="27"/>
  <c r="J86" i="27"/>
  <c r="K85" i="27"/>
  <c r="J85" i="27"/>
  <c r="K84" i="27"/>
  <c r="J84" i="27"/>
  <c r="K83" i="27"/>
  <c r="J83" i="27"/>
  <c r="K82" i="27"/>
  <c r="J82" i="27"/>
  <c r="K81" i="27"/>
  <c r="J81" i="27"/>
  <c r="K80" i="27"/>
  <c r="J80" i="27"/>
  <c r="K79" i="27"/>
  <c r="J79" i="27"/>
  <c r="K78" i="27"/>
  <c r="J78" i="27"/>
  <c r="K77" i="27"/>
  <c r="J77" i="27"/>
  <c r="K76" i="27"/>
  <c r="J76" i="27"/>
  <c r="K75" i="27"/>
  <c r="J75" i="27"/>
  <c r="K74" i="27"/>
  <c r="J74" i="27"/>
  <c r="K73" i="27"/>
  <c r="J73" i="27"/>
  <c r="K72" i="27"/>
  <c r="J72" i="27"/>
  <c r="K71" i="27"/>
  <c r="J71" i="27"/>
  <c r="K70" i="27"/>
  <c r="J70" i="27"/>
  <c r="K69" i="27"/>
  <c r="J69" i="27"/>
  <c r="K68" i="27"/>
  <c r="J68" i="27"/>
  <c r="K67" i="27"/>
  <c r="J67" i="27"/>
  <c r="K66" i="27"/>
  <c r="J66" i="27"/>
  <c r="K65" i="27"/>
  <c r="J65" i="27"/>
  <c r="K64" i="27"/>
  <c r="J64" i="27"/>
  <c r="K63" i="27"/>
  <c r="J63" i="27"/>
  <c r="K62" i="27"/>
  <c r="J62" i="27"/>
  <c r="K61" i="27"/>
  <c r="J61" i="27"/>
  <c r="K60" i="27"/>
  <c r="J60" i="27"/>
  <c r="K59" i="27"/>
  <c r="J59" i="27"/>
  <c r="K58" i="27"/>
  <c r="J58" i="27"/>
  <c r="K57" i="27"/>
  <c r="J57" i="27"/>
  <c r="K56" i="27"/>
  <c r="J56" i="27"/>
  <c r="K55" i="27"/>
  <c r="J55" i="27"/>
  <c r="K54" i="27"/>
  <c r="J54" i="27"/>
  <c r="K53" i="27"/>
  <c r="J53" i="27"/>
  <c r="K52" i="27"/>
  <c r="J52" i="27"/>
  <c r="K51" i="27"/>
  <c r="J51" i="27"/>
  <c r="K50" i="27"/>
  <c r="J50" i="27"/>
  <c r="K49" i="27"/>
  <c r="J49" i="27"/>
  <c r="K48" i="27"/>
  <c r="J48" i="27"/>
  <c r="K47" i="27"/>
  <c r="J47" i="27"/>
  <c r="K46" i="27"/>
  <c r="J46" i="27"/>
  <c r="K45" i="27"/>
  <c r="J45" i="27"/>
  <c r="K44" i="27"/>
  <c r="J44" i="27"/>
  <c r="K43" i="27"/>
  <c r="J43" i="27"/>
  <c r="K42" i="27"/>
  <c r="J42" i="27"/>
  <c r="K41" i="27"/>
  <c r="J41" i="27"/>
  <c r="K40" i="27"/>
  <c r="J40" i="27"/>
  <c r="K39" i="27"/>
  <c r="J39" i="27"/>
  <c r="K38" i="27"/>
  <c r="J38" i="27"/>
  <c r="K37" i="27"/>
  <c r="J37" i="27"/>
  <c r="K36" i="27"/>
  <c r="J36" i="27"/>
  <c r="K35" i="27"/>
  <c r="J35" i="27"/>
  <c r="K34" i="27"/>
  <c r="J34" i="27"/>
  <c r="K33" i="27"/>
  <c r="J33" i="27"/>
  <c r="K32" i="27"/>
  <c r="J32" i="27"/>
  <c r="K31" i="27"/>
  <c r="J31" i="27"/>
  <c r="K30" i="27"/>
  <c r="J30" i="27"/>
  <c r="K29" i="27"/>
  <c r="J29" i="27"/>
  <c r="K28" i="27"/>
  <c r="J28" i="27"/>
  <c r="K27" i="27"/>
  <c r="J27" i="27"/>
  <c r="K26" i="27"/>
  <c r="J26" i="27"/>
  <c r="K25" i="27"/>
  <c r="J25" i="27"/>
  <c r="K24" i="27"/>
  <c r="J24" i="27"/>
  <c r="K23" i="27"/>
  <c r="J23" i="27"/>
  <c r="K22" i="27"/>
  <c r="J22" i="27"/>
  <c r="K21" i="27"/>
  <c r="J21" i="27"/>
  <c r="K20" i="27"/>
  <c r="J20" i="27"/>
  <c r="K19" i="27"/>
  <c r="J19" i="27"/>
  <c r="K18" i="27"/>
  <c r="J18" i="27"/>
  <c r="K17" i="27"/>
  <c r="J17" i="27"/>
  <c r="K16" i="27"/>
  <c r="J16" i="27"/>
  <c r="K15" i="27"/>
  <c r="J15" i="27"/>
  <c r="K14" i="27"/>
  <c r="J14" i="27"/>
  <c r="K13" i="27"/>
  <c r="J13" i="27"/>
  <c r="K12" i="27"/>
  <c r="J12" i="27"/>
  <c r="K11" i="27"/>
  <c r="J11" i="27"/>
  <c r="K10" i="27"/>
  <c r="J10" i="27"/>
  <c r="K9" i="27"/>
  <c r="J9" i="27"/>
  <c r="K8" i="27"/>
  <c r="J8" i="27"/>
  <c r="K7" i="27"/>
  <c r="J7" i="27"/>
  <c r="K6" i="27"/>
  <c r="J6" i="27"/>
  <c r="K3" i="27"/>
  <c r="I3" i="27"/>
  <c r="H3" i="27"/>
  <c r="K498" i="73"/>
  <c r="J498" i="73"/>
  <c r="K497" i="73"/>
  <c r="J497" i="73"/>
  <c r="K496" i="73"/>
  <c r="J496" i="73"/>
  <c r="K495" i="73"/>
  <c r="J495" i="73"/>
  <c r="K494" i="73"/>
  <c r="J494" i="73"/>
  <c r="K493" i="73"/>
  <c r="J493" i="73"/>
  <c r="K492" i="73"/>
  <c r="J492" i="73"/>
  <c r="K491" i="73"/>
  <c r="J491" i="73"/>
  <c r="K490" i="73"/>
  <c r="J490" i="73"/>
  <c r="K489" i="73"/>
  <c r="J489" i="73"/>
  <c r="K488" i="73"/>
  <c r="J488" i="73"/>
  <c r="K487" i="73"/>
  <c r="J487" i="73"/>
  <c r="K486" i="73"/>
  <c r="J486" i="73"/>
  <c r="K485" i="73"/>
  <c r="J485" i="73"/>
  <c r="K484" i="73"/>
  <c r="J484" i="73"/>
  <c r="K483" i="73"/>
  <c r="J483" i="73"/>
  <c r="K482" i="73"/>
  <c r="J482" i="73"/>
  <c r="K481" i="73"/>
  <c r="J481" i="73"/>
  <c r="K480" i="73"/>
  <c r="J480" i="73"/>
  <c r="K479" i="73"/>
  <c r="J479" i="73"/>
  <c r="K478" i="73"/>
  <c r="J478" i="73"/>
  <c r="K477" i="73"/>
  <c r="J477" i="73"/>
  <c r="K476" i="73"/>
  <c r="J476" i="73"/>
  <c r="K475" i="73"/>
  <c r="J475" i="73"/>
  <c r="K474" i="73"/>
  <c r="J474" i="73"/>
  <c r="K473" i="73"/>
  <c r="J473" i="73"/>
  <c r="K472" i="73"/>
  <c r="J472" i="73"/>
  <c r="K471" i="73"/>
  <c r="J471" i="73"/>
  <c r="K470" i="73"/>
  <c r="J470" i="73"/>
  <c r="K469" i="73"/>
  <c r="J469" i="73"/>
  <c r="K468" i="73"/>
  <c r="J468" i="73"/>
  <c r="K467" i="73"/>
  <c r="J467" i="73"/>
  <c r="K466" i="73"/>
  <c r="J466" i="73"/>
  <c r="K465" i="73"/>
  <c r="J465" i="73"/>
  <c r="K464" i="73"/>
  <c r="J464" i="73"/>
  <c r="K463" i="73"/>
  <c r="J463" i="73"/>
  <c r="K462" i="73"/>
  <c r="J462" i="73"/>
  <c r="K461" i="73"/>
  <c r="J461" i="73"/>
  <c r="K460" i="73"/>
  <c r="J460" i="73"/>
  <c r="K459" i="73"/>
  <c r="J459" i="73"/>
  <c r="K458" i="73"/>
  <c r="J458" i="73"/>
  <c r="K457" i="73"/>
  <c r="J457" i="73"/>
  <c r="K456" i="73"/>
  <c r="J456" i="73"/>
  <c r="K455" i="73"/>
  <c r="J455" i="73"/>
  <c r="K454" i="73"/>
  <c r="J454" i="73"/>
  <c r="K453" i="73"/>
  <c r="J453" i="73"/>
  <c r="K452" i="73"/>
  <c r="J452" i="73"/>
  <c r="K451" i="73"/>
  <c r="J451" i="73"/>
  <c r="K450" i="73"/>
  <c r="J450" i="73"/>
  <c r="K449" i="73"/>
  <c r="J449" i="73"/>
  <c r="K448" i="73"/>
  <c r="J448" i="73"/>
  <c r="K447" i="73"/>
  <c r="J447" i="73"/>
  <c r="K446" i="73"/>
  <c r="J446" i="73"/>
  <c r="K445" i="73"/>
  <c r="J445" i="73"/>
  <c r="K444" i="73"/>
  <c r="J444" i="73"/>
  <c r="K443" i="73"/>
  <c r="J443" i="73"/>
  <c r="K442" i="73"/>
  <c r="J442" i="73"/>
  <c r="K441" i="73"/>
  <c r="J441" i="73"/>
  <c r="K440" i="73"/>
  <c r="J440" i="73"/>
  <c r="K439" i="73"/>
  <c r="J439" i="73"/>
  <c r="K438" i="73"/>
  <c r="J438" i="73"/>
  <c r="K437" i="73"/>
  <c r="J437" i="73"/>
  <c r="K436" i="73"/>
  <c r="J436" i="73"/>
  <c r="K435" i="73"/>
  <c r="J435" i="73"/>
  <c r="K434" i="73"/>
  <c r="J434" i="73"/>
  <c r="K433" i="73"/>
  <c r="J433" i="73"/>
  <c r="K432" i="73"/>
  <c r="J432" i="73"/>
  <c r="K431" i="73"/>
  <c r="J431" i="73"/>
  <c r="K430" i="73"/>
  <c r="J430" i="73"/>
  <c r="K429" i="73"/>
  <c r="J429" i="73"/>
  <c r="K428" i="73"/>
  <c r="J428" i="73"/>
  <c r="K427" i="73"/>
  <c r="J427" i="73"/>
  <c r="K426" i="73"/>
  <c r="J426" i="73"/>
  <c r="K425" i="73"/>
  <c r="J425" i="73"/>
  <c r="K424" i="73"/>
  <c r="J424" i="73"/>
  <c r="K423" i="73"/>
  <c r="J423" i="73"/>
  <c r="K422" i="73"/>
  <c r="J422" i="73"/>
  <c r="K421" i="73"/>
  <c r="J421" i="73"/>
  <c r="K420" i="73"/>
  <c r="J420" i="73"/>
  <c r="K419" i="73"/>
  <c r="J419" i="73"/>
  <c r="K418" i="73"/>
  <c r="J418" i="73"/>
  <c r="K417" i="73"/>
  <c r="J417" i="73"/>
  <c r="K416" i="73"/>
  <c r="J416" i="73"/>
  <c r="K415" i="73"/>
  <c r="J415" i="73"/>
  <c r="K414" i="73"/>
  <c r="J414" i="73"/>
  <c r="K413" i="73"/>
  <c r="J413" i="73"/>
  <c r="K412" i="73"/>
  <c r="J412" i="73"/>
  <c r="K411" i="73"/>
  <c r="J411" i="73"/>
  <c r="K410" i="73"/>
  <c r="J410" i="73"/>
  <c r="K409" i="73"/>
  <c r="J409" i="73"/>
  <c r="K408" i="73"/>
  <c r="J408" i="73"/>
  <c r="K407" i="73"/>
  <c r="J407" i="73"/>
  <c r="K406" i="73"/>
  <c r="J406" i="73"/>
  <c r="K405" i="73"/>
  <c r="J405" i="73"/>
  <c r="K404" i="73"/>
  <c r="J404" i="73"/>
  <c r="K403" i="73"/>
  <c r="J403" i="73"/>
  <c r="K402" i="73"/>
  <c r="J402" i="73"/>
  <c r="K401" i="73"/>
  <c r="J401" i="73"/>
  <c r="K400" i="73"/>
  <c r="J400" i="73"/>
  <c r="K399" i="73"/>
  <c r="J399" i="73"/>
  <c r="K398" i="73"/>
  <c r="J398" i="73"/>
  <c r="K397" i="73"/>
  <c r="J397" i="73"/>
  <c r="K396" i="73"/>
  <c r="J396" i="73"/>
  <c r="K395" i="73"/>
  <c r="J395" i="73"/>
  <c r="K394" i="73"/>
  <c r="J394" i="73"/>
  <c r="K393" i="73"/>
  <c r="J393" i="73"/>
  <c r="K392" i="73"/>
  <c r="J392" i="73"/>
  <c r="K391" i="73"/>
  <c r="J391" i="73"/>
  <c r="K390" i="73"/>
  <c r="J390" i="73"/>
  <c r="K389" i="73"/>
  <c r="J389" i="73"/>
  <c r="K388" i="73"/>
  <c r="J388" i="73"/>
  <c r="K387" i="73"/>
  <c r="J387" i="73"/>
  <c r="K386" i="73"/>
  <c r="J386" i="73"/>
  <c r="K385" i="73"/>
  <c r="J385" i="73"/>
  <c r="K384" i="73"/>
  <c r="J384" i="73"/>
  <c r="K383" i="73"/>
  <c r="J383" i="73"/>
  <c r="K382" i="73"/>
  <c r="J382" i="73"/>
  <c r="K381" i="73"/>
  <c r="J381" i="73"/>
  <c r="K380" i="73"/>
  <c r="J380" i="73"/>
  <c r="K379" i="73"/>
  <c r="J379" i="73"/>
  <c r="K378" i="73"/>
  <c r="J378" i="73"/>
  <c r="K377" i="73"/>
  <c r="J377" i="73"/>
  <c r="K376" i="73"/>
  <c r="J376" i="73"/>
  <c r="K375" i="73"/>
  <c r="J375" i="73"/>
  <c r="K374" i="73"/>
  <c r="J374" i="73"/>
  <c r="K373" i="73"/>
  <c r="J373" i="73"/>
  <c r="K372" i="73"/>
  <c r="J372" i="73"/>
  <c r="K371" i="73"/>
  <c r="J371" i="73"/>
  <c r="K370" i="73"/>
  <c r="J370" i="73"/>
  <c r="K369" i="73"/>
  <c r="J369" i="73"/>
  <c r="K368" i="73"/>
  <c r="J368" i="73"/>
  <c r="K367" i="73"/>
  <c r="J367" i="73"/>
  <c r="K366" i="73"/>
  <c r="J366" i="73"/>
  <c r="K365" i="73"/>
  <c r="J365" i="73"/>
  <c r="K364" i="73"/>
  <c r="J364" i="73"/>
  <c r="K363" i="73"/>
  <c r="J363" i="73"/>
  <c r="K362" i="73"/>
  <c r="J362" i="73"/>
  <c r="K361" i="73"/>
  <c r="J361" i="73"/>
  <c r="K360" i="73"/>
  <c r="J360" i="73"/>
  <c r="K359" i="73"/>
  <c r="J359" i="73"/>
  <c r="K358" i="73"/>
  <c r="J358" i="73"/>
  <c r="K357" i="73"/>
  <c r="J357" i="73"/>
  <c r="K356" i="73"/>
  <c r="J356" i="73"/>
  <c r="K355" i="73"/>
  <c r="J355" i="73"/>
  <c r="K354" i="73"/>
  <c r="J354" i="73"/>
  <c r="K353" i="73"/>
  <c r="J353" i="73"/>
  <c r="K352" i="73"/>
  <c r="J352" i="73"/>
  <c r="K351" i="73"/>
  <c r="J351" i="73"/>
  <c r="K350" i="73"/>
  <c r="J350" i="73"/>
  <c r="K349" i="73"/>
  <c r="J349" i="73"/>
  <c r="K348" i="73"/>
  <c r="J348" i="73"/>
  <c r="K347" i="73"/>
  <c r="J347" i="73"/>
  <c r="K346" i="73"/>
  <c r="J346" i="73"/>
  <c r="K345" i="73"/>
  <c r="J345" i="73"/>
  <c r="K344" i="73"/>
  <c r="J344" i="73"/>
  <c r="K343" i="73"/>
  <c r="J343" i="73"/>
  <c r="K342" i="73"/>
  <c r="J342" i="73"/>
  <c r="K341" i="73"/>
  <c r="J341" i="73"/>
  <c r="K340" i="73"/>
  <c r="J340" i="73"/>
  <c r="K339" i="73"/>
  <c r="J339" i="73"/>
  <c r="K338" i="73"/>
  <c r="J338" i="73"/>
  <c r="K337" i="73"/>
  <c r="J337" i="73"/>
  <c r="K336" i="73"/>
  <c r="J336" i="73"/>
  <c r="K335" i="73"/>
  <c r="J335" i="73"/>
  <c r="K334" i="73"/>
  <c r="J334" i="73"/>
  <c r="K333" i="73"/>
  <c r="J333" i="73"/>
  <c r="K332" i="73"/>
  <c r="J332" i="73"/>
  <c r="K331" i="73"/>
  <c r="J331" i="73"/>
  <c r="K330" i="73"/>
  <c r="J330" i="73"/>
  <c r="K329" i="73"/>
  <c r="J329" i="73"/>
  <c r="K328" i="73"/>
  <c r="J328" i="73"/>
  <c r="K327" i="73"/>
  <c r="J327" i="73"/>
  <c r="K326" i="73"/>
  <c r="J326" i="73"/>
  <c r="K325" i="73"/>
  <c r="J325" i="73"/>
  <c r="K324" i="73"/>
  <c r="J324" i="73"/>
  <c r="K323" i="73"/>
  <c r="J323" i="73"/>
  <c r="K322" i="73"/>
  <c r="J322" i="73"/>
  <c r="K321" i="73"/>
  <c r="J321" i="73"/>
  <c r="K320" i="73"/>
  <c r="J320" i="73"/>
  <c r="K319" i="73"/>
  <c r="J319" i="73"/>
  <c r="K318" i="73"/>
  <c r="J318" i="73"/>
  <c r="K317" i="73"/>
  <c r="J317" i="73"/>
  <c r="K316" i="73"/>
  <c r="J316" i="73"/>
  <c r="K315" i="73"/>
  <c r="J315" i="73"/>
  <c r="K314" i="73"/>
  <c r="J314" i="73"/>
  <c r="K313" i="73"/>
  <c r="J313" i="73"/>
  <c r="K312" i="73"/>
  <c r="J312" i="73"/>
  <c r="K311" i="73"/>
  <c r="J311" i="73"/>
  <c r="K310" i="73"/>
  <c r="J310" i="73"/>
  <c r="K309" i="73"/>
  <c r="J309" i="73"/>
  <c r="K308" i="73"/>
  <c r="J308" i="73"/>
  <c r="K307" i="73"/>
  <c r="J307" i="73"/>
  <c r="K306" i="73"/>
  <c r="J306" i="73"/>
  <c r="K305" i="73"/>
  <c r="J305" i="73"/>
  <c r="K304" i="73"/>
  <c r="J304" i="73"/>
  <c r="K303" i="73"/>
  <c r="J303" i="73"/>
  <c r="K302" i="73"/>
  <c r="J302" i="73"/>
  <c r="K301" i="73"/>
  <c r="J301" i="73"/>
  <c r="K300" i="73"/>
  <c r="J300" i="73"/>
  <c r="K299" i="73"/>
  <c r="J299" i="73"/>
  <c r="K298" i="73"/>
  <c r="J298" i="73"/>
  <c r="K297" i="73"/>
  <c r="J297" i="73"/>
  <c r="K296" i="73"/>
  <c r="J296" i="73"/>
  <c r="K295" i="73"/>
  <c r="J295" i="73"/>
  <c r="K294" i="73"/>
  <c r="J294" i="73"/>
  <c r="K293" i="73"/>
  <c r="J293" i="73"/>
  <c r="K292" i="73"/>
  <c r="J292" i="73"/>
  <c r="K291" i="73"/>
  <c r="J291" i="73"/>
  <c r="K290" i="73"/>
  <c r="J290" i="73"/>
  <c r="K289" i="73"/>
  <c r="J289" i="73"/>
  <c r="K288" i="73"/>
  <c r="J288" i="73"/>
  <c r="K287" i="73"/>
  <c r="J287" i="73"/>
  <c r="K286" i="73"/>
  <c r="J286" i="73"/>
  <c r="K285" i="73"/>
  <c r="J285" i="73"/>
  <c r="K284" i="73"/>
  <c r="J284" i="73"/>
  <c r="K283" i="73"/>
  <c r="J283" i="73"/>
  <c r="K282" i="73"/>
  <c r="J282" i="73"/>
  <c r="K281" i="73"/>
  <c r="J281" i="73"/>
  <c r="K280" i="73"/>
  <c r="J280" i="73"/>
  <c r="K279" i="73"/>
  <c r="J279" i="73"/>
  <c r="K278" i="73"/>
  <c r="J278" i="73"/>
  <c r="K277" i="73"/>
  <c r="J277" i="73"/>
  <c r="K276" i="73"/>
  <c r="J276" i="73"/>
  <c r="K275" i="73"/>
  <c r="J275" i="73"/>
  <c r="K274" i="73"/>
  <c r="J274" i="73"/>
  <c r="K273" i="73"/>
  <c r="J273" i="73"/>
  <c r="K272" i="73"/>
  <c r="J272" i="73"/>
  <c r="K271" i="73"/>
  <c r="J271" i="73"/>
  <c r="K270" i="73"/>
  <c r="J270" i="73"/>
  <c r="K269" i="73"/>
  <c r="J269" i="73"/>
  <c r="K268" i="73"/>
  <c r="J268" i="73"/>
  <c r="K267" i="73"/>
  <c r="J267" i="73"/>
  <c r="K266" i="73"/>
  <c r="J266" i="73"/>
  <c r="K265" i="73"/>
  <c r="J265" i="73"/>
  <c r="K264" i="73"/>
  <c r="J264" i="73"/>
  <c r="K263" i="73"/>
  <c r="J263" i="73"/>
  <c r="K262" i="73"/>
  <c r="J262" i="73"/>
  <c r="K261" i="73"/>
  <c r="J261" i="73"/>
  <c r="K260" i="73"/>
  <c r="J260" i="73"/>
  <c r="K259" i="73"/>
  <c r="J259" i="73"/>
  <c r="K258" i="73"/>
  <c r="J258" i="73"/>
  <c r="K257" i="73"/>
  <c r="J257" i="73"/>
  <c r="K256" i="73"/>
  <c r="J256" i="73"/>
  <c r="K255" i="73"/>
  <c r="J255" i="73"/>
  <c r="K254" i="73"/>
  <c r="J254" i="73"/>
  <c r="K253" i="73"/>
  <c r="J253" i="73"/>
  <c r="K252" i="73"/>
  <c r="J252" i="73"/>
  <c r="K251" i="73"/>
  <c r="J251" i="73"/>
  <c r="K250" i="73"/>
  <c r="J250" i="73"/>
  <c r="K249" i="73"/>
  <c r="J249" i="73"/>
  <c r="K248" i="73"/>
  <c r="J248" i="73"/>
  <c r="K247" i="73"/>
  <c r="J247" i="73"/>
  <c r="K246" i="73"/>
  <c r="J246" i="73"/>
  <c r="K245" i="73"/>
  <c r="J245" i="73"/>
  <c r="K244" i="73"/>
  <c r="J244" i="73"/>
  <c r="K243" i="73"/>
  <c r="J243" i="73"/>
  <c r="K242" i="73"/>
  <c r="J242" i="73"/>
  <c r="K241" i="73"/>
  <c r="J241" i="73"/>
  <c r="K240" i="73"/>
  <c r="J240" i="73"/>
  <c r="K239" i="73"/>
  <c r="J239" i="73"/>
  <c r="K238" i="73"/>
  <c r="J238" i="73"/>
  <c r="K237" i="73"/>
  <c r="J237" i="73"/>
  <c r="K236" i="73"/>
  <c r="J236" i="73"/>
  <c r="K235" i="73"/>
  <c r="J235" i="73"/>
  <c r="K234" i="73"/>
  <c r="J234" i="73"/>
  <c r="K233" i="73"/>
  <c r="J233" i="73"/>
  <c r="K232" i="73"/>
  <c r="J232" i="73"/>
  <c r="K231" i="73"/>
  <c r="J231" i="73"/>
  <c r="K230" i="73"/>
  <c r="J230" i="73"/>
  <c r="K229" i="73"/>
  <c r="J229" i="73"/>
  <c r="K228" i="73"/>
  <c r="J228" i="73"/>
  <c r="K227" i="73"/>
  <c r="J227" i="73"/>
  <c r="K226" i="73"/>
  <c r="J226" i="73"/>
  <c r="K225" i="73"/>
  <c r="J225" i="73"/>
  <c r="K224" i="73"/>
  <c r="J224" i="73"/>
  <c r="K223" i="73"/>
  <c r="J223" i="73"/>
  <c r="K222" i="73"/>
  <c r="J222" i="73"/>
  <c r="K221" i="73"/>
  <c r="J221" i="73"/>
  <c r="K220" i="73"/>
  <c r="J220" i="73"/>
  <c r="K219" i="73"/>
  <c r="J219" i="73"/>
  <c r="K218" i="73"/>
  <c r="J218" i="73"/>
  <c r="K217" i="73"/>
  <c r="J217" i="73"/>
  <c r="K216" i="73"/>
  <c r="J216" i="73"/>
  <c r="K215" i="73"/>
  <c r="J215" i="73"/>
  <c r="K214" i="73"/>
  <c r="J214" i="73"/>
  <c r="K213" i="73"/>
  <c r="J213" i="73"/>
  <c r="K212" i="73"/>
  <c r="J212" i="73"/>
  <c r="K211" i="73"/>
  <c r="J211" i="73"/>
  <c r="K210" i="73"/>
  <c r="J210" i="73"/>
  <c r="K209" i="73"/>
  <c r="J209" i="73"/>
  <c r="K208" i="73"/>
  <c r="J208" i="73"/>
  <c r="K207" i="73"/>
  <c r="J207" i="73"/>
  <c r="K206" i="73"/>
  <c r="J206" i="73"/>
  <c r="K205" i="73"/>
  <c r="J205" i="73"/>
  <c r="K204" i="73"/>
  <c r="J204" i="73"/>
  <c r="K203" i="73"/>
  <c r="J203" i="73"/>
  <c r="K202" i="73"/>
  <c r="J202" i="73"/>
  <c r="K201" i="73"/>
  <c r="J201" i="73"/>
  <c r="K200" i="73"/>
  <c r="J200" i="73"/>
  <c r="K199" i="73"/>
  <c r="J199" i="73"/>
  <c r="K198" i="73"/>
  <c r="J198" i="73"/>
  <c r="K197" i="73"/>
  <c r="J197" i="73"/>
  <c r="K196" i="73"/>
  <c r="J196" i="73"/>
  <c r="K195" i="73"/>
  <c r="J195" i="73"/>
  <c r="K194" i="73"/>
  <c r="J194" i="73"/>
  <c r="K193" i="73"/>
  <c r="J193" i="73"/>
  <c r="K192" i="73"/>
  <c r="J192" i="73"/>
  <c r="K191" i="73"/>
  <c r="J191" i="73"/>
  <c r="K190" i="73"/>
  <c r="J190" i="73"/>
  <c r="K189" i="73"/>
  <c r="J189" i="73"/>
  <c r="K188" i="73"/>
  <c r="J188" i="73"/>
  <c r="K187" i="73"/>
  <c r="J187" i="73"/>
  <c r="K186" i="73"/>
  <c r="J186" i="73"/>
  <c r="K185" i="73"/>
  <c r="J185" i="73"/>
  <c r="K184" i="73"/>
  <c r="J184" i="73"/>
  <c r="K183" i="73"/>
  <c r="J183" i="73"/>
  <c r="K182" i="73"/>
  <c r="J182" i="73"/>
  <c r="K181" i="73"/>
  <c r="J181" i="73"/>
  <c r="K180" i="73"/>
  <c r="J180" i="73"/>
  <c r="K179" i="73"/>
  <c r="J179" i="73"/>
  <c r="K178" i="73"/>
  <c r="J178" i="73"/>
  <c r="K177" i="73"/>
  <c r="J177" i="73"/>
  <c r="K176" i="73"/>
  <c r="J176" i="73"/>
  <c r="K175" i="73"/>
  <c r="J175" i="73"/>
  <c r="K174" i="73"/>
  <c r="J174" i="73"/>
  <c r="K173" i="73"/>
  <c r="J173" i="73"/>
  <c r="K172" i="73"/>
  <c r="J172" i="73"/>
  <c r="K171" i="73"/>
  <c r="J171" i="73"/>
  <c r="K170" i="73"/>
  <c r="J170" i="73"/>
  <c r="K169" i="73"/>
  <c r="J169" i="73"/>
  <c r="K168" i="73"/>
  <c r="J168" i="73"/>
  <c r="K167" i="73"/>
  <c r="J167" i="73"/>
  <c r="K166" i="73"/>
  <c r="J166" i="73"/>
  <c r="K165" i="73"/>
  <c r="J165" i="73"/>
  <c r="K164" i="73"/>
  <c r="J164" i="73"/>
  <c r="K163" i="73"/>
  <c r="J163" i="73"/>
  <c r="K162" i="73"/>
  <c r="J162" i="73"/>
  <c r="K161" i="73"/>
  <c r="J161" i="73"/>
  <c r="K160" i="73"/>
  <c r="J160" i="73"/>
  <c r="K159" i="73"/>
  <c r="J159" i="73"/>
  <c r="K158" i="73"/>
  <c r="J158" i="73"/>
  <c r="K157" i="73"/>
  <c r="J157" i="73"/>
  <c r="K156" i="73"/>
  <c r="J156" i="73"/>
  <c r="K155" i="73"/>
  <c r="J155" i="73"/>
  <c r="K154" i="73"/>
  <c r="J154" i="73"/>
  <c r="K153" i="73"/>
  <c r="J153" i="73"/>
  <c r="K152" i="73"/>
  <c r="J152" i="73"/>
  <c r="K151" i="73"/>
  <c r="J151" i="73"/>
  <c r="K150" i="73"/>
  <c r="J150" i="73"/>
  <c r="K149" i="73"/>
  <c r="J149" i="73"/>
  <c r="K148" i="73"/>
  <c r="J148" i="73"/>
  <c r="K147" i="73"/>
  <c r="J147" i="73"/>
  <c r="K146" i="73"/>
  <c r="J146" i="73"/>
  <c r="K145" i="73"/>
  <c r="J145" i="73"/>
  <c r="K144" i="73"/>
  <c r="J144" i="73"/>
  <c r="K143" i="73"/>
  <c r="J143" i="73"/>
  <c r="K142" i="73"/>
  <c r="J142" i="73"/>
  <c r="K141" i="73"/>
  <c r="J141" i="73"/>
  <c r="K140" i="73"/>
  <c r="J140" i="73"/>
  <c r="K139" i="73"/>
  <c r="J139" i="73"/>
  <c r="K138" i="73"/>
  <c r="J138" i="73"/>
  <c r="K137" i="73"/>
  <c r="J137" i="73"/>
  <c r="K136" i="73"/>
  <c r="J136" i="73"/>
  <c r="K135" i="73"/>
  <c r="J135" i="73"/>
  <c r="K134" i="73"/>
  <c r="J134" i="73"/>
  <c r="K133" i="73"/>
  <c r="J133" i="73"/>
  <c r="K132" i="73"/>
  <c r="J132" i="73"/>
  <c r="K131" i="73"/>
  <c r="J131" i="73"/>
  <c r="K130" i="73"/>
  <c r="J130" i="73"/>
  <c r="K129" i="73"/>
  <c r="J129" i="73"/>
  <c r="K128" i="73"/>
  <c r="J128" i="73"/>
  <c r="K127" i="73"/>
  <c r="J127" i="73"/>
  <c r="K126" i="73"/>
  <c r="J126" i="73"/>
  <c r="K125" i="73"/>
  <c r="J125" i="73"/>
  <c r="K124" i="73"/>
  <c r="J124" i="73"/>
  <c r="K123" i="73"/>
  <c r="J123" i="73"/>
  <c r="K122" i="73"/>
  <c r="J122" i="73"/>
  <c r="K121" i="73"/>
  <c r="J121" i="73"/>
  <c r="K120" i="73"/>
  <c r="J120" i="73"/>
  <c r="K119" i="73"/>
  <c r="J119" i="73"/>
  <c r="K118" i="73"/>
  <c r="J118" i="73"/>
  <c r="K117" i="73"/>
  <c r="J117" i="73"/>
  <c r="K116" i="73"/>
  <c r="J116" i="73"/>
  <c r="K115" i="73"/>
  <c r="J115" i="73"/>
  <c r="K114" i="73"/>
  <c r="J114" i="73"/>
  <c r="K113" i="73"/>
  <c r="J113" i="73"/>
  <c r="K112" i="73"/>
  <c r="J112" i="73"/>
  <c r="K111" i="73"/>
  <c r="J111" i="73"/>
  <c r="K110" i="73"/>
  <c r="J110" i="73"/>
  <c r="K109" i="73"/>
  <c r="J109" i="73"/>
  <c r="K108" i="73"/>
  <c r="J108" i="73"/>
  <c r="K107" i="73"/>
  <c r="J107" i="73"/>
  <c r="K106" i="73"/>
  <c r="J106" i="73"/>
  <c r="K105" i="73"/>
  <c r="J105" i="73"/>
  <c r="K104" i="73"/>
  <c r="J104" i="73"/>
  <c r="K103" i="73"/>
  <c r="J103" i="73"/>
  <c r="K102" i="73"/>
  <c r="J102" i="73"/>
  <c r="K101" i="73"/>
  <c r="J101" i="73"/>
  <c r="K100" i="73"/>
  <c r="J100" i="73"/>
  <c r="K99" i="73"/>
  <c r="J99" i="73"/>
  <c r="K98" i="73"/>
  <c r="J98" i="73"/>
  <c r="K97" i="73"/>
  <c r="J97" i="73"/>
  <c r="K96" i="73"/>
  <c r="J96" i="73"/>
  <c r="K95" i="73"/>
  <c r="J95" i="73"/>
  <c r="K94" i="73"/>
  <c r="J94" i="73"/>
  <c r="K93" i="73"/>
  <c r="J93" i="73"/>
  <c r="K92" i="73"/>
  <c r="J92" i="73"/>
  <c r="K91" i="73"/>
  <c r="J91" i="73"/>
  <c r="K90" i="73"/>
  <c r="J90" i="73"/>
  <c r="K89" i="73"/>
  <c r="J89" i="73"/>
  <c r="K88" i="73"/>
  <c r="J88" i="73"/>
  <c r="K87" i="73"/>
  <c r="J87" i="73"/>
  <c r="K86" i="73"/>
  <c r="J86" i="73"/>
  <c r="K85" i="73"/>
  <c r="J85" i="73"/>
  <c r="K84" i="73"/>
  <c r="J84" i="73"/>
  <c r="K83" i="73"/>
  <c r="J83" i="73"/>
  <c r="K82" i="73"/>
  <c r="J82" i="73"/>
  <c r="K81" i="73"/>
  <c r="J81" i="73"/>
  <c r="K80" i="73"/>
  <c r="J80" i="73"/>
  <c r="K79" i="73"/>
  <c r="J79" i="73"/>
  <c r="K78" i="73"/>
  <c r="J78" i="73"/>
  <c r="K77" i="73"/>
  <c r="J77" i="73"/>
  <c r="K76" i="73"/>
  <c r="J76" i="73"/>
  <c r="K75" i="73"/>
  <c r="J75" i="73"/>
  <c r="K74" i="73"/>
  <c r="J74" i="73"/>
  <c r="K73" i="73"/>
  <c r="J73" i="73"/>
  <c r="K72" i="73"/>
  <c r="J72" i="73"/>
  <c r="K71" i="73"/>
  <c r="J71" i="73"/>
  <c r="K70" i="73"/>
  <c r="J70" i="73"/>
  <c r="K69" i="73"/>
  <c r="J69" i="73"/>
  <c r="K68" i="73"/>
  <c r="J68" i="73"/>
  <c r="K67" i="73"/>
  <c r="J67" i="73"/>
  <c r="K66" i="73"/>
  <c r="J66" i="73"/>
  <c r="K65" i="73"/>
  <c r="J65" i="73"/>
  <c r="K64" i="73"/>
  <c r="J64" i="73"/>
  <c r="K63" i="73"/>
  <c r="J63" i="73"/>
  <c r="K62" i="73"/>
  <c r="J62" i="73"/>
  <c r="K61" i="73"/>
  <c r="J61" i="73"/>
  <c r="K60" i="73"/>
  <c r="J60" i="73"/>
  <c r="K59" i="73"/>
  <c r="J59" i="73"/>
  <c r="K58" i="73"/>
  <c r="J58" i="73"/>
  <c r="K57" i="73"/>
  <c r="J57" i="73"/>
  <c r="K56" i="73"/>
  <c r="J56" i="73"/>
  <c r="K55" i="73"/>
  <c r="J55" i="73"/>
  <c r="K54" i="73"/>
  <c r="J54" i="73"/>
  <c r="K53" i="73"/>
  <c r="J53" i="73"/>
  <c r="K52" i="73"/>
  <c r="J52" i="73"/>
  <c r="K51" i="73"/>
  <c r="J51" i="73"/>
  <c r="K50" i="73"/>
  <c r="J50" i="73"/>
  <c r="K49" i="73"/>
  <c r="J49" i="73"/>
  <c r="K48" i="73"/>
  <c r="J48" i="73"/>
  <c r="K47" i="73"/>
  <c r="J47" i="73"/>
  <c r="K46" i="73"/>
  <c r="J46" i="73"/>
  <c r="K45" i="73"/>
  <c r="J45" i="73"/>
  <c r="K44" i="73"/>
  <c r="J44" i="73"/>
  <c r="K43" i="73"/>
  <c r="J43" i="73"/>
  <c r="K42" i="73"/>
  <c r="J42" i="73"/>
  <c r="K41" i="73"/>
  <c r="J41" i="73"/>
  <c r="K40" i="73"/>
  <c r="J40" i="73"/>
  <c r="K39" i="73"/>
  <c r="J39" i="73"/>
  <c r="K38" i="73"/>
  <c r="J38" i="73"/>
  <c r="K37" i="73"/>
  <c r="J37" i="73"/>
  <c r="K36" i="73"/>
  <c r="J36" i="73"/>
  <c r="K35" i="73"/>
  <c r="J35" i="73"/>
  <c r="K34" i="73"/>
  <c r="J34" i="73"/>
  <c r="K33" i="73"/>
  <c r="J33" i="73"/>
  <c r="K32" i="73"/>
  <c r="J32" i="73"/>
  <c r="K31" i="73"/>
  <c r="J31" i="73"/>
  <c r="K30" i="73"/>
  <c r="J30" i="73"/>
  <c r="K29" i="73"/>
  <c r="J29" i="73"/>
  <c r="K28" i="73"/>
  <c r="J28" i="73"/>
  <c r="K27" i="73"/>
  <c r="J27" i="73"/>
  <c r="K26" i="73"/>
  <c r="J26" i="73"/>
  <c r="K25" i="73"/>
  <c r="J25" i="73"/>
  <c r="K24" i="73"/>
  <c r="J24" i="73"/>
  <c r="K23" i="73"/>
  <c r="J23" i="73"/>
  <c r="K22" i="73"/>
  <c r="J22" i="73"/>
  <c r="K21" i="73"/>
  <c r="J21" i="73"/>
  <c r="K20" i="73"/>
  <c r="J20" i="73"/>
  <c r="K19" i="73"/>
  <c r="J19" i="73"/>
  <c r="K18" i="73"/>
  <c r="J18" i="73"/>
  <c r="K17" i="73"/>
  <c r="J17" i="73"/>
  <c r="K16" i="73"/>
  <c r="J16" i="73"/>
  <c r="K15" i="73"/>
  <c r="J15" i="73"/>
  <c r="K14" i="73"/>
  <c r="J14" i="73"/>
  <c r="K13" i="73"/>
  <c r="J13" i="73"/>
  <c r="K12" i="73"/>
  <c r="J12" i="73"/>
  <c r="K11" i="73"/>
  <c r="J11" i="73"/>
  <c r="K10" i="73"/>
  <c r="J10" i="73"/>
  <c r="K9" i="73"/>
  <c r="J9" i="73"/>
  <c r="K8" i="73"/>
  <c r="J8" i="73"/>
  <c r="K7" i="73"/>
  <c r="J7" i="73"/>
  <c r="K6" i="73"/>
  <c r="J6" i="73"/>
  <c r="K3" i="73"/>
  <c r="I3" i="73"/>
  <c r="H3" i="73"/>
  <c r="K499" i="26"/>
  <c r="J499" i="26"/>
  <c r="K498" i="26"/>
  <c r="J498" i="26"/>
  <c r="K497" i="26"/>
  <c r="J497" i="26"/>
  <c r="K496" i="26"/>
  <c r="J496" i="26"/>
  <c r="K495" i="26"/>
  <c r="J495" i="26"/>
  <c r="K494" i="26"/>
  <c r="J494" i="26"/>
  <c r="K493" i="26"/>
  <c r="J493" i="26"/>
  <c r="K492" i="26"/>
  <c r="J492" i="26"/>
  <c r="K491" i="26"/>
  <c r="J491" i="26"/>
  <c r="K490" i="26"/>
  <c r="J490" i="26"/>
  <c r="K489" i="26"/>
  <c r="J489" i="26"/>
  <c r="K488" i="26"/>
  <c r="J488" i="26"/>
  <c r="K487" i="26"/>
  <c r="J487" i="26"/>
  <c r="K486" i="26"/>
  <c r="J486" i="26"/>
  <c r="K485" i="26"/>
  <c r="J485" i="26"/>
  <c r="K484" i="26"/>
  <c r="J484" i="26"/>
  <c r="K483" i="26"/>
  <c r="J483" i="26"/>
  <c r="K482" i="26"/>
  <c r="J482" i="26"/>
  <c r="K481" i="26"/>
  <c r="J481" i="26"/>
  <c r="K480" i="26"/>
  <c r="J480" i="26"/>
  <c r="K479" i="26"/>
  <c r="J479" i="26"/>
  <c r="K478" i="26"/>
  <c r="J478" i="26"/>
  <c r="K477" i="26"/>
  <c r="J477" i="26"/>
  <c r="K476" i="26"/>
  <c r="J476" i="26"/>
  <c r="K475" i="26"/>
  <c r="J475" i="26"/>
  <c r="K474" i="26"/>
  <c r="J474" i="26"/>
  <c r="K473" i="26"/>
  <c r="J473" i="26"/>
  <c r="K472" i="26"/>
  <c r="J472" i="26"/>
  <c r="K471" i="26"/>
  <c r="J471" i="26"/>
  <c r="K470" i="26"/>
  <c r="J470" i="26"/>
  <c r="K469" i="26"/>
  <c r="J469" i="26"/>
  <c r="K468" i="26"/>
  <c r="J468" i="26"/>
  <c r="K467" i="26"/>
  <c r="J467" i="26"/>
  <c r="K466" i="26"/>
  <c r="J466" i="26"/>
  <c r="K465" i="26"/>
  <c r="J465" i="26"/>
  <c r="K464" i="26"/>
  <c r="J464" i="26"/>
  <c r="K463" i="26"/>
  <c r="J463" i="26"/>
  <c r="K462" i="26"/>
  <c r="J462" i="26"/>
  <c r="K461" i="26"/>
  <c r="J461" i="26"/>
  <c r="K460" i="26"/>
  <c r="J460" i="26"/>
  <c r="K459" i="26"/>
  <c r="J459" i="26"/>
  <c r="K458" i="26"/>
  <c r="J458" i="26"/>
  <c r="K457" i="26"/>
  <c r="J457" i="26"/>
  <c r="K456" i="26"/>
  <c r="J456" i="26"/>
  <c r="K455" i="26"/>
  <c r="J455" i="26"/>
  <c r="K454" i="26"/>
  <c r="J454" i="26"/>
  <c r="K453" i="26"/>
  <c r="J453" i="26"/>
  <c r="K452" i="26"/>
  <c r="J452" i="26"/>
  <c r="K451" i="26"/>
  <c r="J451" i="26"/>
  <c r="K450" i="26"/>
  <c r="J450" i="26"/>
  <c r="K449" i="26"/>
  <c r="J449" i="26"/>
  <c r="K448" i="26"/>
  <c r="J448" i="26"/>
  <c r="K447" i="26"/>
  <c r="J447" i="26"/>
  <c r="K446" i="26"/>
  <c r="J446" i="26"/>
  <c r="K445" i="26"/>
  <c r="J445" i="26"/>
  <c r="K444" i="26"/>
  <c r="J444" i="26"/>
  <c r="K443" i="26"/>
  <c r="J443" i="26"/>
  <c r="K442" i="26"/>
  <c r="J442" i="26"/>
  <c r="K441" i="26"/>
  <c r="J441" i="26"/>
  <c r="K440" i="26"/>
  <c r="J440" i="26"/>
  <c r="K439" i="26"/>
  <c r="J439" i="26"/>
  <c r="K438" i="26"/>
  <c r="J438" i="26"/>
  <c r="K437" i="26"/>
  <c r="J437" i="26"/>
  <c r="K436" i="26"/>
  <c r="J436" i="26"/>
  <c r="K435" i="26"/>
  <c r="J435" i="26"/>
  <c r="K434" i="26"/>
  <c r="J434" i="26"/>
  <c r="K433" i="26"/>
  <c r="J433" i="26"/>
  <c r="K432" i="26"/>
  <c r="J432" i="26"/>
  <c r="K431" i="26"/>
  <c r="J431" i="26"/>
  <c r="K430" i="26"/>
  <c r="J430" i="26"/>
  <c r="K429" i="26"/>
  <c r="J429" i="26"/>
  <c r="K428" i="26"/>
  <c r="J428" i="26"/>
  <c r="K427" i="26"/>
  <c r="J427" i="26"/>
  <c r="K426" i="26"/>
  <c r="J426" i="26"/>
  <c r="K425" i="26"/>
  <c r="J425" i="26"/>
  <c r="K424" i="26"/>
  <c r="J424" i="26"/>
  <c r="K423" i="26"/>
  <c r="J423" i="26"/>
  <c r="K422" i="26"/>
  <c r="J422" i="26"/>
  <c r="K421" i="26"/>
  <c r="J421" i="26"/>
  <c r="K420" i="26"/>
  <c r="J420" i="26"/>
  <c r="K419" i="26"/>
  <c r="J419" i="26"/>
  <c r="K418" i="26"/>
  <c r="J418" i="26"/>
  <c r="K417" i="26"/>
  <c r="J417" i="26"/>
  <c r="K416" i="26"/>
  <c r="J416" i="26"/>
  <c r="K415" i="26"/>
  <c r="J415" i="26"/>
  <c r="K414" i="26"/>
  <c r="J414" i="26"/>
  <c r="K413" i="26"/>
  <c r="J413" i="26"/>
  <c r="K412" i="26"/>
  <c r="J412" i="26"/>
  <c r="K411" i="26"/>
  <c r="J411" i="26"/>
  <c r="K410" i="26"/>
  <c r="J410" i="26"/>
  <c r="K409" i="26"/>
  <c r="J409" i="26"/>
  <c r="K408" i="26"/>
  <c r="J408" i="26"/>
  <c r="K407" i="26"/>
  <c r="J407" i="26"/>
  <c r="K406" i="26"/>
  <c r="J406" i="26"/>
  <c r="K405" i="26"/>
  <c r="J405" i="26"/>
  <c r="K404" i="26"/>
  <c r="J404" i="26"/>
  <c r="K403" i="26"/>
  <c r="J403" i="26"/>
  <c r="K402" i="26"/>
  <c r="J402" i="26"/>
  <c r="K401" i="26"/>
  <c r="J401" i="26"/>
  <c r="K400" i="26"/>
  <c r="J400" i="26"/>
  <c r="K399" i="26"/>
  <c r="J399" i="26"/>
  <c r="K398" i="26"/>
  <c r="J398" i="26"/>
  <c r="K397" i="26"/>
  <c r="J397" i="26"/>
  <c r="K396" i="26"/>
  <c r="J396" i="26"/>
  <c r="K395" i="26"/>
  <c r="J395" i="26"/>
  <c r="K394" i="26"/>
  <c r="J394" i="26"/>
  <c r="K393" i="26"/>
  <c r="J393" i="26"/>
  <c r="K392" i="26"/>
  <c r="J392" i="26"/>
  <c r="K391" i="26"/>
  <c r="J391" i="26"/>
  <c r="K390" i="26"/>
  <c r="J390" i="26"/>
  <c r="K389" i="26"/>
  <c r="J389" i="26"/>
  <c r="K388" i="26"/>
  <c r="J388" i="26"/>
  <c r="K387" i="26"/>
  <c r="J387" i="26"/>
  <c r="K386" i="26"/>
  <c r="J386" i="26"/>
  <c r="K385" i="26"/>
  <c r="J385" i="26"/>
  <c r="K384" i="26"/>
  <c r="J384" i="26"/>
  <c r="K383" i="26"/>
  <c r="J383" i="26"/>
  <c r="K382" i="26"/>
  <c r="J382" i="26"/>
  <c r="K381" i="26"/>
  <c r="J381" i="26"/>
  <c r="K380" i="26"/>
  <c r="J380" i="26"/>
  <c r="K379" i="26"/>
  <c r="J379" i="26"/>
  <c r="K378" i="26"/>
  <c r="J378" i="26"/>
  <c r="K377" i="26"/>
  <c r="J377" i="26"/>
  <c r="K376" i="26"/>
  <c r="J376" i="26"/>
  <c r="K375" i="26"/>
  <c r="J375" i="26"/>
  <c r="K374" i="26"/>
  <c r="J374" i="26"/>
  <c r="K373" i="26"/>
  <c r="J373" i="26"/>
  <c r="K372" i="26"/>
  <c r="J372" i="26"/>
  <c r="K371" i="26"/>
  <c r="J371" i="26"/>
  <c r="K370" i="26"/>
  <c r="J370" i="26"/>
  <c r="K369" i="26"/>
  <c r="J369" i="26"/>
  <c r="K368" i="26"/>
  <c r="J368" i="26"/>
  <c r="K367" i="26"/>
  <c r="J367" i="26"/>
  <c r="K366" i="26"/>
  <c r="J366" i="26"/>
  <c r="K365" i="26"/>
  <c r="J365" i="26"/>
  <c r="K364" i="26"/>
  <c r="J364" i="26"/>
  <c r="K363" i="26"/>
  <c r="J363" i="26"/>
  <c r="K362" i="26"/>
  <c r="J362" i="26"/>
  <c r="K361" i="26"/>
  <c r="J361" i="26"/>
  <c r="K360" i="26"/>
  <c r="J360" i="26"/>
  <c r="K359" i="26"/>
  <c r="J359" i="26"/>
  <c r="K358" i="26"/>
  <c r="J358" i="26"/>
  <c r="K357" i="26"/>
  <c r="J357" i="26"/>
  <c r="K356" i="26"/>
  <c r="J356" i="26"/>
  <c r="K355" i="26"/>
  <c r="J355" i="26"/>
  <c r="K354" i="26"/>
  <c r="J354" i="26"/>
  <c r="K353" i="26"/>
  <c r="J353" i="26"/>
  <c r="K352" i="26"/>
  <c r="J352" i="26"/>
  <c r="K351" i="26"/>
  <c r="J351" i="26"/>
  <c r="K350" i="26"/>
  <c r="J350" i="26"/>
  <c r="K349" i="26"/>
  <c r="J349" i="26"/>
  <c r="K348" i="26"/>
  <c r="J348" i="26"/>
  <c r="K347" i="26"/>
  <c r="J347" i="26"/>
  <c r="K346" i="26"/>
  <c r="J346" i="26"/>
  <c r="K345" i="26"/>
  <c r="J345" i="26"/>
  <c r="K344" i="26"/>
  <c r="J344" i="26"/>
  <c r="K343" i="26"/>
  <c r="J343" i="26"/>
  <c r="K342" i="26"/>
  <c r="J342" i="26"/>
  <c r="K341" i="26"/>
  <c r="J341" i="26"/>
  <c r="K340" i="26"/>
  <c r="J340" i="26"/>
  <c r="K339" i="26"/>
  <c r="J339" i="26"/>
  <c r="K338" i="26"/>
  <c r="J338" i="26"/>
  <c r="K337" i="26"/>
  <c r="J337" i="26"/>
  <c r="K336" i="26"/>
  <c r="J336" i="26"/>
  <c r="K335" i="26"/>
  <c r="J335" i="26"/>
  <c r="K334" i="26"/>
  <c r="J334" i="26"/>
  <c r="K333" i="26"/>
  <c r="J333" i="26"/>
  <c r="K332" i="26"/>
  <c r="J332" i="26"/>
  <c r="K331" i="26"/>
  <c r="J331" i="26"/>
  <c r="K330" i="26"/>
  <c r="J330" i="26"/>
  <c r="K329" i="26"/>
  <c r="J329" i="26"/>
  <c r="K328" i="26"/>
  <c r="J328" i="26"/>
  <c r="K327" i="26"/>
  <c r="J327" i="26"/>
  <c r="K326" i="26"/>
  <c r="J326" i="26"/>
  <c r="K325" i="26"/>
  <c r="J325" i="26"/>
  <c r="K324" i="26"/>
  <c r="J324" i="26"/>
  <c r="K323" i="26"/>
  <c r="J323" i="26"/>
  <c r="K322" i="26"/>
  <c r="J322" i="26"/>
  <c r="K321" i="26"/>
  <c r="J321" i="26"/>
  <c r="K320" i="26"/>
  <c r="J320" i="26"/>
  <c r="K319" i="26"/>
  <c r="J319" i="26"/>
  <c r="K318" i="26"/>
  <c r="J318" i="26"/>
  <c r="K317" i="26"/>
  <c r="J317" i="26"/>
  <c r="K316" i="26"/>
  <c r="J316" i="26"/>
  <c r="K315" i="26"/>
  <c r="J315" i="26"/>
  <c r="K314" i="26"/>
  <c r="J314" i="26"/>
  <c r="K313" i="26"/>
  <c r="J313" i="26"/>
  <c r="K312" i="26"/>
  <c r="J312" i="26"/>
  <c r="K311" i="26"/>
  <c r="J311" i="26"/>
  <c r="K310" i="26"/>
  <c r="J310" i="26"/>
  <c r="K309" i="26"/>
  <c r="J309" i="26"/>
  <c r="K308" i="26"/>
  <c r="J308" i="26"/>
  <c r="K307" i="26"/>
  <c r="J307" i="26"/>
  <c r="K306" i="26"/>
  <c r="J306" i="26"/>
  <c r="K305" i="26"/>
  <c r="J305" i="26"/>
  <c r="K304" i="26"/>
  <c r="J304" i="26"/>
  <c r="K303" i="26"/>
  <c r="J303" i="26"/>
  <c r="K302" i="26"/>
  <c r="J302" i="26"/>
  <c r="K301" i="26"/>
  <c r="J301" i="26"/>
  <c r="K300" i="26"/>
  <c r="J300" i="26"/>
  <c r="K299" i="26"/>
  <c r="J299" i="26"/>
  <c r="K298" i="26"/>
  <c r="J298" i="26"/>
  <c r="K297" i="26"/>
  <c r="J297" i="26"/>
  <c r="K296" i="26"/>
  <c r="J296" i="26"/>
  <c r="K295" i="26"/>
  <c r="J295" i="26"/>
  <c r="K294" i="26"/>
  <c r="J294" i="26"/>
  <c r="K293" i="26"/>
  <c r="J293" i="26"/>
  <c r="K292" i="26"/>
  <c r="J292" i="26"/>
  <c r="K291" i="26"/>
  <c r="J291" i="26"/>
  <c r="K290" i="26"/>
  <c r="J290" i="26"/>
  <c r="K289" i="26"/>
  <c r="J289" i="26"/>
  <c r="K288" i="26"/>
  <c r="J288" i="26"/>
  <c r="K287" i="26"/>
  <c r="J287" i="26"/>
  <c r="K286" i="26"/>
  <c r="J286" i="26"/>
  <c r="K285" i="26"/>
  <c r="J285" i="26"/>
  <c r="K284" i="26"/>
  <c r="J284" i="26"/>
  <c r="K283" i="26"/>
  <c r="J283" i="26"/>
  <c r="K282" i="26"/>
  <c r="J282" i="26"/>
  <c r="K281" i="26"/>
  <c r="J281" i="26"/>
  <c r="K280" i="26"/>
  <c r="J280" i="26"/>
  <c r="K279" i="26"/>
  <c r="J279" i="26"/>
  <c r="K278" i="26"/>
  <c r="J278" i="26"/>
  <c r="K277" i="26"/>
  <c r="J277" i="26"/>
  <c r="K276" i="26"/>
  <c r="J276" i="26"/>
  <c r="K275" i="26"/>
  <c r="J275" i="26"/>
  <c r="K274" i="26"/>
  <c r="J274" i="26"/>
  <c r="K273" i="26"/>
  <c r="J273" i="26"/>
  <c r="K272" i="26"/>
  <c r="J272" i="26"/>
  <c r="K271" i="26"/>
  <c r="J271" i="26"/>
  <c r="K270" i="26"/>
  <c r="J270" i="26"/>
  <c r="K269" i="26"/>
  <c r="J269" i="26"/>
  <c r="K268" i="26"/>
  <c r="J268" i="26"/>
  <c r="K267" i="26"/>
  <c r="J267" i="26"/>
  <c r="K266" i="26"/>
  <c r="J266" i="26"/>
  <c r="K265" i="26"/>
  <c r="J265" i="26"/>
  <c r="K264" i="26"/>
  <c r="J264" i="26"/>
  <c r="K263" i="26"/>
  <c r="J263" i="26"/>
  <c r="K262" i="26"/>
  <c r="J262" i="26"/>
  <c r="K261" i="26"/>
  <c r="J261" i="26"/>
  <c r="K260" i="26"/>
  <c r="J260" i="26"/>
  <c r="K259" i="26"/>
  <c r="J259" i="26"/>
  <c r="K258" i="26"/>
  <c r="J258" i="26"/>
  <c r="K257" i="26"/>
  <c r="J257" i="26"/>
  <c r="K256" i="26"/>
  <c r="J256" i="26"/>
  <c r="K255" i="26"/>
  <c r="J255" i="26"/>
  <c r="K254" i="26"/>
  <c r="J254" i="26"/>
  <c r="K253" i="26"/>
  <c r="J253" i="26"/>
  <c r="K252" i="26"/>
  <c r="J252" i="26"/>
  <c r="K251" i="26"/>
  <c r="J251" i="26"/>
  <c r="K250" i="26"/>
  <c r="J250" i="26"/>
  <c r="K249" i="26"/>
  <c r="J249" i="26"/>
  <c r="K248" i="26"/>
  <c r="J248" i="26"/>
  <c r="K247" i="26"/>
  <c r="J247" i="26"/>
  <c r="K246" i="26"/>
  <c r="J246" i="26"/>
  <c r="K245" i="26"/>
  <c r="J245" i="26"/>
  <c r="K244" i="26"/>
  <c r="J244" i="26"/>
  <c r="K243" i="26"/>
  <c r="J243" i="26"/>
  <c r="K242" i="26"/>
  <c r="J242" i="26"/>
  <c r="K241" i="26"/>
  <c r="J241" i="26"/>
  <c r="K240" i="26"/>
  <c r="J240" i="26"/>
  <c r="K239" i="26"/>
  <c r="J239" i="26"/>
  <c r="K238" i="26"/>
  <c r="J238" i="26"/>
  <c r="K237" i="26"/>
  <c r="J237" i="26"/>
  <c r="K236" i="26"/>
  <c r="J236" i="26"/>
  <c r="K235" i="26"/>
  <c r="J235" i="26"/>
  <c r="K234" i="26"/>
  <c r="J234" i="26"/>
  <c r="K233" i="26"/>
  <c r="J233" i="26"/>
  <c r="K232" i="26"/>
  <c r="J232" i="26"/>
  <c r="K231" i="26"/>
  <c r="J231" i="26"/>
  <c r="K230" i="26"/>
  <c r="J230" i="26"/>
  <c r="K229" i="26"/>
  <c r="J229" i="26"/>
  <c r="K228" i="26"/>
  <c r="J228" i="26"/>
  <c r="K227" i="26"/>
  <c r="J227" i="26"/>
  <c r="K226" i="26"/>
  <c r="J226" i="26"/>
  <c r="K225" i="26"/>
  <c r="J225" i="26"/>
  <c r="K224" i="26"/>
  <c r="J224" i="26"/>
  <c r="K223" i="26"/>
  <c r="J223" i="26"/>
  <c r="K222" i="26"/>
  <c r="J222" i="26"/>
  <c r="K221" i="26"/>
  <c r="J221" i="26"/>
  <c r="K220" i="26"/>
  <c r="J220" i="26"/>
  <c r="K219" i="26"/>
  <c r="J219" i="26"/>
  <c r="K218" i="26"/>
  <c r="J218" i="26"/>
  <c r="K217" i="26"/>
  <c r="J217" i="26"/>
  <c r="K216" i="26"/>
  <c r="J216" i="26"/>
  <c r="K215" i="26"/>
  <c r="J215" i="26"/>
  <c r="K214" i="26"/>
  <c r="J214" i="26"/>
  <c r="K213" i="26"/>
  <c r="J213" i="26"/>
  <c r="K212" i="26"/>
  <c r="J212" i="26"/>
  <c r="K211" i="26"/>
  <c r="J211" i="26"/>
  <c r="K210" i="26"/>
  <c r="J210" i="26"/>
  <c r="K209" i="26"/>
  <c r="J209" i="26"/>
  <c r="K208" i="26"/>
  <c r="J208" i="26"/>
  <c r="K207" i="26"/>
  <c r="J207" i="26"/>
  <c r="K206" i="26"/>
  <c r="J206" i="26"/>
  <c r="K205" i="26"/>
  <c r="J205" i="26"/>
  <c r="K204" i="26"/>
  <c r="J204" i="26"/>
  <c r="K203" i="26"/>
  <c r="J203" i="26"/>
  <c r="K202" i="26"/>
  <c r="J202" i="26"/>
  <c r="K201" i="26"/>
  <c r="J201" i="26"/>
  <c r="K200" i="26"/>
  <c r="J200" i="26"/>
  <c r="K199" i="26"/>
  <c r="J199" i="26"/>
  <c r="K198" i="26"/>
  <c r="J198" i="26"/>
  <c r="K197" i="26"/>
  <c r="J197" i="26"/>
  <c r="K196" i="26"/>
  <c r="J196" i="26"/>
  <c r="K195" i="26"/>
  <c r="J195" i="26"/>
  <c r="K194" i="26"/>
  <c r="J194" i="26"/>
  <c r="K193" i="26"/>
  <c r="J193" i="26"/>
  <c r="K192" i="26"/>
  <c r="J192" i="26"/>
  <c r="K191" i="26"/>
  <c r="J191" i="26"/>
  <c r="K190" i="26"/>
  <c r="J190" i="26"/>
  <c r="K189" i="26"/>
  <c r="J189" i="26"/>
  <c r="K188" i="26"/>
  <c r="J188" i="26"/>
  <c r="K187" i="26"/>
  <c r="J187" i="26"/>
  <c r="K186" i="26"/>
  <c r="J186" i="26"/>
  <c r="K185" i="26"/>
  <c r="J185" i="26"/>
  <c r="K184" i="26"/>
  <c r="J184" i="26"/>
  <c r="K183" i="26"/>
  <c r="J183" i="26"/>
  <c r="K182" i="26"/>
  <c r="J182" i="26"/>
  <c r="K181" i="26"/>
  <c r="J181" i="26"/>
  <c r="K180" i="26"/>
  <c r="J180" i="26"/>
  <c r="K179" i="26"/>
  <c r="J179" i="26"/>
  <c r="K178" i="26"/>
  <c r="J178" i="26"/>
  <c r="K177" i="26"/>
  <c r="J177" i="26"/>
  <c r="K176" i="26"/>
  <c r="J176" i="26"/>
  <c r="K175" i="26"/>
  <c r="J175" i="26"/>
  <c r="K174" i="26"/>
  <c r="J174" i="26"/>
  <c r="K173" i="26"/>
  <c r="J173" i="26"/>
  <c r="K172" i="26"/>
  <c r="J172" i="26"/>
  <c r="K171" i="26"/>
  <c r="J171" i="26"/>
  <c r="K170" i="26"/>
  <c r="J170" i="26"/>
  <c r="K169" i="26"/>
  <c r="J169" i="26"/>
  <c r="K168" i="26"/>
  <c r="J168" i="26"/>
  <c r="K167" i="26"/>
  <c r="J167" i="26"/>
  <c r="K166" i="26"/>
  <c r="J166" i="26"/>
  <c r="K165" i="26"/>
  <c r="J165" i="26"/>
  <c r="K164" i="26"/>
  <c r="J164" i="26"/>
  <c r="K163" i="26"/>
  <c r="J163" i="26"/>
  <c r="K162" i="26"/>
  <c r="J162" i="26"/>
  <c r="K161" i="26"/>
  <c r="J161" i="26"/>
  <c r="K160" i="26"/>
  <c r="J160" i="26"/>
  <c r="K159" i="26"/>
  <c r="J159" i="26"/>
  <c r="K158" i="26"/>
  <c r="J158" i="26"/>
  <c r="K157" i="26"/>
  <c r="J157" i="26"/>
  <c r="K156" i="26"/>
  <c r="J156" i="26"/>
  <c r="K155" i="26"/>
  <c r="J155" i="26"/>
  <c r="K154" i="26"/>
  <c r="J154" i="26"/>
  <c r="K153" i="26"/>
  <c r="J153" i="26"/>
  <c r="K152" i="26"/>
  <c r="J152" i="26"/>
  <c r="K151" i="26"/>
  <c r="J151" i="26"/>
  <c r="K150" i="26"/>
  <c r="J150" i="26"/>
  <c r="K149" i="26"/>
  <c r="J149" i="26"/>
  <c r="K148" i="26"/>
  <c r="J148" i="26"/>
  <c r="K147" i="26"/>
  <c r="J147" i="26"/>
  <c r="K146" i="26"/>
  <c r="J146" i="26"/>
  <c r="K145" i="26"/>
  <c r="J145" i="26"/>
  <c r="K144" i="26"/>
  <c r="J144" i="26"/>
  <c r="K143" i="26"/>
  <c r="J143" i="26"/>
  <c r="K142" i="26"/>
  <c r="J142" i="26"/>
  <c r="K141" i="26"/>
  <c r="J141" i="26"/>
  <c r="K140" i="26"/>
  <c r="J140" i="26"/>
  <c r="K139" i="26"/>
  <c r="J139" i="26"/>
  <c r="K138" i="26"/>
  <c r="J138" i="26"/>
  <c r="K137" i="26"/>
  <c r="J137" i="26"/>
  <c r="K136" i="26"/>
  <c r="J136" i="26"/>
  <c r="K135" i="26"/>
  <c r="J135" i="26"/>
  <c r="K134" i="26"/>
  <c r="J134" i="26"/>
  <c r="K133" i="26"/>
  <c r="J133" i="26"/>
  <c r="K132" i="26"/>
  <c r="J132" i="26"/>
  <c r="K131" i="26"/>
  <c r="J131" i="26"/>
  <c r="K130" i="26"/>
  <c r="J130" i="26"/>
  <c r="K129" i="26"/>
  <c r="J129" i="26"/>
  <c r="K128" i="26"/>
  <c r="J128" i="26"/>
  <c r="K127" i="26"/>
  <c r="J127" i="26"/>
  <c r="K126" i="26"/>
  <c r="J126" i="26"/>
  <c r="K125" i="26"/>
  <c r="J125" i="26"/>
  <c r="K124" i="26"/>
  <c r="J124" i="26"/>
  <c r="K123" i="26"/>
  <c r="J123" i="26"/>
  <c r="K122" i="26"/>
  <c r="J122" i="26"/>
  <c r="K121" i="26"/>
  <c r="J121" i="26"/>
  <c r="K120" i="26"/>
  <c r="J120" i="26"/>
  <c r="K119" i="26"/>
  <c r="J119" i="26"/>
  <c r="K118" i="26"/>
  <c r="J118" i="26"/>
  <c r="K117" i="26"/>
  <c r="J117" i="26"/>
  <c r="K116" i="26"/>
  <c r="J116" i="26"/>
  <c r="K115" i="26"/>
  <c r="J115" i="26"/>
  <c r="K114" i="26"/>
  <c r="J114" i="26"/>
  <c r="K113" i="26"/>
  <c r="J113" i="26"/>
  <c r="K112" i="26"/>
  <c r="J112" i="26"/>
  <c r="K111" i="26"/>
  <c r="J111" i="26"/>
  <c r="K110" i="26"/>
  <c r="J110" i="26"/>
  <c r="K109" i="26"/>
  <c r="J109" i="26"/>
  <c r="K108" i="26"/>
  <c r="J108" i="26"/>
  <c r="K107" i="26"/>
  <c r="J107" i="26"/>
  <c r="K106" i="26"/>
  <c r="J106" i="26"/>
  <c r="K105" i="26"/>
  <c r="J105" i="26"/>
  <c r="K104" i="26"/>
  <c r="J104" i="26"/>
  <c r="K103" i="26"/>
  <c r="J103" i="26"/>
  <c r="K102" i="26"/>
  <c r="J102" i="26"/>
  <c r="K101" i="26"/>
  <c r="J101" i="26"/>
  <c r="K100" i="26"/>
  <c r="J100" i="26"/>
  <c r="K99" i="26"/>
  <c r="J99" i="26"/>
  <c r="K98" i="26"/>
  <c r="J98" i="26"/>
  <c r="K97" i="26"/>
  <c r="J97" i="26"/>
  <c r="K96" i="26"/>
  <c r="J96" i="26"/>
  <c r="K95" i="26"/>
  <c r="J95" i="26"/>
  <c r="K94" i="26"/>
  <c r="J94" i="26"/>
  <c r="K93" i="26"/>
  <c r="J93" i="26"/>
  <c r="K92" i="26"/>
  <c r="J92" i="26"/>
  <c r="K91" i="26"/>
  <c r="J91" i="26"/>
  <c r="K90" i="26"/>
  <c r="J90" i="26"/>
  <c r="K89" i="26"/>
  <c r="J89" i="26"/>
  <c r="K88" i="26"/>
  <c r="J88" i="26"/>
  <c r="K87" i="26"/>
  <c r="J87" i="26"/>
  <c r="K86" i="26"/>
  <c r="J86" i="26"/>
  <c r="K85" i="26"/>
  <c r="J85" i="26"/>
  <c r="K84" i="26"/>
  <c r="J84" i="26"/>
  <c r="K83" i="26"/>
  <c r="J83" i="26"/>
  <c r="K82" i="26"/>
  <c r="J82" i="26"/>
  <c r="K81" i="26"/>
  <c r="J81" i="26"/>
  <c r="K80" i="26"/>
  <c r="J80" i="26"/>
  <c r="K79" i="26"/>
  <c r="J79" i="26"/>
  <c r="K78" i="26"/>
  <c r="J78" i="26"/>
  <c r="K77" i="26"/>
  <c r="J77" i="26"/>
  <c r="K76" i="26"/>
  <c r="J76" i="26"/>
  <c r="K75" i="26"/>
  <c r="J75" i="26"/>
  <c r="K74" i="26"/>
  <c r="J74" i="26"/>
  <c r="K73" i="26"/>
  <c r="J73" i="26"/>
  <c r="K72" i="26"/>
  <c r="J72" i="26"/>
  <c r="K71" i="26"/>
  <c r="J71" i="26"/>
  <c r="K70" i="26"/>
  <c r="J70" i="26"/>
  <c r="K69" i="26"/>
  <c r="J69" i="26"/>
  <c r="K68" i="26"/>
  <c r="J68" i="26"/>
  <c r="K67" i="26"/>
  <c r="J67" i="26"/>
  <c r="K66" i="26"/>
  <c r="J66" i="26"/>
  <c r="K65" i="26"/>
  <c r="J65" i="26"/>
  <c r="K64" i="26"/>
  <c r="J64" i="26"/>
  <c r="K63" i="26"/>
  <c r="J63" i="26"/>
  <c r="K62" i="26"/>
  <c r="J62" i="26"/>
  <c r="K61" i="26"/>
  <c r="J61" i="26"/>
  <c r="K60" i="26"/>
  <c r="J60" i="26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K41" i="26"/>
  <c r="J41" i="26"/>
  <c r="K40" i="26"/>
  <c r="J40" i="26"/>
  <c r="K39" i="26"/>
  <c r="J39" i="26"/>
  <c r="K38" i="26"/>
  <c r="J38" i="26"/>
  <c r="K37" i="26"/>
  <c r="J37" i="26"/>
  <c r="K36" i="26"/>
  <c r="J36" i="26"/>
  <c r="K35" i="26"/>
  <c r="J35" i="26"/>
  <c r="K34" i="26"/>
  <c r="J34" i="26"/>
  <c r="K33" i="26"/>
  <c r="J33" i="26"/>
  <c r="K32" i="26"/>
  <c r="J32" i="26"/>
  <c r="K31" i="26"/>
  <c r="J31" i="26"/>
  <c r="K30" i="26"/>
  <c r="J30" i="26"/>
  <c r="K29" i="26"/>
  <c r="J29" i="26"/>
  <c r="K28" i="26"/>
  <c r="J28" i="26"/>
  <c r="K27" i="26"/>
  <c r="J27" i="26"/>
  <c r="K26" i="26"/>
  <c r="J26" i="26"/>
  <c r="K25" i="26"/>
  <c r="J25" i="26"/>
  <c r="K24" i="26"/>
  <c r="J24" i="26"/>
  <c r="K23" i="26"/>
  <c r="J23" i="26"/>
  <c r="K22" i="26"/>
  <c r="J22" i="26"/>
  <c r="K21" i="26"/>
  <c r="J21" i="26"/>
  <c r="K20" i="26"/>
  <c r="J20" i="26"/>
  <c r="K19" i="26"/>
  <c r="J19" i="26"/>
  <c r="K18" i="26"/>
  <c r="J18" i="26"/>
  <c r="K17" i="26"/>
  <c r="J17" i="26"/>
  <c r="K16" i="26"/>
  <c r="J16" i="26"/>
  <c r="K15" i="26"/>
  <c r="J15" i="26"/>
  <c r="K14" i="26"/>
  <c r="J14" i="26"/>
  <c r="K13" i="26"/>
  <c r="J13" i="26"/>
  <c r="K12" i="26"/>
  <c r="J12" i="26"/>
  <c r="K11" i="26"/>
  <c r="J11" i="26"/>
  <c r="K10" i="26"/>
  <c r="J10" i="26"/>
  <c r="K9" i="26"/>
  <c r="J9" i="26"/>
  <c r="K8" i="26"/>
  <c r="J8" i="26"/>
  <c r="K7" i="26"/>
  <c r="J7" i="26"/>
  <c r="K6" i="26"/>
  <c r="J6" i="26"/>
  <c r="K3" i="26"/>
  <c r="I3" i="26"/>
  <c r="H3" i="26"/>
  <c r="K498" i="72"/>
  <c r="J498" i="72"/>
  <c r="K497" i="72"/>
  <c r="J497" i="72"/>
  <c r="K496" i="72"/>
  <c r="J496" i="72"/>
  <c r="K495" i="72"/>
  <c r="J495" i="72"/>
  <c r="K494" i="72"/>
  <c r="J494" i="72"/>
  <c r="K493" i="72"/>
  <c r="J493" i="72"/>
  <c r="K492" i="72"/>
  <c r="J492" i="72"/>
  <c r="K491" i="72"/>
  <c r="J491" i="72"/>
  <c r="K490" i="72"/>
  <c r="J490" i="72"/>
  <c r="K489" i="72"/>
  <c r="J489" i="72"/>
  <c r="K488" i="72"/>
  <c r="J488" i="72"/>
  <c r="K487" i="72"/>
  <c r="J487" i="72"/>
  <c r="K486" i="72"/>
  <c r="J486" i="72"/>
  <c r="K485" i="72"/>
  <c r="J485" i="72"/>
  <c r="K484" i="72"/>
  <c r="J484" i="72"/>
  <c r="K483" i="72"/>
  <c r="J483" i="72"/>
  <c r="K482" i="72"/>
  <c r="J482" i="72"/>
  <c r="K481" i="72"/>
  <c r="J481" i="72"/>
  <c r="K480" i="72"/>
  <c r="J480" i="72"/>
  <c r="K479" i="72"/>
  <c r="J479" i="72"/>
  <c r="K478" i="72"/>
  <c r="J478" i="72"/>
  <c r="K477" i="72"/>
  <c r="J477" i="72"/>
  <c r="K476" i="72"/>
  <c r="J476" i="72"/>
  <c r="K475" i="72"/>
  <c r="J475" i="72"/>
  <c r="K474" i="72"/>
  <c r="J474" i="72"/>
  <c r="K473" i="72"/>
  <c r="J473" i="72"/>
  <c r="K472" i="72"/>
  <c r="J472" i="72"/>
  <c r="K471" i="72"/>
  <c r="J471" i="72"/>
  <c r="K470" i="72"/>
  <c r="J470" i="72"/>
  <c r="K469" i="72"/>
  <c r="J469" i="72"/>
  <c r="K468" i="72"/>
  <c r="J468" i="72"/>
  <c r="K467" i="72"/>
  <c r="J467" i="72"/>
  <c r="K466" i="72"/>
  <c r="J466" i="72"/>
  <c r="K465" i="72"/>
  <c r="J465" i="72"/>
  <c r="K464" i="72"/>
  <c r="J464" i="72"/>
  <c r="K463" i="72"/>
  <c r="J463" i="72"/>
  <c r="K462" i="72"/>
  <c r="J462" i="72"/>
  <c r="K461" i="72"/>
  <c r="J461" i="72"/>
  <c r="K460" i="72"/>
  <c r="J460" i="72"/>
  <c r="K459" i="72"/>
  <c r="J459" i="72"/>
  <c r="K458" i="72"/>
  <c r="J458" i="72"/>
  <c r="K457" i="72"/>
  <c r="J457" i="72"/>
  <c r="K456" i="72"/>
  <c r="J456" i="72"/>
  <c r="K455" i="72"/>
  <c r="J455" i="72"/>
  <c r="K454" i="72"/>
  <c r="J454" i="72"/>
  <c r="K453" i="72"/>
  <c r="J453" i="72"/>
  <c r="K452" i="72"/>
  <c r="J452" i="72"/>
  <c r="K451" i="72"/>
  <c r="J451" i="72"/>
  <c r="K450" i="72"/>
  <c r="J450" i="72"/>
  <c r="K449" i="72"/>
  <c r="J449" i="72"/>
  <c r="K448" i="72"/>
  <c r="J448" i="72"/>
  <c r="K447" i="72"/>
  <c r="J447" i="72"/>
  <c r="K446" i="72"/>
  <c r="J446" i="72"/>
  <c r="K445" i="72"/>
  <c r="J445" i="72"/>
  <c r="K444" i="72"/>
  <c r="J444" i="72"/>
  <c r="K443" i="72"/>
  <c r="J443" i="72"/>
  <c r="K442" i="72"/>
  <c r="J442" i="72"/>
  <c r="K441" i="72"/>
  <c r="J441" i="72"/>
  <c r="K440" i="72"/>
  <c r="J440" i="72"/>
  <c r="K439" i="72"/>
  <c r="J439" i="72"/>
  <c r="K438" i="72"/>
  <c r="J438" i="72"/>
  <c r="K437" i="72"/>
  <c r="J437" i="72"/>
  <c r="K436" i="72"/>
  <c r="J436" i="72"/>
  <c r="K435" i="72"/>
  <c r="J435" i="72"/>
  <c r="K434" i="72"/>
  <c r="J434" i="72"/>
  <c r="K433" i="72"/>
  <c r="J433" i="72"/>
  <c r="K432" i="72"/>
  <c r="J432" i="72"/>
  <c r="K431" i="72"/>
  <c r="J431" i="72"/>
  <c r="K430" i="72"/>
  <c r="J430" i="72"/>
  <c r="K429" i="72"/>
  <c r="J429" i="72"/>
  <c r="K428" i="72"/>
  <c r="J428" i="72"/>
  <c r="K427" i="72"/>
  <c r="J427" i="72"/>
  <c r="K426" i="72"/>
  <c r="J426" i="72"/>
  <c r="K425" i="72"/>
  <c r="J425" i="72"/>
  <c r="K424" i="72"/>
  <c r="J424" i="72"/>
  <c r="K423" i="72"/>
  <c r="J423" i="72"/>
  <c r="K422" i="72"/>
  <c r="J422" i="72"/>
  <c r="K421" i="72"/>
  <c r="J421" i="72"/>
  <c r="K420" i="72"/>
  <c r="J420" i="72"/>
  <c r="K419" i="72"/>
  <c r="J419" i="72"/>
  <c r="K418" i="72"/>
  <c r="J418" i="72"/>
  <c r="K417" i="72"/>
  <c r="J417" i="72"/>
  <c r="K416" i="72"/>
  <c r="J416" i="72"/>
  <c r="K415" i="72"/>
  <c r="J415" i="72"/>
  <c r="K414" i="72"/>
  <c r="J414" i="72"/>
  <c r="K413" i="72"/>
  <c r="J413" i="72"/>
  <c r="K412" i="72"/>
  <c r="J412" i="72"/>
  <c r="K411" i="72"/>
  <c r="J411" i="72"/>
  <c r="K410" i="72"/>
  <c r="J410" i="72"/>
  <c r="K409" i="72"/>
  <c r="J409" i="72"/>
  <c r="K408" i="72"/>
  <c r="J408" i="72"/>
  <c r="K407" i="72"/>
  <c r="J407" i="72"/>
  <c r="K406" i="72"/>
  <c r="J406" i="72"/>
  <c r="K405" i="72"/>
  <c r="J405" i="72"/>
  <c r="K404" i="72"/>
  <c r="J404" i="72"/>
  <c r="K403" i="72"/>
  <c r="J403" i="72"/>
  <c r="K402" i="72"/>
  <c r="J402" i="72"/>
  <c r="K401" i="72"/>
  <c r="J401" i="72"/>
  <c r="K400" i="72"/>
  <c r="J400" i="72"/>
  <c r="K399" i="72"/>
  <c r="J399" i="72"/>
  <c r="K398" i="72"/>
  <c r="J398" i="72"/>
  <c r="K397" i="72"/>
  <c r="J397" i="72"/>
  <c r="K396" i="72"/>
  <c r="J396" i="72"/>
  <c r="K395" i="72"/>
  <c r="J395" i="72"/>
  <c r="K394" i="72"/>
  <c r="J394" i="72"/>
  <c r="K393" i="72"/>
  <c r="J393" i="72"/>
  <c r="K392" i="72"/>
  <c r="J392" i="72"/>
  <c r="K391" i="72"/>
  <c r="J391" i="72"/>
  <c r="K390" i="72"/>
  <c r="J390" i="72"/>
  <c r="K389" i="72"/>
  <c r="J389" i="72"/>
  <c r="K388" i="72"/>
  <c r="J388" i="72"/>
  <c r="K387" i="72"/>
  <c r="J387" i="72"/>
  <c r="K386" i="72"/>
  <c r="J386" i="72"/>
  <c r="K385" i="72"/>
  <c r="J385" i="72"/>
  <c r="K384" i="72"/>
  <c r="J384" i="72"/>
  <c r="K383" i="72"/>
  <c r="J383" i="72"/>
  <c r="K382" i="72"/>
  <c r="J382" i="72"/>
  <c r="K381" i="72"/>
  <c r="J381" i="72"/>
  <c r="K380" i="72"/>
  <c r="J380" i="72"/>
  <c r="K379" i="72"/>
  <c r="J379" i="72"/>
  <c r="K378" i="72"/>
  <c r="J378" i="72"/>
  <c r="K377" i="72"/>
  <c r="J377" i="72"/>
  <c r="K376" i="72"/>
  <c r="J376" i="72"/>
  <c r="K375" i="72"/>
  <c r="J375" i="72"/>
  <c r="K374" i="72"/>
  <c r="J374" i="72"/>
  <c r="K373" i="72"/>
  <c r="J373" i="72"/>
  <c r="K372" i="72"/>
  <c r="J372" i="72"/>
  <c r="K371" i="72"/>
  <c r="J371" i="72"/>
  <c r="K370" i="72"/>
  <c r="J370" i="72"/>
  <c r="K369" i="72"/>
  <c r="J369" i="72"/>
  <c r="K368" i="72"/>
  <c r="J368" i="72"/>
  <c r="K367" i="72"/>
  <c r="J367" i="72"/>
  <c r="K366" i="72"/>
  <c r="J366" i="72"/>
  <c r="K365" i="72"/>
  <c r="J365" i="72"/>
  <c r="K364" i="72"/>
  <c r="J364" i="72"/>
  <c r="K363" i="72"/>
  <c r="J363" i="72"/>
  <c r="K362" i="72"/>
  <c r="J362" i="72"/>
  <c r="K361" i="72"/>
  <c r="J361" i="72"/>
  <c r="K360" i="72"/>
  <c r="J360" i="72"/>
  <c r="K359" i="72"/>
  <c r="J359" i="72"/>
  <c r="K358" i="72"/>
  <c r="J358" i="72"/>
  <c r="K357" i="72"/>
  <c r="J357" i="72"/>
  <c r="K356" i="72"/>
  <c r="J356" i="72"/>
  <c r="K355" i="72"/>
  <c r="J355" i="72"/>
  <c r="K354" i="72"/>
  <c r="J354" i="72"/>
  <c r="K353" i="72"/>
  <c r="J353" i="72"/>
  <c r="K352" i="72"/>
  <c r="J352" i="72"/>
  <c r="K351" i="72"/>
  <c r="J351" i="72"/>
  <c r="K350" i="72"/>
  <c r="J350" i="72"/>
  <c r="K349" i="72"/>
  <c r="J349" i="72"/>
  <c r="K348" i="72"/>
  <c r="J348" i="72"/>
  <c r="K347" i="72"/>
  <c r="J347" i="72"/>
  <c r="K346" i="72"/>
  <c r="J346" i="72"/>
  <c r="K345" i="72"/>
  <c r="J345" i="72"/>
  <c r="K344" i="72"/>
  <c r="J344" i="72"/>
  <c r="K343" i="72"/>
  <c r="J343" i="72"/>
  <c r="K342" i="72"/>
  <c r="J342" i="72"/>
  <c r="K341" i="72"/>
  <c r="J341" i="72"/>
  <c r="K340" i="72"/>
  <c r="J340" i="72"/>
  <c r="K339" i="72"/>
  <c r="J339" i="72"/>
  <c r="K338" i="72"/>
  <c r="J338" i="72"/>
  <c r="K337" i="72"/>
  <c r="J337" i="72"/>
  <c r="K336" i="72"/>
  <c r="J336" i="72"/>
  <c r="K335" i="72"/>
  <c r="J335" i="72"/>
  <c r="K334" i="72"/>
  <c r="J334" i="72"/>
  <c r="K333" i="72"/>
  <c r="J333" i="72"/>
  <c r="K332" i="72"/>
  <c r="J332" i="72"/>
  <c r="K331" i="72"/>
  <c r="J331" i="72"/>
  <c r="K330" i="72"/>
  <c r="J330" i="72"/>
  <c r="K329" i="72"/>
  <c r="J329" i="72"/>
  <c r="K328" i="72"/>
  <c r="J328" i="72"/>
  <c r="K327" i="72"/>
  <c r="J327" i="72"/>
  <c r="K326" i="72"/>
  <c r="J326" i="72"/>
  <c r="K325" i="72"/>
  <c r="J325" i="72"/>
  <c r="K324" i="72"/>
  <c r="J324" i="72"/>
  <c r="K323" i="72"/>
  <c r="J323" i="72"/>
  <c r="K322" i="72"/>
  <c r="J322" i="72"/>
  <c r="K321" i="72"/>
  <c r="J321" i="72"/>
  <c r="K320" i="72"/>
  <c r="J320" i="72"/>
  <c r="K319" i="72"/>
  <c r="J319" i="72"/>
  <c r="K318" i="72"/>
  <c r="J318" i="72"/>
  <c r="K317" i="72"/>
  <c r="J317" i="72"/>
  <c r="K316" i="72"/>
  <c r="J316" i="72"/>
  <c r="K315" i="72"/>
  <c r="J315" i="72"/>
  <c r="K314" i="72"/>
  <c r="J314" i="72"/>
  <c r="K313" i="72"/>
  <c r="J313" i="72"/>
  <c r="K312" i="72"/>
  <c r="J312" i="72"/>
  <c r="K311" i="72"/>
  <c r="J311" i="72"/>
  <c r="K310" i="72"/>
  <c r="J310" i="72"/>
  <c r="K309" i="72"/>
  <c r="J309" i="72"/>
  <c r="K308" i="72"/>
  <c r="J308" i="72"/>
  <c r="K307" i="72"/>
  <c r="J307" i="72"/>
  <c r="K306" i="72"/>
  <c r="J306" i="72"/>
  <c r="K305" i="72"/>
  <c r="J305" i="72"/>
  <c r="K304" i="72"/>
  <c r="J304" i="72"/>
  <c r="K303" i="72"/>
  <c r="J303" i="72"/>
  <c r="K302" i="72"/>
  <c r="J302" i="72"/>
  <c r="K301" i="72"/>
  <c r="J301" i="72"/>
  <c r="K300" i="72"/>
  <c r="J300" i="72"/>
  <c r="K299" i="72"/>
  <c r="J299" i="72"/>
  <c r="K298" i="72"/>
  <c r="J298" i="72"/>
  <c r="K297" i="72"/>
  <c r="J297" i="72"/>
  <c r="K296" i="72"/>
  <c r="J296" i="72"/>
  <c r="K295" i="72"/>
  <c r="J295" i="72"/>
  <c r="K294" i="72"/>
  <c r="J294" i="72"/>
  <c r="K293" i="72"/>
  <c r="J293" i="72"/>
  <c r="K292" i="72"/>
  <c r="J292" i="72"/>
  <c r="K291" i="72"/>
  <c r="J291" i="72"/>
  <c r="K290" i="72"/>
  <c r="J290" i="72"/>
  <c r="K289" i="72"/>
  <c r="J289" i="72"/>
  <c r="K288" i="72"/>
  <c r="J288" i="72"/>
  <c r="K287" i="72"/>
  <c r="J287" i="72"/>
  <c r="K286" i="72"/>
  <c r="J286" i="72"/>
  <c r="K285" i="72"/>
  <c r="J285" i="72"/>
  <c r="K284" i="72"/>
  <c r="J284" i="72"/>
  <c r="K283" i="72"/>
  <c r="J283" i="72"/>
  <c r="K282" i="72"/>
  <c r="J282" i="72"/>
  <c r="K281" i="72"/>
  <c r="J281" i="72"/>
  <c r="K280" i="72"/>
  <c r="J280" i="72"/>
  <c r="K279" i="72"/>
  <c r="J279" i="72"/>
  <c r="K278" i="72"/>
  <c r="J278" i="72"/>
  <c r="K277" i="72"/>
  <c r="J277" i="72"/>
  <c r="K276" i="72"/>
  <c r="J276" i="72"/>
  <c r="K275" i="72"/>
  <c r="J275" i="72"/>
  <c r="K274" i="72"/>
  <c r="J274" i="72"/>
  <c r="K273" i="72"/>
  <c r="J273" i="72"/>
  <c r="K272" i="72"/>
  <c r="J272" i="72"/>
  <c r="K271" i="72"/>
  <c r="J271" i="72"/>
  <c r="K270" i="72"/>
  <c r="J270" i="72"/>
  <c r="K269" i="72"/>
  <c r="J269" i="72"/>
  <c r="K268" i="72"/>
  <c r="J268" i="72"/>
  <c r="K267" i="72"/>
  <c r="J267" i="72"/>
  <c r="K266" i="72"/>
  <c r="J266" i="72"/>
  <c r="K265" i="72"/>
  <c r="J265" i="72"/>
  <c r="K264" i="72"/>
  <c r="J264" i="72"/>
  <c r="K263" i="72"/>
  <c r="J263" i="72"/>
  <c r="K262" i="72"/>
  <c r="J262" i="72"/>
  <c r="K261" i="72"/>
  <c r="J261" i="72"/>
  <c r="K260" i="72"/>
  <c r="J260" i="72"/>
  <c r="K259" i="72"/>
  <c r="J259" i="72"/>
  <c r="K258" i="72"/>
  <c r="J258" i="72"/>
  <c r="K257" i="72"/>
  <c r="J257" i="72"/>
  <c r="K256" i="72"/>
  <c r="J256" i="72"/>
  <c r="K255" i="72"/>
  <c r="J255" i="72"/>
  <c r="K254" i="72"/>
  <c r="J254" i="72"/>
  <c r="K253" i="72"/>
  <c r="J253" i="72"/>
  <c r="K252" i="72"/>
  <c r="J252" i="72"/>
  <c r="K251" i="72"/>
  <c r="J251" i="72"/>
  <c r="K250" i="72"/>
  <c r="J250" i="72"/>
  <c r="K249" i="72"/>
  <c r="J249" i="72"/>
  <c r="K248" i="72"/>
  <c r="J248" i="72"/>
  <c r="K247" i="72"/>
  <c r="J247" i="72"/>
  <c r="K246" i="72"/>
  <c r="J246" i="72"/>
  <c r="K245" i="72"/>
  <c r="J245" i="72"/>
  <c r="K244" i="72"/>
  <c r="J244" i="72"/>
  <c r="K243" i="72"/>
  <c r="J243" i="72"/>
  <c r="K242" i="72"/>
  <c r="J242" i="72"/>
  <c r="K241" i="72"/>
  <c r="J241" i="72"/>
  <c r="K240" i="72"/>
  <c r="J240" i="72"/>
  <c r="K239" i="72"/>
  <c r="J239" i="72"/>
  <c r="K238" i="72"/>
  <c r="J238" i="72"/>
  <c r="K237" i="72"/>
  <c r="J237" i="72"/>
  <c r="K236" i="72"/>
  <c r="J236" i="72"/>
  <c r="K235" i="72"/>
  <c r="J235" i="72"/>
  <c r="K234" i="72"/>
  <c r="J234" i="72"/>
  <c r="K233" i="72"/>
  <c r="J233" i="72"/>
  <c r="K232" i="72"/>
  <c r="J232" i="72"/>
  <c r="K231" i="72"/>
  <c r="J231" i="72"/>
  <c r="K230" i="72"/>
  <c r="J230" i="72"/>
  <c r="K229" i="72"/>
  <c r="J229" i="72"/>
  <c r="K228" i="72"/>
  <c r="J228" i="72"/>
  <c r="K227" i="72"/>
  <c r="J227" i="72"/>
  <c r="K226" i="72"/>
  <c r="J226" i="72"/>
  <c r="K225" i="72"/>
  <c r="J225" i="72"/>
  <c r="K224" i="72"/>
  <c r="J224" i="72"/>
  <c r="K223" i="72"/>
  <c r="J223" i="72"/>
  <c r="K222" i="72"/>
  <c r="J222" i="72"/>
  <c r="K221" i="72"/>
  <c r="J221" i="72"/>
  <c r="K220" i="72"/>
  <c r="J220" i="72"/>
  <c r="K219" i="72"/>
  <c r="J219" i="72"/>
  <c r="K218" i="72"/>
  <c r="J218" i="72"/>
  <c r="K217" i="72"/>
  <c r="J217" i="72"/>
  <c r="K216" i="72"/>
  <c r="J216" i="72"/>
  <c r="K215" i="72"/>
  <c r="J215" i="72"/>
  <c r="K214" i="72"/>
  <c r="J214" i="72"/>
  <c r="K213" i="72"/>
  <c r="J213" i="72"/>
  <c r="K212" i="72"/>
  <c r="J212" i="72"/>
  <c r="K211" i="72"/>
  <c r="J211" i="72"/>
  <c r="K210" i="72"/>
  <c r="J210" i="72"/>
  <c r="K209" i="72"/>
  <c r="J209" i="72"/>
  <c r="K208" i="72"/>
  <c r="J208" i="72"/>
  <c r="K207" i="72"/>
  <c r="J207" i="72"/>
  <c r="K206" i="72"/>
  <c r="J206" i="72"/>
  <c r="K205" i="72"/>
  <c r="J205" i="72"/>
  <c r="K204" i="72"/>
  <c r="J204" i="72"/>
  <c r="K203" i="72"/>
  <c r="J203" i="72"/>
  <c r="K202" i="72"/>
  <c r="J202" i="72"/>
  <c r="K201" i="72"/>
  <c r="J201" i="72"/>
  <c r="K200" i="72"/>
  <c r="J200" i="72"/>
  <c r="K199" i="72"/>
  <c r="J199" i="72"/>
  <c r="K198" i="72"/>
  <c r="J198" i="72"/>
  <c r="K197" i="72"/>
  <c r="J197" i="72"/>
  <c r="K196" i="72"/>
  <c r="J196" i="72"/>
  <c r="K195" i="72"/>
  <c r="J195" i="72"/>
  <c r="K194" i="72"/>
  <c r="J194" i="72"/>
  <c r="K193" i="72"/>
  <c r="J193" i="72"/>
  <c r="K192" i="72"/>
  <c r="J192" i="72"/>
  <c r="K191" i="72"/>
  <c r="J191" i="72"/>
  <c r="K190" i="72"/>
  <c r="J190" i="72"/>
  <c r="K189" i="72"/>
  <c r="J189" i="72"/>
  <c r="K188" i="72"/>
  <c r="J188" i="72"/>
  <c r="K187" i="72"/>
  <c r="J187" i="72"/>
  <c r="K186" i="72"/>
  <c r="J186" i="72"/>
  <c r="K185" i="72"/>
  <c r="J185" i="72"/>
  <c r="K184" i="72"/>
  <c r="J184" i="72"/>
  <c r="K183" i="72"/>
  <c r="J183" i="72"/>
  <c r="K182" i="72"/>
  <c r="J182" i="72"/>
  <c r="K181" i="72"/>
  <c r="J181" i="72"/>
  <c r="K180" i="72"/>
  <c r="J180" i="72"/>
  <c r="K179" i="72"/>
  <c r="J179" i="72"/>
  <c r="K178" i="72"/>
  <c r="J178" i="72"/>
  <c r="K177" i="72"/>
  <c r="J177" i="72"/>
  <c r="K176" i="72"/>
  <c r="J176" i="72"/>
  <c r="K175" i="72"/>
  <c r="J175" i="72"/>
  <c r="K174" i="72"/>
  <c r="J174" i="72"/>
  <c r="K173" i="72"/>
  <c r="J173" i="72"/>
  <c r="K172" i="72"/>
  <c r="J172" i="72"/>
  <c r="K171" i="72"/>
  <c r="J171" i="72"/>
  <c r="K170" i="72"/>
  <c r="J170" i="72"/>
  <c r="K169" i="72"/>
  <c r="J169" i="72"/>
  <c r="K168" i="72"/>
  <c r="J168" i="72"/>
  <c r="K167" i="72"/>
  <c r="J167" i="72"/>
  <c r="K166" i="72"/>
  <c r="J166" i="72"/>
  <c r="K165" i="72"/>
  <c r="J165" i="72"/>
  <c r="K164" i="72"/>
  <c r="J164" i="72"/>
  <c r="K163" i="72"/>
  <c r="J163" i="72"/>
  <c r="K162" i="72"/>
  <c r="J162" i="72"/>
  <c r="K161" i="72"/>
  <c r="J161" i="72"/>
  <c r="K160" i="72"/>
  <c r="J160" i="72"/>
  <c r="K159" i="72"/>
  <c r="J159" i="72"/>
  <c r="K158" i="72"/>
  <c r="J158" i="72"/>
  <c r="K157" i="72"/>
  <c r="J157" i="72"/>
  <c r="K156" i="72"/>
  <c r="J156" i="72"/>
  <c r="K155" i="72"/>
  <c r="J155" i="72"/>
  <c r="K154" i="72"/>
  <c r="J154" i="72"/>
  <c r="K153" i="72"/>
  <c r="J153" i="72"/>
  <c r="K152" i="72"/>
  <c r="J152" i="72"/>
  <c r="K151" i="72"/>
  <c r="J151" i="72"/>
  <c r="K150" i="72"/>
  <c r="J150" i="72"/>
  <c r="K149" i="72"/>
  <c r="J149" i="72"/>
  <c r="K148" i="72"/>
  <c r="J148" i="72"/>
  <c r="K147" i="72"/>
  <c r="J147" i="72"/>
  <c r="K146" i="72"/>
  <c r="J146" i="72"/>
  <c r="K145" i="72"/>
  <c r="J145" i="72"/>
  <c r="K144" i="72"/>
  <c r="J144" i="72"/>
  <c r="K143" i="72"/>
  <c r="J143" i="72"/>
  <c r="K142" i="72"/>
  <c r="J142" i="72"/>
  <c r="K141" i="72"/>
  <c r="J141" i="72"/>
  <c r="K140" i="72"/>
  <c r="J140" i="72"/>
  <c r="K139" i="72"/>
  <c r="J139" i="72"/>
  <c r="K138" i="72"/>
  <c r="J138" i="72"/>
  <c r="K137" i="72"/>
  <c r="J137" i="72"/>
  <c r="K136" i="72"/>
  <c r="J136" i="72"/>
  <c r="K135" i="72"/>
  <c r="J135" i="72"/>
  <c r="K134" i="72"/>
  <c r="J134" i="72"/>
  <c r="K133" i="72"/>
  <c r="J133" i="72"/>
  <c r="K132" i="72"/>
  <c r="J132" i="72"/>
  <c r="K131" i="72"/>
  <c r="J131" i="72"/>
  <c r="K130" i="72"/>
  <c r="J130" i="72"/>
  <c r="K129" i="72"/>
  <c r="J129" i="72"/>
  <c r="K128" i="72"/>
  <c r="J128" i="72"/>
  <c r="K127" i="72"/>
  <c r="J127" i="72"/>
  <c r="K126" i="72"/>
  <c r="J126" i="72"/>
  <c r="K125" i="72"/>
  <c r="J125" i="72"/>
  <c r="K124" i="72"/>
  <c r="J124" i="72"/>
  <c r="K123" i="72"/>
  <c r="J123" i="72"/>
  <c r="K122" i="72"/>
  <c r="J122" i="72"/>
  <c r="K121" i="72"/>
  <c r="J121" i="72"/>
  <c r="K120" i="72"/>
  <c r="J120" i="72"/>
  <c r="K119" i="72"/>
  <c r="J119" i="72"/>
  <c r="K118" i="72"/>
  <c r="J118" i="72"/>
  <c r="K117" i="72"/>
  <c r="J117" i="72"/>
  <c r="K116" i="72"/>
  <c r="J116" i="72"/>
  <c r="K115" i="72"/>
  <c r="J115" i="72"/>
  <c r="K114" i="72"/>
  <c r="J114" i="72"/>
  <c r="K113" i="72"/>
  <c r="J113" i="72"/>
  <c r="K112" i="72"/>
  <c r="J112" i="72"/>
  <c r="K111" i="72"/>
  <c r="J111" i="72"/>
  <c r="K110" i="72"/>
  <c r="J110" i="72"/>
  <c r="K109" i="72"/>
  <c r="J109" i="72"/>
  <c r="K108" i="72"/>
  <c r="J108" i="72"/>
  <c r="K107" i="72"/>
  <c r="J107" i="72"/>
  <c r="K106" i="72"/>
  <c r="J106" i="72"/>
  <c r="K105" i="72"/>
  <c r="J105" i="72"/>
  <c r="K104" i="72"/>
  <c r="J104" i="72"/>
  <c r="K103" i="72"/>
  <c r="J103" i="72"/>
  <c r="K102" i="72"/>
  <c r="J102" i="72"/>
  <c r="K101" i="72"/>
  <c r="J101" i="72"/>
  <c r="K100" i="72"/>
  <c r="J100" i="72"/>
  <c r="K99" i="72"/>
  <c r="J99" i="72"/>
  <c r="K98" i="72"/>
  <c r="J98" i="72"/>
  <c r="K97" i="72"/>
  <c r="J97" i="72"/>
  <c r="K96" i="72"/>
  <c r="J96" i="72"/>
  <c r="K95" i="72"/>
  <c r="J95" i="72"/>
  <c r="K94" i="72"/>
  <c r="J94" i="72"/>
  <c r="K93" i="72"/>
  <c r="J93" i="72"/>
  <c r="K92" i="72"/>
  <c r="J92" i="72"/>
  <c r="K91" i="72"/>
  <c r="J91" i="72"/>
  <c r="K90" i="72"/>
  <c r="J90" i="72"/>
  <c r="K89" i="72"/>
  <c r="J89" i="72"/>
  <c r="K88" i="72"/>
  <c r="J88" i="72"/>
  <c r="K87" i="72"/>
  <c r="J87" i="72"/>
  <c r="K86" i="72"/>
  <c r="J86" i="72"/>
  <c r="K85" i="72"/>
  <c r="J85" i="72"/>
  <c r="K84" i="72"/>
  <c r="J84" i="72"/>
  <c r="K83" i="72"/>
  <c r="J83" i="72"/>
  <c r="K82" i="72"/>
  <c r="J82" i="72"/>
  <c r="K81" i="72"/>
  <c r="J81" i="72"/>
  <c r="K80" i="72"/>
  <c r="J80" i="72"/>
  <c r="K79" i="72"/>
  <c r="J79" i="72"/>
  <c r="K78" i="72"/>
  <c r="J78" i="72"/>
  <c r="K77" i="72"/>
  <c r="J77" i="72"/>
  <c r="K76" i="72"/>
  <c r="J76" i="72"/>
  <c r="K75" i="72"/>
  <c r="J75" i="72"/>
  <c r="K74" i="72"/>
  <c r="J74" i="72"/>
  <c r="K73" i="72"/>
  <c r="J73" i="72"/>
  <c r="K72" i="72"/>
  <c r="J72" i="72"/>
  <c r="K71" i="72"/>
  <c r="J71" i="72"/>
  <c r="K70" i="72"/>
  <c r="J70" i="72"/>
  <c r="K69" i="72"/>
  <c r="J69" i="72"/>
  <c r="K68" i="72"/>
  <c r="J68" i="72"/>
  <c r="K67" i="72"/>
  <c r="J67" i="72"/>
  <c r="K66" i="72"/>
  <c r="J66" i="72"/>
  <c r="K65" i="72"/>
  <c r="J65" i="72"/>
  <c r="K64" i="72"/>
  <c r="J64" i="72"/>
  <c r="K63" i="72"/>
  <c r="J63" i="72"/>
  <c r="K62" i="72"/>
  <c r="J62" i="72"/>
  <c r="K61" i="72"/>
  <c r="J61" i="72"/>
  <c r="K60" i="72"/>
  <c r="J60" i="72"/>
  <c r="K59" i="72"/>
  <c r="J59" i="72"/>
  <c r="K58" i="72"/>
  <c r="J58" i="72"/>
  <c r="K57" i="72"/>
  <c r="J57" i="72"/>
  <c r="K56" i="72"/>
  <c r="J56" i="72"/>
  <c r="K55" i="72"/>
  <c r="J55" i="72"/>
  <c r="K54" i="72"/>
  <c r="J54" i="72"/>
  <c r="K53" i="72"/>
  <c r="J53" i="72"/>
  <c r="K52" i="72"/>
  <c r="J52" i="72"/>
  <c r="K51" i="72"/>
  <c r="J51" i="72"/>
  <c r="K50" i="72"/>
  <c r="J50" i="72"/>
  <c r="K49" i="72"/>
  <c r="J49" i="72"/>
  <c r="K48" i="72"/>
  <c r="J48" i="72"/>
  <c r="K47" i="72"/>
  <c r="J47" i="72"/>
  <c r="K46" i="72"/>
  <c r="J46" i="72"/>
  <c r="K45" i="72"/>
  <c r="J45" i="72"/>
  <c r="K44" i="72"/>
  <c r="J44" i="72"/>
  <c r="K43" i="72"/>
  <c r="J43" i="72"/>
  <c r="K42" i="72"/>
  <c r="J42" i="72"/>
  <c r="K41" i="72"/>
  <c r="J41" i="72"/>
  <c r="K40" i="72"/>
  <c r="J40" i="72"/>
  <c r="K39" i="72"/>
  <c r="J39" i="72"/>
  <c r="K38" i="72"/>
  <c r="J38" i="72"/>
  <c r="K37" i="72"/>
  <c r="J37" i="72"/>
  <c r="K36" i="72"/>
  <c r="J36" i="72"/>
  <c r="K35" i="72"/>
  <c r="J35" i="72"/>
  <c r="K34" i="72"/>
  <c r="J34" i="72"/>
  <c r="K33" i="72"/>
  <c r="J33" i="72"/>
  <c r="K32" i="72"/>
  <c r="J32" i="72"/>
  <c r="K31" i="72"/>
  <c r="J31" i="72"/>
  <c r="K30" i="72"/>
  <c r="J30" i="72"/>
  <c r="K29" i="72"/>
  <c r="J29" i="72"/>
  <c r="K28" i="72"/>
  <c r="J28" i="72"/>
  <c r="K27" i="72"/>
  <c r="J27" i="72"/>
  <c r="K26" i="72"/>
  <c r="J26" i="72"/>
  <c r="K25" i="72"/>
  <c r="J25" i="72"/>
  <c r="K24" i="72"/>
  <c r="J24" i="72"/>
  <c r="K23" i="72"/>
  <c r="J23" i="72"/>
  <c r="K22" i="72"/>
  <c r="J22" i="72"/>
  <c r="K21" i="72"/>
  <c r="J21" i="72"/>
  <c r="K20" i="72"/>
  <c r="J20" i="72"/>
  <c r="K19" i="72"/>
  <c r="J19" i="72"/>
  <c r="K18" i="72"/>
  <c r="J18" i="72"/>
  <c r="K17" i="72"/>
  <c r="J17" i="72"/>
  <c r="K16" i="72"/>
  <c r="J16" i="72"/>
  <c r="K15" i="72"/>
  <c r="J15" i="72"/>
  <c r="K14" i="72"/>
  <c r="J14" i="72"/>
  <c r="K13" i="72"/>
  <c r="J13" i="72"/>
  <c r="K12" i="72"/>
  <c r="J12" i="72"/>
  <c r="K11" i="72"/>
  <c r="J11" i="72"/>
  <c r="K10" i="72"/>
  <c r="J10" i="72"/>
  <c r="K9" i="72"/>
  <c r="J9" i="72"/>
  <c r="K8" i="72"/>
  <c r="J8" i="72"/>
  <c r="K7" i="72"/>
  <c r="J7" i="72"/>
  <c r="K6" i="72"/>
  <c r="J6" i="72"/>
  <c r="K3" i="72"/>
  <c r="I3" i="72"/>
  <c r="H3" i="72"/>
  <c r="K496" i="13"/>
  <c r="J496" i="13"/>
  <c r="K495" i="13"/>
  <c r="J495" i="13"/>
  <c r="K494" i="13"/>
  <c r="J494" i="13"/>
  <c r="K493" i="13"/>
  <c r="J493" i="13"/>
  <c r="K492" i="13"/>
  <c r="J492" i="13"/>
  <c r="K491" i="13"/>
  <c r="J491" i="13"/>
  <c r="K490" i="13"/>
  <c r="J490" i="13"/>
  <c r="K489" i="13"/>
  <c r="J489" i="13"/>
  <c r="K488" i="13"/>
  <c r="J488" i="13"/>
  <c r="K487" i="13"/>
  <c r="J487" i="13"/>
  <c r="K486" i="13"/>
  <c r="J486" i="13"/>
  <c r="K485" i="13"/>
  <c r="J485" i="13"/>
  <c r="K484" i="13"/>
  <c r="J484" i="13"/>
  <c r="K483" i="13"/>
  <c r="J483" i="13"/>
  <c r="K482" i="13"/>
  <c r="J482" i="13"/>
  <c r="K481" i="13"/>
  <c r="J481" i="13"/>
  <c r="K480" i="13"/>
  <c r="J480" i="13"/>
  <c r="K479" i="13"/>
  <c r="J479" i="13"/>
  <c r="K478" i="13"/>
  <c r="J478" i="13"/>
  <c r="K477" i="13"/>
  <c r="J477" i="13"/>
  <c r="K476" i="13"/>
  <c r="J476" i="13"/>
  <c r="K475" i="13"/>
  <c r="J475" i="13"/>
  <c r="K474" i="13"/>
  <c r="J474" i="13"/>
  <c r="K473" i="13"/>
  <c r="J473" i="13"/>
  <c r="K472" i="13"/>
  <c r="J472" i="13"/>
  <c r="K471" i="13"/>
  <c r="J471" i="13"/>
  <c r="K470" i="13"/>
  <c r="J470" i="13"/>
  <c r="K469" i="13"/>
  <c r="J469" i="13"/>
  <c r="K468" i="13"/>
  <c r="J468" i="13"/>
  <c r="K467" i="13"/>
  <c r="J467" i="13"/>
  <c r="K466" i="13"/>
  <c r="J466" i="13"/>
  <c r="K465" i="13"/>
  <c r="J465" i="13"/>
  <c r="K464" i="13"/>
  <c r="J464" i="13"/>
  <c r="K463" i="13"/>
  <c r="J463" i="13"/>
  <c r="K462" i="13"/>
  <c r="J462" i="13"/>
  <c r="K461" i="13"/>
  <c r="J461" i="13"/>
  <c r="K460" i="13"/>
  <c r="J460" i="13"/>
  <c r="K459" i="13"/>
  <c r="J459" i="13"/>
  <c r="K458" i="13"/>
  <c r="J458" i="13"/>
  <c r="K457" i="13"/>
  <c r="J457" i="13"/>
  <c r="K456" i="13"/>
  <c r="J456" i="13"/>
  <c r="K455" i="13"/>
  <c r="J455" i="13"/>
  <c r="K454" i="13"/>
  <c r="J454" i="13"/>
  <c r="K453" i="13"/>
  <c r="J453" i="13"/>
  <c r="K452" i="13"/>
  <c r="J452" i="13"/>
  <c r="K451" i="13"/>
  <c r="J451" i="13"/>
  <c r="K450" i="13"/>
  <c r="J450" i="13"/>
  <c r="K449" i="13"/>
  <c r="J449" i="13"/>
  <c r="K448" i="13"/>
  <c r="J448" i="13"/>
  <c r="K447" i="13"/>
  <c r="J447" i="13"/>
  <c r="K446" i="13"/>
  <c r="J446" i="13"/>
  <c r="K445" i="13"/>
  <c r="J445" i="13"/>
  <c r="K444" i="13"/>
  <c r="J444" i="13"/>
  <c r="K443" i="13"/>
  <c r="J443" i="13"/>
  <c r="K442" i="13"/>
  <c r="J442" i="13"/>
  <c r="K441" i="13"/>
  <c r="J441" i="13"/>
  <c r="K440" i="13"/>
  <c r="J440" i="13"/>
  <c r="K439" i="13"/>
  <c r="J439" i="13"/>
  <c r="K438" i="13"/>
  <c r="J438" i="13"/>
  <c r="K437" i="13"/>
  <c r="J437" i="13"/>
  <c r="K436" i="13"/>
  <c r="J436" i="13"/>
  <c r="K435" i="13"/>
  <c r="J435" i="13"/>
  <c r="K434" i="13"/>
  <c r="J434" i="13"/>
  <c r="K433" i="13"/>
  <c r="J433" i="13"/>
  <c r="K432" i="13"/>
  <c r="J432" i="13"/>
  <c r="K431" i="13"/>
  <c r="J431" i="13"/>
  <c r="K430" i="13"/>
  <c r="J430" i="13"/>
  <c r="K429" i="13"/>
  <c r="J429" i="13"/>
  <c r="K428" i="13"/>
  <c r="J428" i="13"/>
  <c r="K427" i="13"/>
  <c r="J427" i="13"/>
  <c r="K426" i="13"/>
  <c r="J426" i="13"/>
  <c r="K425" i="13"/>
  <c r="J425" i="13"/>
  <c r="K424" i="13"/>
  <c r="J424" i="13"/>
  <c r="K423" i="13"/>
  <c r="J423" i="13"/>
  <c r="K422" i="13"/>
  <c r="J422" i="13"/>
  <c r="K421" i="13"/>
  <c r="J421" i="13"/>
  <c r="K420" i="13"/>
  <c r="J420" i="13"/>
  <c r="K419" i="13"/>
  <c r="J419" i="13"/>
  <c r="K418" i="13"/>
  <c r="J418" i="13"/>
  <c r="K417" i="13"/>
  <c r="J417" i="13"/>
  <c r="K416" i="13"/>
  <c r="J416" i="13"/>
  <c r="K415" i="13"/>
  <c r="J415" i="13"/>
  <c r="K414" i="13"/>
  <c r="J414" i="13"/>
  <c r="K413" i="13"/>
  <c r="J413" i="13"/>
  <c r="K412" i="13"/>
  <c r="J412" i="13"/>
  <c r="K411" i="13"/>
  <c r="J411" i="13"/>
  <c r="K410" i="13"/>
  <c r="J410" i="13"/>
  <c r="K409" i="13"/>
  <c r="J409" i="13"/>
  <c r="K408" i="13"/>
  <c r="J408" i="13"/>
  <c r="K407" i="13"/>
  <c r="J407" i="13"/>
  <c r="K406" i="13"/>
  <c r="J406" i="13"/>
  <c r="K405" i="13"/>
  <c r="J405" i="13"/>
  <c r="K404" i="13"/>
  <c r="J404" i="13"/>
  <c r="K403" i="13"/>
  <c r="J403" i="13"/>
  <c r="K402" i="13"/>
  <c r="J402" i="13"/>
  <c r="K401" i="13"/>
  <c r="J401" i="13"/>
  <c r="K400" i="13"/>
  <c r="J400" i="13"/>
  <c r="K399" i="13"/>
  <c r="J399" i="13"/>
  <c r="K398" i="13"/>
  <c r="J398" i="13"/>
  <c r="K397" i="13"/>
  <c r="J397" i="13"/>
  <c r="K396" i="13"/>
  <c r="J396" i="13"/>
  <c r="K395" i="13"/>
  <c r="J395" i="13"/>
  <c r="K394" i="13"/>
  <c r="J394" i="13"/>
  <c r="K393" i="13"/>
  <c r="J393" i="13"/>
  <c r="K392" i="13"/>
  <c r="J392" i="13"/>
  <c r="K391" i="13"/>
  <c r="J391" i="13"/>
  <c r="K390" i="13"/>
  <c r="J390" i="13"/>
  <c r="K389" i="13"/>
  <c r="J389" i="13"/>
  <c r="K388" i="13"/>
  <c r="J388" i="13"/>
  <c r="K387" i="13"/>
  <c r="J387" i="13"/>
  <c r="K386" i="13"/>
  <c r="J386" i="13"/>
  <c r="K385" i="13"/>
  <c r="J385" i="13"/>
  <c r="K384" i="13"/>
  <c r="J384" i="13"/>
  <c r="K383" i="13"/>
  <c r="J383" i="13"/>
  <c r="K382" i="13"/>
  <c r="J382" i="13"/>
  <c r="K381" i="13"/>
  <c r="J381" i="13"/>
  <c r="K380" i="13"/>
  <c r="J380" i="13"/>
  <c r="K379" i="13"/>
  <c r="J379" i="13"/>
  <c r="K378" i="13"/>
  <c r="J378" i="13"/>
  <c r="K377" i="13"/>
  <c r="J377" i="13"/>
  <c r="K376" i="13"/>
  <c r="J376" i="13"/>
  <c r="K375" i="13"/>
  <c r="J375" i="13"/>
  <c r="K374" i="13"/>
  <c r="J374" i="13"/>
  <c r="K373" i="13"/>
  <c r="J373" i="13"/>
  <c r="K372" i="13"/>
  <c r="J372" i="13"/>
  <c r="K371" i="13"/>
  <c r="J371" i="13"/>
  <c r="K370" i="13"/>
  <c r="J370" i="13"/>
  <c r="K369" i="13"/>
  <c r="J369" i="13"/>
  <c r="K368" i="13"/>
  <c r="J368" i="13"/>
  <c r="K367" i="13"/>
  <c r="J367" i="13"/>
  <c r="K366" i="13"/>
  <c r="J366" i="13"/>
  <c r="K365" i="13"/>
  <c r="J365" i="13"/>
  <c r="K364" i="13"/>
  <c r="J364" i="13"/>
  <c r="K363" i="13"/>
  <c r="J363" i="13"/>
  <c r="K362" i="13"/>
  <c r="J362" i="13"/>
  <c r="K361" i="13"/>
  <c r="J361" i="13"/>
  <c r="K360" i="13"/>
  <c r="J360" i="13"/>
  <c r="K359" i="13"/>
  <c r="J359" i="13"/>
  <c r="K358" i="13"/>
  <c r="J358" i="13"/>
  <c r="K357" i="13"/>
  <c r="J357" i="13"/>
  <c r="K356" i="13"/>
  <c r="J356" i="13"/>
  <c r="K355" i="13"/>
  <c r="J355" i="13"/>
  <c r="K354" i="13"/>
  <c r="J354" i="13"/>
  <c r="K353" i="13"/>
  <c r="J353" i="13"/>
  <c r="K352" i="13"/>
  <c r="J352" i="13"/>
  <c r="K351" i="13"/>
  <c r="J351" i="13"/>
  <c r="K350" i="13"/>
  <c r="J350" i="13"/>
  <c r="K349" i="13"/>
  <c r="J349" i="13"/>
  <c r="K348" i="13"/>
  <c r="J348" i="13"/>
  <c r="K347" i="13"/>
  <c r="J347" i="13"/>
  <c r="K346" i="13"/>
  <c r="J346" i="13"/>
  <c r="K345" i="13"/>
  <c r="J345" i="13"/>
  <c r="K344" i="13"/>
  <c r="J344" i="13"/>
  <c r="K343" i="13"/>
  <c r="J343" i="13"/>
  <c r="K342" i="13"/>
  <c r="J342" i="13"/>
  <c r="K341" i="13"/>
  <c r="J341" i="13"/>
  <c r="K340" i="13"/>
  <c r="J340" i="13"/>
  <c r="K339" i="13"/>
  <c r="J339" i="13"/>
  <c r="K338" i="13"/>
  <c r="J338" i="13"/>
  <c r="K337" i="13"/>
  <c r="J337" i="13"/>
  <c r="K336" i="13"/>
  <c r="J336" i="13"/>
  <c r="K335" i="13"/>
  <c r="J335" i="13"/>
  <c r="K334" i="13"/>
  <c r="J334" i="13"/>
  <c r="K333" i="13"/>
  <c r="J333" i="13"/>
  <c r="K332" i="13"/>
  <c r="J332" i="13"/>
  <c r="K331" i="13"/>
  <c r="J331" i="13"/>
  <c r="K330" i="13"/>
  <c r="J330" i="13"/>
  <c r="K329" i="13"/>
  <c r="J329" i="13"/>
  <c r="K328" i="13"/>
  <c r="J328" i="13"/>
  <c r="K327" i="13"/>
  <c r="J327" i="13"/>
  <c r="K326" i="13"/>
  <c r="J326" i="13"/>
  <c r="K325" i="13"/>
  <c r="J325" i="13"/>
  <c r="K324" i="13"/>
  <c r="J324" i="13"/>
  <c r="K323" i="13"/>
  <c r="J323" i="13"/>
  <c r="K322" i="13"/>
  <c r="J322" i="13"/>
  <c r="K321" i="13"/>
  <c r="J321" i="13"/>
  <c r="K320" i="13"/>
  <c r="J320" i="13"/>
  <c r="K319" i="13"/>
  <c r="J319" i="13"/>
  <c r="K318" i="13"/>
  <c r="J318" i="13"/>
  <c r="K317" i="13"/>
  <c r="J317" i="13"/>
  <c r="K316" i="13"/>
  <c r="J316" i="13"/>
  <c r="K315" i="13"/>
  <c r="J315" i="13"/>
  <c r="K314" i="13"/>
  <c r="J314" i="13"/>
  <c r="K313" i="13"/>
  <c r="J313" i="13"/>
  <c r="K312" i="13"/>
  <c r="J312" i="13"/>
  <c r="K311" i="13"/>
  <c r="J311" i="13"/>
  <c r="K310" i="13"/>
  <c r="J310" i="13"/>
  <c r="K309" i="13"/>
  <c r="J309" i="13"/>
  <c r="K308" i="13"/>
  <c r="J308" i="13"/>
  <c r="K307" i="13"/>
  <c r="J307" i="13"/>
  <c r="K306" i="13"/>
  <c r="J306" i="13"/>
  <c r="K305" i="13"/>
  <c r="J305" i="13"/>
  <c r="K304" i="13"/>
  <c r="J304" i="13"/>
  <c r="K303" i="13"/>
  <c r="J303" i="13"/>
  <c r="K302" i="13"/>
  <c r="J302" i="13"/>
  <c r="K301" i="13"/>
  <c r="J301" i="13"/>
  <c r="K300" i="13"/>
  <c r="J300" i="13"/>
  <c r="K299" i="13"/>
  <c r="J299" i="13"/>
  <c r="K298" i="13"/>
  <c r="J298" i="13"/>
  <c r="K297" i="13"/>
  <c r="J297" i="13"/>
  <c r="K296" i="13"/>
  <c r="J296" i="13"/>
  <c r="K295" i="13"/>
  <c r="J295" i="13"/>
  <c r="K294" i="13"/>
  <c r="J294" i="13"/>
  <c r="K293" i="13"/>
  <c r="J293" i="13"/>
  <c r="K292" i="13"/>
  <c r="J292" i="13"/>
  <c r="K291" i="13"/>
  <c r="J291" i="13"/>
  <c r="K290" i="13"/>
  <c r="J290" i="13"/>
  <c r="K289" i="13"/>
  <c r="J289" i="13"/>
  <c r="K288" i="13"/>
  <c r="J288" i="13"/>
  <c r="K287" i="13"/>
  <c r="J287" i="13"/>
  <c r="K286" i="13"/>
  <c r="J286" i="13"/>
  <c r="K285" i="13"/>
  <c r="J285" i="13"/>
  <c r="K284" i="13"/>
  <c r="J284" i="13"/>
  <c r="K283" i="13"/>
  <c r="J283" i="13"/>
  <c r="K282" i="13"/>
  <c r="J282" i="13"/>
  <c r="K281" i="13"/>
  <c r="J281" i="13"/>
  <c r="K280" i="13"/>
  <c r="J280" i="13"/>
  <c r="K279" i="13"/>
  <c r="J279" i="13"/>
  <c r="K278" i="13"/>
  <c r="J278" i="13"/>
  <c r="K277" i="13"/>
  <c r="J277" i="13"/>
  <c r="K276" i="13"/>
  <c r="J276" i="13"/>
  <c r="K275" i="13"/>
  <c r="J275" i="13"/>
  <c r="K274" i="13"/>
  <c r="J274" i="13"/>
  <c r="K273" i="13"/>
  <c r="J273" i="13"/>
  <c r="K272" i="13"/>
  <c r="J272" i="13"/>
  <c r="K271" i="13"/>
  <c r="J271" i="13"/>
  <c r="K270" i="13"/>
  <c r="J270" i="13"/>
  <c r="K269" i="13"/>
  <c r="J269" i="13"/>
  <c r="K268" i="13"/>
  <c r="J268" i="13"/>
  <c r="K267" i="13"/>
  <c r="J267" i="13"/>
  <c r="K266" i="13"/>
  <c r="J266" i="13"/>
  <c r="K265" i="13"/>
  <c r="J265" i="13"/>
  <c r="K264" i="13"/>
  <c r="J264" i="13"/>
  <c r="K263" i="13"/>
  <c r="J263" i="13"/>
  <c r="K262" i="13"/>
  <c r="J262" i="13"/>
  <c r="K261" i="13"/>
  <c r="J261" i="13"/>
  <c r="K260" i="13"/>
  <c r="J260" i="13"/>
  <c r="K259" i="13"/>
  <c r="J259" i="13"/>
  <c r="K258" i="13"/>
  <c r="J258" i="13"/>
  <c r="K257" i="13"/>
  <c r="J257" i="13"/>
  <c r="K256" i="13"/>
  <c r="J256" i="13"/>
  <c r="K255" i="13"/>
  <c r="J255" i="13"/>
  <c r="K254" i="13"/>
  <c r="J254" i="13"/>
  <c r="K253" i="13"/>
  <c r="J253" i="13"/>
  <c r="K252" i="13"/>
  <c r="J252" i="13"/>
  <c r="K251" i="13"/>
  <c r="J251" i="13"/>
  <c r="K250" i="13"/>
  <c r="J250" i="13"/>
  <c r="K249" i="13"/>
  <c r="J249" i="13"/>
  <c r="K248" i="13"/>
  <c r="J248" i="13"/>
  <c r="K247" i="13"/>
  <c r="J247" i="13"/>
  <c r="K246" i="13"/>
  <c r="J246" i="13"/>
  <c r="K245" i="13"/>
  <c r="J245" i="13"/>
  <c r="K244" i="13"/>
  <c r="J244" i="13"/>
  <c r="K243" i="13"/>
  <c r="J243" i="13"/>
  <c r="K242" i="13"/>
  <c r="J242" i="13"/>
  <c r="K241" i="13"/>
  <c r="J241" i="13"/>
  <c r="K240" i="13"/>
  <c r="J240" i="13"/>
  <c r="K239" i="13"/>
  <c r="J239" i="13"/>
  <c r="K238" i="13"/>
  <c r="J238" i="13"/>
  <c r="K237" i="13"/>
  <c r="J237" i="13"/>
  <c r="K236" i="13"/>
  <c r="J236" i="13"/>
  <c r="K235" i="13"/>
  <c r="J235" i="13"/>
  <c r="K234" i="13"/>
  <c r="J234" i="13"/>
  <c r="K233" i="13"/>
  <c r="J233" i="13"/>
  <c r="K232" i="13"/>
  <c r="J232" i="13"/>
  <c r="K231" i="13"/>
  <c r="J231" i="13"/>
  <c r="K230" i="13"/>
  <c r="J230" i="13"/>
  <c r="K229" i="13"/>
  <c r="J229" i="13"/>
  <c r="K228" i="13"/>
  <c r="J228" i="13"/>
  <c r="K227" i="13"/>
  <c r="J227" i="13"/>
  <c r="K226" i="13"/>
  <c r="J226" i="13"/>
  <c r="K225" i="13"/>
  <c r="J225" i="13"/>
  <c r="K224" i="13"/>
  <c r="J224" i="13"/>
  <c r="K223" i="13"/>
  <c r="J223" i="13"/>
  <c r="K222" i="13"/>
  <c r="J222" i="13"/>
  <c r="K221" i="13"/>
  <c r="J221" i="13"/>
  <c r="K220" i="13"/>
  <c r="J220" i="13"/>
  <c r="K219" i="13"/>
  <c r="J219" i="13"/>
  <c r="K218" i="13"/>
  <c r="J218" i="13"/>
  <c r="K217" i="13"/>
  <c r="J217" i="13"/>
  <c r="K216" i="13"/>
  <c r="J216" i="13"/>
  <c r="K215" i="13"/>
  <c r="J215" i="13"/>
  <c r="K214" i="13"/>
  <c r="J214" i="13"/>
  <c r="K213" i="13"/>
  <c r="J213" i="13"/>
  <c r="K212" i="13"/>
  <c r="J212" i="13"/>
  <c r="K211" i="13"/>
  <c r="J211" i="13"/>
  <c r="K210" i="13"/>
  <c r="J210" i="13"/>
  <c r="K209" i="13"/>
  <c r="J209" i="13"/>
  <c r="K208" i="13"/>
  <c r="J208" i="13"/>
  <c r="K207" i="13"/>
  <c r="J207" i="13"/>
  <c r="K206" i="13"/>
  <c r="J206" i="13"/>
  <c r="K205" i="13"/>
  <c r="J205" i="13"/>
  <c r="K204" i="13"/>
  <c r="J204" i="13"/>
  <c r="K203" i="13"/>
  <c r="J203" i="13"/>
  <c r="K202" i="13"/>
  <c r="J202" i="13"/>
  <c r="K201" i="13"/>
  <c r="J201" i="13"/>
  <c r="K200" i="13"/>
  <c r="J200" i="13"/>
  <c r="K199" i="13"/>
  <c r="J199" i="13"/>
  <c r="K198" i="13"/>
  <c r="J198" i="13"/>
  <c r="K197" i="13"/>
  <c r="J197" i="13"/>
  <c r="K196" i="13"/>
  <c r="J196" i="13"/>
  <c r="K195" i="13"/>
  <c r="J195" i="13"/>
  <c r="K194" i="13"/>
  <c r="J194" i="13"/>
  <c r="K193" i="13"/>
  <c r="J193" i="13"/>
  <c r="K192" i="13"/>
  <c r="J192" i="13"/>
  <c r="K191" i="13"/>
  <c r="J191" i="13"/>
  <c r="K190" i="13"/>
  <c r="J190" i="13"/>
  <c r="K189" i="13"/>
  <c r="J189" i="13"/>
  <c r="K188" i="13"/>
  <c r="J188" i="13"/>
  <c r="K187" i="13"/>
  <c r="J187" i="13"/>
  <c r="K186" i="13"/>
  <c r="J186" i="13"/>
  <c r="K185" i="13"/>
  <c r="J185" i="13"/>
  <c r="K184" i="13"/>
  <c r="J184" i="13"/>
  <c r="K183" i="13"/>
  <c r="J183" i="13"/>
  <c r="K182" i="13"/>
  <c r="J182" i="13"/>
  <c r="K181" i="13"/>
  <c r="J181" i="13"/>
  <c r="K180" i="13"/>
  <c r="J180" i="13"/>
  <c r="K179" i="13"/>
  <c r="J179" i="13"/>
  <c r="K178" i="13"/>
  <c r="J178" i="13"/>
  <c r="K177" i="13"/>
  <c r="J177" i="13"/>
  <c r="K176" i="13"/>
  <c r="J176" i="13"/>
  <c r="K175" i="13"/>
  <c r="J175" i="13"/>
  <c r="K174" i="13"/>
  <c r="J174" i="13"/>
  <c r="K173" i="13"/>
  <c r="J173" i="13"/>
  <c r="K172" i="13"/>
  <c r="J172" i="13"/>
  <c r="K171" i="13"/>
  <c r="J171" i="13"/>
  <c r="K170" i="13"/>
  <c r="J170" i="13"/>
  <c r="K169" i="13"/>
  <c r="J169" i="13"/>
  <c r="K168" i="13"/>
  <c r="J168" i="13"/>
  <c r="K167" i="13"/>
  <c r="J167" i="13"/>
  <c r="K166" i="13"/>
  <c r="J166" i="13"/>
  <c r="K165" i="13"/>
  <c r="J165" i="13"/>
  <c r="K164" i="13"/>
  <c r="J164" i="13"/>
  <c r="K163" i="13"/>
  <c r="J163" i="13"/>
  <c r="K162" i="13"/>
  <c r="J162" i="13"/>
  <c r="K161" i="13"/>
  <c r="J161" i="13"/>
  <c r="K160" i="13"/>
  <c r="J160" i="13"/>
  <c r="K159" i="13"/>
  <c r="J159" i="13"/>
  <c r="K158" i="13"/>
  <c r="J158" i="13"/>
  <c r="K157" i="13"/>
  <c r="J157" i="13"/>
  <c r="K156" i="13"/>
  <c r="J156" i="13"/>
  <c r="K155" i="13"/>
  <c r="J155" i="13"/>
  <c r="K154" i="13"/>
  <c r="J154" i="13"/>
  <c r="K153" i="13"/>
  <c r="J153" i="13"/>
  <c r="K152" i="13"/>
  <c r="J152" i="13"/>
  <c r="K151" i="13"/>
  <c r="J151" i="13"/>
  <c r="K150" i="13"/>
  <c r="J150" i="13"/>
  <c r="K149" i="13"/>
  <c r="J149" i="13"/>
  <c r="K148" i="13"/>
  <c r="J148" i="13"/>
  <c r="K147" i="13"/>
  <c r="J147" i="13"/>
  <c r="K146" i="13"/>
  <c r="J146" i="13"/>
  <c r="K145" i="13"/>
  <c r="J145" i="13"/>
  <c r="K144" i="13"/>
  <c r="J144" i="13"/>
  <c r="K143" i="13"/>
  <c r="J143" i="13"/>
  <c r="K142" i="13"/>
  <c r="J142" i="13"/>
  <c r="K141" i="13"/>
  <c r="J141" i="13"/>
  <c r="K140" i="13"/>
  <c r="J140" i="13"/>
  <c r="K139" i="13"/>
  <c r="J139" i="13"/>
  <c r="K138" i="13"/>
  <c r="J138" i="13"/>
  <c r="K137" i="13"/>
  <c r="J137" i="13"/>
  <c r="K136" i="13"/>
  <c r="J136" i="13"/>
  <c r="K135" i="13"/>
  <c r="J135" i="13"/>
  <c r="K134" i="13"/>
  <c r="J134" i="13"/>
  <c r="K133" i="13"/>
  <c r="J133" i="13"/>
  <c r="K132" i="13"/>
  <c r="J132" i="13"/>
  <c r="K131" i="13"/>
  <c r="J131" i="13"/>
  <c r="K130" i="13"/>
  <c r="J130" i="13"/>
  <c r="K129" i="13"/>
  <c r="J129" i="13"/>
  <c r="K128" i="13"/>
  <c r="J128" i="13"/>
  <c r="K127" i="13"/>
  <c r="J127" i="13"/>
  <c r="K126" i="13"/>
  <c r="J126" i="13"/>
  <c r="K125" i="13"/>
  <c r="J125" i="13"/>
  <c r="K124" i="13"/>
  <c r="J124" i="13"/>
  <c r="K123" i="13"/>
  <c r="J123" i="13"/>
  <c r="K122" i="13"/>
  <c r="J122" i="13"/>
  <c r="K121" i="13"/>
  <c r="J121" i="13"/>
  <c r="K120" i="13"/>
  <c r="J120" i="13"/>
  <c r="K119" i="13"/>
  <c r="J119" i="13"/>
  <c r="K118" i="13"/>
  <c r="J118" i="13"/>
  <c r="K117" i="13"/>
  <c r="J117" i="13"/>
  <c r="K116" i="13"/>
  <c r="J116" i="13"/>
  <c r="K115" i="13"/>
  <c r="J115" i="13"/>
  <c r="K114" i="13"/>
  <c r="J114" i="13"/>
  <c r="K113" i="13"/>
  <c r="J113" i="13"/>
  <c r="K112" i="13"/>
  <c r="J112" i="13"/>
  <c r="K111" i="13"/>
  <c r="J111" i="13"/>
  <c r="K110" i="13"/>
  <c r="J110" i="13"/>
  <c r="K109" i="13"/>
  <c r="J109" i="13"/>
  <c r="K108" i="13"/>
  <c r="J108" i="13"/>
  <c r="K107" i="13"/>
  <c r="J107" i="13"/>
  <c r="K106" i="13"/>
  <c r="J106" i="13"/>
  <c r="K105" i="13"/>
  <c r="J105" i="13"/>
  <c r="K104" i="13"/>
  <c r="J104" i="13"/>
  <c r="K103" i="13"/>
  <c r="J103" i="13"/>
  <c r="K102" i="13"/>
  <c r="J102" i="13"/>
  <c r="K101" i="13"/>
  <c r="J101" i="13"/>
  <c r="K100" i="13"/>
  <c r="J100" i="13"/>
  <c r="K99" i="13"/>
  <c r="J99" i="13"/>
  <c r="K98" i="13"/>
  <c r="J98" i="13"/>
  <c r="K97" i="13"/>
  <c r="J97" i="13"/>
  <c r="K96" i="13"/>
  <c r="J96" i="13"/>
  <c r="K95" i="13"/>
  <c r="J95" i="13"/>
  <c r="K94" i="13"/>
  <c r="J94" i="13"/>
  <c r="K93" i="13"/>
  <c r="J93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K7" i="13"/>
  <c r="J7" i="13"/>
  <c r="K6" i="13"/>
  <c r="J6" i="13"/>
  <c r="K3" i="13"/>
  <c r="I3" i="13"/>
  <c r="H3" i="13"/>
  <c r="K498" i="69"/>
  <c r="J498" i="69"/>
  <c r="K497" i="69"/>
  <c r="J497" i="69"/>
  <c r="K496" i="69"/>
  <c r="J496" i="69"/>
  <c r="K495" i="69"/>
  <c r="J495" i="69"/>
  <c r="K494" i="69"/>
  <c r="J494" i="69"/>
  <c r="K493" i="69"/>
  <c r="J493" i="69"/>
  <c r="K492" i="69"/>
  <c r="J492" i="69"/>
  <c r="K491" i="69"/>
  <c r="J491" i="69"/>
  <c r="K490" i="69"/>
  <c r="J490" i="69"/>
  <c r="K489" i="69"/>
  <c r="J489" i="69"/>
  <c r="K488" i="69"/>
  <c r="J488" i="69"/>
  <c r="K487" i="69"/>
  <c r="J487" i="69"/>
  <c r="K486" i="69"/>
  <c r="J486" i="69"/>
  <c r="K485" i="69"/>
  <c r="J485" i="69"/>
  <c r="K484" i="69"/>
  <c r="J484" i="69"/>
  <c r="K483" i="69"/>
  <c r="J483" i="69"/>
  <c r="K482" i="69"/>
  <c r="J482" i="69"/>
  <c r="K481" i="69"/>
  <c r="J481" i="69"/>
  <c r="K480" i="69"/>
  <c r="J480" i="69"/>
  <c r="K479" i="69"/>
  <c r="J479" i="69"/>
  <c r="K478" i="69"/>
  <c r="J478" i="69"/>
  <c r="K477" i="69"/>
  <c r="J477" i="69"/>
  <c r="K476" i="69"/>
  <c r="J476" i="69"/>
  <c r="K475" i="69"/>
  <c r="J475" i="69"/>
  <c r="K474" i="69"/>
  <c r="J474" i="69"/>
  <c r="K473" i="69"/>
  <c r="J473" i="69"/>
  <c r="K472" i="69"/>
  <c r="J472" i="69"/>
  <c r="K471" i="69"/>
  <c r="J471" i="69"/>
  <c r="K470" i="69"/>
  <c r="J470" i="69"/>
  <c r="K469" i="69"/>
  <c r="J469" i="69"/>
  <c r="K468" i="69"/>
  <c r="J468" i="69"/>
  <c r="K467" i="69"/>
  <c r="J467" i="69"/>
  <c r="K466" i="69"/>
  <c r="J466" i="69"/>
  <c r="K465" i="69"/>
  <c r="J465" i="69"/>
  <c r="K464" i="69"/>
  <c r="J464" i="69"/>
  <c r="K463" i="69"/>
  <c r="J463" i="69"/>
  <c r="K462" i="69"/>
  <c r="J462" i="69"/>
  <c r="K461" i="69"/>
  <c r="J461" i="69"/>
  <c r="K460" i="69"/>
  <c r="J460" i="69"/>
  <c r="K459" i="69"/>
  <c r="J459" i="69"/>
  <c r="K458" i="69"/>
  <c r="J458" i="69"/>
  <c r="K457" i="69"/>
  <c r="J457" i="69"/>
  <c r="K456" i="69"/>
  <c r="J456" i="69"/>
  <c r="K455" i="69"/>
  <c r="J455" i="69"/>
  <c r="K454" i="69"/>
  <c r="J454" i="69"/>
  <c r="K453" i="69"/>
  <c r="J453" i="69"/>
  <c r="K452" i="69"/>
  <c r="J452" i="69"/>
  <c r="K451" i="69"/>
  <c r="J451" i="69"/>
  <c r="K450" i="69"/>
  <c r="J450" i="69"/>
  <c r="K449" i="69"/>
  <c r="J449" i="69"/>
  <c r="K448" i="69"/>
  <c r="J448" i="69"/>
  <c r="K447" i="69"/>
  <c r="J447" i="69"/>
  <c r="K446" i="69"/>
  <c r="J446" i="69"/>
  <c r="K445" i="69"/>
  <c r="J445" i="69"/>
  <c r="K444" i="69"/>
  <c r="J444" i="69"/>
  <c r="K443" i="69"/>
  <c r="J443" i="69"/>
  <c r="K442" i="69"/>
  <c r="J442" i="69"/>
  <c r="K441" i="69"/>
  <c r="J441" i="69"/>
  <c r="K440" i="69"/>
  <c r="J440" i="69"/>
  <c r="K439" i="69"/>
  <c r="J439" i="69"/>
  <c r="K438" i="69"/>
  <c r="J438" i="69"/>
  <c r="K437" i="69"/>
  <c r="J437" i="69"/>
  <c r="K436" i="69"/>
  <c r="J436" i="69"/>
  <c r="K435" i="69"/>
  <c r="J435" i="69"/>
  <c r="K434" i="69"/>
  <c r="J434" i="69"/>
  <c r="K433" i="69"/>
  <c r="J433" i="69"/>
  <c r="K432" i="69"/>
  <c r="J432" i="69"/>
  <c r="K431" i="69"/>
  <c r="J431" i="69"/>
  <c r="K430" i="69"/>
  <c r="J430" i="69"/>
  <c r="K429" i="69"/>
  <c r="J429" i="69"/>
  <c r="K428" i="69"/>
  <c r="J428" i="69"/>
  <c r="K427" i="69"/>
  <c r="J427" i="69"/>
  <c r="K426" i="69"/>
  <c r="J426" i="69"/>
  <c r="K425" i="69"/>
  <c r="J425" i="69"/>
  <c r="K424" i="69"/>
  <c r="J424" i="69"/>
  <c r="K423" i="69"/>
  <c r="J423" i="69"/>
  <c r="K422" i="69"/>
  <c r="J422" i="69"/>
  <c r="K421" i="69"/>
  <c r="J421" i="69"/>
  <c r="K420" i="69"/>
  <c r="J420" i="69"/>
  <c r="K419" i="69"/>
  <c r="J419" i="69"/>
  <c r="K418" i="69"/>
  <c r="J418" i="69"/>
  <c r="K417" i="69"/>
  <c r="J417" i="69"/>
  <c r="K416" i="69"/>
  <c r="J416" i="69"/>
  <c r="K415" i="69"/>
  <c r="J415" i="69"/>
  <c r="K414" i="69"/>
  <c r="J414" i="69"/>
  <c r="K413" i="69"/>
  <c r="J413" i="69"/>
  <c r="K412" i="69"/>
  <c r="J412" i="69"/>
  <c r="K411" i="69"/>
  <c r="J411" i="69"/>
  <c r="K410" i="69"/>
  <c r="J410" i="69"/>
  <c r="K409" i="69"/>
  <c r="J409" i="69"/>
  <c r="K408" i="69"/>
  <c r="J408" i="69"/>
  <c r="K407" i="69"/>
  <c r="J407" i="69"/>
  <c r="K406" i="69"/>
  <c r="J406" i="69"/>
  <c r="K405" i="69"/>
  <c r="J405" i="69"/>
  <c r="K404" i="69"/>
  <c r="J404" i="69"/>
  <c r="K403" i="69"/>
  <c r="J403" i="69"/>
  <c r="K402" i="69"/>
  <c r="J402" i="69"/>
  <c r="K401" i="69"/>
  <c r="J401" i="69"/>
  <c r="K400" i="69"/>
  <c r="J400" i="69"/>
  <c r="K399" i="69"/>
  <c r="J399" i="69"/>
  <c r="K398" i="69"/>
  <c r="J398" i="69"/>
  <c r="K397" i="69"/>
  <c r="J397" i="69"/>
  <c r="K396" i="69"/>
  <c r="J396" i="69"/>
  <c r="K395" i="69"/>
  <c r="J395" i="69"/>
  <c r="K394" i="69"/>
  <c r="J394" i="69"/>
  <c r="K393" i="69"/>
  <c r="J393" i="69"/>
  <c r="K392" i="69"/>
  <c r="J392" i="69"/>
  <c r="K391" i="69"/>
  <c r="J391" i="69"/>
  <c r="K390" i="69"/>
  <c r="J390" i="69"/>
  <c r="K389" i="69"/>
  <c r="J389" i="69"/>
  <c r="K388" i="69"/>
  <c r="J388" i="69"/>
  <c r="K387" i="69"/>
  <c r="J387" i="69"/>
  <c r="K386" i="69"/>
  <c r="J386" i="69"/>
  <c r="K385" i="69"/>
  <c r="J385" i="69"/>
  <c r="K384" i="69"/>
  <c r="J384" i="69"/>
  <c r="K383" i="69"/>
  <c r="J383" i="69"/>
  <c r="K382" i="69"/>
  <c r="J382" i="69"/>
  <c r="K381" i="69"/>
  <c r="J381" i="69"/>
  <c r="K380" i="69"/>
  <c r="J380" i="69"/>
  <c r="K379" i="69"/>
  <c r="J379" i="69"/>
  <c r="K378" i="69"/>
  <c r="J378" i="69"/>
  <c r="K377" i="69"/>
  <c r="J377" i="69"/>
  <c r="K376" i="69"/>
  <c r="J376" i="69"/>
  <c r="K375" i="69"/>
  <c r="J375" i="69"/>
  <c r="K374" i="69"/>
  <c r="J374" i="69"/>
  <c r="K373" i="69"/>
  <c r="J373" i="69"/>
  <c r="K372" i="69"/>
  <c r="J372" i="69"/>
  <c r="K371" i="69"/>
  <c r="J371" i="69"/>
  <c r="K370" i="69"/>
  <c r="J370" i="69"/>
  <c r="K369" i="69"/>
  <c r="J369" i="69"/>
  <c r="K368" i="69"/>
  <c r="J368" i="69"/>
  <c r="K367" i="69"/>
  <c r="J367" i="69"/>
  <c r="K366" i="69"/>
  <c r="J366" i="69"/>
  <c r="K365" i="69"/>
  <c r="J365" i="69"/>
  <c r="K364" i="69"/>
  <c r="J364" i="69"/>
  <c r="K363" i="69"/>
  <c r="J363" i="69"/>
  <c r="K362" i="69"/>
  <c r="J362" i="69"/>
  <c r="K361" i="69"/>
  <c r="J361" i="69"/>
  <c r="K360" i="69"/>
  <c r="J360" i="69"/>
  <c r="K359" i="69"/>
  <c r="J359" i="69"/>
  <c r="K358" i="69"/>
  <c r="J358" i="69"/>
  <c r="K357" i="69"/>
  <c r="J357" i="69"/>
  <c r="K356" i="69"/>
  <c r="J356" i="69"/>
  <c r="K355" i="69"/>
  <c r="J355" i="69"/>
  <c r="K354" i="69"/>
  <c r="J354" i="69"/>
  <c r="K353" i="69"/>
  <c r="J353" i="69"/>
  <c r="K352" i="69"/>
  <c r="J352" i="69"/>
  <c r="K351" i="69"/>
  <c r="J351" i="69"/>
  <c r="K350" i="69"/>
  <c r="J350" i="69"/>
  <c r="K349" i="69"/>
  <c r="J349" i="69"/>
  <c r="K348" i="69"/>
  <c r="J348" i="69"/>
  <c r="K347" i="69"/>
  <c r="J347" i="69"/>
  <c r="K346" i="69"/>
  <c r="J346" i="69"/>
  <c r="K345" i="69"/>
  <c r="J345" i="69"/>
  <c r="K344" i="69"/>
  <c r="J344" i="69"/>
  <c r="K343" i="69"/>
  <c r="J343" i="69"/>
  <c r="K342" i="69"/>
  <c r="J342" i="69"/>
  <c r="K341" i="69"/>
  <c r="J341" i="69"/>
  <c r="K340" i="69"/>
  <c r="J340" i="69"/>
  <c r="K339" i="69"/>
  <c r="J339" i="69"/>
  <c r="K338" i="69"/>
  <c r="J338" i="69"/>
  <c r="K337" i="69"/>
  <c r="J337" i="69"/>
  <c r="K336" i="69"/>
  <c r="J336" i="69"/>
  <c r="K335" i="69"/>
  <c r="J335" i="69"/>
  <c r="K334" i="69"/>
  <c r="J334" i="69"/>
  <c r="K333" i="69"/>
  <c r="J333" i="69"/>
  <c r="K332" i="69"/>
  <c r="J332" i="69"/>
  <c r="K331" i="69"/>
  <c r="J331" i="69"/>
  <c r="K330" i="69"/>
  <c r="J330" i="69"/>
  <c r="K329" i="69"/>
  <c r="J329" i="69"/>
  <c r="K328" i="69"/>
  <c r="J328" i="69"/>
  <c r="K327" i="69"/>
  <c r="J327" i="69"/>
  <c r="K326" i="69"/>
  <c r="J326" i="69"/>
  <c r="K325" i="69"/>
  <c r="J325" i="69"/>
  <c r="K324" i="69"/>
  <c r="J324" i="69"/>
  <c r="K323" i="69"/>
  <c r="J323" i="69"/>
  <c r="K322" i="69"/>
  <c r="J322" i="69"/>
  <c r="K321" i="69"/>
  <c r="J321" i="69"/>
  <c r="K320" i="69"/>
  <c r="J320" i="69"/>
  <c r="K319" i="69"/>
  <c r="J319" i="69"/>
  <c r="K318" i="69"/>
  <c r="J318" i="69"/>
  <c r="K317" i="69"/>
  <c r="J317" i="69"/>
  <c r="K316" i="69"/>
  <c r="J316" i="69"/>
  <c r="K315" i="69"/>
  <c r="J315" i="69"/>
  <c r="K314" i="69"/>
  <c r="J314" i="69"/>
  <c r="K313" i="69"/>
  <c r="J313" i="69"/>
  <c r="K312" i="69"/>
  <c r="J312" i="69"/>
  <c r="K311" i="69"/>
  <c r="J311" i="69"/>
  <c r="K310" i="69"/>
  <c r="J310" i="69"/>
  <c r="K309" i="69"/>
  <c r="J309" i="69"/>
  <c r="K308" i="69"/>
  <c r="J308" i="69"/>
  <c r="K307" i="69"/>
  <c r="J307" i="69"/>
  <c r="K306" i="69"/>
  <c r="J306" i="69"/>
  <c r="K305" i="69"/>
  <c r="J305" i="69"/>
  <c r="K304" i="69"/>
  <c r="J304" i="69"/>
  <c r="K303" i="69"/>
  <c r="J303" i="69"/>
  <c r="K302" i="69"/>
  <c r="J302" i="69"/>
  <c r="K301" i="69"/>
  <c r="J301" i="69"/>
  <c r="K300" i="69"/>
  <c r="J300" i="69"/>
  <c r="K299" i="69"/>
  <c r="J299" i="69"/>
  <c r="K298" i="69"/>
  <c r="J298" i="69"/>
  <c r="K297" i="69"/>
  <c r="J297" i="69"/>
  <c r="K296" i="69"/>
  <c r="J296" i="69"/>
  <c r="K295" i="69"/>
  <c r="J295" i="69"/>
  <c r="K294" i="69"/>
  <c r="J294" i="69"/>
  <c r="K293" i="69"/>
  <c r="J293" i="69"/>
  <c r="K292" i="69"/>
  <c r="J292" i="69"/>
  <c r="K291" i="69"/>
  <c r="J291" i="69"/>
  <c r="K290" i="69"/>
  <c r="J290" i="69"/>
  <c r="K289" i="69"/>
  <c r="J289" i="69"/>
  <c r="K288" i="69"/>
  <c r="J288" i="69"/>
  <c r="K287" i="69"/>
  <c r="J287" i="69"/>
  <c r="K286" i="69"/>
  <c r="J286" i="69"/>
  <c r="K285" i="69"/>
  <c r="J285" i="69"/>
  <c r="K284" i="69"/>
  <c r="J284" i="69"/>
  <c r="K283" i="69"/>
  <c r="J283" i="69"/>
  <c r="K282" i="69"/>
  <c r="J282" i="69"/>
  <c r="K281" i="69"/>
  <c r="J281" i="69"/>
  <c r="K280" i="69"/>
  <c r="J280" i="69"/>
  <c r="K279" i="69"/>
  <c r="J279" i="69"/>
  <c r="K278" i="69"/>
  <c r="J278" i="69"/>
  <c r="K277" i="69"/>
  <c r="J277" i="69"/>
  <c r="K276" i="69"/>
  <c r="J276" i="69"/>
  <c r="K275" i="69"/>
  <c r="J275" i="69"/>
  <c r="K274" i="69"/>
  <c r="J274" i="69"/>
  <c r="K273" i="69"/>
  <c r="J273" i="69"/>
  <c r="K272" i="69"/>
  <c r="J272" i="69"/>
  <c r="K271" i="69"/>
  <c r="J271" i="69"/>
  <c r="K270" i="69"/>
  <c r="J270" i="69"/>
  <c r="K269" i="69"/>
  <c r="J269" i="69"/>
  <c r="K268" i="69"/>
  <c r="J268" i="69"/>
  <c r="K267" i="69"/>
  <c r="J267" i="69"/>
  <c r="K266" i="69"/>
  <c r="J266" i="69"/>
  <c r="K265" i="69"/>
  <c r="J265" i="69"/>
  <c r="K264" i="69"/>
  <c r="J264" i="69"/>
  <c r="K263" i="69"/>
  <c r="J263" i="69"/>
  <c r="K262" i="69"/>
  <c r="J262" i="69"/>
  <c r="K261" i="69"/>
  <c r="J261" i="69"/>
  <c r="K260" i="69"/>
  <c r="J260" i="69"/>
  <c r="K259" i="69"/>
  <c r="J259" i="69"/>
  <c r="K258" i="69"/>
  <c r="J258" i="69"/>
  <c r="K257" i="69"/>
  <c r="J257" i="69"/>
  <c r="K256" i="69"/>
  <c r="J256" i="69"/>
  <c r="K255" i="69"/>
  <c r="J255" i="69"/>
  <c r="K254" i="69"/>
  <c r="J254" i="69"/>
  <c r="K253" i="69"/>
  <c r="J253" i="69"/>
  <c r="K252" i="69"/>
  <c r="J252" i="69"/>
  <c r="K251" i="69"/>
  <c r="J251" i="69"/>
  <c r="K250" i="69"/>
  <c r="J250" i="69"/>
  <c r="K249" i="69"/>
  <c r="J249" i="69"/>
  <c r="K248" i="69"/>
  <c r="J248" i="69"/>
  <c r="K247" i="69"/>
  <c r="J247" i="69"/>
  <c r="K246" i="69"/>
  <c r="J246" i="69"/>
  <c r="K245" i="69"/>
  <c r="J245" i="69"/>
  <c r="K244" i="69"/>
  <c r="J244" i="69"/>
  <c r="K243" i="69"/>
  <c r="J243" i="69"/>
  <c r="K242" i="69"/>
  <c r="J242" i="69"/>
  <c r="K241" i="69"/>
  <c r="J241" i="69"/>
  <c r="K240" i="69"/>
  <c r="J240" i="69"/>
  <c r="K239" i="69"/>
  <c r="J239" i="69"/>
  <c r="K238" i="69"/>
  <c r="J238" i="69"/>
  <c r="K237" i="69"/>
  <c r="J237" i="69"/>
  <c r="K236" i="69"/>
  <c r="J236" i="69"/>
  <c r="K235" i="69"/>
  <c r="J235" i="69"/>
  <c r="K234" i="69"/>
  <c r="J234" i="69"/>
  <c r="K233" i="69"/>
  <c r="J233" i="69"/>
  <c r="K232" i="69"/>
  <c r="J232" i="69"/>
  <c r="K231" i="69"/>
  <c r="J231" i="69"/>
  <c r="K230" i="69"/>
  <c r="J230" i="69"/>
  <c r="K229" i="69"/>
  <c r="J229" i="69"/>
  <c r="K228" i="69"/>
  <c r="J228" i="69"/>
  <c r="K227" i="69"/>
  <c r="J227" i="69"/>
  <c r="K226" i="69"/>
  <c r="J226" i="69"/>
  <c r="K225" i="69"/>
  <c r="J225" i="69"/>
  <c r="K224" i="69"/>
  <c r="J224" i="69"/>
  <c r="K223" i="69"/>
  <c r="J223" i="69"/>
  <c r="K222" i="69"/>
  <c r="J222" i="69"/>
  <c r="K221" i="69"/>
  <c r="J221" i="69"/>
  <c r="K220" i="69"/>
  <c r="J220" i="69"/>
  <c r="K219" i="69"/>
  <c r="J219" i="69"/>
  <c r="K218" i="69"/>
  <c r="J218" i="69"/>
  <c r="K217" i="69"/>
  <c r="J217" i="69"/>
  <c r="K216" i="69"/>
  <c r="J216" i="69"/>
  <c r="K215" i="69"/>
  <c r="J215" i="69"/>
  <c r="K214" i="69"/>
  <c r="J214" i="69"/>
  <c r="K213" i="69"/>
  <c r="J213" i="69"/>
  <c r="K212" i="69"/>
  <c r="J212" i="69"/>
  <c r="K211" i="69"/>
  <c r="J211" i="69"/>
  <c r="K210" i="69"/>
  <c r="J210" i="69"/>
  <c r="K209" i="69"/>
  <c r="J209" i="69"/>
  <c r="K208" i="69"/>
  <c r="J208" i="69"/>
  <c r="K207" i="69"/>
  <c r="J207" i="69"/>
  <c r="K206" i="69"/>
  <c r="J206" i="69"/>
  <c r="K205" i="69"/>
  <c r="J205" i="69"/>
  <c r="K204" i="69"/>
  <c r="J204" i="69"/>
  <c r="K203" i="69"/>
  <c r="J203" i="69"/>
  <c r="K202" i="69"/>
  <c r="J202" i="69"/>
  <c r="K201" i="69"/>
  <c r="J201" i="69"/>
  <c r="K200" i="69"/>
  <c r="J200" i="69"/>
  <c r="K199" i="69"/>
  <c r="J199" i="69"/>
  <c r="K198" i="69"/>
  <c r="J198" i="69"/>
  <c r="K197" i="69"/>
  <c r="J197" i="69"/>
  <c r="K196" i="69"/>
  <c r="J196" i="69"/>
  <c r="K195" i="69"/>
  <c r="J195" i="69"/>
  <c r="K194" i="69"/>
  <c r="J194" i="69"/>
  <c r="K193" i="69"/>
  <c r="J193" i="69"/>
  <c r="K192" i="69"/>
  <c r="J192" i="69"/>
  <c r="K191" i="69"/>
  <c r="J191" i="69"/>
  <c r="K190" i="69"/>
  <c r="J190" i="69"/>
  <c r="K189" i="69"/>
  <c r="J189" i="69"/>
  <c r="K188" i="69"/>
  <c r="J188" i="69"/>
  <c r="K187" i="69"/>
  <c r="J187" i="69"/>
  <c r="K186" i="69"/>
  <c r="J186" i="69"/>
  <c r="K185" i="69"/>
  <c r="J185" i="69"/>
  <c r="K184" i="69"/>
  <c r="J184" i="69"/>
  <c r="K183" i="69"/>
  <c r="J183" i="69"/>
  <c r="K182" i="69"/>
  <c r="J182" i="69"/>
  <c r="K181" i="69"/>
  <c r="J181" i="69"/>
  <c r="K180" i="69"/>
  <c r="J180" i="69"/>
  <c r="K179" i="69"/>
  <c r="J179" i="69"/>
  <c r="K178" i="69"/>
  <c r="J178" i="69"/>
  <c r="K177" i="69"/>
  <c r="J177" i="69"/>
  <c r="K176" i="69"/>
  <c r="J176" i="69"/>
  <c r="K175" i="69"/>
  <c r="J175" i="69"/>
  <c r="K174" i="69"/>
  <c r="J174" i="69"/>
  <c r="K173" i="69"/>
  <c r="J173" i="69"/>
  <c r="K172" i="69"/>
  <c r="J172" i="69"/>
  <c r="K171" i="69"/>
  <c r="J171" i="69"/>
  <c r="K170" i="69"/>
  <c r="J170" i="69"/>
  <c r="K169" i="69"/>
  <c r="J169" i="69"/>
  <c r="K168" i="69"/>
  <c r="J168" i="69"/>
  <c r="K167" i="69"/>
  <c r="J167" i="69"/>
  <c r="K166" i="69"/>
  <c r="J166" i="69"/>
  <c r="K165" i="69"/>
  <c r="J165" i="69"/>
  <c r="K164" i="69"/>
  <c r="J164" i="69"/>
  <c r="K163" i="69"/>
  <c r="J163" i="69"/>
  <c r="K162" i="69"/>
  <c r="J162" i="69"/>
  <c r="K161" i="69"/>
  <c r="J161" i="69"/>
  <c r="K160" i="69"/>
  <c r="J160" i="69"/>
  <c r="K159" i="69"/>
  <c r="J159" i="69"/>
  <c r="K158" i="69"/>
  <c r="J158" i="69"/>
  <c r="K157" i="69"/>
  <c r="J157" i="69"/>
  <c r="K156" i="69"/>
  <c r="J156" i="69"/>
  <c r="K155" i="69"/>
  <c r="J155" i="69"/>
  <c r="K154" i="69"/>
  <c r="J154" i="69"/>
  <c r="K153" i="69"/>
  <c r="J153" i="69"/>
  <c r="K152" i="69"/>
  <c r="J152" i="69"/>
  <c r="K151" i="69"/>
  <c r="J151" i="69"/>
  <c r="K150" i="69"/>
  <c r="J150" i="69"/>
  <c r="K149" i="69"/>
  <c r="J149" i="69"/>
  <c r="K148" i="69"/>
  <c r="J148" i="69"/>
  <c r="K147" i="69"/>
  <c r="J147" i="69"/>
  <c r="K146" i="69"/>
  <c r="J146" i="69"/>
  <c r="K145" i="69"/>
  <c r="J145" i="69"/>
  <c r="K144" i="69"/>
  <c r="J144" i="69"/>
  <c r="K143" i="69"/>
  <c r="J143" i="69"/>
  <c r="K142" i="69"/>
  <c r="J142" i="69"/>
  <c r="K141" i="69"/>
  <c r="J141" i="69"/>
  <c r="K140" i="69"/>
  <c r="J140" i="69"/>
  <c r="K139" i="69"/>
  <c r="J139" i="69"/>
  <c r="K138" i="69"/>
  <c r="J138" i="69"/>
  <c r="K137" i="69"/>
  <c r="J137" i="69"/>
  <c r="K136" i="69"/>
  <c r="J136" i="69"/>
  <c r="K135" i="69"/>
  <c r="J135" i="69"/>
  <c r="K134" i="69"/>
  <c r="J134" i="69"/>
  <c r="K133" i="69"/>
  <c r="J133" i="69"/>
  <c r="K132" i="69"/>
  <c r="J132" i="69"/>
  <c r="K131" i="69"/>
  <c r="J131" i="69"/>
  <c r="K130" i="69"/>
  <c r="J130" i="69"/>
  <c r="K129" i="69"/>
  <c r="J129" i="69"/>
  <c r="K128" i="69"/>
  <c r="J128" i="69"/>
  <c r="K127" i="69"/>
  <c r="J127" i="69"/>
  <c r="K126" i="69"/>
  <c r="J126" i="69"/>
  <c r="K125" i="69"/>
  <c r="J125" i="69"/>
  <c r="K124" i="69"/>
  <c r="J124" i="69"/>
  <c r="K123" i="69"/>
  <c r="J123" i="69"/>
  <c r="K122" i="69"/>
  <c r="J122" i="69"/>
  <c r="K121" i="69"/>
  <c r="J121" i="69"/>
  <c r="K120" i="69"/>
  <c r="J120" i="69"/>
  <c r="K119" i="69"/>
  <c r="J119" i="69"/>
  <c r="K118" i="69"/>
  <c r="J118" i="69"/>
  <c r="K117" i="69"/>
  <c r="J117" i="69"/>
  <c r="K116" i="69"/>
  <c r="J116" i="69"/>
  <c r="K115" i="69"/>
  <c r="J115" i="69"/>
  <c r="K114" i="69"/>
  <c r="J114" i="69"/>
  <c r="K113" i="69"/>
  <c r="J113" i="69"/>
  <c r="K112" i="69"/>
  <c r="J112" i="69"/>
  <c r="K111" i="69"/>
  <c r="J111" i="69"/>
  <c r="K110" i="69"/>
  <c r="J110" i="69"/>
  <c r="K109" i="69"/>
  <c r="J109" i="69"/>
  <c r="K108" i="69"/>
  <c r="J108" i="69"/>
  <c r="K107" i="69"/>
  <c r="J107" i="69"/>
  <c r="K106" i="69"/>
  <c r="J106" i="69"/>
  <c r="K105" i="69"/>
  <c r="J105" i="69"/>
  <c r="K104" i="69"/>
  <c r="J104" i="69"/>
  <c r="K103" i="69"/>
  <c r="J103" i="69"/>
  <c r="K102" i="69"/>
  <c r="J102" i="69"/>
  <c r="K101" i="69"/>
  <c r="J101" i="69"/>
  <c r="K100" i="69"/>
  <c r="J100" i="69"/>
  <c r="K99" i="69"/>
  <c r="J99" i="69"/>
  <c r="K98" i="69"/>
  <c r="J98" i="69"/>
  <c r="K97" i="69"/>
  <c r="J97" i="69"/>
  <c r="K96" i="69"/>
  <c r="J96" i="69"/>
  <c r="K95" i="69"/>
  <c r="J95" i="69"/>
  <c r="K94" i="69"/>
  <c r="J94" i="69"/>
  <c r="K93" i="69"/>
  <c r="J93" i="69"/>
  <c r="K92" i="69"/>
  <c r="J92" i="69"/>
  <c r="K91" i="69"/>
  <c r="J91" i="69"/>
  <c r="K90" i="69"/>
  <c r="J90" i="69"/>
  <c r="K89" i="69"/>
  <c r="J89" i="69"/>
  <c r="K88" i="69"/>
  <c r="J88" i="69"/>
  <c r="K87" i="69"/>
  <c r="J87" i="69"/>
  <c r="K86" i="69"/>
  <c r="J86" i="69"/>
  <c r="K85" i="69"/>
  <c r="J85" i="69"/>
  <c r="K84" i="69"/>
  <c r="J84" i="69"/>
  <c r="K83" i="69"/>
  <c r="J83" i="69"/>
  <c r="K82" i="69"/>
  <c r="J82" i="69"/>
  <c r="K81" i="69"/>
  <c r="J81" i="69"/>
  <c r="K80" i="69"/>
  <c r="J80" i="69"/>
  <c r="K79" i="69"/>
  <c r="J79" i="69"/>
  <c r="K78" i="69"/>
  <c r="J78" i="69"/>
  <c r="K77" i="69"/>
  <c r="J77" i="69"/>
  <c r="K76" i="69"/>
  <c r="J76" i="69"/>
  <c r="K75" i="69"/>
  <c r="J75" i="69"/>
  <c r="K74" i="69"/>
  <c r="J74" i="69"/>
  <c r="K73" i="69"/>
  <c r="J73" i="69"/>
  <c r="K72" i="69"/>
  <c r="J72" i="69"/>
  <c r="K71" i="69"/>
  <c r="J71" i="69"/>
  <c r="K70" i="69"/>
  <c r="J70" i="69"/>
  <c r="K69" i="69"/>
  <c r="J69" i="69"/>
  <c r="K68" i="69"/>
  <c r="J68" i="69"/>
  <c r="K67" i="69"/>
  <c r="J67" i="69"/>
  <c r="K66" i="69"/>
  <c r="J66" i="69"/>
  <c r="K65" i="69"/>
  <c r="J65" i="69"/>
  <c r="K64" i="69"/>
  <c r="J64" i="69"/>
  <c r="K63" i="69"/>
  <c r="J63" i="69"/>
  <c r="K62" i="69"/>
  <c r="J62" i="69"/>
  <c r="K61" i="69"/>
  <c r="J61" i="69"/>
  <c r="K60" i="69"/>
  <c r="J60" i="69"/>
  <c r="K59" i="69"/>
  <c r="J59" i="69"/>
  <c r="K58" i="69"/>
  <c r="J58" i="69"/>
  <c r="K57" i="69"/>
  <c r="J57" i="69"/>
  <c r="K56" i="69"/>
  <c r="J56" i="69"/>
  <c r="K55" i="69"/>
  <c r="J55" i="69"/>
  <c r="K54" i="69"/>
  <c r="J54" i="69"/>
  <c r="K53" i="69"/>
  <c r="J53" i="69"/>
  <c r="K52" i="69"/>
  <c r="J52" i="69"/>
  <c r="K51" i="69"/>
  <c r="J51" i="69"/>
  <c r="K50" i="69"/>
  <c r="J50" i="69"/>
  <c r="K49" i="69"/>
  <c r="J49" i="69"/>
  <c r="K48" i="69"/>
  <c r="J48" i="69"/>
  <c r="K47" i="69"/>
  <c r="J47" i="69"/>
  <c r="K46" i="69"/>
  <c r="J46" i="69"/>
  <c r="K45" i="69"/>
  <c r="J45" i="69"/>
  <c r="K44" i="69"/>
  <c r="J44" i="69"/>
  <c r="K43" i="69"/>
  <c r="J43" i="69"/>
  <c r="K42" i="69"/>
  <c r="J42" i="69"/>
  <c r="K41" i="69"/>
  <c r="J41" i="69"/>
  <c r="K40" i="69"/>
  <c r="J40" i="69"/>
  <c r="K39" i="69"/>
  <c r="J39" i="69"/>
  <c r="K38" i="69"/>
  <c r="J38" i="69"/>
  <c r="K37" i="69"/>
  <c r="J37" i="69"/>
  <c r="K36" i="69"/>
  <c r="J36" i="69"/>
  <c r="K35" i="69"/>
  <c r="J35" i="69"/>
  <c r="K34" i="69"/>
  <c r="J34" i="69"/>
  <c r="K33" i="69"/>
  <c r="J33" i="69"/>
  <c r="K32" i="69"/>
  <c r="J32" i="69"/>
  <c r="K31" i="69"/>
  <c r="J31" i="69"/>
  <c r="K30" i="69"/>
  <c r="J30" i="69"/>
  <c r="K29" i="69"/>
  <c r="J29" i="69"/>
  <c r="K28" i="69"/>
  <c r="J28" i="69"/>
  <c r="K27" i="69"/>
  <c r="J27" i="69"/>
  <c r="K26" i="69"/>
  <c r="J26" i="69"/>
  <c r="K25" i="69"/>
  <c r="J25" i="69"/>
  <c r="K24" i="69"/>
  <c r="J24" i="69"/>
  <c r="K23" i="69"/>
  <c r="J23" i="69"/>
  <c r="K22" i="69"/>
  <c r="J22" i="69"/>
  <c r="K21" i="69"/>
  <c r="J21" i="69"/>
  <c r="K20" i="69"/>
  <c r="J20" i="69"/>
  <c r="K19" i="69"/>
  <c r="J19" i="69"/>
  <c r="K18" i="69"/>
  <c r="J18" i="69"/>
  <c r="K17" i="69"/>
  <c r="J17" i="69"/>
  <c r="K16" i="69"/>
  <c r="J16" i="69"/>
  <c r="K15" i="69"/>
  <c r="J15" i="69"/>
  <c r="K14" i="69"/>
  <c r="J14" i="69"/>
  <c r="K13" i="69"/>
  <c r="J13" i="69"/>
  <c r="K12" i="69"/>
  <c r="J12" i="69"/>
  <c r="K11" i="69"/>
  <c r="J11" i="69"/>
  <c r="K10" i="69"/>
  <c r="J10" i="69"/>
  <c r="K9" i="69"/>
  <c r="J9" i="69"/>
  <c r="K8" i="69"/>
  <c r="J8" i="69"/>
  <c r="K7" i="69"/>
  <c r="J7" i="69"/>
  <c r="K6" i="69"/>
  <c r="J6" i="69"/>
  <c r="K3" i="69"/>
  <c r="I3" i="69"/>
  <c r="H3" i="69"/>
  <c r="K498" i="12"/>
  <c r="J498" i="12"/>
  <c r="K497" i="12"/>
  <c r="J497" i="12"/>
  <c r="K496" i="12"/>
  <c r="J496" i="12"/>
  <c r="K495" i="12"/>
  <c r="J495" i="12"/>
  <c r="K494" i="12"/>
  <c r="J494" i="12"/>
  <c r="K493" i="12"/>
  <c r="J493" i="12"/>
  <c r="K492" i="12"/>
  <c r="J492" i="12"/>
  <c r="K491" i="12"/>
  <c r="J491" i="12"/>
  <c r="K490" i="12"/>
  <c r="J490" i="12"/>
  <c r="K489" i="12"/>
  <c r="J489" i="12"/>
  <c r="K488" i="12"/>
  <c r="J488" i="12"/>
  <c r="K487" i="12"/>
  <c r="J487" i="12"/>
  <c r="K486" i="12"/>
  <c r="J486" i="12"/>
  <c r="K485" i="12"/>
  <c r="J485" i="12"/>
  <c r="K484" i="12"/>
  <c r="J484" i="12"/>
  <c r="K483" i="12"/>
  <c r="J483" i="12"/>
  <c r="K482" i="12"/>
  <c r="J482" i="12"/>
  <c r="K481" i="12"/>
  <c r="J481" i="12"/>
  <c r="K480" i="12"/>
  <c r="J480" i="12"/>
  <c r="K479" i="12"/>
  <c r="J479" i="12"/>
  <c r="K478" i="12"/>
  <c r="J478" i="12"/>
  <c r="K477" i="12"/>
  <c r="J477" i="12"/>
  <c r="K476" i="12"/>
  <c r="J476" i="12"/>
  <c r="K475" i="12"/>
  <c r="J475" i="12"/>
  <c r="K474" i="12"/>
  <c r="J474" i="12"/>
  <c r="K473" i="12"/>
  <c r="J473" i="12"/>
  <c r="K472" i="12"/>
  <c r="J472" i="12"/>
  <c r="K471" i="12"/>
  <c r="J471" i="12"/>
  <c r="K470" i="12"/>
  <c r="J470" i="12"/>
  <c r="K469" i="12"/>
  <c r="J469" i="12"/>
  <c r="K468" i="12"/>
  <c r="J468" i="12"/>
  <c r="K467" i="12"/>
  <c r="J467" i="12"/>
  <c r="K466" i="12"/>
  <c r="J466" i="12"/>
  <c r="K465" i="12"/>
  <c r="J465" i="12"/>
  <c r="K464" i="12"/>
  <c r="J464" i="12"/>
  <c r="K463" i="12"/>
  <c r="J463" i="12"/>
  <c r="K462" i="12"/>
  <c r="J462" i="12"/>
  <c r="K461" i="12"/>
  <c r="J461" i="12"/>
  <c r="K460" i="12"/>
  <c r="J460" i="12"/>
  <c r="K459" i="12"/>
  <c r="J459" i="12"/>
  <c r="K458" i="12"/>
  <c r="J458" i="12"/>
  <c r="K457" i="12"/>
  <c r="J457" i="12"/>
  <c r="K456" i="12"/>
  <c r="J456" i="12"/>
  <c r="K455" i="12"/>
  <c r="J455" i="12"/>
  <c r="K454" i="12"/>
  <c r="J454" i="12"/>
  <c r="K453" i="12"/>
  <c r="J453" i="12"/>
  <c r="K452" i="12"/>
  <c r="J452" i="12"/>
  <c r="K451" i="12"/>
  <c r="J451" i="12"/>
  <c r="K450" i="12"/>
  <c r="J450" i="12"/>
  <c r="K449" i="12"/>
  <c r="J449" i="12"/>
  <c r="K448" i="12"/>
  <c r="J448" i="12"/>
  <c r="K447" i="12"/>
  <c r="J447" i="12"/>
  <c r="K446" i="12"/>
  <c r="J446" i="12"/>
  <c r="K445" i="12"/>
  <c r="J445" i="12"/>
  <c r="K444" i="12"/>
  <c r="J444" i="12"/>
  <c r="K443" i="12"/>
  <c r="J443" i="12"/>
  <c r="K442" i="12"/>
  <c r="J442" i="12"/>
  <c r="K441" i="12"/>
  <c r="J441" i="12"/>
  <c r="K440" i="12"/>
  <c r="J440" i="12"/>
  <c r="K439" i="12"/>
  <c r="J439" i="12"/>
  <c r="K438" i="12"/>
  <c r="J438" i="12"/>
  <c r="K437" i="12"/>
  <c r="J437" i="12"/>
  <c r="K436" i="12"/>
  <c r="J436" i="12"/>
  <c r="K435" i="12"/>
  <c r="J435" i="12"/>
  <c r="K434" i="12"/>
  <c r="J434" i="12"/>
  <c r="K433" i="12"/>
  <c r="J433" i="12"/>
  <c r="K432" i="12"/>
  <c r="J432" i="12"/>
  <c r="K431" i="12"/>
  <c r="J431" i="12"/>
  <c r="K430" i="12"/>
  <c r="J430" i="12"/>
  <c r="K429" i="12"/>
  <c r="J429" i="12"/>
  <c r="K428" i="12"/>
  <c r="J428" i="12"/>
  <c r="K427" i="12"/>
  <c r="J427" i="12"/>
  <c r="K426" i="12"/>
  <c r="J426" i="12"/>
  <c r="K425" i="12"/>
  <c r="J425" i="12"/>
  <c r="K424" i="12"/>
  <c r="J424" i="12"/>
  <c r="K423" i="12"/>
  <c r="J423" i="12"/>
  <c r="K422" i="12"/>
  <c r="J422" i="12"/>
  <c r="K421" i="12"/>
  <c r="J421" i="12"/>
  <c r="K420" i="12"/>
  <c r="J420" i="12"/>
  <c r="K419" i="12"/>
  <c r="J419" i="12"/>
  <c r="K418" i="12"/>
  <c r="J418" i="12"/>
  <c r="K417" i="12"/>
  <c r="J417" i="12"/>
  <c r="K416" i="12"/>
  <c r="J416" i="12"/>
  <c r="K415" i="12"/>
  <c r="J415" i="12"/>
  <c r="K414" i="12"/>
  <c r="J414" i="12"/>
  <c r="K413" i="12"/>
  <c r="J413" i="12"/>
  <c r="K412" i="12"/>
  <c r="J412" i="12"/>
  <c r="K411" i="12"/>
  <c r="J411" i="12"/>
  <c r="K410" i="12"/>
  <c r="J410" i="12"/>
  <c r="K409" i="12"/>
  <c r="J409" i="12"/>
  <c r="K408" i="12"/>
  <c r="J408" i="12"/>
  <c r="K407" i="12"/>
  <c r="J407" i="12"/>
  <c r="K406" i="12"/>
  <c r="J406" i="12"/>
  <c r="K405" i="12"/>
  <c r="J405" i="12"/>
  <c r="K404" i="12"/>
  <c r="J404" i="12"/>
  <c r="K403" i="12"/>
  <c r="J403" i="12"/>
  <c r="K402" i="12"/>
  <c r="J402" i="12"/>
  <c r="K401" i="12"/>
  <c r="J401" i="12"/>
  <c r="K400" i="12"/>
  <c r="J400" i="12"/>
  <c r="K399" i="12"/>
  <c r="J399" i="12"/>
  <c r="K398" i="12"/>
  <c r="J398" i="12"/>
  <c r="K397" i="12"/>
  <c r="J397" i="12"/>
  <c r="K396" i="12"/>
  <c r="J396" i="12"/>
  <c r="K395" i="12"/>
  <c r="J395" i="12"/>
  <c r="K394" i="12"/>
  <c r="J394" i="12"/>
  <c r="K393" i="12"/>
  <c r="J393" i="12"/>
  <c r="K392" i="12"/>
  <c r="J392" i="12"/>
  <c r="K391" i="12"/>
  <c r="J391" i="12"/>
  <c r="K390" i="12"/>
  <c r="J390" i="12"/>
  <c r="K389" i="12"/>
  <c r="J389" i="12"/>
  <c r="K388" i="12"/>
  <c r="J388" i="12"/>
  <c r="K387" i="12"/>
  <c r="J387" i="12"/>
  <c r="K386" i="12"/>
  <c r="J386" i="12"/>
  <c r="K385" i="12"/>
  <c r="J385" i="12"/>
  <c r="K384" i="12"/>
  <c r="J384" i="12"/>
  <c r="K383" i="12"/>
  <c r="J383" i="12"/>
  <c r="K382" i="12"/>
  <c r="J382" i="12"/>
  <c r="K381" i="12"/>
  <c r="J381" i="12"/>
  <c r="K380" i="12"/>
  <c r="J380" i="12"/>
  <c r="K379" i="12"/>
  <c r="J379" i="12"/>
  <c r="K378" i="12"/>
  <c r="J378" i="12"/>
  <c r="K377" i="12"/>
  <c r="J377" i="12"/>
  <c r="K376" i="12"/>
  <c r="J376" i="12"/>
  <c r="K375" i="12"/>
  <c r="J375" i="12"/>
  <c r="K374" i="12"/>
  <c r="J374" i="12"/>
  <c r="K373" i="12"/>
  <c r="J373" i="12"/>
  <c r="K372" i="12"/>
  <c r="J372" i="12"/>
  <c r="K371" i="12"/>
  <c r="J371" i="12"/>
  <c r="K370" i="12"/>
  <c r="J370" i="12"/>
  <c r="K369" i="12"/>
  <c r="J369" i="12"/>
  <c r="K368" i="12"/>
  <c r="J368" i="12"/>
  <c r="K367" i="12"/>
  <c r="J367" i="12"/>
  <c r="K366" i="12"/>
  <c r="J366" i="12"/>
  <c r="K365" i="12"/>
  <c r="J365" i="12"/>
  <c r="K364" i="12"/>
  <c r="J364" i="12"/>
  <c r="K363" i="12"/>
  <c r="J363" i="12"/>
  <c r="K362" i="12"/>
  <c r="J362" i="12"/>
  <c r="K361" i="12"/>
  <c r="J361" i="12"/>
  <c r="K360" i="12"/>
  <c r="J360" i="12"/>
  <c r="K359" i="12"/>
  <c r="J359" i="12"/>
  <c r="K358" i="12"/>
  <c r="J358" i="12"/>
  <c r="K357" i="12"/>
  <c r="J357" i="12"/>
  <c r="K356" i="12"/>
  <c r="J356" i="12"/>
  <c r="K355" i="12"/>
  <c r="J355" i="12"/>
  <c r="K354" i="12"/>
  <c r="J354" i="12"/>
  <c r="K353" i="12"/>
  <c r="J353" i="12"/>
  <c r="K352" i="12"/>
  <c r="J352" i="12"/>
  <c r="K351" i="12"/>
  <c r="J351" i="12"/>
  <c r="K350" i="12"/>
  <c r="J350" i="12"/>
  <c r="K349" i="12"/>
  <c r="J349" i="12"/>
  <c r="K348" i="12"/>
  <c r="J348" i="12"/>
  <c r="K347" i="12"/>
  <c r="J347" i="12"/>
  <c r="K346" i="12"/>
  <c r="J346" i="12"/>
  <c r="K345" i="12"/>
  <c r="J345" i="12"/>
  <c r="K344" i="12"/>
  <c r="J344" i="12"/>
  <c r="K343" i="12"/>
  <c r="J343" i="12"/>
  <c r="K342" i="12"/>
  <c r="J342" i="12"/>
  <c r="K341" i="12"/>
  <c r="J341" i="12"/>
  <c r="K340" i="12"/>
  <c r="J340" i="12"/>
  <c r="K339" i="12"/>
  <c r="J339" i="12"/>
  <c r="K338" i="12"/>
  <c r="J338" i="12"/>
  <c r="K337" i="12"/>
  <c r="J337" i="12"/>
  <c r="K336" i="12"/>
  <c r="J336" i="12"/>
  <c r="K335" i="12"/>
  <c r="J335" i="12"/>
  <c r="K334" i="12"/>
  <c r="J334" i="12"/>
  <c r="K333" i="12"/>
  <c r="J333" i="12"/>
  <c r="K332" i="12"/>
  <c r="J332" i="12"/>
  <c r="K331" i="12"/>
  <c r="J331" i="12"/>
  <c r="K330" i="12"/>
  <c r="J330" i="12"/>
  <c r="K329" i="12"/>
  <c r="J329" i="12"/>
  <c r="K328" i="12"/>
  <c r="J328" i="12"/>
  <c r="K327" i="12"/>
  <c r="J327" i="12"/>
  <c r="K326" i="12"/>
  <c r="J326" i="12"/>
  <c r="K325" i="12"/>
  <c r="J325" i="12"/>
  <c r="K324" i="12"/>
  <c r="J324" i="12"/>
  <c r="K323" i="12"/>
  <c r="J323" i="12"/>
  <c r="K322" i="12"/>
  <c r="J322" i="12"/>
  <c r="K321" i="12"/>
  <c r="J321" i="12"/>
  <c r="K320" i="12"/>
  <c r="J320" i="12"/>
  <c r="K319" i="12"/>
  <c r="J319" i="12"/>
  <c r="K318" i="12"/>
  <c r="J318" i="12"/>
  <c r="K317" i="12"/>
  <c r="J317" i="12"/>
  <c r="K316" i="12"/>
  <c r="J316" i="12"/>
  <c r="K315" i="12"/>
  <c r="J315" i="12"/>
  <c r="K314" i="12"/>
  <c r="J314" i="12"/>
  <c r="K313" i="12"/>
  <c r="J313" i="12"/>
  <c r="K312" i="12"/>
  <c r="J312" i="12"/>
  <c r="K311" i="12"/>
  <c r="J311" i="12"/>
  <c r="K310" i="12"/>
  <c r="J310" i="12"/>
  <c r="K309" i="12"/>
  <c r="J309" i="12"/>
  <c r="K308" i="12"/>
  <c r="J308" i="12"/>
  <c r="K307" i="12"/>
  <c r="J307" i="12"/>
  <c r="K306" i="12"/>
  <c r="J306" i="12"/>
  <c r="K305" i="12"/>
  <c r="J305" i="12"/>
  <c r="K304" i="12"/>
  <c r="J304" i="12"/>
  <c r="K303" i="12"/>
  <c r="J303" i="12"/>
  <c r="K302" i="12"/>
  <c r="J302" i="12"/>
  <c r="K301" i="12"/>
  <c r="J301" i="12"/>
  <c r="K300" i="12"/>
  <c r="J300" i="12"/>
  <c r="K299" i="12"/>
  <c r="J299" i="12"/>
  <c r="K298" i="12"/>
  <c r="J298" i="12"/>
  <c r="K297" i="12"/>
  <c r="J297" i="12"/>
  <c r="K296" i="12"/>
  <c r="J296" i="12"/>
  <c r="K295" i="12"/>
  <c r="J295" i="12"/>
  <c r="K294" i="12"/>
  <c r="J294" i="12"/>
  <c r="K293" i="12"/>
  <c r="J293" i="12"/>
  <c r="K292" i="12"/>
  <c r="J292" i="12"/>
  <c r="K291" i="12"/>
  <c r="J291" i="12"/>
  <c r="K290" i="12"/>
  <c r="J290" i="12"/>
  <c r="K289" i="12"/>
  <c r="J289" i="12"/>
  <c r="K288" i="12"/>
  <c r="J288" i="12"/>
  <c r="K287" i="12"/>
  <c r="J287" i="12"/>
  <c r="K286" i="12"/>
  <c r="J286" i="12"/>
  <c r="K285" i="12"/>
  <c r="J285" i="12"/>
  <c r="K284" i="12"/>
  <c r="J284" i="12"/>
  <c r="K283" i="12"/>
  <c r="J283" i="12"/>
  <c r="K282" i="12"/>
  <c r="J282" i="12"/>
  <c r="K281" i="12"/>
  <c r="J281" i="12"/>
  <c r="K280" i="12"/>
  <c r="J280" i="12"/>
  <c r="K279" i="12"/>
  <c r="J279" i="12"/>
  <c r="K278" i="12"/>
  <c r="J278" i="12"/>
  <c r="K277" i="12"/>
  <c r="J277" i="12"/>
  <c r="K276" i="12"/>
  <c r="J276" i="12"/>
  <c r="K275" i="12"/>
  <c r="J275" i="12"/>
  <c r="K274" i="12"/>
  <c r="J274" i="12"/>
  <c r="K273" i="12"/>
  <c r="J273" i="12"/>
  <c r="K272" i="12"/>
  <c r="J272" i="12"/>
  <c r="K271" i="12"/>
  <c r="J271" i="12"/>
  <c r="K270" i="12"/>
  <c r="J270" i="12"/>
  <c r="K269" i="12"/>
  <c r="J269" i="12"/>
  <c r="K268" i="12"/>
  <c r="J268" i="12"/>
  <c r="K267" i="12"/>
  <c r="J267" i="12"/>
  <c r="K266" i="12"/>
  <c r="J266" i="12"/>
  <c r="K265" i="12"/>
  <c r="J265" i="12"/>
  <c r="K264" i="12"/>
  <c r="J264" i="12"/>
  <c r="K263" i="12"/>
  <c r="J263" i="12"/>
  <c r="K262" i="12"/>
  <c r="J262" i="12"/>
  <c r="K261" i="12"/>
  <c r="J261" i="12"/>
  <c r="K260" i="12"/>
  <c r="J260" i="12"/>
  <c r="K259" i="12"/>
  <c r="J259" i="12"/>
  <c r="K258" i="12"/>
  <c r="J258" i="12"/>
  <c r="K257" i="12"/>
  <c r="J257" i="12"/>
  <c r="K256" i="12"/>
  <c r="J256" i="12"/>
  <c r="K255" i="12"/>
  <c r="J255" i="12"/>
  <c r="K254" i="12"/>
  <c r="J254" i="12"/>
  <c r="K253" i="12"/>
  <c r="J253" i="12"/>
  <c r="K252" i="12"/>
  <c r="J252" i="12"/>
  <c r="K251" i="12"/>
  <c r="J251" i="12"/>
  <c r="K250" i="12"/>
  <c r="J250" i="12"/>
  <c r="K249" i="12"/>
  <c r="J249" i="12"/>
  <c r="K248" i="12"/>
  <c r="J248" i="12"/>
  <c r="K247" i="12"/>
  <c r="J247" i="12"/>
  <c r="K246" i="12"/>
  <c r="J246" i="12"/>
  <c r="K245" i="12"/>
  <c r="J245" i="12"/>
  <c r="K244" i="12"/>
  <c r="J244" i="12"/>
  <c r="K243" i="12"/>
  <c r="J243" i="12"/>
  <c r="K242" i="12"/>
  <c r="J242" i="12"/>
  <c r="K241" i="12"/>
  <c r="J241" i="12"/>
  <c r="K240" i="12"/>
  <c r="J240" i="12"/>
  <c r="K239" i="12"/>
  <c r="J239" i="12"/>
  <c r="K238" i="12"/>
  <c r="J238" i="12"/>
  <c r="K237" i="12"/>
  <c r="J237" i="12"/>
  <c r="K236" i="12"/>
  <c r="J236" i="12"/>
  <c r="K235" i="12"/>
  <c r="J235" i="12"/>
  <c r="K234" i="12"/>
  <c r="J234" i="12"/>
  <c r="K233" i="12"/>
  <c r="J233" i="12"/>
  <c r="K232" i="12"/>
  <c r="J232" i="12"/>
  <c r="K231" i="12"/>
  <c r="J231" i="12"/>
  <c r="K230" i="12"/>
  <c r="J230" i="12"/>
  <c r="K229" i="12"/>
  <c r="J229" i="12"/>
  <c r="K228" i="12"/>
  <c r="J228" i="12"/>
  <c r="K227" i="12"/>
  <c r="J227" i="12"/>
  <c r="K226" i="12"/>
  <c r="J226" i="12"/>
  <c r="K225" i="12"/>
  <c r="J225" i="12"/>
  <c r="K224" i="12"/>
  <c r="J224" i="12"/>
  <c r="K223" i="12"/>
  <c r="J223" i="12"/>
  <c r="K222" i="12"/>
  <c r="J222" i="12"/>
  <c r="K221" i="12"/>
  <c r="J221" i="12"/>
  <c r="K220" i="12"/>
  <c r="J220" i="12"/>
  <c r="K219" i="12"/>
  <c r="J219" i="12"/>
  <c r="K218" i="12"/>
  <c r="J218" i="12"/>
  <c r="K217" i="12"/>
  <c r="J217" i="12"/>
  <c r="K216" i="12"/>
  <c r="J216" i="12"/>
  <c r="K215" i="12"/>
  <c r="J215" i="12"/>
  <c r="K214" i="12"/>
  <c r="J214" i="12"/>
  <c r="K213" i="12"/>
  <c r="J213" i="12"/>
  <c r="K212" i="12"/>
  <c r="J212" i="12"/>
  <c r="K211" i="12"/>
  <c r="J211" i="12"/>
  <c r="K210" i="12"/>
  <c r="J210" i="12"/>
  <c r="K209" i="12"/>
  <c r="J209" i="12"/>
  <c r="K208" i="12"/>
  <c r="J208" i="12"/>
  <c r="K207" i="12"/>
  <c r="J207" i="12"/>
  <c r="K206" i="12"/>
  <c r="J206" i="12"/>
  <c r="K205" i="12"/>
  <c r="J205" i="12"/>
  <c r="K204" i="12"/>
  <c r="J204" i="12"/>
  <c r="K203" i="12"/>
  <c r="J203" i="12"/>
  <c r="K202" i="12"/>
  <c r="J202" i="12"/>
  <c r="K201" i="12"/>
  <c r="J201" i="12"/>
  <c r="K200" i="12"/>
  <c r="J200" i="12"/>
  <c r="K199" i="12"/>
  <c r="J199" i="12"/>
  <c r="K198" i="12"/>
  <c r="J198" i="12"/>
  <c r="K197" i="12"/>
  <c r="J197" i="12"/>
  <c r="K196" i="12"/>
  <c r="J196" i="12"/>
  <c r="K195" i="12"/>
  <c r="J195" i="12"/>
  <c r="K194" i="12"/>
  <c r="J194" i="12"/>
  <c r="K193" i="12"/>
  <c r="J193" i="12"/>
  <c r="K192" i="12"/>
  <c r="J192" i="12"/>
  <c r="K191" i="12"/>
  <c r="J191" i="12"/>
  <c r="K190" i="12"/>
  <c r="J190" i="12"/>
  <c r="K189" i="12"/>
  <c r="J189" i="12"/>
  <c r="K188" i="12"/>
  <c r="J188" i="12"/>
  <c r="K187" i="12"/>
  <c r="J187" i="12"/>
  <c r="K186" i="12"/>
  <c r="J186" i="12"/>
  <c r="K185" i="12"/>
  <c r="J185" i="12"/>
  <c r="K184" i="12"/>
  <c r="J184" i="12"/>
  <c r="K183" i="12"/>
  <c r="J183" i="12"/>
  <c r="K182" i="12"/>
  <c r="J182" i="12"/>
  <c r="K181" i="12"/>
  <c r="J181" i="12"/>
  <c r="K180" i="12"/>
  <c r="J180" i="12"/>
  <c r="K179" i="12"/>
  <c r="J179" i="12"/>
  <c r="K178" i="12"/>
  <c r="J178" i="12"/>
  <c r="K177" i="12"/>
  <c r="J177" i="12"/>
  <c r="K176" i="12"/>
  <c r="J176" i="12"/>
  <c r="K175" i="12"/>
  <c r="J175" i="12"/>
  <c r="K174" i="12"/>
  <c r="J174" i="12"/>
  <c r="K173" i="12"/>
  <c r="J173" i="12"/>
  <c r="K172" i="12"/>
  <c r="J172" i="12"/>
  <c r="K171" i="12"/>
  <c r="J171" i="12"/>
  <c r="K170" i="12"/>
  <c r="J170" i="12"/>
  <c r="K169" i="12"/>
  <c r="J169" i="12"/>
  <c r="K168" i="12"/>
  <c r="J168" i="12"/>
  <c r="K167" i="12"/>
  <c r="J167" i="12"/>
  <c r="K166" i="12"/>
  <c r="J166" i="12"/>
  <c r="K165" i="12"/>
  <c r="J165" i="12"/>
  <c r="K164" i="12"/>
  <c r="J164" i="12"/>
  <c r="K163" i="12"/>
  <c r="J163" i="12"/>
  <c r="K162" i="12"/>
  <c r="J162" i="12"/>
  <c r="K161" i="12"/>
  <c r="J161" i="12"/>
  <c r="K160" i="12"/>
  <c r="J160" i="12"/>
  <c r="K159" i="12"/>
  <c r="J159" i="12"/>
  <c r="K158" i="12"/>
  <c r="J158" i="12"/>
  <c r="K157" i="12"/>
  <c r="J157" i="12"/>
  <c r="K156" i="12"/>
  <c r="J156" i="12"/>
  <c r="K155" i="12"/>
  <c r="J155" i="12"/>
  <c r="K154" i="12"/>
  <c r="J154" i="12"/>
  <c r="K153" i="12"/>
  <c r="J153" i="12"/>
  <c r="K152" i="12"/>
  <c r="J152" i="12"/>
  <c r="K151" i="12"/>
  <c r="J151" i="12"/>
  <c r="K150" i="12"/>
  <c r="J150" i="12"/>
  <c r="K149" i="12"/>
  <c r="J149" i="12"/>
  <c r="K148" i="12"/>
  <c r="J148" i="12"/>
  <c r="K147" i="12"/>
  <c r="J147" i="12"/>
  <c r="K146" i="12"/>
  <c r="J146" i="12"/>
  <c r="K145" i="12"/>
  <c r="J145" i="12"/>
  <c r="K144" i="12"/>
  <c r="J144" i="12"/>
  <c r="K143" i="12"/>
  <c r="J143" i="12"/>
  <c r="K142" i="12"/>
  <c r="J142" i="12"/>
  <c r="K141" i="12"/>
  <c r="J141" i="12"/>
  <c r="K140" i="12"/>
  <c r="J140" i="12"/>
  <c r="K139" i="12"/>
  <c r="J139" i="12"/>
  <c r="K138" i="12"/>
  <c r="J138" i="12"/>
  <c r="K137" i="12"/>
  <c r="J137" i="12"/>
  <c r="K136" i="12"/>
  <c r="J136" i="12"/>
  <c r="K135" i="12"/>
  <c r="J135" i="12"/>
  <c r="K134" i="12"/>
  <c r="J134" i="12"/>
  <c r="K133" i="12"/>
  <c r="J133" i="12"/>
  <c r="K132" i="12"/>
  <c r="J132" i="12"/>
  <c r="K131" i="12"/>
  <c r="J131" i="12"/>
  <c r="K130" i="12"/>
  <c r="J130" i="12"/>
  <c r="K129" i="12"/>
  <c r="J129" i="12"/>
  <c r="K128" i="12"/>
  <c r="J128" i="12"/>
  <c r="K127" i="12"/>
  <c r="J127" i="12"/>
  <c r="K126" i="12"/>
  <c r="J126" i="12"/>
  <c r="K125" i="12"/>
  <c r="J125" i="12"/>
  <c r="K124" i="12"/>
  <c r="J124" i="12"/>
  <c r="K123" i="12"/>
  <c r="J123" i="12"/>
  <c r="K122" i="12"/>
  <c r="J122" i="12"/>
  <c r="K121" i="12"/>
  <c r="J121" i="12"/>
  <c r="K120" i="12"/>
  <c r="J120" i="12"/>
  <c r="K119" i="12"/>
  <c r="J119" i="12"/>
  <c r="K118" i="12"/>
  <c r="J118" i="12"/>
  <c r="K117" i="12"/>
  <c r="J117" i="12"/>
  <c r="K116" i="12"/>
  <c r="J116" i="12"/>
  <c r="K115" i="12"/>
  <c r="J115" i="12"/>
  <c r="K114" i="12"/>
  <c r="J114" i="12"/>
  <c r="K113" i="12"/>
  <c r="J113" i="12"/>
  <c r="K112" i="12"/>
  <c r="J112" i="12"/>
  <c r="K111" i="12"/>
  <c r="J111" i="12"/>
  <c r="K110" i="12"/>
  <c r="J110" i="12"/>
  <c r="K109" i="12"/>
  <c r="J109" i="12"/>
  <c r="K108" i="12"/>
  <c r="J108" i="12"/>
  <c r="K107" i="12"/>
  <c r="J107" i="12"/>
  <c r="K106" i="12"/>
  <c r="J106" i="12"/>
  <c r="K105" i="12"/>
  <c r="J105" i="12"/>
  <c r="K104" i="12"/>
  <c r="J104" i="12"/>
  <c r="K103" i="12"/>
  <c r="J103" i="12"/>
  <c r="K102" i="12"/>
  <c r="J102" i="12"/>
  <c r="K101" i="12"/>
  <c r="J101" i="12"/>
  <c r="K100" i="12"/>
  <c r="J100" i="12"/>
  <c r="K99" i="12"/>
  <c r="J99" i="12"/>
  <c r="K98" i="12"/>
  <c r="J98" i="12"/>
  <c r="K97" i="12"/>
  <c r="J97" i="12"/>
  <c r="K96" i="12"/>
  <c r="J96" i="12"/>
  <c r="K95" i="12"/>
  <c r="J95" i="12"/>
  <c r="K94" i="12"/>
  <c r="J94" i="12"/>
  <c r="K93" i="12"/>
  <c r="J93" i="12"/>
  <c r="K92" i="12"/>
  <c r="J92" i="12"/>
  <c r="K91" i="12"/>
  <c r="J91" i="12"/>
  <c r="K90" i="12"/>
  <c r="J90" i="12"/>
  <c r="K89" i="12"/>
  <c r="J89" i="12"/>
  <c r="K88" i="12"/>
  <c r="J88" i="12"/>
  <c r="K87" i="12"/>
  <c r="J87" i="12"/>
  <c r="K86" i="12"/>
  <c r="J86" i="12"/>
  <c r="K85" i="12"/>
  <c r="J85" i="12"/>
  <c r="K84" i="12"/>
  <c r="J84" i="12"/>
  <c r="K83" i="12"/>
  <c r="J83" i="12"/>
  <c r="K82" i="12"/>
  <c r="J82" i="12"/>
  <c r="K81" i="12"/>
  <c r="J81" i="12"/>
  <c r="K80" i="12"/>
  <c r="J80" i="12"/>
  <c r="K79" i="12"/>
  <c r="J79" i="12"/>
  <c r="K78" i="12"/>
  <c r="J78" i="12"/>
  <c r="K77" i="12"/>
  <c r="J77" i="12"/>
  <c r="K76" i="12"/>
  <c r="J76" i="12"/>
  <c r="K75" i="12"/>
  <c r="J75" i="12"/>
  <c r="K74" i="12"/>
  <c r="J74" i="12"/>
  <c r="K73" i="12"/>
  <c r="J73" i="12"/>
  <c r="K72" i="12"/>
  <c r="J72" i="12"/>
  <c r="K71" i="12"/>
  <c r="J71" i="12"/>
  <c r="K70" i="12"/>
  <c r="J70" i="12"/>
  <c r="K69" i="12"/>
  <c r="J69" i="12"/>
  <c r="K68" i="12"/>
  <c r="J68" i="12"/>
  <c r="K67" i="12"/>
  <c r="J67" i="12"/>
  <c r="K66" i="12"/>
  <c r="J66" i="12"/>
  <c r="K65" i="12"/>
  <c r="J65" i="12"/>
  <c r="K64" i="12"/>
  <c r="J64" i="12"/>
  <c r="K63" i="12"/>
  <c r="J63" i="12"/>
  <c r="K62" i="12"/>
  <c r="J62" i="12"/>
  <c r="K61" i="12"/>
  <c r="J61" i="12"/>
  <c r="K60" i="12"/>
  <c r="J60" i="12"/>
  <c r="K59" i="12"/>
  <c r="J59" i="12"/>
  <c r="K58" i="12"/>
  <c r="J58" i="12"/>
  <c r="K57" i="12"/>
  <c r="J57" i="12"/>
  <c r="K56" i="12"/>
  <c r="J56" i="12"/>
  <c r="K55" i="12"/>
  <c r="J55" i="12"/>
  <c r="K54" i="12"/>
  <c r="J54" i="12"/>
  <c r="K53" i="12"/>
  <c r="J53" i="12"/>
  <c r="K52" i="12"/>
  <c r="J52" i="12"/>
  <c r="K51" i="12"/>
  <c r="J51" i="12"/>
  <c r="K50" i="12"/>
  <c r="J50" i="12"/>
  <c r="K49" i="12"/>
  <c r="J49" i="12"/>
  <c r="K48" i="12"/>
  <c r="J48" i="12"/>
  <c r="K47" i="12"/>
  <c r="J47" i="12"/>
  <c r="K46" i="12"/>
  <c r="J46" i="12"/>
  <c r="K45" i="12"/>
  <c r="J45" i="12"/>
  <c r="K44" i="12"/>
  <c r="J44" i="12"/>
  <c r="K43" i="12"/>
  <c r="J43" i="12"/>
  <c r="K42" i="12"/>
  <c r="J42" i="12"/>
  <c r="K41" i="12"/>
  <c r="J41" i="12"/>
  <c r="K40" i="12"/>
  <c r="J40" i="12"/>
  <c r="K39" i="12"/>
  <c r="J39" i="12"/>
  <c r="K38" i="12"/>
  <c r="J38" i="12"/>
  <c r="K37" i="12"/>
  <c r="J37" i="12"/>
  <c r="K36" i="12"/>
  <c r="J36" i="12"/>
  <c r="K35" i="12"/>
  <c r="J35" i="12"/>
  <c r="K34" i="12"/>
  <c r="J34" i="12"/>
  <c r="K33" i="12"/>
  <c r="J33" i="12"/>
  <c r="K32" i="12"/>
  <c r="J32" i="12"/>
  <c r="K31" i="12"/>
  <c r="J31" i="12"/>
  <c r="K30" i="12"/>
  <c r="J30" i="12"/>
  <c r="K29" i="12"/>
  <c r="J29" i="12"/>
  <c r="K28" i="12"/>
  <c r="J28" i="12"/>
  <c r="K27" i="12"/>
  <c r="J27" i="12"/>
  <c r="K26" i="12"/>
  <c r="J26" i="12"/>
  <c r="K25" i="12"/>
  <c r="J25" i="12"/>
  <c r="K24" i="12"/>
  <c r="J24" i="12"/>
  <c r="K23" i="12"/>
  <c r="J23" i="12"/>
  <c r="K22" i="12"/>
  <c r="J22" i="12"/>
  <c r="K21" i="12"/>
  <c r="J21" i="12"/>
  <c r="K20" i="12"/>
  <c r="J20" i="12"/>
  <c r="K19" i="12"/>
  <c r="J19" i="12"/>
  <c r="K18" i="12"/>
  <c r="J18" i="12"/>
  <c r="K17" i="12"/>
  <c r="J17" i="12"/>
  <c r="K16" i="12"/>
  <c r="J16" i="12"/>
  <c r="K15" i="12"/>
  <c r="J15" i="12"/>
  <c r="K14" i="12"/>
  <c r="J14" i="12"/>
  <c r="K13" i="12"/>
  <c r="J13" i="12"/>
  <c r="K12" i="12"/>
  <c r="J12" i="12"/>
  <c r="K11" i="12"/>
  <c r="J11" i="12"/>
  <c r="K10" i="12"/>
  <c r="J10" i="12"/>
  <c r="K9" i="12"/>
  <c r="J9" i="12"/>
  <c r="K8" i="12"/>
  <c r="J8" i="12"/>
  <c r="K7" i="12"/>
  <c r="J7" i="12"/>
  <c r="K6" i="12"/>
  <c r="J6" i="12"/>
  <c r="K3" i="12"/>
  <c r="I3" i="12"/>
  <c r="H3" i="12"/>
  <c r="J504" i="40"/>
  <c r="J503" i="40"/>
  <c r="J502" i="40"/>
  <c r="J501" i="40"/>
  <c r="J500" i="40"/>
  <c r="J499" i="40"/>
  <c r="J498" i="40"/>
  <c r="J497" i="40"/>
  <c r="J496" i="40"/>
  <c r="J495" i="40"/>
  <c r="J494" i="40"/>
  <c r="J493" i="40"/>
  <c r="J492" i="40"/>
  <c r="J491" i="40"/>
  <c r="J490" i="40"/>
  <c r="J489" i="40"/>
  <c r="J488" i="40"/>
  <c r="J487" i="40"/>
  <c r="J486" i="40"/>
  <c r="J485" i="40"/>
  <c r="J484" i="40"/>
  <c r="J483" i="40"/>
  <c r="J482" i="40"/>
  <c r="J481" i="40"/>
  <c r="J480" i="40"/>
  <c r="J479" i="40"/>
  <c r="J478" i="40"/>
  <c r="J477" i="40"/>
  <c r="J476" i="40"/>
  <c r="J475" i="40"/>
  <c r="J474" i="40"/>
  <c r="J473" i="40"/>
  <c r="J472" i="40"/>
  <c r="J471" i="40"/>
  <c r="J470" i="40"/>
  <c r="J469" i="40"/>
  <c r="J468" i="40"/>
  <c r="J467" i="40"/>
  <c r="J466" i="40"/>
  <c r="J465" i="40"/>
  <c r="J464" i="40"/>
  <c r="J463" i="40"/>
  <c r="J462" i="40"/>
  <c r="J461" i="40"/>
  <c r="J460" i="40"/>
  <c r="J459" i="40"/>
  <c r="J458" i="40"/>
  <c r="J457" i="40"/>
  <c r="J456" i="40"/>
  <c r="J455" i="40"/>
  <c r="J454" i="40"/>
  <c r="J453" i="40"/>
  <c r="J452" i="40"/>
  <c r="J451" i="40"/>
  <c r="J450" i="40"/>
  <c r="J449" i="40"/>
  <c r="J448" i="40"/>
  <c r="J447" i="40"/>
  <c r="J446" i="40"/>
  <c r="J445" i="40"/>
  <c r="J444" i="40"/>
  <c r="J443" i="40"/>
  <c r="J442" i="40"/>
  <c r="J441" i="40"/>
  <c r="J440" i="40"/>
  <c r="J439" i="40"/>
  <c r="J438" i="40"/>
  <c r="J437" i="40"/>
  <c r="J436" i="40"/>
  <c r="J435" i="40"/>
  <c r="J434" i="40"/>
  <c r="J433" i="40"/>
  <c r="J432" i="40"/>
  <c r="J431" i="40"/>
  <c r="J430" i="40"/>
  <c r="J429" i="40"/>
  <c r="J428" i="40"/>
  <c r="J427" i="40"/>
  <c r="J426" i="40"/>
  <c r="J425" i="40"/>
  <c r="J424" i="40"/>
  <c r="J423" i="40"/>
  <c r="J422" i="40"/>
  <c r="J421" i="40"/>
  <c r="J420" i="40"/>
  <c r="J419" i="40"/>
  <c r="J418" i="40"/>
  <c r="J417" i="40"/>
  <c r="J416" i="40"/>
  <c r="J415" i="40"/>
  <c r="J414" i="40"/>
  <c r="J413" i="40"/>
  <c r="J412" i="40"/>
  <c r="J411" i="40"/>
  <c r="J410" i="40"/>
  <c r="J409" i="40"/>
  <c r="J408" i="40"/>
  <c r="J407" i="40"/>
  <c r="J406" i="40"/>
  <c r="J405" i="40"/>
  <c r="J404" i="40"/>
  <c r="J403" i="40"/>
  <c r="J402" i="40"/>
  <c r="J401" i="40"/>
  <c r="J400" i="40"/>
  <c r="J399" i="40"/>
  <c r="J398" i="40"/>
  <c r="J397" i="40"/>
  <c r="J396" i="40"/>
  <c r="J395" i="40"/>
  <c r="J394" i="40"/>
  <c r="J393" i="40"/>
  <c r="J392" i="40"/>
  <c r="J391" i="40"/>
  <c r="J390" i="40"/>
  <c r="J389" i="40"/>
  <c r="J388" i="40"/>
  <c r="J387" i="40"/>
  <c r="J386" i="40"/>
  <c r="J385" i="40"/>
  <c r="J384" i="40"/>
  <c r="J383" i="40"/>
  <c r="J382" i="40"/>
  <c r="J381" i="40"/>
  <c r="J380" i="40"/>
  <c r="J379" i="40"/>
  <c r="J378" i="40"/>
  <c r="J377" i="40"/>
  <c r="J376" i="40"/>
  <c r="J375" i="40"/>
  <c r="J374" i="40"/>
  <c r="J373" i="40"/>
  <c r="J372" i="40"/>
  <c r="J371" i="40"/>
  <c r="J370" i="40"/>
  <c r="J369" i="40"/>
  <c r="J368" i="40"/>
  <c r="J367" i="40"/>
  <c r="J366" i="40"/>
  <c r="J365" i="40"/>
  <c r="J364" i="40"/>
  <c r="J363" i="40"/>
  <c r="J362" i="40"/>
  <c r="J361" i="40"/>
  <c r="J360" i="40"/>
  <c r="J359" i="40"/>
  <c r="J358" i="40"/>
  <c r="J357" i="40"/>
  <c r="J356" i="40"/>
  <c r="J355" i="40"/>
  <c r="J354" i="40"/>
  <c r="J353" i="40"/>
  <c r="J352" i="40"/>
  <c r="J351" i="40"/>
  <c r="J350" i="40"/>
  <c r="J349" i="40"/>
  <c r="J348" i="40"/>
  <c r="J347" i="40"/>
  <c r="J346" i="40"/>
  <c r="J345" i="40"/>
  <c r="J344" i="40"/>
  <c r="J343" i="40"/>
  <c r="J342" i="40"/>
  <c r="J341" i="40"/>
  <c r="J340" i="40"/>
  <c r="J339" i="40"/>
  <c r="J338" i="40"/>
  <c r="J337" i="40"/>
  <c r="J336" i="40"/>
  <c r="J335" i="40"/>
  <c r="J334" i="40"/>
  <c r="J333" i="40"/>
  <c r="J332" i="40"/>
  <c r="J331" i="40"/>
  <c r="J330" i="40"/>
  <c r="J329" i="40"/>
  <c r="J328" i="40"/>
  <c r="J327" i="40"/>
  <c r="J326" i="40"/>
  <c r="J325" i="40"/>
  <c r="J324" i="40"/>
  <c r="J323" i="40"/>
  <c r="J322" i="40"/>
  <c r="J321" i="40"/>
  <c r="J320" i="40"/>
  <c r="J319" i="40"/>
  <c r="J318" i="40"/>
  <c r="J317" i="40"/>
  <c r="J316" i="40"/>
  <c r="J315" i="40"/>
  <c r="J314" i="40"/>
  <c r="J313" i="40"/>
  <c r="J312" i="40"/>
  <c r="J311" i="40"/>
  <c r="J310" i="40"/>
  <c r="J309" i="40"/>
  <c r="J308" i="40"/>
  <c r="J307" i="40"/>
  <c r="J306" i="40"/>
  <c r="J305" i="40"/>
  <c r="J304" i="40"/>
  <c r="J303" i="40"/>
  <c r="J302" i="40"/>
  <c r="J301" i="40"/>
  <c r="J300" i="40"/>
  <c r="J299" i="40"/>
  <c r="J298" i="40"/>
  <c r="J297" i="40"/>
  <c r="J296" i="40"/>
  <c r="J295" i="40"/>
  <c r="J294" i="40"/>
  <c r="J293" i="40"/>
  <c r="J292" i="40"/>
  <c r="J291" i="40"/>
  <c r="J290" i="40"/>
  <c r="J289" i="40"/>
  <c r="J288" i="40"/>
  <c r="J287" i="40"/>
  <c r="J286" i="40"/>
  <c r="J285" i="40"/>
  <c r="J284" i="40"/>
  <c r="J283" i="40"/>
  <c r="J282" i="40"/>
  <c r="J281" i="40"/>
  <c r="J280" i="40"/>
  <c r="J279" i="40"/>
  <c r="J278" i="40"/>
  <c r="J277" i="40"/>
  <c r="J276" i="40"/>
  <c r="J275" i="40"/>
  <c r="J274" i="40"/>
  <c r="J273" i="40"/>
  <c r="J272" i="40"/>
  <c r="J271" i="40"/>
  <c r="J270" i="40"/>
  <c r="J269" i="40"/>
  <c r="J268" i="40"/>
  <c r="J267" i="40"/>
  <c r="J266" i="40"/>
  <c r="J265" i="40"/>
  <c r="J264" i="40"/>
  <c r="J263" i="40"/>
  <c r="J262" i="40"/>
  <c r="J261" i="40"/>
  <c r="J260" i="40"/>
  <c r="J259" i="40"/>
  <c r="J258" i="40"/>
  <c r="J257" i="40"/>
  <c r="J256" i="40"/>
  <c r="J255" i="40"/>
  <c r="J254" i="40"/>
  <c r="J253" i="40"/>
  <c r="J252" i="40"/>
  <c r="J251" i="40"/>
  <c r="J250" i="40"/>
  <c r="J249" i="40"/>
  <c r="J248" i="40"/>
  <c r="J247" i="40"/>
  <c r="J246" i="40"/>
  <c r="J245" i="40"/>
  <c r="J244" i="40"/>
  <c r="J243" i="40"/>
  <c r="J242" i="40"/>
  <c r="J241" i="40"/>
  <c r="J240" i="40"/>
  <c r="J239" i="40"/>
  <c r="J238" i="40"/>
  <c r="J237" i="40"/>
  <c r="J236" i="40"/>
  <c r="J235" i="40"/>
  <c r="J234" i="40"/>
  <c r="J233" i="40"/>
  <c r="J232" i="40"/>
  <c r="J231" i="40"/>
  <c r="J230" i="40"/>
  <c r="J229" i="40"/>
  <c r="J228" i="40"/>
  <c r="J227" i="40"/>
  <c r="J226" i="40"/>
  <c r="J225" i="40"/>
  <c r="J224" i="40"/>
  <c r="J223" i="40"/>
  <c r="J222" i="40"/>
  <c r="J221" i="40"/>
  <c r="J220" i="40"/>
  <c r="J219" i="40"/>
  <c r="J218" i="40"/>
  <c r="J217" i="40"/>
  <c r="J216" i="40"/>
  <c r="J215" i="40"/>
  <c r="J214" i="40"/>
  <c r="J213" i="40"/>
  <c r="J212" i="40"/>
  <c r="J211" i="40"/>
  <c r="J210" i="40"/>
  <c r="J209" i="40"/>
  <c r="J208" i="40"/>
  <c r="J207" i="40"/>
  <c r="J206" i="40"/>
  <c r="J205" i="40"/>
  <c r="J204" i="40"/>
  <c r="J203" i="40"/>
  <c r="J202" i="40"/>
  <c r="J201" i="40"/>
  <c r="J200" i="40"/>
  <c r="J199" i="40"/>
  <c r="J198" i="40"/>
  <c r="J197" i="40"/>
  <c r="J196" i="40"/>
  <c r="J195" i="40"/>
  <c r="J194" i="40"/>
  <c r="J193" i="40"/>
  <c r="J192" i="40"/>
  <c r="J191" i="40"/>
  <c r="J190" i="40"/>
  <c r="J189" i="40"/>
  <c r="J188" i="40"/>
  <c r="J187" i="40"/>
  <c r="J186" i="40"/>
  <c r="J185" i="40"/>
  <c r="J184" i="40"/>
  <c r="J183" i="40"/>
  <c r="J182" i="40"/>
  <c r="J181" i="40"/>
  <c r="J180" i="40"/>
  <c r="J179" i="40"/>
  <c r="J178" i="40"/>
  <c r="J177" i="40"/>
  <c r="J176" i="40"/>
  <c r="J175" i="40"/>
  <c r="J174" i="40"/>
  <c r="J173" i="40"/>
  <c r="J172" i="40"/>
  <c r="J171" i="40"/>
  <c r="J170" i="40"/>
  <c r="J169" i="40"/>
  <c r="J168" i="40"/>
  <c r="J167" i="40"/>
  <c r="J166" i="40"/>
  <c r="J165" i="40"/>
  <c r="J164" i="40"/>
  <c r="J163" i="40"/>
  <c r="J162" i="40"/>
  <c r="J161" i="40"/>
  <c r="J160" i="40"/>
  <c r="J159" i="40"/>
  <c r="J158" i="40"/>
  <c r="J157" i="40"/>
  <c r="J156" i="40"/>
  <c r="J155" i="40"/>
  <c r="J154" i="40"/>
  <c r="J153" i="40"/>
  <c r="J152" i="40"/>
  <c r="J151" i="40"/>
  <c r="J150" i="40"/>
  <c r="J149" i="40"/>
  <c r="K148" i="40"/>
  <c r="J148" i="40"/>
  <c r="K147" i="40"/>
  <c r="J147" i="40"/>
  <c r="K146" i="40"/>
  <c r="J146" i="40"/>
  <c r="K145" i="40"/>
  <c r="J145" i="40"/>
  <c r="K144" i="40"/>
  <c r="J144" i="40"/>
  <c r="K143" i="40"/>
  <c r="J143" i="40"/>
  <c r="K142" i="40"/>
  <c r="J142" i="40"/>
  <c r="K141" i="40"/>
  <c r="J141" i="40"/>
  <c r="K140" i="40"/>
  <c r="J140" i="40"/>
  <c r="K139" i="40"/>
  <c r="J139" i="40"/>
  <c r="K138" i="40"/>
  <c r="J138" i="40"/>
  <c r="K137" i="40"/>
  <c r="J137" i="40"/>
  <c r="K136" i="40"/>
  <c r="J136" i="40"/>
  <c r="K135" i="40"/>
  <c r="J135" i="40"/>
  <c r="K134" i="40"/>
  <c r="J134" i="40"/>
  <c r="K133" i="40"/>
  <c r="J133" i="40"/>
  <c r="K132" i="40"/>
  <c r="J132" i="40"/>
  <c r="K131" i="40"/>
  <c r="J131" i="40"/>
  <c r="K130" i="40"/>
  <c r="J130" i="40"/>
  <c r="K129" i="40"/>
  <c r="J129" i="40"/>
  <c r="K128" i="40"/>
  <c r="J128" i="40"/>
  <c r="K127" i="40"/>
  <c r="J127" i="40"/>
  <c r="K126" i="40"/>
  <c r="J126" i="40"/>
  <c r="K125" i="40"/>
  <c r="J125" i="40"/>
  <c r="K124" i="40"/>
  <c r="J124" i="40"/>
  <c r="K123" i="40"/>
  <c r="J123" i="40"/>
  <c r="K122" i="40"/>
  <c r="J122" i="40"/>
  <c r="K121" i="40"/>
  <c r="J121" i="40"/>
  <c r="K120" i="40"/>
  <c r="J120" i="40"/>
  <c r="K119" i="40"/>
  <c r="J119" i="40"/>
  <c r="K118" i="40"/>
  <c r="J118" i="40"/>
  <c r="K117" i="40"/>
  <c r="J117" i="40"/>
  <c r="K116" i="40"/>
  <c r="J116" i="40"/>
  <c r="K115" i="40"/>
  <c r="J115" i="40"/>
  <c r="K114" i="40"/>
  <c r="J114" i="40"/>
  <c r="K113" i="40"/>
  <c r="J113" i="40"/>
  <c r="K112" i="40"/>
  <c r="J112" i="40"/>
  <c r="K111" i="40"/>
  <c r="J111" i="40"/>
  <c r="K110" i="40"/>
  <c r="J110" i="40"/>
  <c r="K109" i="40"/>
  <c r="J109" i="40"/>
  <c r="K108" i="40"/>
  <c r="J108" i="40"/>
  <c r="K107" i="40"/>
  <c r="J107" i="40"/>
  <c r="K106" i="40"/>
  <c r="J106" i="40"/>
  <c r="K105" i="40"/>
  <c r="J105" i="40"/>
  <c r="K104" i="40"/>
  <c r="J104" i="40"/>
  <c r="K103" i="40"/>
  <c r="J103" i="40"/>
  <c r="K102" i="40"/>
  <c r="J102" i="40"/>
  <c r="K101" i="40"/>
  <c r="J101" i="40"/>
  <c r="K100" i="40"/>
  <c r="J100" i="40"/>
  <c r="K99" i="40"/>
  <c r="J99" i="40"/>
  <c r="K98" i="40"/>
  <c r="J98" i="40"/>
  <c r="K97" i="40"/>
  <c r="J97" i="40"/>
  <c r="K96" i="40"/>
  <c r="J96" i="40"/>
  <c r="K95" i="40"/>
  <c r="J95" i="40"/>
  <c r="K94" i="40"/>
  <c r="J94" i="40"/>
  <c r="K93" i="40"/>
  <c r="J93" i="40"/>
  <c r="K92" i="40"/>
  <c r="J92" i="40"/>
  <c r="K91" i="40"/>
  <c r="J91" i="40"/>
  <c r="K90" i="40"/>
  <c r="J90" i="40"/>
  <c r="K89" i="40"/>
  <c r="J89" i="40"/>
  <c r="K88" i="40"/>
  <c r="J88" i="40"/>
  <c r="K87" i="40"/>
  <c r="J87" i="40"/>
  <c r="K86" i="40"/>
  <c r="J86" i="40"/>
  <c r="K85" i="40"/>
  <c r="J85" i="40"/>
  <c r="K84" i="40"/>
  <c r="J84" i="40"/>
  <c r="K83" i="40"/>
  <c r="J83" i="40"/>
  <c r="K82" i="40"/>
  <c r="J82" i="40"/>
  <c r="K81" i="40"/>
  <c r="J81" i="40"/>
  <c r="K80" i="40"/>
  <c r="J80" i="40"/>
  <c r="K79" i="40"/>
  <c r="J79" i="40"/>
  <c r="K78" i="40"/>
  <c r="J78" i="40"/>
  <c r="K77" i="40"/>
  <c r="J77" i="40"/>
  <c r="K76" i="40"/>
  <c r="J76" i="40"/>
  <c r="K75" i="40"/>
  <c r="J75" i="40"/>
  <c r="K74" i="40"/>
  <c r="J74" i="40"/>
  <c r="K73" i="40"/>
  <c r="J73" i="40"/>
  <c r="K72" i="40"/>
  <c r="J72" i="40"/>
  <c r="K71" i="40"/>
  <c r="J71" i="40"/>
  <c r="K70" i="40"/>
  <c r="J70" i="40"/>
  <c r="K69" i="40"/>
  <c r="J69" i="40"/>
  <c r="K68" i="40"/>
  <c r="J68" i="40"/>
  <c r="K67" i="40"/>
  <c r="J67" i="40"/>
  <c r="K66" i="40"/>
  <c r="J66" i="40"/>
  <c r="K65" i="40"/>
  <c r="J65" i="40"/>
  <c r="K64" i="40"/>
  <c r="J64" i="40"/>
  <c r="K63" i="40"/>
  <c r="J63" i="40"/>
  <c r="K62" i="40"/>
  <c r="J62" i="40"/>
  <c r="K61" i="40"/>
  <c r="J61" i="40"/>
  <c r="K60" i="40"/>
  <c r="J60" i="40"/>
  <c r="K59" i="40"/>
  <c r="J59" i="40"/>
  <c r="K58" i="40"/>
  <c r="J58" i="40"/>
  <c r="K57" i="40"/>
  <c r="J57" i="40"/>
  <c r="K56" i="40"/>
  <c r="J56" i="40"/>
  <c r="K55" i="40"/>
  <c r="J55" i="40"/>
  <c r="K54" i="40"/>
  <c r="J54" i="40"/>
  <c r="K53" i="40"/>
  <c r="J53" i="40"/>
  <c r="K52" i="40"/>
  <c r="J52" i="40"/>
  <c r="K51" i="40"/>
  <c r="J51" i="40"/>
  <c r="K50" i="40"/>
  <c r="J50" i="40"/>
  <c r="K49" i="40"/>
  <c r="J49" i="40"/>
  <c r="K48" i="40"/>
  <c r="J48" i="40"/>
  <c r="K47" i="40"/>
  <c r="J47" i="40"/>
  <c r="K46" i="40"/>
  <c r="J46" i="40"/>
  <c r="K45" i="40"/>
  <c r="J45" i="40"/>
  <c r="K44" i="40"/>
  <c r="J44" i="40"/>
  <c r="K43" i="40"/>
  <c r="J43" i="40"/>
  <c r="K42" i="40"/>
  <c r="J42" i="40"/>
  <c r="K41" i="40"/>
  <c r="J41" i="40"/>
  <c r="K40" i="40"/>
  <c r="J40" i="40"/>
  <c r="K39" i="40"/>
  <c r="J39" i="40"/>
  <c r="K38" i="40"/>
  <c r="J38" i="40"/>
  <c r="K37" i="40"/>
  <c r="J37" i="40"/>
  <c r="K36" i="40"/>
  <c r="J36" i="40"/>
  <c r="K35" i="40"/>
  <c r="J35" i="40"/>
  <c r="K34" i="40"/>
  <c r="J34" i="40"/>
  <c r="K33" i="40"/>
  <c r="J33" i="40"/>
  <c r="K32" i="40"/>
  <c r="J32" i="40"/>
  <c r="K31" i="40"/>
  <c r="J31" i="40"/>
  <c r="K30" i="40"/>
  <c r="J30" i="40"/>
  <c r="K29" i="40"/>
  <c r="J29" i="40"/>
  <c r="K28" i="40"/>
  <c r="J28" i="40"/>
  <c r="K27" i="40"/>
  <c r="J27" i="40"/>
  <c r="K26" i="40"/>
  <c r="J26" i="40"/>
  <c r="K25" i="40"/>
  <c r="J25" i="40"/>
  <c r="K24" i="40"/>
  <c r="J24" i="40"/>
  <c r="K23" i="40"/>
  <c r="J23" i="40"/>
  <c r="K22" i="40"/>
  <c r="J22" i="40"/>
  <c r="K21" i="40"/>
  <c r="J21" i="40"/>
  <c r="K20" i="40"/>
  <c r="J20" i="40"/>
  <c r="K19" i="40"/>
  <c r="J19" i="40"/>
  <c r="K18" i="40"/>
  <c r="J18" i="40"/>
  <c r="K17" i="40"/>
  <c r="J17" i="40"/>
  <c r="K16" i="40"/>
  <c r="J16" i="40"/>
  <c r="K15" i="40"/>
  <c r="J15" i="40"/>
  <c r="K14" i="40"/>
  <c r="J14" i="40"/>
  <c r="K13" i="40"/>
  <c r="J13" i="40"/>
  <c r="K12" i="40"/>
  <c r="J12" i="40"/>
  <c r="K11" i="40"/>
  <c r="J11" i="40"/>
  <c r="K10" i="40"/>
  <c r="J10" i="40"/>
  <c r="K9" i="40"/>
  <c r="J9" i="40"/>
  <c r="K8" i="40"/>
  <c r="J8" i="40"/>
  <c r="K7" i="40"/>
  <c r="J7" i="40"/>
  <c r="K6" i="40"/>
  <c r="J6" i="40"/>
  <c r="K5" i="40"/>
  <c r="J5" i="40"/>
  <c r="K2" i="40"/>
  <c r="I2" i="40"/>
  <c r="H2" i="40"/>
  <c r="K498" i="68"/>
  <c r="J498" i="68"/>
  <c r="K497" i="68"/>
  <c r="J497" i="68"/>
  <c r="K496" i="68"/>
  <c r="J496" i="68"/>
  <c r="K495" i="68"/>
  <c r="J495" i="68"/>
  <c r="K494" i="68"/>
  <c r="J494" i="68"/>
  <c r="K493" i="68"/>
  <c r="J493" i="68"/>
  <c r="K492" i="68"/>
  <c r="J492" i="68"/>
  <c r="K491" i="68"/>
  <c r="J491" i="68"/>
  <c r="K490" i="68"/>
  <c r="J490" i="68"/>
  <c r="K489" i="68"/>
  <c r="J489" i="68"/>
  <c r="K488" i="68"/>
  <c r="J488" i="68"/>
  <c r="K487" i="68"/>
  <c r="J487" i="68"/>
  <c r="K486" i="68"/>
  <c r="J486" i="68"/>
  <c r="K485" i="68"/>
  <c r="J485" i="68"/>
  <c r="K484" i="68"/>
  <c r="J484" i="68"/>
  <c r="K483" i="68"/>
  <c r="J483" i="68"/>
  <c r="K482" i="68"/>
  <c r="J482" i="68"/>
  <c r="K481" i="68"/>
  <c r="J481" i="68"/>
  <c r="K480" i="68"/>
  <c r="J480" i="68"/>
  <c r="K479" i="68"/>
  <c r="J479" i="68"/>
  <c r="K478" i="68"/>
  <c r="J478" i="68"/>
  <c r="K477" i="68"/>
  <c r="J477" i="68"/>
  <c r="K476" i="68"/>
  <c r="J476" i="68"/>
  <c r="K475" i="68"/>
  <c r="J475" i="68"/>
  <c r="K474" i="68"/>
  <c r="J474" i="68"/>
  <c r="K473" i="68"/>
  <c r="J473" i="68"/>
  <c r="K472" i="68"/>
  <c r="J472" i="68"/>
  <c r="K471" i="68"/>
  <c r="J471" i="68"/>
  <c r="K470" i="68"/>
  <c r="J470" i="68"/>
  <c r="K469" i="68"/>
  <c r="J469" i="68"/>
  <c r="K468" i="68"/>
  <c r="J468" i="68"/>
  <c r="K467" i="68"/>
  <c r="J467" i="68"/>
  <c r="K466" i="68"/>
  <c r="J466" i="68"/>
  <c r="K465" i="68"/>
  <c r="J465" i="68"/>
  <c r="K464" i="68"/>
  <c r="J464" i="68"/>
  <c r="K463" i="68"/>
  <c r="J463" i="68"/>
  <c r="K462" i="68"/>
  <c r="J462" i="68"/>
  <c r="K461" i="68"/>
  <c r="J461" i="68"/>
  <c r="K460" i="68"/>
  <c r="J460" i="68"/>
  <c r="K459" i="68"/>
  <c r="J459" i="68"/>
  <c r="K458" i="68"/>
  <c r="J458" i="68"/>
  <c r="K457" i="68"/>
  <c r="J457" i="68"/>
  <c r="K456" i="68"/>
  <c r="J456" i="68"/>
  <c r="K455" i="68"/>
  <c r="J455" i="68"/>
  <c r="K454" i="68"/>
  <c r="J454" i="68"/>
  <c r="K453" i="68"/>
  <c r="J453" i="68"/>
  <c r="K452" i="68"/>
  <c r="J452" i="68"/>
  <c r="K451" i="68"/>
  <c r="J451" i="68"/>
  <c r="K450" i="68"/>
  <c r="J450" i="68"/>
  <c r="K449" i="68"/>
  <c r="J449" i="68"/>
  <c r="K448" i="68"/>
  <c r="J448" i="68"/>
  <c r="K447" i="68"/>
  <c r="J447" i="68"/>
  <c r="K446" i="68"/>
  <c r="J446" i="68"/>
  <c r="K445" i="68"/>
  <c r="J445" i="68"/>
  <c r="K444" i="68"/>
  <c r="J444" i="68"/>
  <c r="K443" i="68"/>
  <c r="J443" i="68"/>
  <c r="K442" i="68"/>
  <c r="J442" i="68"/>
  <c r="K441" i="68"/>
  <c r="J441" i="68"/>
  <c r="K440" i="68"/>
  <c r="J440" i="68"/>
  <c r="K439" i="68"/>
  <c r="J439" i="68"/>
  <c r="K438" i="68"/>
  <c r="J438" i="68"/>
  <c r="K437" i="68"/>
  <c r="J437" i="68"/>
  <c r="K436" i="68"/>
  <c r="J436" i="68"/>
  <c r="K435" i="68"/>
  <c r="J435" i="68"/>
  <c r="K434" i="68"/>
  <c r="J434" i="68"/>
  <c r="K433" i="68"/>
  <c r="J433" i="68"/>
  <c r="K432" i="68"/>
  <c r="J432" i="68"/>
  <c r="K431" i="68"/>
  <c r="J431" i="68"/>
  <c r="K430" i="68"/>
  <c r="J430" i="68"/>
  <c r="K429" i="68"/>
  <c r="J429" i="68"/>
  <c r="K428" i="68"/>
  <c r="J428" i="68"/>
  <c r="K427" i="68"/>
  <c r="J427" i="68"/>
  <c r="K426" i="68"/>
  <c r="J426" i="68"/>
  <c r="K425" i="68"/>
  <c r="J425" i="68"/>
  <c r="K424" i="68"/>
  <c r="J424" i="68"/>
  <c r="K423" i="68"/>
  <c r="J423" i="68"/>
  <c r="K422" i="68"/>
  <c r="J422" i="68"/>
  <c r="K421" i="68"/>
  <c r="J421" i="68"/>
  <c r="K420" i="68"/>
  <c r="J420" i="68"/>
  <c r="K419" i="68"/>
  <c r="J419" i="68"/>
  <c r="K418" i="68"/>
  <c r="J418" i="68"/>
  <c r="K417" i="68"/>
  <c r="J417" i="68"/>
  <c r="K416" i="68"/>
  <c r="J416" i="68"/>
  <c r="K415" i="68"/>
  <c r="J415" i="68"/>
  <c r="K414" i="68"/>
  <c r="J414" i="68"/>
  <c r="K413" i="68"/>
  <c r="J413" i="68"/>
  <c r="K412" i="68"/>
  <c r="J412" i="68"/>
  <c r="K411" i="68"/>
  <c r="J411" i="68"/>
  <c r="K410" i="68"/>
  <c r="J410" i="68"/>
  <c r="K409" i="68"/>
  <c r="J409" i="68"/>
  <c r="K408" i="68"/>
  <c r="J408" i="68"/>
  <c r="K407" i="68"/>
  <c r="J407" i="68"/>
  <c r="K406" i="68"/>
  <c r="J406" i="68"/>
  <c r="K405" i="68"/>
  <c r="J405" i="68"/>
  <c r="K404" i="68"/>
  <c r="J404" i="68"/>
  <c r="K403" i="68"/>
  <c r="J403" i="68"/>
  <c r="K402" i="68"/>
  <c r="J402" i="68"/>
  <c r="K401" i="68"/>
  <c r="J401" i="68"/>
  <c r="K400" i="68"/>
  <c r="J400" i="68"/>
  <c r="K399" i="68"/>
  <c r="J399" i="68"/>
  <c r="K398" i="68"/>
  <c r="J398" i="68"/>
  <c r="K397" i="68"/>
  <c r="J397" i="68"/>
  <c r="K396" i="68"/>
  <c r="J396" i="68"/>
  <c r="K395" i="68"/>
  <c r="J395" i="68"/>
  <c r="K394" i="68"/>
  <c r="J394" i="68"/>
  <c r="K393" i="68"/>
  <c r="J393" i="68"/>
  <c r="K392" i="68"/>
  <c r="J392" i="68"/>
  <c r="K391" i="68"/>
  <c r="J391" i="68"/>
  <c r="K390" i="68"/>
  <c r="J390" i="68"/>
  <c r="K389" i="68"/>
  <c r="J389" i="68"/>
  <c r="K388" i="68"/>
  <c r="J388" i="68"/>
  <c r="K387" i="68"/>
  <c r="J387" i="68"/>
  <c r="K386" i="68"/>
  <c r="J386" i="68"/>
  <c r="K385" i="68"/>
  <c r="J385" i="68"/>
  <c r="K384" i="68"/>
  <c r="J384" i="68"/>
  <c r="K383" i="68"/>
  <c r="J383" i="68"/>
  <c r="K382" i="68"/>
  <c r="J382" i="68"/>
  <c r="K381" i="68"/>
  <c r="J381" i="68"/>
  <c r="K380" i="68"/>
  <c r="J380" i="68"/>
  <c r="K379" i="68"/>
  <c r="J379" i="68"/>
  <c r="K378" i="68"/>
  <c r="J378" i="68"/>
  <c r="K377" i="68"/>
  <c r="J377" i="68"/>
  <c r="K376" i="68"/>
  <c r="J376" i="68"/>
  <c r="K375" i="68"/>
  <c r="J375" i="68"/>
  <c r="K374" i="68"/>
  <c r="J374" i="68"/>
  <c r="K373" i="68"/>
  <c r="J373" i="68"/>
  <c r="K372" i="68"/>
  <c r="J372" i="68"/>
  <c r="K371" i="68"/>
  <c r="J371" i="68"/>
  <c r="K370" i="68"/>
  <c r="J370" i="68"/>
  <c r="K369" i="68"/>
  <c r="J369" i="68"/>
  <c r="K368" i="68"/>
  <c r="J368" i="68"/>
  <c r="K367" i="68"/>
  <c r="J367" i="68"/>
  <c r="K366" i="68"/>
  <c r="J366" i="68"/>
  <c r="K365" i="68"/>
  <c r="J365" i="68"/>
  <c r="K364" i="68"/>
  <c r="J364" i="68"/>
  <c r="K363" i="68"/>
  <c r="J363" i="68"/>
  <c r="K362" i="68"/>
  <c r="J362" i="68"/>
  <c r="K361" i="68"/>
  <c r="J361" i="68"/>
  <c r="K360" i="68"/>
  <c r="J360" i="68"/>
  <c r="K359" i="68"/>
  <c r="J359" i="68"/>
  <c r="K358" i="68"/>
  <c r="J358" i="68"/>
  <c r="K357" i="68"/>
  <c r="J357" i="68"/>
  <c r="K356" i="68"/>
  <c r="J356" i="68"/>
  <c r="K355" i="68"/>
  <c r="J355" i="68"/>
  <c r="K354" i="68"/>
  <c r="J354" i="68"/>
  <c r="K353" i="68"/>
  <c r="J353" i="68"/>
  <c r="K352" i="68"/>
  <c r="J352" i="68"/>
  <c r="K351" i="68"/>
  <c r="J351" i="68"/>
  <c r="K350" i="68"/>
  <c r="J350" i="68"/>
  <c r="K349" i="68"/>
  <c r="J349" i="68"/>
  <c r="K348" i="68"/>
  <c r="J348" i="68"/>
  <c r="K347" i="68"/>
  <c r="J347" i="68"/>
  <c r="K346" i="68"/>
  <c r="J346" i="68"/>
  <c r="K345" i="68"/>
  <c r="J345" i="68"/>
  <c r="K344" i="68"/>
  <c r="J344" i="68"/>
  <c r="K343" i="68"/>
  <c r="J343" i="68"/>
  <c r="K342" i="68"/>
  <c r="J342" i="68"/>
  <c r="K341" i="68"/>
  <c r="J341" i="68"/>
  <c r="K340" i="68"/>
  <c r="J340" i="68"/>
  <c r="K339" i="68"/>
  <c r="J339" i="68"/>
  <c r="K338" i="68"/>
  <c r="J338" i="68"/>
  <c r="K337" i="68"/>
  <c r="J337" i="68"/>
  <c r="K336" i="68"/>
  <c r="J336" i="68"/>
  <c r="K335" i="68"/>
  <c r="J335" i="68"/>
  <c r="K334" i="68"/>
  <c r="J334" i="68"/>
  <c r="K333" i="68"/>
  <c r="J333" i="68"/>
  <c r="K332" i="68"/>
  <c r="J332" i="68"/>
  <c r="K331" i="68"/>
  <c r="J331" i="68"/>
  <c r="K330" i="68"/>
  <c r="J330" i="68"/>
  <c r="K329" i="68"/>
  <c r="J329" i="68"/>
  <c r="K328" i="68"/>
  <c r="J328" i="68"/>
  <c r="K327" i="68"/>
  <c r="J327" i="68"/>
  <c r="K326" i="68"/>
  <c r="J326" i="68"/>
  <c r="K325" i="68"/>
  <c r="J325" i="68"/>
  <c r="K324" i="68"/>
  <c r="J324" i="68"/>
  <c r="K323" i="68"/>
  <c r="J323" i="68"/>
  <c r="K322" i="68"/>
  <c r="J322" i="68"/>
  <c r="K321" i="68"/>
  <c r="J321" i="68"/>
  <c r="K320" i="68"/>
  <c r="J320" i="68"/>
  <c r="K319" i="68"/>
  <c r="J319" i="68"/>
  <c r="K318" i="68"/>
  <c r="J318" i="68"/>
  <c r="K317" i="68"/>
  <c r="J317" i="68"/>
  <c r="K316" i="68"/>
  <c r="J316" i="68"/>
  <c r="K315" i="68"/>
  <c r="J315" i="68"/>
  <c r="K314" i="68"/>
  <c r="J314" i="68"/>
  <c r="K313" i="68"/>
  <c r="J313" i="68"/>
  <c r="K312" i="68"/>
  <c r="J312" i="68"/>
  <c r="K311" i="68"/>
  <c r="J311" i="68"/>
  <c r="K310" i="68"/>
  <c r="J310" i="68"/>
  <c r="K309" i="68"/>
  <c r="J309" i="68"/>
  <c r="K308" i="68"/>
  <c r="J308" i="68"/>
  <c r="K307" i="68"/>
  <c r="J307" i="68"/>
  <c r="K306" i="68"/>
  <c r="J306" i="68"/>
  <c r="K305" i="68"/>
  <c r="J305" i="68"/>
  <c r="K304" i="68"/>
  <c r="J304" i="68"/>
  <c r="K303" i="68"/>
  <c r="J303" i="68"/>
  <c r="K302" i="68"/>
  <c r="J302" i="68"/>
  <c r="K301" i="68"/>
  <c r="J301" i="68"/>
  <c r="K300" i="68"/>
  <c r="J300" i="68"/>
  <c r="K299" i="68"/>
  <c r="J299" i="68"/>
  <c r="K298" i="68"/>
  <c r="J298" i="68"/>
  <c r="K297" i="68"/>
  <c r="J297" i="68"/>
  <c r="K296" i="68"/>
  <c r="J296" i="68"/>
  <c r="K295" i="68"/>
  <c r="J295" i="68"/>
  <c r="K294" i="68"/>
  <c r="J294" i="68"/>
  <c r="K293" i="68"/>
  <c r="J293" i="68"/>
  <c r="K292" i="68"/>
  <c r="J292" i="68"/>
  <c r="K291" i="68"/>
  <c r="J291" i="68"/>
  <c r="K290" i="68"/>
  <c r="J290" i="68"/>
  <c r="K289" i="68"/>
  <c r="J289" i="68"/>
  <c r="K288" i="68"/>
  <c r="J288" i="68"/>
  <c r="K287" i="68"/>
  <c r="J287" i="68"/>
  <c r="K286" i="68"/>
  <c r="J286" i="68"/>
  <c r="K285" i="68"/>
  <c r="J285" i="68"/>
  <c r="K284" i="68"/>
  <c r="J284" i="68"/>
  <c r="K283" i="68"/>
  <c r="J283" i="68"/>
  <c r="K282" i="68"/>
  <c r="J282" i="68"/>
  <c r="K281" i="68"/>
  <c r="J281" i="68"/>
  <c r="K280" i="68"/>
  <c r="J280" i="68"/>
  <c r="K279" i="68"/>
  <c r="J279" i="68"/>
  <c r="K278" i="68"/>
  <c r="J278" i="68"/>
  <c r="K277" i="68"/>
  <c r="J277" i="68"/>
  <c r="K276" i="68"/>
  <c r="J276" i="68"/>
  <c r="K275" i="68"/>
  <c r="J275" i="68"/>
  <c r="K274" i="68"/>
  <c r="J274" i="68"/>
  <c r="K273" i="68"/>
  <c r="J273" i="68"/>
  <c r="K272" i="68"/>
  <c r="J272" i="68"/>
  <c r="K271" i="68"/>
  <c r="J271" i="68"/>
  <c r="K270" i="68"/>
  <c r="J270" i="68"/>
  <c r="K269" i="68"/>
  <c r="J269" i="68"/>
  <c r="K268" i="68"/>
  <c r="J268" i="68"/>
  <c r="K267" i="68"/>
  <c r="J267" i="68"/>
  <c r="K266" i="68"/>
  <c r="J266" i="68"/>
  <c r="K265" i="68"/>
  <c r="J265" i="68"/>
  <c r="K264" i="68"/>
  <c r="J264" i="68"/>
  <c r="K263" i="68"/>
  <c r="J263" i="68"/>
  <c r="K262" i="68"/>
  <c r="J262" i="68"/>
  <c r="K261" i="68"/>
  <c r="J261" i="68"/>
  <c r="K260" i="68"/>
  <c r="J260" i="68"/>
  <c r="K259" i="68"/>
  <c r="J259" i="68"/>
  <c r="K258" i="68"/>
  <c r="J258" i="68"/>
  <c r="K257" i="68"/>
  <c r="J257" i="68"/>
  <c r="K256" i="68"/>
  <c r="J256" i="68"/>
  <c r="K255" i="68"/>
  <c r="J255" i="68"/>
  <c r="K254" i="68"/>
  <c r="J254" i="68"/>
  <c r="K253" i="68"/>
  <c r="J253" i="68"/>
  <c r="K252" i="68"/>
  <c r="J252" i="68"/>
  <c r="K251" i="68"/>
  <c r="J251" i="68"/>
  <c r="K250" i="68"/>
  <c r="J250" i="68"/>
  <c r="K249" i="68"/>
  <c r="J249" i="68"/>
  <c r="K248" i="68"/>
  <c r="J248" i="68"/>
  <c r="K247" i="68"/>
  <c r="J247" i="68"/>
  <c r="K246" i="68"/>
  <c r="J246" i="68"/>
  <c r="K245" i="68"/>
  <c r="J245" i="68"/>
  <c r="K244" i="68"/>
  <c r="J244" i="68"/>
  <c r="K243" i="68"/>
  <c r="J243" i="68"/>
  <c r="K242" i="68"/>
  <c r="J242" i="68"/>
  <c r="K241" i="68"/>
  <c r="J241" i="68"/>
  <c r="K240" i="68"/>
  <c r="J240" i="68"/>
  <c r="K239" i="68"/>
  <c r="J239" i="68"/>
  <c r="K238" i="68"/>
  <c r="J238" i="68"/>
  <c r="K237" i="68"/>
  <c r="J237" i="68"/>
  <c r="K236" i="68"/>
  <c r="J236" i="68"/>
  <c r="K235" i="68"/>
  <c r="J235" i="68"/>
  <c r="K234" i="68"/>
  <c r="J234" i="68"/>
  <c r="K233" i="68"/>
  <c r="J233" i="68"/>
  <c r="K232" i="68"/>
  <c r="J232" i="68"/>
  <c r="K231" i="68"/>
  <c r="J231" i="68"/>
  <c r="K230" i="68"/>
  <c r="J230" i="68"/>
  <c r="K229" i="68"/>
  <c r="J229" i="68"/>
  <c r="K228" i="68"/>
  <c r="J228" i="68"/>
  <c r="K227" i="68"/>
  <c r="J227" i="68"/>
  <c r="K226" i="68"/>
  <c r="J226" i="68"/>
  <c r="K225" i="68"/>
  <c r="J225" i="68"/>
  <c r="K224" i="68"/>
  <c r="J224" i="68"/>
  <c r="K223" i="68"/>
  <c r="J223" i="68"/>
  <c r="K222" i="68"/>
  <c r="J222" i="68"/>
  <c r="K221" i="68"/>
  <c r="J221" i="68"/>
  <c r="K220" i="68"/>
  <c r="J220" i="68"/>
  <c r="K219" i="68"/>
  <c r="J219" i="68"/>
  <c r="K218" i="68"/>
  <c r="J218" i="68"/>
  <c r="K217" i="68"/>
  <c r="J217" i="68"/>
  <c r="K216" i="68"/>
  <c r="J216" i="68"/>
  <c r="K215" i="68"/>
  <c r="J215" i="68"/>
  <c r="K214" i="68"/>
  <c r="J214" i="68"/>
  <c r="K213" i="68"/>
  <c r="J213" i="68"/>
  <c r="K212" i="68"/>
  <c r="J212" i="68"/>
  <c r="K211" i="68"/>
  <c r="J211" i="68"/>
  <c r="K210" i="68"/>
  <c r="J210" i="68"/>
  <c r="K209" i="68"/>
  <c r="J209" i="68"/>
  <c r="K208" i="68"/>
  <c r="J208" i="68"/>
  <c r="K207" i="68"/>
  <c r="J207" i="68"/>
  <c r="K206" i="68"/>
  <c r="J206" i="68"/>
  <c r="K205" i="68"/>
  <c r="J205" i="68"/>
  <c r="K204" i="68"/>
  <c r="J204" i="68"/>
  <c r="K203" i="68"/>
  <c r="J203" i="68"/>
  <c r="K202" i="68"/>
  <c r="J202" i="68"/>
  <c r="K201" i="68"/>
  <c r="J201" i="68"/>
  <c r="K200" i="68"/>
  <c r="J200" i="68"/>
  <c r="K199" i="68"/>
  <c r="J199" i="68"/>
  <c r="K198" i="68"/>
  <c r="J198" i="68"/>
  <c r="K197" i="68"/>
  <c r="J197" i="68"/>
  <c r="K196" i="68"/>
  <c r="J196" i="68"/>
  <c r="K195" i="68"/>
  <c r="J195" i="68"/>
  <c r="K194" i="68"/>
  <c r="J194" i="68"/>
  <c r="K193" i="68"/>
  <c r="J193" i="68"/>
  <c r="K192" i="68"/>
  <c r="J192" i="68"/>
  <c r="K191" i="68"/>
  <c r="J191" i="68"/>
  <c r="K190" i="68"/>
  <c r="J190" i="68"/>
  <c r="K189" i="68"/>
  <c r="J189" i="68"/>
  <c r="K188" i="68"/>
  <c r="J188" i="68"/>
  <c r="K187" i="68"/>
  <c r="J187" i="68"/>
  <c r="K186" i="68"/>
  <c r="J186" i="68"/>
  <c r="K185" i="68"/>
  <c r="J185" i="68"/>
  <c r="K184" i="68"/>
  <c r="J184" i="68"/>
  <c r="K183" i="68"/>
  <c r="J183" i="68"/>
  <c r="K182" i="68"/>
  <c r="J182" i="68"/>
  <c r="K181" i="68"/>
  <c r="J181" i="68"/>
  <c r="K180" i="68"/>
  <c r="J180" i="68"/>
  <c r="K179" i="68"/>
  <c r="J179" i="68"/>
  <c r="K178" i="68"/>
  <c r="J178" i="68"/>
  <c r="K177" i="68"/>
  <c r="J177" i="68"/>
  <c r="K176" i="68"/>
  <c r="J176" i="68"/>
  <c r="K175" i="68"/>
  <c r="J175" i="68"/>
  <c r="K174" i="68"/>
  <c r="J174" i="68"/>
  <c r="K173" i="68"/>
  <c r="J173" i="68"/>
  <c r="K172" i="68"/>
  <c r="J172" i="68"/>
  <c r="K171" i="68"/>
  <c r="J171" i="68"/>
  <c r="K170" i="68"/>
  <c r="J170" i="68"/>
  <c r="K169" i="68"/>
  <c r="J169" i="68"/>
  <c r="K168" i="68"/>
  <c r="J168" i="68"/>
  <c r="K167" i="68"/>
  <c r="J167" i="68"/>
  <c r="K166" i="68"/>
  <c r="J166" i="68"/>
  <c r="K165" i="68"/>
  <c r="J165" i="68"/>
  <c r="K164" i="68"/>
  <c r="J164" i="68"/>
  <c r="K163" i="68"/>
  <c r="J163" i="68"/>
  <c r="K162" i="68"/>
  <c r="J162" i="68"/>
  <c r="K161" i="68"/>
  <c r="J161" i="68"/>
  <c r="K160" i="68"/>
  <c r="J160" i="68"/>
  <c r="K159" i="68"/>
  <c r="J159" i="68"/>
  <c r="K158" i="68"/>
  <c r="J158" i="68"/>
  <c r="K157" i="68"/>
  <c r="J157" i="68"/>
  <c r="K156" i="68"/>
  <c r="J156" i="68"/>
  <c r="K155" i="68"/>
  <c r="J155" i="68"/>
  <c r="K154" i="68"/>
  <c r="J154" i="68"/>
  <c r="K153" i="68"/>
  <c r="J153" i="68"/>
  <c r="K152" i="68"/>
  <c r="J152" i="68"/>
  <c r="K151" i="68"/>
  <c r="J151" i="68"/>
  <c r="K150" i="68"/>
  <c r="J150" i="68"/>
  <c r="K149" i="68"/>
  <c r="J149" i="68"/>
  <c r="K148" i="68"/>
  <c r="J148" i="68"/>
  <c r="K147" i="68"/>
  <c r="J147" i="68"/>
  <c r="K146" i="68"/>
  <c r="J146" i="68"/>
  <c r="K145" i="68"/>
  <c r="J145" i="68"/>
  <c r="K144" i="68"/>
  <c r="J144" i="68"/>
  <c r="K143" i="68"/>
  <c r="J143" i="68"/>
  <c r="K142" i="68"/>
  <c r="J142" i="68"/>
  <c r="K141" i="68"/>
  <c r="J141" i="68"/>
  <c r="K140" i="68"/>
  <c r="J140" i="68"/>
  <c r="K139" i="68"/>
  <c r="J139" i="68"/>
  <c r="K138" i="68"/>
  <c r="J138" i="68"/>
  <c r="K137" i="68"/>
  <c r="J137" i="68"/>
  <c r="K136" i="68"/>
  <c r="J136" i="68"/>
  <c r="K135" i="68"/>
  <c r="J135" i="68"/>
  <c r="K134" i="68"/>
  <c r="J134" i="68"/>
  <c r="K133" i="68"/>
  <c r="J133" i="68"/>
  <c r="K132" i="68"/>
  <c r="J132" i="68"/>
  <c r="K131" i="68"/>
  <c r="J131" i="68"/>
  <c r="K130" i="68"/>
  <c r="J130" i="68"/>
  <c r="K129" i="68"/>
  <c r="J129" i="68"/>
  <c r="K128" i="68"/>
  <c r="J128" i="68"/>
  <c r="K127" i="68"/>
  <c r="J127" i="68"/>
  <c r="K126" i="68"/>
  <c r="J126" i="68"/>
  <c r="K125" i="68"/>
  <c r="J125" i="68"/>
  <c r="K124" i="68"/>
  <c r="J124" i="68"/>
  <c r="K123" i="68"/>
  <c r="J123" i="68"/>
  <c r="K122" i="68"/>
  <c r="J122" i="68"/>
  <c r="K121" i="68"/>
  <c r="J121" i="68"/>
  <c r="K120" i="68"/>
  <c r="J120" i="68"/>
  <c r="K119" i="68"/>
  <c r="J119" i="68"/>
  <c r="K118" i="68"/>
  <c r="J118" i="68"/>
  <c r="K117" i="68"/>
  <c r="J117" i="68"/>
  <c r="K116" i="68"/>
  <c r="J116" i="68"/>
  <c r="K115" i="68"/>
  <c r="J115" i="68"/>
  <c r="K114" i="68"/>
  <c r="J114" i="68"/>
  <c r="K113" i="68"/>
  <c r="J113" i="68"/>
  <c r="K112" i="68"/>
  <c r="J112" i="68"/>
  <c r="K111" i="68"/>
  <c r="J111" i="68"/>
  <c r="K110" i="68"/>
  <c r="J110" i="68"/>
  <c r="K109" i="68"/>
  <c r="J109" i="68"/>
  <c r="K108" i="68"/>
  <c r="J108" i="68"/>
  <c r="K107" i="68"/>
  <c r="J107" i="68"/>
  <c r="K106" i="68"/>
  <c r="J106" i="68"/>
  <c r="K105" i="68"/>
  <c r="J105" i="68"/>
  <c r="K104" i="68"/>
  <c r="J104" i="68"/>
  <c r="K103" i="68"/>
  <c r="J103" i="68"/>
  <c r="K102" i="68"/>
  <c r="J102" i="68"/>
  <c r="K101" i="68"/>
  <c r="J101" i="68"/>
  <c r="K100" i="68"/>
  <c r="J100" i="68"/>
  <c r="K99" i="68"/>
  <c r="J99" i="68"/>
  <c r="K98" i="68"/>
  <c r="J98" i="68"/>
  <c r="K97" i="68"/>
  <c r="J97" i="68"/>
  <c r="K96" i="68"/>
  <c r="J96" i="68"/>
  <c r="K95" i="68"/>
  <c r="J95" i="68"/>
  <c r="K94" i="68"/>
  <c r="J94" i="68"/>
  <c r="K93" i="68"/>
  <c r="J93" i="68"/>
  <c r="K92" i="68"/>
  <c r="J92" i="68"/>
  <c r="K91" i="68"/>
  <c r="J91" i="68"/>
  <c r="K90" i="68"/>
  <c r="J90" i="68"/>
  <c r="K89" i="68"/>
  <c r="J89" i="68"/>
  <c r="K88" i="68"/>
  <c r="J88" i="68"/>
  <c r="K87" i="68"/>
  <c r="J87" i="68"/>
  <c r="K86" i="68"/>
  <c r="J86" i="68"/>
  <c r="K85" i="68"/>
  <c r="J85" i="68"/>
  <c r="K84" i="68"/>
  <c r="J84" i="68"/>
  <c r="K83" i="68"/>
  <c r="J83" i="68"/>
  <c r="K82" i="68"/>
  <c r="J82" i="68"/>
  <c r="K81" i="68"/>
  <c r="J81" i="68"/>
  <c r="K80" i="68"/>
  <c r="J80" i="68"/>
  <c r="K79" i="68"/>
  <c r="J79" i="68"/>
  <c r="K78" i="68"/>
  <c r="J78" i="68"/>
  <c r="K77" i="68"/>
  <c r="J77" i="68"/>
  <c r="K76" i="68"/>
  <c r="J76" i="68"/>
  <c r="K75" i="68"/>
  <c r="J75" i="68"/>
  <c r="K74" i="68"/>
  <c r="J74" i="68"/>
  <c r="K73" i="68"/>
  <c r="J73" i="68"/>
  <c r="K72" i="68"/>
  <c r="J72" i="68"/>
  <c r="K71" i="68"/>
  <c r="J71" i="68"/>
  <c r="K70" i="68"/>
  <c r="J70" i="68"/>
  <c r="K69" i="68"/>
  <c r="J69" i="68"/>
  <c r="K68" i="68"/>
  <c r="J68" i="68"/>
  <c r="K67" i="68"/>
  <c r="J67" i="68"/>
  <c r="K66" i="68"/>
  <c r="J66" i="68"/>
  <c r="K65" i="68"/>
  <c r="J65" i="68"/>
  <c r="K64" i="68"/>
  <c r="J64" i="68"/>
  <c r="K63" i="68"/>
  <c r="J63" i="68"/>
  <c r="K62" i="68"/>
  <c r="J62" i="68"/>
  <c r="K61" i="68"/>
  <c r="J61" i="68"/>
  <c r="K60" i="68"/>
  <c r="J60" i="68"/>
  <c r="K59" i="68"/>
  <c r="J59" i="68"/>
  <c r="K58" i="68"/>
  <c r="J58" i="68"/>
  <c r="K57" i="68"/>
  <c r="J57" i="68"/>
  <c r="K56" i="68"/>
  <c r="J56" i="68"/>
  <c r="K55" i="68"/>
  <c r="J55" i="68"/>
  <c r="K54" i="68"/>
  <c r="J54" i="68"/>
  <c r="K53" i="68"/>
  <c r="J53" i="68"/>
  <c r="K52" i="68"/>
  <c r="J52" i="68"/>
  <c r="K51" i="68"/>
  <c r="J51" i="68"/>
  <c r="K50" i="68"/>
  <c r="J50" i="68"/>
  <c r="K49" i="68"/>
  <c r="J49" i="68"/>
  <c r="K48" i="68"/>
  <c r="J48" i="68"/>
  <c r="K47" i="68"/>
  <c r="J47" i="68"/>
  <c r="K46" i="68"/>
  <c r="J46" i="68"/>
  <c r="K45" i="68"/>
  <c r="J45" i="68"/>
  <c r="K44" i="68"/>
  <c r="J44" i="68"/>
  <c r="K43" i="68"/>
  <c r="J43" i="68"/>
  <c r="K42" i="68"/>
  <c r="J42" i="68"/>
  <c r="K41" i="68"/>
  <c r="J41" i="68"/>
  <c r="K40" i="68"/>
  <c r="J40" i="68"/>
  <c r="K39" i="68"/>
  <c r="J39" i="68"/>
  <c r="K38" i="68"/>
  <c r="J38" i="68"/>
  <c r="K37" i="68"/>
  <c r="J37" i="68"/>
  <c r="K36" i="68"/>
  <c r="J36" i="68"/>
  <c r="K35" i="68"/>
  <c r="J35" i="68"/>
  <c r="K34" i="68"/>
  <c r="J34" i="68"/>
  <c r="K33" i="68"/>
  <c r="J33" i="68"/>
  <c r="K32" i="68"/>
  <c r="J32" i="68"/>
  <c r="K31" i="68"/>
  <c r="J31" i="68"/>
  <c r="K30" i="68"/>
  <c r="J30" i="68"/>
  <c r="K29" i="68"/>
  <c r="J29" i="68"/>
  <c r="K28" i="68"/>
  <c r="J28" i="68"/>
  <c r="K27" i="68"/>
  <c r="J27" i="68"/>
  <c r="K26" i="68"/>
  <c r="J26" i="68"/>
  <c r="K25" i="68"/>
  <c r="J25" i="68"/>
  <c r="K24" i="68"/>
  <c r="J24" i="68"/>
  <c r="K23" i="68"/>
  <c r="J23" i="68"/>
  <c r="K22" i="68"/>
  <c r="J22" i="68"/>
  <c r="K21" i="68"/>
  <c r="J21" i="68"/>
  <c r="K20" i="68"/>
  <c r="J20" i="68"/>
  <c r="K19" i="68"/>
  <c r="J19" i="68"/>
  <c r="K18" i="68"/>
  <c r="J18" i="68"/>
  <c r="K17" i="68"/>
  <c r="J17" i="68"/>
  <c r="K16" i="68"/>
  <c r="J16" i="68"/>
  <c r="K15" i="68"/>
  <c r="J15" i="68"/>
  <c r="K14" i="68"/>
  <c r="J14" i="68"/>
  <c r="K13" i="68"/>
  <c r="J13" i="68"/>
  <c r="K12" i="68"/>
  <c r="J12" i="68"/>
  <c r="K11" i="68"/>
  <c r="J11" i="68"/>
  <c r="K10" i="68"/>
  <c r="J10" i="68"/>
  <c r="K9" i="68"/>
  <c r="J9" i="68"/>
  <c r="K8" i="68"/>
  <c r="J8" i="68"/>
  <c r="K7" i="68"/>
  <c r="J7" i="68"/>
  <c r="K6" i="68"/>
  <c r="J6" i="68"/>
  <c r="K3" i="68"/>
  <c r="I3" i="68"/>
  <c r="H3" i="68"/>
  <c r="K498" i="60"/>
  <c r="J498" i="60"/>
  <c r="K497" i="60"/>
  <c r="J497" i="60"/>
  <c r="K496" i="60"/>
  <c r="J496" i="60"/>
  <c r="K495" i="60"/>
  <c r="J495" i="60"/>
  <c r="K494" i="60"/>
  <c r="J494" i="60"/>
  <c r="K493" i="60"/>
  <c r="J493" i="60"/>
  <c r="K492" i="60"/>
  <c r="J492" i="60"/>
  <c r="K491" i="60"/>
  <c r="J491" i="60"/>
  <c r="K490" i="60"/>
  <c r="J490" i="60"/>
  <c r="K489" i="60"/>
  <c r="J489" i="60"/>
  <c r="K488" i="60"/>
  <c r="J488" i="60"/>
  <c r="K487" i="60"/>
  <c r="J487" i="60"/>
  <c r="K486" i="60"/>
  <c r="J486" i="60"/>
  <c r="K485" i="60"/>
  <c r="J485" i="60"/>
  <c r="K484" i="60"/>
  <c r="J484" i="60"/>
  <c r="K483" i="60"/>
  <c r="J483" i="60"/>
  <c r="K482" i="60"/>
  <c r="J482" i="60"/>
  <c r="K481" i="60"/>
  <c r="J481" i="60"/>
  <c r="K480" i="60"/>
  <c r="J480" i="60"/>
  <c r="K479" i="60"/>
  <c r="J479" i="60"/>
  <c r="K478" i="60"/>
  <c r="J478" i="60"/>
  <c r="K477" i="60"/>
  <c r="J477" i="60"/>
  <c r="K476" i="60"/>
  <c r="J476" i="60"/>
  <c r="K475" i="60"/>
  <c r="J475" i="60"/>
  <c r="K474" i="60"/>
  <c r="J474" i="60"/>
  <c r="K473" i="60"/>
  <c r="J473" i="60"/>
  <c r="K472" i="60"/>
  <c r="J472" i="60"/>
  <c r="K471" i="60"/>
  <c r="J471" i="60"/>
  <c r="K470" i="60"/>
  <c r="J470" i="60"/>
  <c r="K469" i="60"/>
  <c r="J469" i="60"/>
  <c r="K468" i="60"/>
  <c r="J468" i="60"/>
  <c r="K467" i="60"/>
  <c r="J467" i="60"/>
  <c r="K466" i="60"/>
  <c r="J466" i="60"/>
  <c r="K465" i="60"/>
  <c r="J465" i="60"/>
  <c r="K464" i="60"/>
  <c r="J464" i="60"/>
  <c r="K463" i="60"/>
  <c r="J463" i="60"/>
  <c r="K462" i="60"/>
  <c r="J462" i="60"/>
  <c r="K461" i="60"/>
  <c r="J461" i="60"/>
  <c r="K460" i="60"/>
  <c r="J460" i="60"/>
  <c r="K459" i="60"/>
  <c r="J459" i="60"/>
  <c r="K458" i="60"/>
  <c r="J458" i="60"/>
  <c r="K457" i="60"/>
  <c r="J457" i="60"/>
  <c r="K456" i="60"/>
  <c r="J456" i="60"/>
  <c r="K455" i="60"/>
  <c r="J455" i="60"/>
  <c r="K454" i="60"/>
  <c r="J454" i="60"/>
  <c r="K453" i="60"/>
  <c r="J453" i="60"/>
  <c r="K452" i="60"/>
  <c r="J452" i="60"/>
  <c r="K451" i="60"/>
  <c r="J451" i="60"/>
  <c r="K450" i="60"/>
  <c r="J450" i="60"/>
  <c r="K449" i="60"/>
  <c r="J449" i="60"/>
  <c r="K448" i="60"/>
  <c r="J448" i="60"/>
  <c r="K447" i="60"/>
  <c r="J447" i="60"/>
  <c r="K446" i="60"/>
  <c r="J446" i="60"/>
  <c r="K445" i="60"/>
  <c r="J445" i="60"/>
  <c r="K444" i="60"/>
  <c r="J444" i="60"/>
  <c r="K443" i="60"/>
  <c r="J443" i="60"/>
  <c r="K442" i="60"/>
  <c r="J442" i="60"/>
  <c r="K441" i="60"/>
  <c r="J441" i="60"/>
  <c r="K440" i="60"/>
  <c r="J440" i="60"/>
  <c r="K439" i="60"/>
  <c r="J439" i="60"/>
  <c r="K438" i="60"/>
  <c r="J438" i="60"/>
  <c r="K437" i="60"/>
  <c r="J437" i="60"/>
  <c r="K436" i="60"/>
  <c r="J436" i="60"/>
  <c r="K435" i="60"/>
  <c r="J435" i="60"/>
  <c r="K434" i="60"/>
  <c r="J434" i="60"/>
  <c r="K433" i="60"/>
  <c r="J433" i="60"/>
  <c r="K432" i="60"/>
  <c r="J432" i="60"/>
  <c r="K431" i="60"/>
  <c r="J431" i="60"/>
  <c r="K430" i="60"/>
  <c r="J430" i="60"/>
  <c r="K429" i="60"/>
  <c r="J429" i="60"/>
  <c r="K428" i="60"/>
  <c r="J428" i="60"/>
  <c r="K427" i="60"/>
  <c r="J427" i="60"/>
  <c r="K426" i="60"/>
  <c r="J426" i="60"/>
  <c r="K425" i="60"/>
  <c r="J425" i="60"/>
  <c r="K424" i="60"/>
  <c r="J424" i="60"/>
  <c r="K423" i="60"/>
  <c r="J423" i="60"/>
  <c r="K422" i="60"/>
  <c r="J422" i="60"/>
  <c r="K421" i="60"/>
  <c r="J421" i="60"/>
  <c r="K420" i="60"/>
  <c r="J420" i="60"/>
  <c r="K419" i="60"/>
  <c r="J419" i="60"/>
  <c r="K418" i="60"/>
  <c r="J418" i="60"/>
  <c r="K417" i="60"/>
  <c r="J417" i="60"/>
  <c r="K416" i="60"/>
  <c r="J416" i="60"/>
  <c r="K415" i="60"/>
  <c r="J415" i="60"/>
  <c r="K414" i="60"/>
  <c r="J414" i="60"/>
  <c r="K413" i="60"/>
  <c r="J413" i="60"/>
  <c r="K412" i="60"/>
  <c r="J412" i="60"/>
  <c r="K411" i="60"/>
  <c r="J411" i="60"/>
  <c r="K410" i="60"/>
  <c r="J410" i="60"/>
  <c r="K409" i="60"/>
  <c r="J409" i="60"/>
  <c r="K408" i="60"/>
  <c r="J408" i="60"/>
  <c r="K407" i="60"/>
  <c r="J407" i="60"/>
  <c r="K406" i="60"/>
  <c r="J406" i="60"/>
  <c r="K405" i="60"/>
  <c r="J405" i="60"/>
  <c r="K404" i="60"/>
  <c r="J404" i="60"/>
  <c r="K403" i="60"/>
  <c r="J403" i="60"/>
  <c r="K402" i="60"/>
  <c r="J402" i="60"/>
  <c r="K401" i="60"/>
  <c r="J401" i="60"/>
  <c r="K400" i="60"/>
  <c r="J400" i="60"/>
  <c r="K399" i="60"/>
  <c r="J399" i="60"/>
  <c r="K398" i="60"/>
  <c r="J398" i="60"/>
  <c r="K397" i="60"/>
  <c r="J397" i="60"/>
  <c r="K396" i="60"/>
  <c r="J396" i="60"/>
  <c r="K395" i="60"/>
  <c r="J395" i="60"/>
  <c r="K394" i="60"/>
  <c r="J394" i="60"/>
  <c r="K393" i="60"/>
  <c r="J393" i="60"/>
  <c r="K392" i="60"/>
  <c r="J392" i="60"/>
  <c r="K391" i="60"/>
  <c r="J391" i="60"/>
  <c r="K390" i="60"/>
  <c r="J390" i="60"/>
  <c r="K389" i="60"/>
  <c r="J389" i="60"/>
  <c r="K388" i="60"/>
  <c r="J388" i="60"/>
  <c r="K387" i="60"/>
  <c r="J387" i="60"/>
  <c r="K386" i="60"/>
  <c r="J386" i="60"/>
  <c r="K385" i="60"/>
  <c r="J385" i="60"/>
  <c r="K384" i="60"/>
  <c r="J384" i="60"/>
  <c r="K383" i="60"/>
  <c r="J383" i="60"/>
  <c r="K382" i="60"/>
  <c r="J382" i="60"/>
  <c r="K381" i="60"/>
  <c r="J381" i="60"/>
  <c r="K380" i="60"/>
  <c r="J380" i="60"/>
  <c r="K379" i="60"/>
  <c r="J379" i="60"/>
  <c r="K378" i="60"/>
  <c r="J378" i="60"/>
  <c r="K377" i="60"/>
  <c r="J377" i="60"/>
  <c r="K376" i="60"/>
  <c r="J376" i="60"/>
  <c r="K375" i="60"/>
  <c r="J375" i="60"/>
  <c r="K374" i="60"/>
  <c r="J374" i="60"/>
  <c r="K373" i="60"/>
  <c r="J373" i="60"/>
  <c r="K372" i="60"/>
  <c r="J372" i="60"/>
  <c r="K371" i="60"/>
  <c r="J371" i="60"/>
  <c r="K370" i="60"/>
  <c r="J370" i="60"/>
  <c r="K369" i="60"/>
  <c r="J369" i="60"/>
  <c r="K368" i="60"/>
  <c r="J368" i="60"/>
  <c r="K367" i="60"/>
  <c r="J367" i="60"/>
  <c r="K366" i="60"/>
  <c r="J366" i="60"/>
  <c r="K365" i="60"/>
  <c r="J365" i="60"/>
  <c r="K364" i="60"/>
  <c r="J364" i="60"/>
  <c r="K363" i="60"/>
  <c r="J363" i="60"/>
  <c r="K362" i="60"/>
  <c r="J362" i="60"/>
  <c r="K361" i="60"/>
  <c r="J361" i="60"/>
  <c r="K360" i="60"/>
  <c r="J360" i="60"/>
  <c r="K359" i="60"/>
  <c r="J359" i="60"/>
  <c r="K358" i="60"/>
  <c r="J358" i="60"/>
  <c r="K357" i="60"/>
  <c r="J357" i="60"/>
  <c r="K356" i="60"/>
  <c r="J356" i="60"/>
  <c r="K355" i="60"/>
  <c r="J355" i="60"/>
  <c r="K354" i="60"/>
  <c r="J354" i="60"/>
  <c r="K353" i="60"/>
  <c r="J353" i="60"/>
  <c r="K352" i="60"/>
  <c r="J352" i="60"/>
  <c r="K351" i="60"/>
  <c r="J351" i="60"/>
  <c r="K350" i="60"/>
  <c r="J350" i="60"/>
  <c r="K349" i="60"/>
  <c r="J349" i="60"/>
  <c r="K348" i="60"/>
  <c r="J348" i="60"/>
  <c r="K347" i="60"/>
  <c r="J347" i="60"/>
  <c r="K346" i="60"/>
  <c r="J346" i="60"/>
  <c r="K345" i="60"/>
  <c r="J345" i="60"/>
  <c r="K344" i="60"/>
  <c r="J344" i="60"/>
  <c r="K343" i="60"/>
  <c r="J343" i="60"/>
  <c r="K342" i="60"/>
  <c r="J342" i="60"/>
  <c r="K341" i="60"/>
  <c r="J341" i="60"/>
  <c r="K340" i="60"/>
  <c r="J340" i="60"/>
  <c r="K339" i="60"/>
  <c r="J339" i="60"/>
  <c r="K338" i="60"/>
  <c r="J338" i="60"/>
  <c r="K337" i="60"/>
  <c r="J337" i="60"/>
  <c r="K336" i="60"/>
  <c r="J336" i="60"/>
  <c r="K335" i="60"/>
  <c r="J335" i="60"/>
  <c r="K334" i="60"/>
  <c r="J334" i="60"/>
  <c r="K333" i="60"/>
  <c r="J333" i="60"/>
  <c r="K332" i="60"/>
  <c r="J332" i="60"/>
  <c r="K331" i="60"/>
  <c r="J331" i="60"/>
  <c r="K330" i="60"/>
  <c r="J330" i="60"/>
  <c r="K329" i="60"/>
  <c r="J329" i="60"/>
  <c r="K328" i="60"/>
  <c r="J328" i="60"/>
  <c r="K327" i="60"/>
  <c r="J327" i="60"/>
  <c r="K326" i="60"/>
  <c r="J326" i="60"/>
  <c r="K325" i="60"/>
  <c r="J325" i="60"/>
  <c r="K324" i="60"/>
  <c r="J324" i="60"/>
  <c r="K323" i="60"/>
  <c r="J323" i="60"/>
  <c r="K322" i="60"/>
  <c r="J322" i="60"/>
  <c r="K321" i="60"/>
  <c r="J321" i="60"/>
  <c r="K320" i="60"/>
  <c r="J320" i="60"/>
  <c r="K319" i="60"/>
  <c r="J319" i="60"/>
  <c r="K318" i="60"/>
  <c r="J318" i="60"/>
  <c r="K317" i="60"/>
  <c r="J317" i="60"/>
  <c r="K316" i="60"/>
  <c r="J316" i="60"/>
  <c r="K315" i="60"/>
  <c r="J315" i="60"/>
  <c r="K314" i="60"/>
  <c r="J314" i="60"/>
  <c r="K313" i="60"/>
  <c r="J313" i="60"/>
  <c r="K312" i="60"/>
  <c r="J312" i="60"/>
  <c r="K311" i="60"/>
  <c r="J311" i="60"/>
  <c r="K310" i="60"/>
  <c r="J310" i="60"/>
  <c r="K309" i="60"/>
  <c r="J309" i="60"/>
  <c r="K308" i="60"/>
  <c r="J308" i="60"/>
  <c r="K307" i="60"/>
  <c r="J307" i="60"/>
  <c r="K306" i="60"/>
  <c r="J306" i="60"/>
  <c r="K305" i="60"/>
  <c r="J305" i="60"/>
  <c r="K304" i="60"/>
  <c r="J304" i="60"/>
  <c r="K303" i="60"/>
  <c r="J303" i="60"/>
  <c r="K302" i="60"/>
  <c r="J302" i="60"/>
  <c r="K301" i="60"/>
  <c r="J301" i="60"/>
  <c r="K300" i="60"/>
  <c r="J300" i="60"/>
  <c r="K299" i="60"/>
  <c r="J299" i="60"/>
  <c r="K298" i="60"/>
  <c r="J298" i="60"/>
  <c r="K297" i="60"/>
  <c r="J297" i="60"/>
  <c r="K296" i="60"/>
  <c r="J296" i="60"/>
  <c r="K295" i="60"/>
  <c r="J295" i="60"/>
  <c r="K294" i="60"/>
  <c r="J294" i="60"/>
  <c r="K293" i="60"/>
  <c r="J293" i="60"/>
  <c r="K292" i="60"/>
  <c r="J292" i="60"/>
  <c r="K291" i="60"/>
  <c r="J291" i="60"/>
  <c r="K290" i="60"/>
  <c r="J290" i="60"/>
  <c r="K289" i="60"/>
  <c r="J289" i="60"/>
  <c r="K288" i="60"/>
  <c r="J288" i="60"/>
  <c r="K287" i="60"/>
  <c r="J287" i="60"/>
  <c r="K286" i="60"/>
  <c r="J286" i="60"/>
  <c r="K285" i="60"/>
  <c r="J285" i="60"/>
  <c r="K284" i="60"/>
  <c r="J284" i="60"/>
  <c r="K283" i="60"/>
  <c r="J283" i="60"/>
  <c r="K282" i="60"/>
  <c r="J282" i="60"/>
  <c r="K281" i="60"/>
  <c r="J281" i="60"/>
  <c r="K280" i="60"/>
  <c r="J280" i="60"/>
  <c r="K279" i="60"/>
  <c r="J279" i="60"/>
  <c r="K278" i="60"/>
  <c r="J278" i="60"/>
  <c r="K277" i="60"/>
  <c r="J277" i="60"/>
  <c r="K276" i="60"/>
  <c r="J276" i="60"/>
  <c r="K275" i="60"/>
  <c r="J275" i="60"/>
  <c r="K274" i="60"/>
  <c r="J274" i="60"/>
  <c r="K273" i="60"/>
  <c r="J273" i="60"/>
  <c r="K272" i="60"/>
  <c r="J272" i="60"/>
  <c r="K271" i="60"/>
  <c r="J271" i="60"/>
  <c r="K270" i="60"/>
  <c r="J270" i="60"/>
  <c r="K269" i="60"/>
  <c r="J269" i="60"/>
  <c r="K268" i="60"/>
  <c r="J268" i="60"/>
  <c r="K267" i="60"/>
  <c r="J267" i="60"/>
  <c r="K266" i="60"/>
  <c r="J266" i="60"/>
  <c r="K265" i="60"/>
  <c r="J265" i="60"/>
  <c r="K264" i="60"/>
  <c r="J264" i="60"/>
  <c r="K263" i="60"/>
  <c r="J263" i="60"/>
  <c r="K262" i="60"/>
  <c r="J262" i="60"/>
  <c r="K261" i="60"/>
  <c r="J261" i="60"/>
  <c r="K260" i="60"/>
  <c r="J260" i="60"/>
  <c r="K259" i="60"/>
  <c r="J259" i="60"/>
  <c r="K258" i="60"/>
  <c r="J258" i="60"/>
  <c r="K257" i="60"/>
  <c r="J257" i="60"/>
  <c r="K256" i="60"/>
  <c r="J256" i="60"/>
  <c r="K255" i="60"/>
  <c r="J255" i="60"/>
  <c r="K254" i="60"/>
  <c r="J254" i="60"/>
  <c r="K253" i="60"/>
  <c r="J253" i="60"/>
  <c r="K252" i="60"/>
  <c r="J252" i="60"/>
  <c r="K251" i="60"/>
  <c r="J251" i="60"/>
  <c r="K250" i="60"/>
  <c r="J250" i="60"/>
  <c r="K249" i="60"/>
  <c r="J249" i="60"/>
  <c r="K248" i="60"/>
  <c r="J248" i="60"/>
  <c r="K247" i="60"/>
  <c r="J247" i="60"/>
  <c r="K246" i="60"/>
  <c r="J246" i="60"/>
  <c r="K245" i="60"/>
  <c r="J245" i="60"/>
  <c r="K244" i="60"/>
  <c r="J244" i="60"/>
  <c r="K243" i="60"/>
  <c r="J243" i="60"/>
  <c r="K242" i="60"/>
  <c r="J242" i="60"/>
  <c r="K241" i="60"/>
  <c r="J241" i="60"/>
  <c r="K240" i="60"/>
  <c r="J240" i="60"/>
  <c r="K239" i="60"/>
  <c r="J239" i="60"/>
  <c r="K238" i="60"/>
  <c r="J238" i="60"/>
  <c r="K237" i="60"/>
  <c r="J237" i="60"/>
  <c r="K236" i="60"/>
  <c r="J236" i="60"/>
  <c r="K235" i="60"/>
  <c r="J235" i="60"/>
  <c r="K234" i="60"/>
  <c r="J234" i="60"/>
  <c r="K233" i="60"/>
  <c r="J233" i="60"/>
  <c r="K232" i="60"/>
  <c r="J232" i="60"/>
  <c r="K231" i="60"/>
  <c r="J231" i="60"/>
  <c r="K230" i="60"/>
  <c r="J230" i="60"/>
  <c r="K229" i="60"/>
  <c r="J229" i="60"/>
  <c r="K228" i="60"/>
  <c r="J228" i="60"/>
  <c r="K227" i="60"/>
  <c r="J227" i="60"/>
  <c r="K226" i="60"/>
  <c r="J226" i="60"/>
  <c r="K225" i="60"/>
  <c r="J225" i="60"/>
  <c r="K224" i="60"/>
  <c r="J224" i="60"/>
  <c r="K223" i="60"/>
  <c r="J223" i="60"/>
  <c r="K222" i="60"/>
  <c r="J222" i="60"/>
  <c r="K221" i="60"/>
  <c r="J221" i="60"/>
  <c r="K220" i="60"/>
  <c r="J220" i="60"/>
  <c r="K219" i="60"/>
  <c r="J219" i="60"/>
  <c r="K218" i="60"/>
  <c r="J218" i="60"/>
  <c r="K217" i="60"/>
  <c r="J217" i="60"/>
  <c r="K216" i="60"/>
  <c r="J216" i="60"/>
  <c r="K215" i="60"/>
  <c r="J215" i="60"/>
  <c r="K214" i="60"/>
  <c r="J214" i="60"/>
  <c r="K213" i="60"/>
  <c r="J213" i="60"/>
  <c r="K212" i="60"/>
  <c r="J212" i="60"/>
  <c r="K211" i="60"/>
  <c r="J211" i="60"/>
  <c r="K210" i="60"/>
  <c r="J210" i="60"/>
  <c r="K209" i="60"/>
  <c r="J209" i="60"/>
  <c r="K208" i="60"/>
  <c r="J208" i="60"/>
  <c r="K207" i="60"/>
  <c r="J207" i="60"/>
  <c r="K206" i="60"/>
  <c r="J206" i="60"/>
  <c r="K205" i="60"/>
  <c r="J205" i="60"/>
  <c r="K204" i="60"/>
  <c r="J204" i="60"/>
  <c r="K203" i="60"/>
  <c r="J203" i="60"/>
  <c r="K202" i="60"/>
  <c r="J202" i="60"/>
  <c r="K201" i="60"/>
  <c r="J201" i="60"/>
  <c r="K200" i="60"/>
  <c r="J200" i="60"/>
  <c r="K199" i="60"/>
  <c r="J199" i="60"/>
  <c r="K198" i="60"/>
  <c r="J198" i="60"/>
  <c r="K197" i="60"/>
  <c r="J197" i="60"/>
  <c r="K196" i="60"/>
  <c r="J196" i="60"/>
  <c r="K195" i="60"/>
  <c r="J195" i="60"/>
  <c r="K194" i="60"/>
  <c r="J194" i="60"/>
  <c r="K193" i="60"/>
  <c r="J193" i="60"/>
  <c r="K192" i="60"/>
  <c r="J192" i="60"/>
  <c r="K191" i="60"/>
  <c r="J191" i="60"/>
  <c r="K190" i="60"/>
  <c r="J190" i="60"/>
  <c r="K189" i="60"/>
  <c r="J189" i="60"/>
  <c r="K188" i="60"/>
  <c r="J188" i="60"/>
  <c r="K187" i="60"/>
  <c r="J187" i="60"/>
  <c r="K186" i="60"/>
  <c r="J186" i="60"/>
  <c r="K185" i="60"/>
  <c r="J185" i="60"/>
  <c r="K184" i="60"/>
  <c r="J184" i="60"/>
  <c r="K183" i="60"/>
  <c r="J183" i="60"/>
  <c r="K182" i="60"/>
  <c r="J182" i="60"/>
  <c r="K181" i="60"/>
  <c r="J181" i="60"/>
  <c r="K180" i="60"/>
  <c r="J180" i="60"/>
  <c r="K179" i="60"/>
  <c r="J179" i="60"/>
  <c r="K178" i="60"/>
  <c r="J178" i="60"/>
  <c r="K177" i="60"/>
  <c r="J177" i="60"/>
  <c r="K176" i="60"/>
  <c r="J176" i="60"/>
  <c r="K175" i="60"/>
  <c r="J175" i="60"/>
  <c r="K174" i="60"/>
  <c r="J174" i="60"/>
  <c r="K173" i="60"/>
  <c r="J173" i="60"/>
  <c r="K172" i="60"/>
  <c r="J172" i="60"/>
  <c r="K171" i="60"/>
  <c r="J171" i="60"/>
  <c r="K170" i="60"/>
  <c r="J170" i="60"/>
  <c r="K169" i="60"/>
  <c r="J169" i="60"/>
  <c r="K168" i="60"/>
  <c r="J168" i="60"/>
  <c r="K167" i="60"/>
  <c r="J167" i="60"/>
  <c r="K166" i="60"/>
  <c r="J166" i="60"/>
  <c r="K165" i="60"/>
  <c r="J165" i="60"/>
  <c r="K164" i="60"/>
  <c r="J164" i="60"/>
  <c r="K163" i="60"/>
  <c r="J163" i="60"/>
  <c r="K162" i="60"/>
  <c r="J162" i="60"/>
  <c r="K161" i="60"/>
  <c r="J161" i="60"/>
  <c r="K160" i="60"/>
  <c r="J160" i="60"/>
  <c r="K159" i="60"/>
  <c r="J159" i="60"/>
  <c r="K158" i="60"/>
  <c r="J158" i="60"/>
  <c r="K157" i="60"/>
  <c r="J157" i="60"/>
  <c r="K156" i="60"/>
  <c r="J156" i="60"/>
  <c r="K155" i="60"/>
  <c r="J155" i="60"/>
  <c r="K154" i="60"/>
  <c r="J154" i="60"/>
  <c r="K153" i="60"/>
  <c r="J153" i="60"/>
  <c r="K152" i="60"/>
  <c r="J152" i="60"/>
  <c r="K151" i="60"/>
  <c r="J151" i="60"/>
  <c r="K150" i="60"/>
  <c r="J150" i="60"/>
  <c r="K149" i="60"/>
  <c r="J149" i="60"/>
  <c r="K148" i="60"/>
  <c r="J148" i="60"/>
  <c r="K147" i="60"/>
  <c r="J147" i="60"/>
  <c r="K146" i="60"/>
  <c r="J146" i="60"/>
  <c r="K145" i="60"/>
  <c r="J145" i="60"/>
  <c r="K144" i="60"/>
  <c r="J144" i="60"/>
  <c r="K143" i="60"/>
  <c r="J143" i="60"/>
  <c r="K142" i="60"/>
  <c r="J142" i="60"/>
  <c r="K141" i="60"/>
  <c r="J141" i="60"/>
  <c r="K140" i="60"/>
  <c r="J140" i="60"/>
  <c r="K139" i="60"/>
  <c r="J139" i="60"/>
  <c r="K138" i="60"/>
  <c r="J138" i="60"/>
  <c r="K137" i="60"/>
  <c r="J137" i="60"/>
  <c r="K136" i="60"/>
  <c r="J136" i="60"/>
  <c r="K135" i="60"/>
  <c r="J135" i="60"/>
  <c r="K134" i="60"/>
  <c r="J134" i="60"/>
  <c r="K133" i="60"/>
  <c r="J133" i="60"/>
  <c r="K132" i="60"/>
  <c r="J132" i="60"/>
  <c r="K131" i="60"/>
  <c r="J131" i="60"/>
  <c r="K130" i="60"/>
  <c r="J130" i="60"/>
  <c r="K129" i="60"/>
  <c r="J129" i="60"/>
  <c r="K128" i="60"/>
  <c r="J128" i="60"/>
  <c r="K127" i="60"/>
  <c r="J127" i="60"/>
  <c r="K126" i="60"/>
  <c r="J126" i="60"/>
  <c r="K125" i="60"/>
  <c r="J125" i="60"/>
  <c r="K124" i="60"/>
  <c r="J124" i="60"/>
  <c r="K123" i="60"/>
  <c r="J123" i="60"/>
  <c r="K122" i="60"/>
  <c r="J122" i="60"/>
  <c r="K121" i="60"/>
  <c r="J121" i="60"/>
  <c r="K120" i="60"/>
  <c r="J120" i="60"/>
  <c r="K119" i="60"/>
  <c r="J119" i="60"/>
  <c r="K118" i="60"/>
  <c r="J118" i="60"/>
  <c r="K117" i="60"/>
  <c r="J117" i="60"/>
  <c r="K116" i="60"/>
  <c r="J116" i="60"/>
  <c r="K115" i="60"/>
  <c r="J115" i="60"/>
  <c r="K114" i="60"/>
  <c r="J114" i="60"/>
  <c r="K113" i="60"/>
  <c r="J113" i="60"/>
  <c r="K112" i="60"/>
  <c r="J112" i="60"/>
  <c r="K111" i="60"/>
  <c r="J111" i="60"/>
  <c r="K110" i="60"/>
  <c r="J110" i="60"/>
  <c r="K109" i="60"/>
  <c r="J109" i="60"/>
  <c r="K108" i="60"/>
  <c r="J108" i="60"/>
  <c r="K107" i="60"/>
  <c r="J107" i="60"/>
  <c r="K106" i="60"/>
  <c r="J106" i="60"/>
  <c r="K105" i="60"/>
  <c r="J105" i="60"/>
  <c r="K104" i="60"/>
  <c r="J104" i="60"/>
  <c r="K103" i="60"/>
  <c r="J103" i="60"/>
  <c r="K102" i="60"/>
  <c r="J102" i="60"/>
  <c r="K101" i="60"/>
  <c r="J101" i="60"/>
  <c r="K100" i="60"/>
  <c r="J100" i="60"/>
  <c r="K99" i="60"/>
  <c r="J99" i="60"/>
  <c r="K98" i="60"/>
  <c r="J98" i="60"/>
  <c r="K97" i="60"/>
  <c r="J97" i="60"/>
  <c r="K96" i="60"/>
  <c r="J96" i="60"/>
  <c r="K95" i="60"/>
  <c r="J95" i="60"/>
  <c r="K94" i="60"/>
  <c r="J94" i="60"/>
  <c r="K93" i="60"/>
  <c r="J93" i="60"/>
  <c r="K92" i="60"/>
  <c r="J92" i="60"/>
  <c r="K91" i="60"/>
  <c r="J91" i="60"/>
  <c r="K90" i="60"/>
  <c r="J90" i="60"/>
  <c r="K89" i="60"/>
  <c r="J89" i="60"/>
  <c r="K88" i="60"/>
  <c r="J88" i="60"/>
  <c r="K87" i="60"/>
  <c r="J87" i="60"/>
  <c r="K86" i="60"/>
  <c r="J86" i="60"/>
  <c r="K85" i="60"/>
  <c r="J85" i="60"/>
  <c r="K84" i="60"/>
  <c r="J84" i="60"/>
  <c r="K83" i="60"/>
  <c r="J83" i="60"/>
  <c r="K82" i="60"/>
  <c r="J82" i="60"/>
  <c r="K81" i="60"/>
  <c r="J81" i="60"/>
  <c r="K80" i="60"/>
  <c r="J80" i="60"/>
  <c r="K79" i="60"/>
  <c r="J79" i="60"/>
  <c r="K78" i="60"/>
  <c r="J78" i="60"/>
  <c r="K77" i="60"/>
  <c r="J77" i="60"/>
  <c r="K76" i="60"/>
  <c r="J76" i="60"/>
  <c r="K75" i="60"/>
  <c r="J75" i="60"/>
  <c r="K74" i="60"/>
  <c r="J74" i="60"/>
  <c r="K73" i="60"/>
  <c r="J73" i="60"/>
  <c r="K72" i="60"/>
  <c r="J72" i="60"/>
  <c r="K71" i="60"/>
  <c r="J71" i="60"/>
  <c r="K70" i="60"/>
  <c r="J70" i="60"/>
  <c r="K69" i="60"/>
  <c r="J69" i="60"/>
  <c r="K68" i="60"/>
  <c r="J68" i="60"/>
  <c r="K67" i="60"/>
  <c r="J67" i="60"/>
  <c r="K66" i="60"/>
  <c r="J66" i="60"/>
  <c r="K65" i="60"/>
  <c r="J65" i="60"/>
  <c r="K64" i="60"/>
  <c r="J64" i="60"/>
  <c r="K63" i="60"/>
  <c r="J63" i="60"/>
  <c r="K62" i="60"/>
  <c r="J62" i="60"/>
  <c r="K61" i="60"/>
  <c r="J61" i="60"/>
  <c r="K60" i="60"/>
  <c r="J60" i="60"/>
  <c r="K59" i="60"/>
  <c r="J59" i="60"/>
  <c r="K58" i="60"/>
  <c r="J58" i="60"/>
  <c r="K57" i="60"/>
  <c r="J57" i="60"/>
  <c r="K56" i="60"/>
  <c r="J56" i="60"/>
  <c r="K55" i="60"/>
  <c r="J55" i="60"/>
  <c r="K54" i="60"/>
  <c r="J54" i="60"/>
  <c r="K53" i="60"/>
  <c r="J53" i="60"/>
  <c r="K52" i="60"/>
  <c r="J52" i="60"/>
  <c r="K51" i="60"/>
  <c r="J51" i="60"/>
  <c r="K50" i="60"/>
  <c r="J50" i="60"/>
  <c r="K49" i="60"/>
  <c r="J49" i="60"/>
  <c r="K48" i="60"/>
  <c r="J48" i="60"/>
  <c r="K47" i="60"/>
  <c r="J47" i="60"/>
  <c r="K46" i="60"/>
  <c r="J46" i="60"/>
  <c r="K45" i="60"/>
  <c r="J45" i="60"/>
  <c r="K44" i="60"/>
  <c r="J44" i="60"/>
  <c r="K43" i="60"/>
  <c r="J43" i="60"/>
  <c r="K42" i="60"/>
  <c r="J42" i="60"/>
  <c r="K41" i="60"/>
  <c r="J41" i="60"/>
  <c r="K40" i="60"/>
  <c r="J40" i="60"/>
  <c r="K39" i="60"/>
  <c r="J39" i="60"/>
  <c r="K38" i="60"/>
  <c r="J38" i="60"/>
  <c r="K37" i="60"/>
  <c r="J37" i="60"/>
  <c r="K36" i="60"/>
  <c r="J36" i="60"/>
  <c r="K35" i="60"/>
  <c r="J35" i="60"/>
  <c r="K34" i="60"/>
  <c r="J34" i="60"/>
  <c r="K33" i="60"/>
  <c r="J33" i="60"/>
  <c r="K32" i="60"/>
  <c r="J32" i="60"/>
  <c r="K31" i="60"/>
  <c r="J31" i="60"/>
  <c r="K30" i="60"/>
  <c r="J30" i="60"/>
  <c r="K29" i="60"/>
  <c r="J29" i="60"/>
  <c r="K28" i="60"/>
  <c r="J28" i="60"/>
  <c r="K27" i="60"/>
  <c r="J27" i="60"/>
  <c r="K26" i="60"/>
  <c r="J26" i="60"/>
  <c r="K25" i="60"/>
  <c r="J25" i="60"/>
  <c r="K24" i="60"/>
  <c r="J24" i="60"/>
  <c r="K23" i="60"/>
  <c r="J23" i="60"/>
  <c r="K22" i="60"/>
  <c r="J22" i="60"/>
  <c r="K21" i="60"/>
  <c r="J21" i="60"/>
  <c r="K20" i="60"/>
  <c r="J20" i="60"/>
  <c r="K19" i="60"/>
  <c r="J19" i="60"/>
  <c r="K18" i="60"/>
  <c r="J18" i="60"/>
  <c r="K17" i="60"/>
  <c r="J17" i="60"/>
  <c r="K16" i="60"/>
  <c r="J16" i="60"/>
  <c r="K15" i="60"/>
  <c r="J15" i="60"/>
  <c r="K14" i="60"/>
  <c r="J14" i="60"/>
  <c r="K13" i="60"/>
  <c r="J13" i="60"/>
  <c r="K12" i="60"/>
  <c r="J12" i="60"/>
  <c r="K11" i="60"/>
  <c r="J11" i="60"/>
  <c r="K10" i="60"/>
  <c r="J10" i="60"/>
  <c r="K9" i="60"/>
  <c r="J9" i="60"/>
  <c r="K8" i="60"/>
  <c r="J8" i="60"/>
  <c r="K7" i="60"/>
  <c r="J7" i="60"/>
  <c r="K6" i="60"/>
  <c r="J6" i="60"/>
  <c r="K5" i="60"/>
  <c r="K3" i="60"/>
  <c r="I3" i="60"/>
  <c r="H3" i="60"/>
  <c r="K516" i="48"/>
  <c r="J516" i="48"/>
  <c r="K515" i="48"/>
  <c r="J515" i="48"/>
  <c r="K514" i="48"/>
  <c r="J514" i="48"/>
  <c r="K513" i="48"/>
  <c r="J513" i="48"/>
  <c r="K512" i="48"/>
  <c r="J512" i="48"/>
  <c r="K511" i="48"/>
  <c r="J511" i="48"/>
  <c r="K510" i="48"/>
  <c r="J510" i="48"/>
  <c r="K509" i="48"/>
  <c r="J509" i="48"/>
  <c r="K508" i="48"/>
  <c r="J508" i="48"/>
  <c r="K507" i="48"/>
  <c r="J507" i="48"/>
  <c r="K506" i="48"/>
  <c r="J506" i="48"/>
  <c r="K505" i="48"/>
  <c r="J505" i="48"/>
  <c r="K504" i="48"/>
  <c r="J504" i="48"/>
  <c r="K503" i="48"/>
  <c r="J503" i="48"/>
  <c r="K502" i="48"/>
  <c r="J502" i="48"/>
  <c r="K501" i="48"/>
  <c r="J501" i="48"/>
  <c r="K500" i="48"/>
  <c r="J500" i="48"/>
  <c r="K499" i="48"/>
  <c r="J499" i="48"/>
  <c r="K498" i="48"/>
  <c r="J498" i="48"/>
  <c r="K497" i="48"/>
  <c r="J497" i="48"/>
  <c r="K496" i="48"/>
  <c r="J496" i="48"/>
  <c r="K495" i="48"/>
  <c r="J495" i="48"/>
  <c r="K494" i="48"/>
  <c r="J494" i="48"/>
  <c r="K493" i="48"/>
  <c r="J493" i="48"/>
  <c r="K492" i="48"/>
  <c r="J492" i="48"/>
  <c r="K491" i="48"/>
  <c r="J491" i="48"/>
  <c r="K490" i="48"/>
  <c r="J490" i="48"/>
  <c r="K489" i="48"/>
  <c r="J489" i="48"/>
  <c r="K488" i="48"/>
  <c r="J488" i="48"/>
  <c r="K487" i="48"/>
  <c r="J487" i="48"/>
  <c r="K486" i="48"/>
  <c r="J486" i="48"/>
  <c r="K485" i="48"/>
  <c r="J485" i="48"/>
  <c r="K484" i="48"/>
  <c r="J484" i="48"/>
  <c r="K483" i="48"/>
  <c r="J483" i="48"/>
  <c r="K482" i="48"/>
  <c r="J482" i="48"/>
  <c r="K481" i="48"/>
  <c r="J481" i="48"/>
  <c r="K480" i="48"/>
  <c r="J480" i="48"/>
  <c r="K479" i="48"/>
  <c r="J479" i="48"/>
  <c r="K478" i="48"/>
  <c r="J478" i="48"/>
  <c r="K477" i="48"/>
  <c r="J477" i="48"/>
  <c r="K476" i="48"/>
  <c r="J476" i="48"/>
  <c r="K475" i="48"/>
  <c r="J475" i="48"/>
  <c r="K474" i="48"/>
  <c r="J474" i="48"/>
  <c r="K473" i="48"/>
  <c r="J473" i="48"/>
  <c r="K472" i="48"/>
  <c r="J472" i="48"/>
  <c r="K471" i="48"/>
  <c r="J471" i="48"/>
  <c r="K470" i="48"/>
  <c r="J470" i="48"/>
  <c r="K469" i="48"/>
  <c r="J469" i="48"/>
  <c r="K468" i="48"/>
  <c r="J468" i="48"/>
  <c r="K467" i="48"/>
  <c r="J467" i="48"/>
  <c r="K466" i="48"/>
  <c r="J466" i="48"/>
  <c r="K465" i="48"/>
  <c r="J465" i="48"/>
  <c r="K464" i="48"/>
  <c r="J464" i="48"/>
  <c r="K463" i="48"/>
  <c r="J463" i="48"/>
  <c r="K462" i="48"/>
  <c r="J462" i="48"/>
  <c r="K461" i="48"/>
  <c r="J461" i="48"/>
  <c r="K460" i="48"/>
  <c r="J460" i="48"/>
  <c r="K459" i="48"/>
  <c r="J459" i="48"/>
  <c r="K458" i="48"/>
  <c r="J458" i="48"/>
  <c r="K457" i="48"/>
  <c r="J457" i="48"/>
  <c r="K456" i="48"/>
  <c r="J456" i="48"/>
  <c r="K455" i="48"/>
  <c r="J455" i="48"/>
  <c r="K454" i="48"/>
  <c r="J454" i="48"/>
  <c r="K453" i="48"/>
  <c r="J453" i="48"/>
  <c r="K452" i="48"/>
  <c r="J452" i="48"/>
  <c r="K451" i="48"/>
  <c r="J451" i="48"/>
  <c r="K450" i="48"/>
  <c r="J450" i="48"/>
  <c r="K449" i="48"/>
  <c r="J449" i="48"/>
  <c r="K448" i="48"/>
  <c r="J448" i="48"/>
  <c r="K447" i="48"/>
  <c r="J447" i="48"/>
  <c r="K446" i="48"/>
  <c r="J446" i="48"/>
  <c r="K445" i="48"/>
  <c r="J445" i="48"/>
  <c r="K444" i="48"/>
  <c r="J444" i="48"/>
  <c r="K443" i="48"/>
  <c r="J443" i="48"/>
  <c r="K442" i="48"/>
  <c r="J442" i="48"/>
  <c r="K441" i="48"/>
  <c r="J441" i="48"/>
  <c r="K440" i="48"/>
  <c r="J440" i="48"/>
  <c r="K439" i="48"/>
  <c r="J439" i="48"/>
  <c r="K438" i="48"/>
  <c r="J438" i="48"/>
  <c r="K437" i="48"/>
  <c r="J437" i="48"/>
  <c r="K436" i="48"/>
  <c r="J436" i="48"/>
  <c r="K435" i="48"/>
  <c r="J435" i="48"/>
  <c r="K434" i="48"/>
  <c r="J434" i="48"/>
  <c r="K433" i="48"/>
  <c r="J433" i="48"/>
  <c r="K432" i="48"/>
  <c r="J432" i="48"/>
  <c r="K431" i="48"/>
  <c r="J431" i="48"/>
  <c r="K430" i="48"/>
  <c r="J430" i="48"/>
  <c r="K429" i="48"/>
  <c r="J429" i="48"/>
  <c r="K428" i="48"/>
  <c r="J428" i="48"/>
  <c r="K427" i="48"/>
  <c r="J427" i="48"/>
  <c r="K426" i="48"/>
  <c r="J426" i="48"/>
  <c r="K425" i="48"/>
  <c r="J425" i="48"/>
  <c r="K424" i="48"/>
  <c r="J424" i="48"/>
  <c r="K423" i="48"/>
  <c r="J423" i="48"/>
  <c r="K422" i="48"/>
  <c r="J422" i="48"/>
  <c r="K421" i="48"/>
  <c r="J421" i="48"/>
  <c r="K420" i="48"/>
  <c r="J420" i="48"/>
  <c r="K419" i="48"/>
  <c r="J419" i="48"/>
  <c r="K418" i="48"/>
  <c r="J418" i="48"/>
  <c r="K417" i="48"/>
  <c r="J417" i="48"/>
  <c r="K416" i="48"/>
  <c r="J416" i="48"/>
  <c r="K415" i="48"/>
  <c r="J415" i="48"/>
  <c r="K414" i="48"/>
  <c r="J414" i="48"/>
  <c r="K413" i="48"/>
  <c r="J413" i="48"/>
  <c r="K412" i="48"/>
  <c r="J412" i="48"/>
  <c r="K411" i="48"/>
  <c r="J411" i="48"/>
  <c r="K410" i="48"/>
  <c r="J410" i="48"/>
  <c r="K409" i="48"/>
  <c r="J409" i="48"/>
  <c r="K408" i="48"/>
  <c r="J408" i="48"/>
  <c r="K407" i="48"/>
  <c r="J407" i="48"/>
  <c r="K406" i="48"/>
  <c r="J406" i="48"/>
  <c r="K405" i="48"/>
  <c r="J405" i="48"/>
  <c r="K404" i="48"/>
  <c r="J404" i="48"/>
  <c r="K403" i="48"/>
  <c r="J403" i="48"/>
  <c r="K402" i="48"/>
  <c r="J402" i="48"/>
  <c r="K401" i="48"/>
  <c r="J401" i="48"/>
  <c r="K400" i="48"/>
  <c r="J400" i="48"/>
  <c r="K399" i="48"/>
  <c r="J399" i="48"/>
  <c r="K398" i="48"/>
  <c r="J398" i="48"/>
  <c r="K397" i="48"/>
  <c r="J397" i="48"/>
  <c r="K396" i="48"/>
  <c r="J396" i="48"/>
  <c r="K395" i="48"/>
  <c r="J395" i="48"/>
  <c r="K394" i="48"/>
  <c r="J394" i="48"/>
  <c r="K393" i="48"/>
  <c r="J393" i="48"/>
  <c r="K392" i="48"/>
  <c r="J392" i="48"/>
  <c r="K391" i="48"/>
  <c r="J391" i="48"/>
  <c r="K390" i="48"/>
  <c r="J390" i="48"/>
  <c r="K389" i="48"/>
  <c r="J389" i="48"/>
  <c r="K388" i="48"/>
  <c r="J388" i="48"/>
  <c r="K387" i="48"/>
  <c r="J387" i="48"/>
  <c r="K386" i="48"/>
  <c r="J386" i="48"/>
  <c r="K385" i="48"/>
  <c r="J385" i="48"/>
  <c r="K384" i="48"/>
  <c r="J384" i="48"/>
  <c r="K383" i="48"/>
  <c r="J383" i="48"/>
  <c r="K382" i="48"/>
  <c r="J382" i="48"/>
  <c r="K381" i="48"/>
  <c r="J381" i="48"/>
  <c r="K380" i="48"/>
  <c r="J380" i="48"/>
  <c r="K379" i="48"/>
  <c r="J379" i="48"/>
  <c r="K378" i="48"/>
  <c r="J378" i="48"/>
  <c r="K377" i="48"/>
  <c r="J377" i="48"/>
  <c r="K376" i="48"/>
  <c r="J376" i="48"/>
  <c r="K375" i="48"/>
  <c r="J375" i="48"/>
  <c r="K374" i="48"/>
  <c r="J374" i="48"/>
  <c r="K373" i="48"/>
  <c r="J373" i="48"/>
  <c r="K372" i="48"/>
  <c r="J372" i="48"/>
  <c r="K371" i="48"/>
  <c r="J371" i="48"/>
  <c r="K370" i="48"/>
  <c r="J370" i="48"/>
  <c r="K369" i="48"/>
  <c r="J369" i="48"/>
  <c r="K368" i="48"/>
  <c r="J368" i="48"/>
  <c r="K367" i="48"/>
  <c r="J367" i="48"/>
  <c r="K366" i="48"/>
  <c r="J366" i="48"/>
  <c r="K365" i="48"/>
  <c r="J365" i="48"/>
  <c r="K364" i="48"/>
  <c r="J364" i="48"/>
  <c r="K363" i="48"/>
  <c r="J363" i="48"/>
  <c r="K362" i="48"/>
  <c r="J362" i="48"/>
  <c r="K361" i="48"/>
  <c r="J361" i="48"/>
  <c r="K360" i="48"/>
  <c r="J360" i="48"/>
  <c r="K359" i="48"/>
  <c r="J359" i="48"/>
  <c r="K358" i="48"/>
  <c r="J358" i="48"/>
  <c r="K357" i="48"/>
  <c r="J357" i="48"/>
  <c r="K356" i="48"/>
  <c r="J356" i="48"/>
  <c r="K355" i="48"/>
  <c r="J355" i="48"/>
  <c r="K354" i="48"/>
  <c r="J354" i="48"/>
  <c r="K353" i="48"/>
  <c r="J353" i="48"/>
  <c r="K352" i="48"/>
  <c r="J352" i="48"/>
  <c r="K351" i="48"/>
  <c r="J351" i="48"/>
  <c r="K350" i="48"/>
  <c r="J350" i="48"/>
  <c r="K349" i="48"/>
  <c r="J349" i="48"/>
  <c r="K348" i="48"/>
  <c r="J348" i="48"/>
  <c r="K347" i="48"/>
  <c r="J347" i="48"/>
  <c r="K346" i="48"/>
  <c r="J346" i="48"/>
  <c r="K345" i="48"/>
  <c r="J345" i="48"/>
  <c r="K344" i="48"/>
  <c r="J344" i="48"/>
  <c r="K343" i="48"/>
  <c r="J343" i="48"/>
  <c r="K342" i="48"/>
  <c r="J342" i="48"/>
  <c r="K341" i="48"/>
  <c r="J341" i="48"/>
  <c r="K340" i="48"/>
  <c r="J340" i="48"/>
  <c r="K339" i="48"/>
  <c r="J339" i="48"/>
  <c r="K338" i="48"/>
  <c r="J338" i="48"/>
  <c r="K337" i="48"/>
  <c r="J337" i="48"/>
  <c r="K336" i="48"/>
  <c r="J336" i="48"/>
  <c r="K335" i="48"/>
  <c r="J335" i="48"/>
  <c r="K334" i="48"/>
  <c r="J334" i="48"/>
  <c r="K333" i="48"/>
  <c r="J333" i="48"/>
  <c r="K332" i="48"/>
  <c r="J332" i="48"/>
  <c r="K331" i="48"/>
  <c r="J331" i="48"/>
  <c r="K330" i="48"/>
  <c r="J330" i="48"/>
  <c r="K329" i="48"/>
  <c r="J329" i="48"/>
  <c r="K328" i="48"/>
  <c r="J328" i="48"/>
  <c r="K327" i="48"/>
  <c r="J327" i="48"/>
  <c r="K326" i="48"/>
  <c r="J326" i="48"/>
  <c r="K325" i="48"/>
  <c r="J325" i="48"/>
  <c r="K324" i="48"/>
  <c r="J324" i="48"/>
  <c r="K323" i="48"/>
  <c r="J323" i="48"/>
  <c r="K322" i="48"/>
  <c r="J322" i="48"/>
  <c r="K321" i="48"/>
  <c r="J321" i="48"/>
  <c r="K320" i="48"/>
  <c r="J320" i="48"/>
  <c r="K319" i="48"/>
  <c r="J319" i="48"/>
  <c r="K318" i="48"/>
  <c r="J318" i="48"/>
  <c r="K317" i="48"/>
  <c r="J317" i="48"/>
  <c r="K316" i="48"/>
  <c r="J316" i="48"/>
  <c r="K315" i="48"/>
  <c r="J315" i="48"/>
  <c r="K314" i="48"/>
  <c r="J314" i="48"/>
  <c r="K313" i="48"/>
  <c r="J313" i="48"/>
  <c r="K312" i="48"/>
  <c r="J312" i="48"/>
  <c r="K311" i="48"/>
  <c r="J311" i="48"/>
  <c r="K310" i="48"/>
  <c r="J310" i="48"/>
  <c r="K309" i="48"/>
  <c r="J309" i="48"/>
  <c r="K308" i="48"/>
  <c r="J308" i="48"/>
  <c r="K307" i="48"/>
  <c r="J307" i="48"/>
  <c r="K306" i="48"/>
  <c r="J306" i="48"/>
  <c r="K305" i="48"/>
  <c r="J305" i="48"/>
  <c r="K304" i="48"/>
  <c r="J304" i="48"/>
  <c r="K303" i="48"/>
  <c r="J303" i="48"/>
  <c r="K302" i="48"/>
  <c r="J302" i="48"/>
  <c r="K301" i="48"/>
  <c r="J301" i="48"/>
  <c r="K300" i="48"/>
  <c r="J300" i="48"/>
  <c r="K299" i="48"/>
  <c r="J299" i="48"/>
  <c r="K298" i="48"/>
  <c r="J298" i="48"/>
  <c r="K297" i="48"/>
  <c r="J297" i="48"/>
  <c r="K296" i="48"/>
  <c r="J296" i="48"/>
  <c r="K295" i="48"/>
  <c r="J295" i="48"/>
  <c r="K294" i="48"/>
  <c r="J294" i="48"/>
  <c r="K293" i="48"/>
  <c r="J293" i="48"/>
  <c r="K292" i="48"/>
  <c r="J292" i="48"/>
  <c r="K291" i="48"/>
  <c r="J291" i="48"/>
  <c r="K290" i="48"/>
  <c r="J290" i="48"/>
  <c r="K289" i="48"/>
  <c r="J289" i="48"/>
  <c r="K288" i="48"/>
  <c r="J288" i="48"/>
  <c r="K287" i="48"/>
  <c r="J287" i="48"/>
  <c r="K286" i="48"/>
  <c r="J286" i="48"/>
  <c r="K285" i="48"/>
  <c r="J285" i="48"/>
  <c r="K284" i="48"/>
  <c r="J284" i="48"/>
  <c r="K283" i="48"/>
  <c r="J283" i="48"/>
  <c r="K282" i="48"/>
  <c r="J282" i="48"/>
  <c r="K281" i="48"/>
  <c r="J281" i="48"/>
  <c r="K280" i="48"/>
  <c r="J280" i="48"/>
  <c r="K279" i="48"/>
  <c r="J279" i="48"/>
  <c r="K278" i="48"/>
  <c r="J278" i="48"/>
  <c r="K277" i="48"/>
  <c r="J277" i="48"/>
  <c r="K276" i="48"/>
  <c r="J276" i="48"/>
  <c r="K275" i="48"/>
  <c r="J275" i="48"/>
  <c r="K274" i="48"/>
  <c r="J274" i="48"/>
  <c r="K273" i="48"/>
  <c r="J273" i="48"/>
  <c r="K272" i="48"/>
  <c r="J272" i="48"/>
  <c r="K271" i="48"/>
  <c r="J271" i="48"/>
  <c r="K270" i="48"/>
  <c r="J270" i="48"/>
  <c r="K269" i="48"/>
  <c r="J269" i="48"/>
  <c r="K268" i="48"/>
  <c r="J268" i="48"/>
  <c r="K267" i="48"/>
  <c r="J267" i="48"/>
  <c r="K266" i="48"/>
  <c r="J266" i="48"/>
  <c r="K265" i="48"/>
  <c r="J265" i="48"/>
  <c r="K264" i="48"/>
  <c r="J264" i="48"/>
  <c r="K263" i="48"/>
  <c r="J263" i="48"/>
  <c r="K262" i="48"/>
  <c r="J262" i="48"/>
  <c r="K261" i="48"/>
  <c r="J261" i="48"/>
  <c r="K260" i="48"/>
  <c r="J260" i="48"/>
  <c r="K259" i="48"/>
  <c r="J259" i="48"/>
  <c r="K258" i="48"/>
  <c r="J258" i="48"/>
  <c r="K257" i="48"/>
  <c r="J257" i="48"/>
  <c r="K256" i="48"/>
  <c r="J256" i="48"/>
  <c r="K255" i="48"/>
  <c r="J255" i="48"/>
  <c r="K254" i="48"/>
  <c r="J254" i="48"/>
  <c r="K253" i="48"/>
  <c r="J253" i="48"/>
  <c r="K252" i="48"/>
  <c r="J252" i="48"/>
  <c r="K251" i="48"/>
  <c r="J251" i="48"/>
  <c r="K250" i="48"/>
  <c r="J250" i="48"/>
  <c r="K249" i="48"/>
  <c r="J249" i="48"/>
  <c r="K248" i="48"/>
  <c r="J248" i="48"/>
  <c r="K247" i="48"/>
  <c r="J247" i="48"/>
  <c r="K246" i="48"/>
  <c r="J246" i="48"/>
  <c r="K245" i="48"/>
  <c r="J245" i="48"/>
  <c r="K244" i="48"/>
  <c r="J244" i="48"/>
  <c r="K243" i="48"/>
  <c r="J243" i="48"/>
  <c r="K242" i="48"/>
  <c r="J242" i="48"/>
  <c r="K241" i="48"/>
  <c r="J241" i="48"/>
  <c r="K240" i="48"/>
  <c r="J240" i="48"/>
  <c r="K239" i="48"/>
  <c r="J239" i="48"/>
  <c r="K238" i="48"/>
  <c r="J238" i="48"/>
  <c r="K237" i="48"/>
  <c r="J237" i="48"/>
  <c r="K236" i="48"/>
  <c r="J236" i="48"/>
  <c r="K235" i="48"/>
  <c r="J235" i="48"/>
  <c r="K234" i="48"/>
  <c r="J234" i="48"/>
  <c r="K233" i="48"/>
  <c r="J233" i="48"/>
  <c r="K232" i="48"/>
  <c r="J232" i="48"/>
  <c r="K231" i="48"/>
  <c r="J231" i="48"/>
  <c r="K230" i="48"/>
  <c r="J230" i="48"/>
  <c r="K229" i="48"/>
  <c r="J229" i="48"/>
  <c r="K228" i="48"/>
  <c r="J228" i="48"/>
  <c r="K227" i="48"/>
  <c r="J227" i="48"/>
  <c r="K226" i="48"/>
  <c r="J226" i="48"/>
  <c r="K225" i="48"/>
  <c r="J225" i="48"/>
  <c r="K224" i="48"/>
  <c r="J224" i="48"/>
  <c r="K223" i="48"/>
  <c r="J223" i="48"/>
  <c r="K222" i="48"/>
  <c r="J222" i="48"/>
  <c r="K221" i="48"/>
  <c r="J221" i="48"/>
  <c r="K220" i="48"/>
  <c r="J220" i="48"/>
  <c r="K219" i="48"/>
  <c r="J219" i="48"/>
  <c r="K218" i="48"/>
  <c r="J218" i="48"/>
  <c r="K217" i="48"/>
  <c r="J217" i="48"/>
  <c r="K216" i="48"/>
  <c r="J216" i="48"/>
  <c r="K215" i="48"/>
  <c r="J215" i="48"/>
  <c r="K214" i="48"/>
  <c r="J214" i="48"/>
  <c r="K213" i="48"/>
  <c r="J213" i="48"/>
  <c r="K212" i="48"/>
  <c r="J212" i="48"/>
  <c r="K211" i="48"/>
  <c r="J211" i="48"/>
  <c r="K210" i="48"/>
  <c r="J210" i="48"/>
  <c r="K209" i="48"/>
  <c r="J209" i="48"/>
  <c r="K208" i="48"/>
  <c r="J208" i="48"/>
  <c r="K207" i="48"/>
  <c r="J207" i="48"/>
  <c r="K206" i="48"/>
  <c r="J206" i="48"/>
  <c r="K205" i="48"/>
  <c r="J205" i="48"/>
  <c r="K204" i="48"/>
  <c r="J204" i="48"/>
  <c r="K203" i="48"/>
  <c r="J203" i="48"/>
  <c r="K202" i="48"/>
  <c r="J202" i="48"/>
  <c r="K201" i="48"/>
  <c r="J201" i="48"/>
  <c r="K200" i="48"/>
  <c r="J200" i="48"/>
  <c r="K199" i="48"/>
  <c r="J199" i="48"/>
  <c r="K198" i="48"/>
  <c r="J198" i="48"/>
  <c r="K197" i="48"/>
  <c r="J197" i="48"/>
  <c r="K196" i="48"/>
  <c r="J196" i="48"/>
  <c r="K195" i="48"/>
  <c r="J195" i="48"/>
  <c r="K194" i="48"/>
  <c r="J194" i="48"/>
  <c r="K193" i="48"/>
  <c r="J193" i="48"/>
  <c r="K192" i="48"/>
  <c r="J192" i="48"/>
  <c r="K191" i="48"/>
  <c r="J191" i="48"/>
  <c r="K190" i="48"/>
  <c r="J190" i="48"/>
  <c r="K189" i="48"/>
  <c r="J189" i="48"/>
  <c r="K188" i="48"/>
  <c r="J188" i="48"/>
  <c r="K187" i="48"/>
  <c r="J187" i="48"/>
  <c r="K186" i="48"/>
  <c r="J186" i="48"/>
  <c r="K185" i="48"/>
  <c r="J185" i="48"/>
  <c r="K184" i="48"/>
  <c r="J184" i="48"/>
  <c r="K183" i="48"/>
  <c r="J183" i="48"/>
  <c r="K182" i="48"/>
  <c r="J182" i="48"/>
  <c r="K181" i="48"/>
  <c r="J181" i="48"/>
  <c r="K180" i="48"/>
  <c r="J180" i="48"/>
  <c r="K179" i="48"/>
  <c r="J179" i="48"/>
  <c r="K178" i="48"/>
  <c r="J178" i="48"/>
  <c r="K177" i="48"/>
  <c r="J177" i="48"/>
  <c r="K176" i="48"/>
  <c r="J176" i="48"/>
  <c r="K175" i="48"/>
  <c r="J175" i="48"/>
  <c r="K174" i="48"/>
  <c r="J174" i="48"/>
  <c r="K173" i="48"/>
  <c r="J173" i="48"/>
  <c r="K172" i="48"/>
  <c r="J172" i="48"/>
  <c r="K171" i="48"/>
  <c r="J171" i="48"/>
  <c r="K170" i="48"/>
  <c r="J170" i="48"/>
  <c r="K169" i="48"/>
  <c r="J169" i="48"/>
  <c r="K168" i="48"/>
  <c r="J168" i="48"/>
  <c r="K167" i="48"/>
  <c r="J167" i="48"/>
  <c r="K166" i="48"/>
  <c r="J166" i="48"/>
  <c r="K165" i="48"/>
  <c r="J165" i="48"/>
  <c r="K164" i="48"/>
  <c r="J164" i="48"/>
  <c r="K163" i="48"/>
  <c r="J163" i="48"/>
  <c r="K162" i="48"/>
  <c r="J162" i="48"/>
  <c r="K161" i="48"/>
  <c r="J161" i="48"/>
  <c r="K160" i="48"/>
  <c r="J160" i="48"/>
  <c r="K159" i="48"/>
  <c r="J159" i="48"/>
  <c r="K158" i="48"/>
  <c r="J158" i="48"/>
  <c r="K157" i="48"/>
  <c r="J157" i="48"/>
  <c r="K156" i="48"/>
  <c r="J156" i="48"/>
  <c r="K155" i="48"/>
  <c r="J155" i="48"/>
  <c r="K154" i="48"/>
  <c r="J154" i="48"/>
  <c r="K153" i="48"/>
  <c r="J153" i="48"/>
  <c r="K152" i="48"/>
  <c r="J152" i="48"/>
  <c r="K151" i="48"/>
  <c r="J151" i="48"/>
  <c r="K150" i="48"/>
  <c r="J150" i="48"/>
  <c r="K149" i="48"/>
  <c r="J149" i="48"/>
  <c r="K148" i="48"/>
  <c r="J148" i="48"/>
  <c r="K147" i="48"/>
  <c r="J147" i="48"/>
  <c r="K146" i="48"/>
  <c r="J146" i="48"/>
  <c r="K145" i="48"/>
  <c r="J145" i="48"/>
  <c r="K144" i="48"/>
  <c r="J144" i="48"/>
  <c r="K143" i="48"/>
  <c r="J143" i="48"/>
  <c r="K142" i="48"/>
  <c r="J142" i="48"/>
  <c r="K141" i="48"/>
  <c r="J141" i="48"/>
  <c r="K140" i="48"/>
  <c r="J140" i="48"/>
  <c r="K139" i="48"/>
  <c r="J139" i="48"/>
  <c r="K138" i="48"/>
  <c r="J138" i="48"/>
  <c r="K137" i="48"/>
  <c r="J137" i="48"/>
  <c r="K136" i="48"/>
  <c r="J136" i="48"/>
  <c r="K135" i="48"/>
  <c r="J135" i="48"/>
  <c r="K134" i="48"/>
  <c r="J134" i="48"/>
  <c r="K133" i="48"/>
  <c r="J133" i="48"/>
  <c r="K132" i="48"/>
  <c r="J132" i="48"/>
  <c r="K131" i="48"/>
  <c r="J131" i="48"/>
  <c r="K130" i="48"/>
  <c r="J130" i="48"/>
  <c r="K129" i="48"/>
  <c r="J129" i="48"/>
  <c r="K128" i="48"/>
  <c r="J128" i="48"/>
  <c r="K127" i="48"/>
  <c r="J127" i="48"/>
  <c r="K126" i="48"/>
  <c r="J126" i="48"/>
  <c r="K125" i="48"/>
  <c r="J125" i="48"/>
  <c r="K124" i="48"/>
  <c r="J124" i="48"/>
  <c r="K123" i="48"/>
  <c r="J123" i="48"/>
  <c r="K122" i="48"/>
  <c r="J122" i="48"/>
  <c r="K121" i="48"/>
  <c r="J121" i="48"/>
  <c r="K120" i="48"/>
  <c r="J120" i="48"/>
  <c r="K119" i="48"/>
  <c r="J119" i="48"/>
  <c r="K118" i="48"/>
  <c r="J118" i="48"/>
  <c r="K117" i="48"/>
  <c r="J117" i="48"/>
  <c r="K116" i="48"/>
  <c r="J116" i="48"/>
  <c r="K115" i="48"/>
  <c r="J115" i="48"/>
  <c r="K114" i="48"/>
  <c r="J114" i="48"/>
  <c r="K113" i="48"/>
  <c r="J113" i="48"/>
  <c r="K112" i="48"/>
  <c r="J112" i="48"/>
  <c r="K111" i="48"/>
  <c r="J111" i="48"/>
  <c r="K110" i="48"/>
  <c r="J110" i="48"/>
  <c r="K109" i="48"/>
  <c r="J109" i="48"/>
  <c r="K108" i="48"/>
  <c r="J108" i="48"/>
  <c r="K107" i="48"/>
  <c r="J107" i="48"/>
  <c r="K106" i="48"/>
  <c r="J106" i="48"/>
  <c r="K105" i="48"/>
  <c r="J105" i="48"/>
  <c r="K104" i="48"/>
  <c r="J104" i="48"/>
  <c r="K103" i="48"/>
  <c r="J103" i="48"/>
  <c r="K102" i="48"/>
  <c r="J102" i="48"/>
  <c r="K101" i="48"/>
  <c r="J101" i="48"/>
  <c r="K100" i="48"/>
  <c r="J100" i="48"/>
  <c r="K99" i="48"/>
  <c r="J99" i="48"/>
  <c r="K98" i="48"/>
  <c r="J98" i="48"/>
  <c r="K97" i="48"/>
  <c r="J97" i="48"/>
  <c r="K96" i="48"/>
  <c r="J96" i="48"/>
  <c r="K95" i="48"/>
  <c r="J95" i="48"/>
  <c r="K94" i="48"/>
  <c r="J94" i="48"/>
  <c r="K93" i="48"/>
  <c r="J93" i="48"/>
  <c r="K92" i="48"/>
  <c r="J92" i="48"/>
  <c r="K91" i="48"/>
  <c r="J91" i="48"/>
  <c r="K90" i="48"/>
  <c r="J90" i="48"/>
  <c r="K89" i="48"/>
  <c r="J89" i="48"/>
  <c r="K88" i="48"/>
  <c r="J88" i="48"/>
  <c r="K87" i="48"/>
  <c r="J87" i="48"/>
  <c r="K86" i="48"/>
  <c r="J86" i="48"/>
  <c r="K85" i="48"/>
  <c r="J85" i="48"/>
  <c r="K84" i="48"/>
  <c r="J84" i="48"/>
  <c r="K83" i="48"/>
  <c r="J83" i="48"/>
  <c r="K82" i="48"/>
  <c r="J82" i="48"/>
  <c r="K81" i="48"/>
  <c r="J81" i="48"/>
  <c r="K80" i="48"/>
  <c r="J80" i="48"/>
  <c r="K79" i="48"/>
  <c r="J79" i="48"/>
  <c r="K78" i="48"/>
  <c r="J78" i="48"/>
  <c r="K77" i="48"/>
  <c r="J77" i="48"/>
  <c r="K76" i="48"/>
  <c r="J76" i="48"/>
  <c r="K75" i="48"/>
  <c r="J75" i="48"/>
  <c r="K74" i="48"/>
  <c r="J74" i="48"/>
  <c r="K73" i="48"/>
  <c r="J73" i="48"/>
  <c r="K72" i="48"/>
  <c r="J72" i="48"/>
  <c r="K71" i="48"/>
  <c r="J71" i="48"/>
  <c r="K70" i="48"/>
  <c r="J70" i="48"/>
  <c r="K69" i="48"/>
  <c r="J69" i="48"/>
  <c r="K68" i="48"/>
  <c r="J68" i="48"/>
  <c r="K67" i="48"/>
  <c r="J67" i="48"/>
  <c r="K66" i="48"/>
  <c r="J66" i="48"/>
  <c r="K65" i="48"/>
  <c r="J65" i="48"/>
  <c r="K64" i="48"/>
  <c r="J64" i="48"/>
  <c r="K63" i="48"/>
  <c r="J63" i="48"/>
  <c r="K62" i="48"/>
  <c r="J62" i="48"/>
  <c r="K61" i="48"/>
  <c r="J61" i="48"/>
  <c r="K60" i="48"/>
  <c r="J60" i="48"/>
  <c r="K59" i="48"/>
  <c r="J59" i="48"/>
  <c r="K58" i="48"/>
  <c r="J58" i="48"/>
  <c r="K57" i="48"/>
  <c r="J57" i="48"/>
  <c r="K56" i="48"/>
  <c r="J56" i="48"/>
  <c r="K55" i="48"/>
  <c r="J55" i="48"/>
  <c r="K54" i="48"/>
  <c r="J54" i="48"/>
  <c r="K53" i="48"/>
  <c r="J53" i="48"/>
  <c r="K52" i="48"/>
  <c r="J52" i="48"/>
  <c r="K51" i="48"/>
  <c r="J51" i="48"/>
  <c r="K50" i="48"/>
  <c r="J50" i="48"/>
  <c r="K49" i="48"/>
  <c r="J49" i="48"/>
  <c r="K48" i="48"/>
  <c r="J48" i="48"/>
  <c r="K47" i="48"/>
  <c r="J47" i="48"/>
  <c r="K46" i="48"/>
  <c r="J46" i="48"/>
  <c r="K45" i="48"/>
  <c r="J45" i="48"/>
  <c r="K44" i="48"/>
  <c r="J44" i="48"/>
  <c r="K43" i="48"/>
  <c r="J43" i="48"/>
  <c r="K42" i="48"/>
  <c r="J42" i="48"/>
  <c r="K41" i="48"/>
  <c r="J41" i="48"/>
  <c r="K40" i="48"/>
  <c r="J40" i="48"/>
  <c r="K39" i="48"/>
  <c r="J39" i="48"/>
  <c r="K38" i="48"/>
  <c r="J38" i="48"/>
  <c r="K37" i="48"/>
  <c r="J37" i="48"/>
  <c r="K36" i="48"/>
  <c r="J36" i="48"/>
  <c r="K35" i="48"/>
  <c r="J35" i="48"/>
  <c r="K34" i="48"/>
  <c r="J34" i="48"/>
  <c r="K33" i="48"/>
  <c r="J33" i="48"/>
  <c r="K32" i="48"/>
  <c r="J32" i="48"/>
  <c r="K31" i="48"/>
  <c r="J31" i="48"/>
  <c r="K30" i="48"/>
  <c r="J30" i="48"/>
  <c r="K29" i="48"/>
  <c r="J29" i="48"/>
  <c r="K28" i="48"/>
  <c r="J28" i="48"/>
  <c r="K27" i="48"/>
  <c r="J27" i="48"/>
  <c r="K26" i="48"/>
  <c r="J26" i="48"/>
  <c r="K25" i="48"/>
  <c r="J25" i="48"/>
  <c r="K24" i="48"/>
  <c r="J24" i="48"/>
  <c r="K23" i="48"/>
  <c r="J23" i="48"/>
  <c r="K22" i="48"/>
  <c r="J22" i="48"/>
  <c r="K21" i="48"/>
  <c r="J21" i="48"/>
  <c r="K20" i="48"/>
  <c r="J20" i="48"/>
  <c r="K19" i="48"/>
  <c r="J19" i="48"/>
  <c r="K18" i="48"/>
  <c r="J18" i="48"/>
  <c r="K17" i="48"/>
  <c r="J17" i="48"/>
  <c r="K16" i="48"/>
  <c r="J16" i="48"/>
  <c r="K15" i="48"/>
  <c r="J15" i="48"/>
  <c r="K14" i="48"/>
  <c r="J14" i="48"/>
  <c r="K13" i="48"/>
  <c r="J13" i="48"/>
  <c r="K12" i="48"/>
  <c r="J12" i="48"/>
  <c r="K11" i="48"/>
  <c r="J11" i="48"/>
  <c r="K10" i="48"/>
  <c r="J10" i="48"/>
  <c r="K9" i="48"/>
  <c r="J9" i="48"/>
  <c r="K8" i="48"/>
  <c r="J8" i="48"/>
  <c r="K7" i="48"/>
  <c r="J7" i="48"/>
  <c r="K6" i="48"/>
  <c r="J6" i="48"/>
  <c r="K3" i="48"/>
  <c r="I3" i="48"/>
  <c r="H3" i="48"/>
  <c r="K498" i="67"/>
  <c r="J498" i="67"/>
  <c r="K497" i="67"/>
  <c r="J497" i="67"/>
  <c r="K496" i="67"/>
  <c r="J496" i="67"/>
  <c r="K495" i="67"/>
  <c r="J495" i="67"/>
  <c r="K494" i="67"/>
  <c r="J494" i="67"/>
  <c r="K493" i="67"/>
  <c r="J493" i="67"/>
  <c r="K492" i="67"/>
  <c r="J492" i="67"/>
  <c r="K491" i="67"/>
  <c r="J491" i="67"/>
  <c r="K490" i="67"/>
  <c r="J490" i="67"/>
  <c r="K489" i="67"/>
  <c r="J489" i="67"/>
  <c r="K488" i="67"/>
  <c r="J488" i="67"/>
  <c r="K487" i="67"/>
  <c r="J487" i="67"/>
  <c r="K486" i="67"/>
  <c r="J486" i="67"/>
  <c r="K485" i="67"/>
  <c r="J485" i="67"/>
  <c r="K484" i="67"/>
  <c r="J484" i="67"/>
  <c r="K483" i="67"/>
  <c r="J483" i="67"/>
  <c r="K482" i="67"/>
  <c r="J482" i="67"/>
  <c r="K481" i="67"/>
  <c r="J481" i="67"/>
  <c r="K480" i="67"/>
  <c r="J480" i="67"/>
  <c r="K479" i="67"/>
  <c r="J479" i="67"/>
  <c r="K478" i="67"/>
  <c r="J478" i="67"/>
  <c r="K477" i="67"/>
  <c r="J477" i="67"/>
  <c r="K476" i="67"/>
  <c r="J476" i="67"/>
  <c r="K475" i="67"/>
  <c r="J475" i="67"/>
  <c r="K474" i="67"/>
  <c r="J474" i="67"/>
  <c r="K473" i="67"/>
  <c r="J473" i="67"/>
  <c r="K472" i="67"/>
  <c r="J472" i="67"/>
  <c r="K471" i="67"/>
  <c r="J471" i="67"/>
  <c r="K470" i="67"/>
  <c r="J470" i="67"/>
  <c r="K469" i="67"/>
  <c r="J469" i="67"/>
  <c r="K468" i="67"/>
  <c r="J468" i="67"/>
  <c r="K467" i="67"/>
  <c r="J467" i="67"/>
  <c r="K466" i="67"/>
  <c r="J466" i="67"/>
  <c r="K465" i="67"/>
  <c r="J465" i="67"/>
  <c r="K464" i="67"/>
  <c r="J464" i="67"/>
  <c r="K463" i="67"/>
  <c r="J463" i="67"/>
  <c r="K462" i="67"/>
  <c r="J462" i="67"/>
  <c r="K461" i="67"/>
  <c r="J461" i="67"/>
  <c r="K460" i="67"/>
  <c r="J460" i="67"/>
  <c r="K459" i="67"/>
  <c r="J459" i="67"/>
  <c r="K458" i="67"/>
  <c r="J458" i="67"/>
  <c r="K457" i="67"/>
  <c r="J457" i="67"/>
  <c r="K456" i="67"/>
  <c r="J456" i="67"/>
  <c r="K455" i="67"/>
  <c r="J455" i="67"/>
  <c r="K454" i="67"/>
  <c r="J454" i="67"/>
  <c r="K453" i="67"/>
  <c r="J453" i="67"/>
  <c r="K452" i="67"/>
  <c r="J452" i="67"/>
  <c r="K451" i="67"/>
  <c r="J451" i="67"/>
  <c r="K450" i="67"/>
  <c r="J450" i="67"/>
  <c r="K449" i="67"/>
  <c r="J449" i="67"/>
  <c r="K448" i="67"/>
  <c r="J448" i="67"/>
  <c r="K447" i="67"/>
  <c r="J447" i="67"/>
  <c r="K446" i="67"/>
  <c r="J446" i="67"/>
  <c r="K445" i="67"/>
  <c r="J445" i="67"/>
  <c r="K444" i="67"/>
  <c r="J444" i="67"/>
  <c r="K443" i="67"/>
  <c r="J443" i="67"/>
  <c r="K442" i="67"/>
  <c r="J442" i="67"/>
  <c r="K441" i="67"/>
  <c r="J441" i="67"/>
  <c r="K440" i="67"/>
  <c r="J440" i="67"/>
  <c r="K439" i="67"/>
  <c r="J439" i="67"/>
  <c r="K438" i="67"/>
  <c r="J438" i="67"/>
  <c r="K437" i="67"/>
  <c r="J437" i="67"/>
  <c r="K436" i="67"/>
  <c r="J436" i="67"/>
  <c r="K435" i="67"/>
  <c r="J435" i="67"/>
  <c r="K434" i="67"/>
  <c r="J434" i="67"/>
  <c r="K433" i="67"/>
  <c r="J433" i="67"/>
  <c r="K432" i="67"/>
  <c r="J432" i="67"/>
  <c r="K431" i="67"/>
  <c r="J431" i="67"/>
  <c r="K430" i="67"/>
  <c r="J430" i="67"/>
  <c r="K429" i="67"/>
  <c r="J429" i="67"/>
  <c r="K428" i="67"/>
  <c r="J428" i="67"/>
  <c r="K427" i="67"/>
  <c r="J427" i="67"/>
  <c r="K426" i="67"/>
  <c r="J426" i="67"/>
  <c r="K425" i="67"/>
  <c r="J425" i="67"/>
  <c r="K424" i="67"/>
  <c r="J424" i="67"/>
  <c r="K423" i="67"/>
  <c r="J423" i="67"/>
  <c r="K422" i="67"/>
  <c r="J422" i="67"/>
  <c r="K421" i="67"/>
  <c r="J421" i="67"/>
  <c r="K420" i="67"/>
  <c r="J420" i="67"/>
  <c r="K419" i="67"/>
  <c r="J419" i="67"/>
  <c r="K418" i="67"/>
  <c r="J418" i="67"/>
  <c r="K417" i="67"/>
  <c r="J417" i="67"/>
  <c r="K416" i="67"/>
  <c r="J416" i="67"/>
  <c r="K415" i="67"/>
  <c r="J415" i="67"/>
  <c r="K414" i="67"/>
  <c r="J414" i="67"/>
  <c r="K413" i="67"/>
  <c r="J413" i="67"/>
  <c r="K412" i="67"/>
  <c r="J412" i="67"/>
  <c r="K411" i="67"/>
  <c r="J411" i="67"/>
  <c r="K410" i="67"/>
  <c r="J410" i="67"/>
  <c r="K409" i="67"/>
  <c r="J409" i="67"/>
  <c r="K408" i="67"/>
  <c r="J408" i="67"/>
  <c r="K407" i="67"/>
  <c r="J407" i="67"/>
  <c r="K406" i="67"/>
  <c r="J406" i="67"/>
  <c r="K405" i="67"/>
  <c r="J405" i="67"/>
  <c r="K404" i="67"/>
  <c r="J404" i="67"/>
  <c r="K403" i="67"/>
  <c r="J403" i="67"/>
  <c r="K402" i="67"/>
  <c r="J402" i="67"/>
  <c r="K401" i="67"/>
  <c r="J401" i="67"/>
  <c r="K400" i="67"/>
  <c r="J400" i="67"/>
  <c r="K399" i="67"/>
  <c r="J399" i="67"/>
  <c r="K398" i="67"/>
  <c r="J398" i="67"/>
  <c r="K397" i="67"/>
  <c r="J397" i="67"/>
  <c r="K396" i="67"/>
  <c r="J396" i="67"/>
  <c r="K395" i="67"/>
  <c r="J395" i="67"/>
  <c r="K394" i="67"/>
  <c r="J394" i="67"/>
  <c r="K393" i="67"/>
  <c r="J393" i="67"/>
  <c r="K392" i="67"/>
  <c r="J392" i="67"/>
  <c r="K391" i="67"/>
  <c r="J391" i="67"/>
  <c r="K390" i="67"/>
  <c r="J390" i="67"/>
  <c r="K389" i="67"/>
  <c r="J389" i="67"/>
  <c r="K388" i="67"/>
  <c r="J388" i="67"/>
  <c r="K387" i="67"/>
  <c r="J387" i="67"/>
  <c r="K386" i="67"/>
  <c r="J386" i="67"/>
  <c r="K385" i="67"/>
  <c r="J385" i="67"/>
  <c r="K384" i="67"/>
  <c r="J384" i="67"/>
  <c r="K383" i="67"/>
  <c r="J383" i="67"/>
  <c r="K382" i="67"/>
  <c r="J382" i="67"/>
  <c r="K381" i="67"/>
  <c r="J381" i="67"/>
  <c r="K380" i="67"/>
  <c r="J380" i="67"/>
  <c r="K379" i="67"/>
  <c r="J379" i="67"/>
  <c r="K378" i="67"/>
  <c r="J378" i="67"/>
  <c r="K377" i="67"/>
  <c r="J377" i="67"/>
  <c r="K376" i="67"/>
  <c r="J376" i="67"/>
  <c r="K375" i="67"/>
  <c r="J375" i="67"/>
  <c r="K374" i="67"/>
  <c r="J374" i="67"/>
  <c r="K373" i="67"/>
  <c r="J373" i="67"/>
  <c r="K372" i="67"/>
  <c r="J372" i="67"/>
  <c r="K371" i="67"/>
  <c r="J371" i="67"/>
  <c r="K370" i="67"/>
  <c r="J370" i="67"/>
  <c r="K369" i="67"/>
  <c r="J369" i="67"/>
  <c r="K368" i="67"/>
  <c r="J368" i="67"/>
  <c r="K367" i="67"/>
  <c r="J367" i="67"/>
  <c r="K366" i="67"/>
  <c r="J366" i="67"/>
  <c r="K365" i="67"/>
  <c r="J365" i="67"/>
  <c r="K364" i="67"/>
  <c r="J364" i="67"/>
  <c r="K363" i="67"/>
  <c r="J363" i="67"/>
  <c r="K362" i="67"/>
  <c r="J362" i="67"/>
  <c r="K361" i="67"/>
  <c r="J361" i="67"/>
  <c r="K360" i="67"/>
  <c r="J360" i="67"/>
  <c r="K359" i="67"/>
  <c r="J359" i="67"/>
  <c r="K358" i="67"/>
  <c r="J358" i="67"/>
  <c r="K357" i="67"/>
  <c r="J357" i="67"/>
  <c r="K356" i="67"/>
  <c r="J356" i="67"/>
  <c r="K355" i="67"/>
  <c r="J355" i="67"/>
  <c r="K354" i="67"/>
  <c r="J354" i="67"/>
  <c r="K353" i="67"/>
  <c r="J353" i="67"/>
  <c r="K352" i="67"/>
  <c r="J352" i="67"/>
  <c r="K351" i="67"/>
  <c r="J351" i="67"/>
  <c r="K350" i="67"/>
  <c r="J350" i="67"/>
  <c r="K349" i="67"/>
  <c r="J349" i="67"/>
  <c r="K348" i="67"/>
  <c r="J348" i="67"/>
  <c r="K347" i="67"/>
  <c r="J347" i="67"/>
  <c r="K346" i="67"/>
  <c r="J346" i="67"/>
  <c r="K345" i="67"/>
  <c r="J345" i="67"/>
  <c r="K344" i="67"/>
  <c r="J344" i="67"/>
  <c r="K343" i="67"/>
  <c r="J343" i="67"/>
  <c r="K342" i="67"/>
  <c r="J342" i="67"/>
  <c r="K341" i="67"/>
  <c r="J341" i="67"/>
  <c r="K340" i="67"/>
  <c r="J340" i="67"/>
  <c r="K339" i="67"/>
  <c r="J339" i="67"/>
  <c r="K338" i="67"/>
  <c r="J338" i="67"/>
  <c r="K337" i="67"/>
  <c r="J337" i="67"/>
  <c r="K336" i="67"/>
  <c r="J336" i="67"/>
  <c r="K335" i="67"/>
  <c r="J335" i="67"/>
  <c r="K334" i="67"/>
  <c r="J334" i="67"/>
  <c r="K333" i="67"/>
  <c r="J333" i="67"/>
  <c r="K332" i="67"/>
  <c r="J332" i="67"/>
  <c r="K331" i="67"/>
  <c r="J331" i="67"/>
  <c r="K330" i="67"/>
  <c r="J330" i="67"/>
  <c r="K329" i="67"/>
  <c r="J329" i="67"/>
  <c r="K328" i="67"/>
  <c r="J328" i="67"/>
  <c r="K327" i="67"/>
  <c r="J327" i="67"/>
  <c r="K326" i="67"/>
  <c r="J326" i="67"/>
  <c r="K325" i="67"/>
  <c r="J325" i="67"/>
  <c r="K324" i="67"/>
  <c r="J324" i="67"/>
  <c r="K323" i="67"/>
  <c r="J323" i="67"/>
  <c r="K322" i="67"/>
  <c r="J322" i="67"/>
  <c r="K321" i="67"/>
  <c r="J321" i="67"/>
  <c r="K320" i="67"/>
  <c r="J320" i="67"/>
  <c r="K319" i="67"/>
  <c r="J319" i="67"/>
  <c r="K318" i="67"/>
  <c r="J318" i="67"/>
  <c r="K317" i="67"/>
  <c r="J317" i="67"/>
  <c r="K316" i="67"/>
  <c r="J316" i="67"/>
  <c r="K315" i="67"/>
  <c r="J315" i="67"/>
  <c r="K314" i="67"/>
  <c r="J314" i="67"/>
  <c r="K313" i="67"/>
  <c r="J313" i="67"/>
  <c r="K312" i="67"/>
  <c r="J312" i="67"/>
  <c r="K311" i="67"/>
  <c r="J311" i="67"/>
  <c r="K310" i="67"/>
  <c r="J310" i="67"/>
  <c r="K309" i="67"/>
  <c r="J309" i="67"/>
  <c r="K308" i="67"/>
  <c r="J308" i="67"/>
  <c r="K307" i="67"/>
  <c r="J307" i="67"/>
  <c r="K306" i="67"/>
  <c r="J306" i="67"/>
  <c r="K305" i="67"/>
  <c r="J305" i="67"/>
  <c r="K304" i="67"/>
  <c r="J304" i="67"/>
  <c r="K303" i="67"/>
  <c r="J303" i="67"/>
  <c r="K302" i="67"/>
  <c r="J302" i="67"/>
  <c r="K301" i="67"/>
  <c r="J301" i="67"/>
  <c r="K300" i="67"/>
  <c r="J300" i="67"/>
  <c r="K299" i="67"/>
  <c r="J299" i="67"/>
  <c r="K298" i="67"/>
  <c r="J298" i="67"/>
  <c r="K297" i="67"/>
  <c r="J297" i="67"/>
  <c r="K296" i="67"/>
  <c r="J296" i="67"/>
  <c r="K295" i="67"/>
  <c r="J295" i="67"/>
  <c r="K294" i="67"/>
  <c r="J294" i="67"/>
  <c r="K293" i="67"/>
  <c r="J293" i="67"/>
  <c r="K292" i="67"/>
  <c r="J292" i="67"/>
  <c r="K291" i="67"/>
  <c r="J291" i="67"/>
  <c r="K290" i="67"/>
  <c r="J290" i="67"/>
  <c r="K289" i="67"/>
  <c r="J289" i="67"/>
  <c r="K288" i="67"/>
  <c r="J288" i="67"/>
  <c r="K287" i="67"/>
  <c r="J287" i="67"/>
  <c r="K286" i="67"/>
  <c r="J286" i="67"/>
  <c r="K285" i="67"/>
  <c r="J285" i="67"/>
  <c r="K284" i="67"/>
  <c r="J284" i="67"/>
  <c r="K283" i="67"/>
  <c r="J283" i="67"/>
  <c r="K282" i="67"/>
  <c r="J282" i="67"/>
  <c r="K281" i="67"/>
  <c r="J281" i="67"/>
  <c r="K280" i="67"/>
  <c r="J280" i="67"/>
  <c r="K279" i="67"/>
  <c r="J279" i="67"/>
  <c r="K278" i="67"/>
  <c r="J278" i="67"/>
  <c r="K277" i="67"/>
  <c r="J277" i="67"/>
  <c r="K276" i="67"/>
  <c r="J276" i="67"/>
  <c r="K275" i="67"/>
  <c r="J275" i="67"/>
  <c r="K274" i="67"/>
  <c r="J274" i="67"/>
  <c r="K273" i="67"/>
  <c r="J273" i="67"/>
  <c r="K272" i="67"/>
  <c r="J272" i="67"/>
  <c r="K271" i="67"/>
  <c r="J271" i="67"/>
  <c r="K270" i="67"/>
  <c r="J270" i="67"/>
  <c r="K269" i="67"/>
  <c r="J269" i="67"/>
  <c r="K268" i="67"/>
  <c r="J268" i="67"/>
  <c r="K267" i="67"/>
  <c r="J267" i="67"/>
  <c r="K266" i="67"/>
  <c r="J266" i="67"/>
  <c r="K265" i="67"/>
  <c r="J265" i="67"/>
  <c r="K264" i="67"/>
  <c r="J264" i="67"/>
  <c r="K263" i="67"/>
  <c r="J263" i="67"/>
  <c r="K262" i="67"/>
  <c r="J262" i="67"/>
  <c r="K261" i="67"/>
  <c r="J261" i="67"/>
  <c r="K260" i="67"/>
  <c r="J260" i="67"/>
  <c r="K259" i="67"/>
  <c r="J259" i="67"/>
  <c r="K258" i="67"/>
  <c r="J258" i="67"/>
  <c r="K257" i="67"/>
  <c r="J257" i="67"/>
  <c r="K256" i="67"/>
  <c r="J256" i="67"/>
  <c r="K255" i="67"/>
  <c r="J255" i="67"/>
  <c r="K254" i="67"/>
  <c r="J254" i="67"/>
  <c r="K253" i="67"/>
  <c r="J253" i="67"/>
  <c r="K252" i="67"/>
  <c r="J252" i="67"/>
  <c r="K251" i="67"/>
  <c r="J251" i="67"/>
  <c r="K250" i="67"/>
  <c r="J250" i="67"/>
  <c r="K249" i="67"/>
  <c r="J249" i="67"/>
  <c r="K248" i="67"/>
  <c r="J248" i="67"/>
  <c r="K247" i="67"/>
  <c r="J247" i="67"/>
  <c r="K246" i="67"/>
  <c r="J246" i="67"/>
  <c r="K245" i="67"/>
  <c r="J245" i="67"/>
  <c r="K244" i="67"/>
  <c r="J244" i="67"/>
  <c r="K243" i="67"/>
  <c r="J243" i="67"/>
  <c r="K242" i="67"/>
  <c r="J242" i="67"/>
  <c r="K241" i="67"/>
  <c r="J241" i="67"/>
  <c r="K240" i="67"/>
  <c r="J240" i="67"/>
  <c r="K239" i="67"/>
  <c r="J239" i="67"/>
  <c r="K238" i="67"/>
  <c r="J238" i="67"/>
  <c r="K237" i="67"/>
  <c r="J237" i="67"/>
  <c r="K236" i="67"/>
  <c r="J236" i="67"/>
  <c r="K235" i="67"/>
  <c r="J235" i="67"/>
  <c r="K234" i="67"/>
  <c r="J234" i="67"/>
  <c r="K233" i="67"/>
  <c r="J233" i="67"/>
  <c r="K232" i="67"/>
  <c r="J232" i="67"/>
  <c r="K231" i="67"/>
  <c r="J231" i="67"/>
  <c r="K230" i="67"/>
  <c r="J230" i="67"/>
  <c r="K229" i="67"/>
  <c r="J229" i="67"/>
  <c r="K228" i="67"/>
  <c r="J228" i="67"/>
  <c r="K227" i="67"/>
  <c r="J227" i="67"/>
  <c r="K226" i="67"/>
  <c r="J226" i="67"/>
  <c r="K225" i="67"/>
  <c r="J225" i="67"/>
  <c r="K224" i="67"/>
  <c r="J224" i="67"/>
  <c r="K223" i="67"/>
  <c r="J223" i="67"/>
  <c r="K222" i="67"/>
  <c r="J222" i="67"/>
  <c r="K221" i="67"/>
  <c r="J221" i="67"/>
  <c r="K220" i="67"/>
  <c r="J220" i="67"/>
  <c r="K219" i="67"/>
  <c r="J219" i="67"/>
  <c r="K218" i="67"/>
  <c r="J218" i="67"/>
  <c r="K217" i="67"/>
  <c r="J217" i="67"/>
  <c r="K216" i="67"/>
  <c r="J216" i="67"/>
  <c r="K215" i="67"/>
  <c r="J215" i="67"/>
  <c r="K214" i="67"/>
  <c r="J214" i="67"/>
  <c r="K213" i="67"/>
  <c r="J213" i="67"/>
  <c r="K212" i="67"/>
  <c r="J212" i="67"/>
  <c r="K211" i="67"/>
  <c r="J211" i="67"/>
  <c r="K210" i="67"/>
  <c r="J210" i="67"/>
  <c r="K209" i="67"/>
  <c r="J209" i="67"/>
  <c r="K208" i="67"/>
  <c r="J208" i="67"/>
  <c r="K207" i="67"/>
  <c r="J207" i="67"/>
  <c r="K206" i="67"/>
  <c r="J206" i="67"/>
  <c r="K205" i="67"/>
  <c r="J205" i="67"/>
  <c r="K204" i="67"/>
  <c r="J204" i="67"/>
  <c r="K203" i="67"/>
  <c r="J203" i="67"/>
  <c r="K202" i="67"/>
  <c r="J202" i="67"/>
  <c r="K201" i="67"/>
  <c r="J201" i="67"/>
  <c r="K200" i="67"/>
  <c r="J200" i="67"/>
  <c r="K199" i="67"/>
  <c r="J199" i="67"/>
  <c r="K198" i="67"/>
  <c r="J198" i="67"/>
  <c r="K197" i="67"/>
  <c r="J197" i="67"/>
  <c r="K196" i="67"/>
  <c r="J196" i="67"/>
  <c r="K195" i="67"/>
  <c r="J195" i="67"/>
  <c r="K194" i="67"/>
  <c r="J194" i="67"/>
  <c r="K193" i="67"/>
  <c r="J193" i="67"/>
  <c r="K192" i="67"/>
  <c r="J192" i="67"/>
  <c r="K191" i="67"/>
  <c r="J191" i="67"/>
  <c r="K190" i="67"/>
  <c r="J190" i="67"/>
  <c r="K189" i="67"/>
  <c r="J189" i="67"/>
  <c r="K188" i="67"/>
  <c r="J188" i="67"/>
  <c r="K187" i="67"/>
  <c r="J187" i="67"/>
  <c r="K186" i="67"/>
  <c r="J186" i="67"/>
  <c r="K185" i="67"/>
  <c r="J185" i="67"/>
  <c r="K184" i="67"/>
  <c r="J184" i="67"/>
  <c r="K183" i="67"/>
  <c r="J183" i="67"/>
  <c r="K182" i="67"/>
  <c r="J182" i="67"/>
  <c r="K181" i="67"/>
  <c r="J181" i="67"/>
  <c r="K180" i="67"/>
  <c r="J180" i="67"/>
  <c r="K179" i="67"/>
  <c r="J179" i="67"/>
  <c r="K178" i="67"/>
  <c r="J178" i="67"/>
  <c r="K177" i="67"/>
  <c r="J177" i="67"/>
  <c r="K176" i="67"/>
  <c r="J176" i="67"/>
  <c r="K175" i="67"/>
  <c r="J175" i="67"/>
  <c r="K174" i="67"/>
  <c r="J174" i="67"/>
  <c r="K173" i="67"/>
  <c r="J173" i="67"/>
  <c r="K172" i="67"/>
  <c r="J172" i="67"/>
  <c r="K171" i="67"/>
  <c r="J171" i="67"/>
  <c r="K170" i="67"/>
  <c r="J170" i="67"/>
  <c r="K169" i="67"/>
  <c r="J169" i="67"/>
  <c r="K168" i="67"/>
  <c r="J168" i="67"/>
  <c r="K167" i="67"/>
  <c r="J167" i="67"/>
  <c r="K166" i="67"/>
  <c r="J166" i="67"/>
  <c r="K165" i="67"/>
  <c r="J165" i="67"/>
  <c r="K164" i="67"/>
  <c r="J164" i="67"/>
  <c r="K163" i="67"/>
  <c r="J163" i="67"/>
  <c r="K162" i="67"/>
  <c r="J162" i="67"/>
  <c r="K161" i="67"/>
  <c r="J161" i="67"/>
  <c r="K160" i="67"/>
  <c r="J160" i="67"/>
  <c r="K159" i="67"/>
  <c r="J159" i="67"/>
  <c r="K158" i="67"/>
  <c r="J158" i="67"/>
  <c r="K157" i="67"/>
  <c r="J157" i="67"/>
  <c r="K156" i="67"/>
  <c r="J156" i="67"/>
  <c r="K155" i="67"/>
  <c r="J155" i="67"/>
  <c r="K154" i="67"/>
  <c r="J154" i="67"/>
  <c r="K153" i="67"/>
  <c r="J153" i="67"/>
  <c r="K152" i="67"/>
  <c r="J152" i="67"/>
  <c r="K151" i="67"/>
  <c r="J151" i="67"/>
  <c r="K150" i="67"/>
  <c r="J150" i="67"/>
  <c r="K149" i="67"/>
  <c r="J149" i="67"/>
  <c r="K148" i="67"/>
  <c r="J148" i="67"/>
  <c r="K147" i="67"/>
  <c r="J147" i="67"/>
  <c r="K146" i="67"/>
  <c r="J146" i="67"/>
  <c r="K145" i="67"/>
  <c r="J145" i="67"/>
  <c r="K144" i="67"/>
  <c r="J144" i="67"/>
  <c r="K143" i="67"/>
  <c r="J143" i="67"/>
  <c r="K142" i="67"/>
  <c r="J142" i="67"/>
  <c r="K141" i="67"/>
  <c r="J141" i="67"/>
  <c r="K140" i="67"/>
  <c r="J140" i="67"/>
  <c r="K139" i="67"/>
  <c r="J139" i="67"/>
  <c r="K138" i="67"/>
  <c r="J138" i="67"/>
  <c r="K137" i="67"/>
  <c r="J137" i="67"/>
  <c r="K136" i="67"/>
  <c r="J136" i="67"/>
  <c r="K135" i="67"/>
  <c r="J135" i="67"/>
  <c r="K134" i="67"/>
  <c r="J134" i="67"/>
  <c r="K133" i="67"/>
  <c r="J133" i="67"/>
  <c r="K132" i="67"/>
  <c r="J132" i="67"/>
  <c r="K131" i="67"/>
  <c r="J131" i="67"/>
  <c r="K130" i="67"/>
  <c r="J130" i="67"/>
  <c r="K129" i="67"/>
  <c r="J129" i="67"/>
  <c r="K128" i="67"/>
  <c r="J128" i="67"/>
  <c r="K127" i="67"/>
  <c r="J127" i="67"/>
  <c r="K126" i="67"/>
  <c r="J126" i="67"/>
  <c r="K125" i="67"/>
  <c r="J125" i="67"/>
  <c r="K124" i="67"/>
  <c r="J124" i="67"/>
  <c r="K123" i="67"/>
  <c r="J123" i="67"/>
  <c r="K122" i="67"/>
  <c r="J122" i="67"/>
  <c r="K121" i="67"/>
  <c r="J121" i="67"/>
  <c r="K120" i="67"/>
  <c r="J120" i="67"/>
  <c r="K119" i="67"/>
  <c r="J119" i="67"/>
  <c r="K118" i="67"/>
  <c r="J118" i="67"/>
  <c r="K117" i="67"/>
  <c r="J117" i="67"/>
  <c r="K116" i="67"/>
  <c r="J116" i="67"/>
  <c r="K115" i="67"/>
  <c r="J115" i="67"/>
  <c r="K114" i="67"/>
  <c r="J114" i="67"/>
  <c r="K113" i="67"/>
  <c r="J113" i="67"/>
  <c r="K112" i="67"/>
  <c r="J112" i="67"/>
  <c r="K111" i="67"/>
  <c r="J111" i="67"/>
  <c r="K110" i="67"/>
  <c r="J110" i="67"/>
  <c r="K109" i="67"/>
  <c r="J109" i="67"/>
  <c r="K108" i="67"/>
  <c r="J108" i="67"/>
  <c r="K107" i="67"/>
  <c r="J107" i="67"/>
  <c r="K106" i="67"/>
  <c r="J106" i="67"/>
  <c r="K105" i="67"/>
  <c r="J105" i="67"/>
  <c r="K104" i="67"/>
  <c r="J104" i="67"/>
  <c r="K103" i="67"/>
  <c r="J103" i="67"/>
  <c r="K102" i="67"/>
  <c r="J102" i="67"/>
  <c r="K101" i="67"/>
  <c r="J101" i="67"/>
  <c r="K100" i="67"/>
  <c r="J100" i="67"/>
  <c r="K99" i="67"/>
  <c r="J99" i="67"/>
  <c r="K98" i="67"/>
  <c r="J98" i="67"/>
  <c r="K97" i="67"/>
  <c r="J97" i="67"/>
  <c r="K96" i="67"/>
  <c r="J96" i="67"/>
  <c r="K95" i="67"/>
  <c r="J95" i="67"/>
  <c r="K94" i="67"/>
  <c r="J94" i="67"/>
  <c r="K93" i="67"/>
  <c r="J93" i="67"/>
  <c r="K92" i="67"/>
  <c r="J92" i="67"/>
  <c r="K91" i="67"/>
  <c r="J91" i="67"/>
  <c r="K90" i="67"/>
  <c r="J90" i="67"/>
  <c r="K89" i="67"/>
  <c r="J89" i="67"/>
  <c r="K88" i="67"/>
  <c r="J88" i="67"/>
  <c r="K87" i="67"/>
  <c r="J87" i="67"/>
  <c r="K86" i="67"/>
  <c r="J86" i="67"/>
  <c r="K85" i="67"/>
  <c r="J85" i="67"/>
  <c r="K84" i="67"/>
  <c r="J84" i="67"/>
  <c r="K83" i="67"/>
  <c r="J83" i="67"/>
  <c r="K82" i="67"/>
  <c r="J82" i="67"/>
  <c r="K81" i="67"/>
  <c r="J81" i="67"/>
  <c r="K80" i="67"/>
  <c r="J80" i="67"/>
  <c r="K79" i="67"/>
  <c r="J79" i="67"/>
  <c r="K78" i="67"/>
  <c r="J78" i="67"/>
  <c r="K77" i="67"/>
  <c r="J77" i="67"/>
  <c r="K76" i="67"/>
  <c r="J76" i="67"/>
  <c r="K75" i="67"/>
  <c r="J75" i="67"/>
  <c r="K74" i="67"/>
  <c r="J74" i="67"/>
  <c r="K73" i="67"/>
  <c r="J73" i="67"/>
  <c r="K72" i="67"/>
  <c r="J72" i="67"/>
  <c r="K71" i="67"/>
  <c r="J71" i="67"/>
  <c r="K70" i="67"/>
  <c r="J70" i="67"/>
  <c r="K69" i="67"/>
  <c r="J69" i="67"/>
  <c r="K68" i="67"/>
  <c r="J68" i="67"/>
  <c r="K67" i="67"/>
  <c r="J67" i="67"/>
  <c r="K66" i="67"/>
  <c r="J66" i="67"/>
  <c r="K65" i="67"/>
  <c r="J65" i="67"/>
  <c r="K64" i="67"/>
  <c r="J64" i="67"/>
  <c r="K63" i="67"/>
  <c r="J63" i="67"/>
  <c r="K62" i="67"/>
  <c r="J62" i="67"/>
  <c r="K61" i="67"/>
  <c r="J61" i="67"/>
  <c r="K60" i="67"/>
  <c r="J60" i="67"/>
  <c r="K59" i="67"/>
  <c r="J59" i="67"/>
  <c r="K58" i="67"/>
  <c r="J58" i="67"/>
  <c r="K57" i="67"/>
  <c r="J57" i="67"/>
  <c r="K56" i="67"/>
  <c r="J56" i="67"/>
  <c r="K55" i="67"/>
  <c r="J55" i="67"/>
  <c r="K54" i="67"/>
  <c r="J54" i="67"/>
  <c r="K53" i="67"/>
  <c r="J53" i="67"/>
  <c r="K52" i="67"/>
  <c r="J52" i="67"/>
  <c r="K51" i="67"/>
  <c r="J51" i="67"/>
  <c r="K50" i="67"/>
  <c r="J50" i="67"/>
  <c r="K49" i="67"/>
  <c r="J49" i="67"/>
  <c r="K48" i="67"/>
  <c r="J48" i="67"/>
  <c r="K47" i="67"/>
  <c r="J47" i="67"/>
  <c r="K46" i="67"/>
  <c r="J46" i="67"/>
  <c r="K45" i="67"/>
  <c r="J45" i="67"/>
  <c r="K44" i="67"/>
  <c r="J44" i="67"/>
  <c r="K43" i="67"/>
  <c r="J43" i="67"/>
  <c r="K42" i="67"/>
  <c r="J42" i="67"/>
  <c r="K41" i="67"/>
  <c r="J41" i="67"/>
  <c r="K40" i="67"/>
  <c r="J40" i="67"/>
  <c r="K39" i="67"/>
  <c r="J39" i="67"/>
  <c r="K38" i="67"/>
  <c r="J38" i="67"/>
  <c r="K37" i="67"/>
  <c r="J37" i="67"/>
  <c r="K36" i="67"/>
  <c r="J36" i="67"/>
  <c r="K35" i="67"/>
  <c r="J35" i="67"/>
  <c r="K34" i="67"/>
  <c r="J34" i="67"/>
  <c r="K33" i="67"/>
  <c r="J33" i="67"/>
  <c r="K32" i="67"/>
  <c r="J32" i="67"/>
  <c r="K31" i="67"/>
  <c r="J31" i="67"/>
  <c r="K30" i="67"/>
  <c r="J30" i="67"/>
  <c r="K29" i="67"/>
  <c r="J29" i="67"/>
  <c r="K28" i="67"/>
  <c r="J28" i="67"/>
  <c r="K27" i="67"/>
  <c r="J27" i="67"/>
  <c r="K26" i="67"/>
  <c r="J26" i="67"/>
  <c r="K25" i="67"/>
  <c r="J25" i="67"/>
  <c r="K24" i="67"/>
  <c r="J24" i="67"/>
  <c r="K23" i="67"/>
  <c r="J23" i="67"/>
  <c r="K22" i="67"/>
  <c r="J22" i="67"/>
  <c r="K21" i="67"/>
  <c r="J21" i="67"/>
  <c r="K20" i="67"/>
  <c r="J20" i="67"/>
  <c r="K19" i="67"/>
  <c r="J19" i="67"/>
  <c r="K18" i="67"/>
  <c r="J18" i="67"/>
  <c r="K17" i="67"/>
  <c r="J17" i="67"/>
  <c r="K16" i="67"/>
  <c r="J16" i="67"/>
  <c r="K15" i="67"/>
  <c r="J15" i="67"/>
  <c r="K14" i="67"/>
  <c r="J14" i="67"/>
  <c r="K13" i="67"/>
  <c r="J13" i="67"/>
  <c r="K12" i="67"/>
  <c r="J12" i="67"/>
  <c r="K11" i="67"/>
  <c r="J11" i="67"/>
  <c r="K10" i="67"/>
  <c r="J10" i="67"/>
  <c r="K9" i="67"/>
  <c r="J9" i="67"/>
  <c r="K8" i="67"/>
  <c r="J8" i="67"/>
  <c r="K7" i="67"/>
  <c r="J7" i="67"/>
  <c r="K6" i="67"/>
  <c r="J6" i="67"/>
  <c r="K3" i="67"/>
  <c r="I3" i="67"/>
  <c r="H3" i="67"/>
  <c r="K498" i="63"/>
  <c r="J498" i="63"/>
  <c r="K497" i="63"/>
  <c r="J497" i="63"/>
  <c r="K496" i="63"/>
  <c r="J496" i="63"/>
  <c r="K495" i="63"/>
  <c r="J495" i="63"/>
  <c r="K494" i="63"/>
  <c r="J494" i="63"/>
  <c r="K493" i="63"/>
  <c r="J493" i="63"/>
  <c r="K492" i="63"/>
  <c r="J492" i="63"/>
  <c r="K491" i="63"/>
  <c r="J491" i="63"/>
  <c r="K490" i="63"/>
  <c r="J490" i="63"/>
  <c r="K489" i="63"/>
  <c r="J489" i="63"/>
  <c r="K488" i="63"/>
  <c r="J488" i="63"/>
  <c r="K487" i="63"/>
  <c r="J487" i="63"/>
  <c r="K486" i="63"/>
  <c r="J486" i="63"/>
  <c r="K485" i="63"/>
  <c r="J485" i="63"/>
  <c r="K484" i="63"/>
  <c r="J484" i="63"/>
  <c r="K483" i="63"/>
  <c r="J483" i="63"/>
  <c r="K482" i="63"/>
  <c r="J482" i="63"/>
  <c r="K481" i="63"/>
  <c r="J481" i="63"/>
  <c r="K480" i="63"/>
  <c r="J480" i="63"/>
  <c r="K479" i="63"/>
  <c r="J479" i="63"/>
  <c r="K478" i="63"/>
  <c r="J478" i="63"/>
  <c r="K477" i="63"/>
  <c r="J477" i="63"/>
  <c r="K476" i="63"/>
  <c r="J476" i="63"/>
  <c r="K475" i="63"/>
  <c r="J475" i="63"/>
  <c r="K474" i="63"/>
  <c r="J474" i="63"/>
  <c r="K473" i="63"/>
  <c r="J473" i="63"/>
  <c r="K472" i="63"/>
  <c r="J472" i="63"/>
  <c r="K471" i="63"/>
  <c r="J471" i="63"/>
  <c r="K470" i="63"/>
  <c r="J470" i="63"/>
  <c r="K469" i="63"/>
  <c r="J469" i="63"/>
  <c r="K468" i="63"/>
  <c r="J468" i="63"/>
  <c r="K467" i="63"/>
  <c r="J467" i="63"/>
  <c r="K466" i="63"/>
  <c r="J466" i="63"/>
  <c r="K465" i="63"/>
  <c r="J465" i="63"/>
  <c r="K464" i="63"/>
  <c r="J464" i="63"/>
  <c r="K463" i="63"/>
  <c r="J463" i="63"/>
  <c r="K462" i="63"/>
  <c r="J462" i="63"/>
  <c r="K461" i="63"/>
  <c r="J461" i="63"/>
  <c r="K460" i="63"/>
  <c r="J460" i="63"/>
  <c r="K459" i="63"/>
  <c r="J459" i="63"/>
  <c r="K458" i="63"/>
  <c r="J458" i="63"/>
  <c r="K457" i="63"/>
  <c r="J457" i="63"/>
  <c r="K456" i="63"/>
  <c r="J456" i="63"/>
  <c r="K455" i="63"/>
  <c r="J455" i="63"/>
  <c r="K454" i="63"/>
  <c r="J454" i="63"/>
  <c r="K453" i="63"/>
  <c r="J453" i="63"/>
  <c r="K452" i="63"/>
  <c r="J452" i="63"/>
  <c r="K451" i="63"/>
  <c r="J451" i="63"/>
  <c r="K450" i="63"/>
  <c r="J450" i="63"/>
  <c r="K449" i="63"/>
  <c r="J449" i="63"/>
  <c r="K448" i="63"/>
  <c r="J448" i="63"/>
  <c r="K447" i="63"/>
  <c r="J447" i="63"/>
  <c r="K446" i="63"/>
  <c r="J446" i="63"/>
  <c r="K445" i="63"/>
  <c r="J445" i="63"/>
  <c r="K444" i="63"/>
  <c r="J444" i="63"/>
  <c r="K443" i="63"/>
  <c r="J443" i="63"/>
  <c r="K442" i="63"/>
  <c r="J442" i="63"/>
  <c r="K441" i="63"/>
  <c r="J441" i="63"/>
  <c r="K440" i="63"/>
  <c r="J440" i="63"/>
  <c r="K439" i="63"/>
  <c r="J439" i="63"/>
  <c r="K438" i="63"/>
  <c r="J438" i="63"/>
  <c r="K437" i="63"/>
  <c r="J437" i="63"/>
  <c r="K436" i="63"/>
  <c r="J436" i="63"/>
  <c r="K435" i="63"/>
  <c r="J435" i="63"/>
  <c r="K434" i="63"/>
  <c r="J434" i="63"/>
  <c r="K433" i="63"/>
  <c r="J433" i="63"/>
  <c r="K432" i="63"/>
  <c r="J432" i="63"/>
  <c r="K431" i="63"/>
  <c r="J431" i="63"/>
  <c r="K430" i="63"/>
  <c r="J430" i="63"/>
  <c r="K429" i="63"/>
  <c r="J429" i="63"/>
  <c r="K428" i="63"/>
  <c r="J428" i="63"/>
  <c r="K427" i="63"/>
  <c r="J427" i="63"/>
  <c r="K426" i="63"/>
  <c r="J426" i="63"/>
  <c r="K425" i="63"/>
  <c r="J425" i="63"/>
  <c r="K424" i="63"/>
  <c r="J424" i="63"/>
  <c r="K423" i="63"/>
  <c r="J423" i="63"/>
  <c r="K422" i="63"/>
  <c r="J422" i="63"/>
  <c r="K421" i="63"/>
  <c r="J421" i="63"/>
  <c r="K420" i="63"/>
  <c r="J420" i="63"/>
  <c r="K419" i="63"/>
  <c r="J419" i="63"/>
  <c r="K418" i="63"/>
  <c r="J418" i="63"/>
  <c r="K417" i="63"/>
  <c r="J417" i="63"/>
  <c r="K416" i="63"/>
  <c r="J416" i="63"/>
  <c r="K415" i="63"/>
  <c r="J415" i="63"/>
  <c r="K414" i="63"/>
  <c r="J414" i="63"/>
  <c r="K413" i="63"/>
  <c r="J413" i="63"/>
  <c r="K412" i="63"/>
  <c r="J412" i="63"/>
  <c r="K411" i="63"/>
  <c r="J411" i="63"/>
  <c r="K410" i="63"/>
  <c r="J410" i="63"/>
  <c r="K409" i="63"/>
  <c r="J409" i="63"/>
  <c r="K408" i="63"/>
  <c r="J408" i="63"/>
  <c r="K407" i="63"/>
  <c r="J407" i="63"/>
  <c r="K406" i="63"/>
  <c r="J406" i="63"/>
  <c r="K405" i="63"/>
  <c r="J405" i="63"/>
  <c r="K404" i="63"/>
  <c r="J404" i="63"/>
  <c r="K403" i="63"/>
  <c r="J403" i="63"/>
  <c r="K402" i="63"/>
  <c r="J402" i="63"/>
  <c r="K401" i="63"/>
  <c r="J401" i="63"/>
  <c r="K400" i="63"/>
  <c r="J400" i="63"/>
  <c r="K399" i="63"/>
  <c r="J399" i="63"/>
  <c r="K398" i="63"/>
  <c r="J398" i="63"/>
  <c r="K397" i="63"/>
  <c r="J397" i="63"/>
  <c r="K396" i="63"/>
  <c r="J396" i="63"/>
  <c r="K395" i="63"/>
  <c r="J395" i="63"/>
  <c r="K394" i="63"/>
  <c r="J394" i="63"/>
  <c r="K393" i="63"/>
  <c r="J393" i="63"/>
  <c r="K392" i="63"/>
  <c r="J392" i="63"/>
  <c r="K391" i="63"/>
  <c r="J391" i="63"/>
  <c r="K390" i="63"/>
  <c r="J390" i="63"/>
  <c r="K389" i="63"/>
  <c r="J389" i="63"/>
  <c r="K388" i="63"/>
  <c r="J388" i="63"/>
  <c r="K387" i="63"/>
  <c r="J387" i="63"/>
  <c r="K386" i="63"/>
  <c r="J386" i="63"/>
  <c r="K385" i="63"/>
  <c r="J385" i="63"/>
  <c r="K384" i="63"/>
  <c r="J384" i="63"/>
  <c r="K383" i="63"/>
  <c r="J383" i="63"/>
  <c r="K382" i="63"/>
  <c r="J382" i="63"/>
  <c r="K381" i="63"/>
  <c r="J381" i="63"/>
  <c r="K380" i="63"/>
  <c r="J380" i="63"/>
  <c r="K379" i="63"/>
  <c r="J379" i="63"/>
  <c r="K378" i="63"/>
  <c r="J378" i="63"/>
  <c r="K377" i="63"/>
  <c r="J377" i="63"/>
  <c r="K376" i="63"/>
  <c r="J376" i="63"/>
  <c r="K375" i="63"/>
  <c r="J375" i="63"/>
  <c r="K374" i="63"/>
  <c r="J374" i="63"/>
  <c r="K373" i="63"/>
  <c r="J373" i="63"/>
  <c r="K372" i="63"/>
  <c r="J372" i="63"/>
  <c r="K371" i="63"/>
  <c r="J371" i="63"/>
  <c r="K370" i="63"/>
  <c r="J370" i="63"/>
  <c r="K369" i="63"/>
  <c r="J369" i="63"/>
  <c r="K368" i="63"/>
  <c r="J368" i="63"/>
  <c r="K367" i="63"/>
  <c r="J367" i="63"/>
  <c r="K366" i="63"/>
  <c r="J366" i="63"/>
  <c r="K365" i="63"/>
  <c r="J365" i="63"/>
  <c r="K364" i="63"/>
  <c r="J364" i="63"/>
  <c r="K363" i="63"/>
  <c r="J363" i="63"/>
  <c r="K362" i="63"/>
  <c r="J362" i="63"/>
  <c r="K361" i="63"/>
  <c r="J361" i="63"/>
  <c r="K360" i="63"/>
  <c r="J360" i="63"/>
  <c r="K359" i="63"/>
  <c r="J359" i="63"/>
  <c r="K358" i="63"/>
  <c r="J358" i="63"/>
  <c r="K357" i="63"/>
  <c r="J357" i="63"/>
  <c r="K356" i="63"/>
  <c r="J356" i="63"/>
  <c r="K355" i="63"/>
  <c r="J355" i="63"/>
  <c r="K354" i="63"/>
  <c r="J354" i="63"/>
  <c r="K353" i="63"/>
  <c r="J353" i="63"/>
  <c r="K352" i="63"/>
  <c r="J352" i="63"/>
  <c r="K351" i="63"/>
  <c r="J351" i="63"/>
  <c r="K350" i="63"/>
  <c r="J350" i="63"/>
  <c r="K349" i="63"/>
  <c r="J349" i="63"/>
  <c r="K348" i="63"/>
  <c r="J348" i="63"/>
  <c r="K347" i="63"/>
  <c r="J347" i="63"/>
  <c r="K346" i="63"/>
  <c r="J346" i="63"/>
  <c r="K345" i="63"/>
  <c r="J345" i="63"/>
  <c r="K344" i="63"/>
  <c r="J344" i="63"/>
  <c r="K343" i="63"/>
  <c r="J343" i="63"/>
  <c r="K342" i="63"/>
  <c r="J342" i="63"/>
  <c r="K341" i="63"/>
  <c r="J341" i="63"/>
  <c r="K340" i="63"/>
  <c r="J340" i="63"/>
  <c r="K339" i="63"/>
  <c r="J339" i="63"/>
  <c r="K338" i="63"/>
  <c r="J338" i="63"/>
  <c r="K337" i="63"/>
  <c r="J337" i="63"/>
  <c r="K336" i="63"/>
  <c r="J336" i="63"/>
  <c r="K335" i="63"/>
  <c r="J335" i="63"/>
  <c r="K334" i="63"/>
  <c r="J334" i="63"/>
  <c r="K333" i="63"/>
  <c r="J333" i="63"/>
  <c r="K332" i="63"/>
  <c r="J332" i="63"/>
  <c r="K331" i="63"/>
  <c r="J331" i="63"/>
  <c r="K330" i="63"/>
  <c r="J330" i="63"/>
  <c r="K329" i="63"/>
  <c r="J329" i="63"/>
  <c r="K328" i="63"/>
  <c r="J328" i="63"/>
  <c r="K327" i="63"/>
  <c r="J327" i="63"/>
  <c r="K326" i="63"/>
  <c r="J326" i="63"/>
  <c r="K325" i="63"/>
  <c r="J325" i="63"/>
  <c r="K324" i="63"/>
  <c r="J324" i="63"/>
  <c r="K323" i="63"/>
  <c r="J323" i="63"/>
  <c r="K322" i="63"/>
  <c r="J322" i="63"/>
  <c r="K321" i="63"/>
  <c r="J321" i="63"/>
  <c r="K320" i="63"/>
  <c r="J320" i="63"/>
  <c r="K319" i="63"/>
  <c r="J319" i="63"/>
  <c r="K318" i="63"/>
  <c r="J318" i="63"/>
  <c r="K317" i="63"/>
  <c r="J317" i="63"/>
  <c r="K316" i="63"/>
  <c r="J316" i="63"/>
  <c r="K315" i="63"/>
  <c r="J315" i="63"/>
  <c r="K314" i="63"/>
  <c r="J314" i="63"/>
  <c r="K313" i="63"/>
  <c r="J313" i="63"/>
  <c r="K312" i="63"/>
  <c r="J312" i="63"/>
  <c r="K311" i="63"/>
  <c r="J311" i="63"/>
  <c r="K310" i="63"/>
  <c r="J310" i="63"/>
  <c r="K309" i="63"/>
  <c r="J309" i="63"/>
  <c r="K308" i="63"/>
  <c r="J308" i="63"/>
  <c r="K307" i="63"/>
  <c r="J307" i="63"/>
  <c r="K306" i="63"/>
  <c r="J306" i="63"/>
  <c r="K305" i="63"/>
  <c r="J305" i="63"/>
  <c r="K304" i="63"/>
  <c r="J304" i="63"/>
  <c r="K303" i="63"/>
  <c r="J303" i="63"/>
  <c r="K302" i="63"/>
  <c r="J302" i="63"/>
  <c r="K301" i="63"/>
  <c r="J301" i="63"/>
  <c r="K300" i="63"/>
  <c r="J300" i="63"/>
  <c r="K299" i="63"/>
  <c r="J299" i="63"/>
  <c r="K298" i="63"/>
  <c r="J298" i="63"/>
  <c r="K297" i="63"/>
  <c r="J297" i="63"/>
  <c r="K296" i="63"/>
  <c r="J296" i="63"/>
  <c r="K295" i="63"/>
  <c r="J295" i="63"/>
  <c r="K294" i="63"/>
  <c r="J294" i="63"/>
  <c r="K293" i="63"/>
  <c r="J293" i="63"/>
  <c r="K292" i="63"/>
  <c r="J292" i="63"/>
  <c r="K291" i="63"/>
  <c r="J291" i="63"/>
  <c r="K290" i="63"/>
  <c r="J290" i="63"/>
  <c r="K289" i="63"/>
  <c r="J289" i="63"/>
  <c r="K288" i="63"/>
  <c r="J288" i="63"/>
  <c r="K287" i="63"/>
  <c r="J287" i="63"/>
  <c r="K286" i="63"/>
  <c r="J286" i="63"/>
  <c r="K285" i="63"/>
  <c r="J285" i="63"/>
  <c r="K284" i="63"/>
  <c r="J284" i="63"/>
  <c r="K283" i="63"/>
  <c r="J283" i="63"/>
  <c r="K282" i="63"/>
  <c r="J282" i="63"/>
  <c r="K281" i="63"/>
  <c r="J281" i="63"/>
  <c r="K280" i="63"/>
  <c r="J280" i="63"/>
  <c r="K279" i="63"/>
  <c r="J279" i="63"/>
  <c r="K278" i="63"/>
  <c r="J278" i="63"/>
  <c r="K277" i="63"/>
  <c r="J277" i="63"/>
  <c r="K276" i="63"/>
  <c r="J276" i="63"/>
  <c r="K275" i="63"/>
  <c r="J275" i="63"/>
  <c r="K274" i="63"/>
  <c r="J274" i="63"/>
  <c r="K273" i="63"/>
  <c r="J273" i="63"/>
  <c r="K272" i="63"/>
  <c r="J272" i="63"/>
  <c r="K271" i="63"/>
  <c r="J271" i="63"/>
  <c r="K270" i="63"/>
  <c r="J270" i="63"/>
  <c r="K269" i="63"/>
  <c r="J269" i="63"/>
  <c r="K268" i="63"/>
  <c r="J268" i="63"/>
  <c r="K267" i="63"/>
  <c r="J267" i="63"/>
  <c r="K266" i="63"/>
  <c r="J266" i="63"/>
  <c r="K265" i="63"/>
  <c r="J265" i="63"/>
  <c r="K264" i="63"/>
  <c r="J264" i="63"/>
  <c r="K263" i="63"/>
  <c r="J263" i="63"/>
  <c r="K262" i="63"/>
  <c r="J262" i="63"/>
  <c r="K261" i="63"/>
  <c r="J261" i="63"/>
  <c r="K260" i="63"/>
  <c r="J260" i="63"/>
  <c r="K259" i="63"/>
  <c r="J259" i="63"/>
  <c r="K258" i="63"/>
  <c r="J258" i="63"/>
  <c r="K257" i="63"/>
  <c r="J257" i="63"/>
  <c r="K256" i="63"/>
  <c r="J256" i="63"/>
  <c r="K255" i="63"/>
  <c r="J255" i="63"/>
  <c r="K254" i="63"/>
  <c r="J254" i="63"/>
  <c r="K253" i="63"/>
  <c r="J253" i="63"/>
  <c r="K252" i="63"/>
  <c r="J252" i="63"/>
  <c r="K251" i="63"/>
  <c r="J251" i="63"/>
  <c r="K250" i="63"/>
  <c r="J250" i="63"/>
  <c r="K249" i="63"/>
  <c r="J249" i="63"/>
  <c r="K248" i="63"/>
  <c r="J248" i="63"/>
  <c r="K247" i="63"/>
  <c r="J247" i="63"/>
  <c r="K246" i="63"/>
  <c r="J246" i="63"/>
  <c r="K245" i="63"/>
  <c r="J245" i="63"/>
  <c r="K244" i="63"/>
  <c r="J244" i="63"/>
  <c r="K243" i="63"/>
  <c r="J243" i="63"/>
  <c r="K242" i="63"/>
  <c r="J242" i="63"/>
  <c r="K241" i="63"/>
  <c r="J241" i="63"/>
  <c r="K240" i="63"/>
  <c r="J240" i="63"/>
  <c r="K239" i="63"/>
  <c r="J239" i="63"/>
  <c r="K238" i="63"/>
  <c r="J238" i="63"/>
  <c r="K237" i="63"/>
  <c r="J237" i="63"/>
  <c r="K236" i="63"/>
  <c r="J236" i="63"/>
  <c r="K235" i="63"/>
  <c r="J235" i="63"/>
  <c r="K234" i="63"/>
  <c r="J234" i="63"/>
  <c r="K233" i="63"/>
  <c r="J233" i="63"/>
  <c r="K232" i="63"/>
  <c r="J232" i="63"/>
  <c r="K231" i="63"/>
  <c r="J231" i="63"/>
  <c r="K230" i="63"/>
  <c r="J230" i="63"/>
  <c r="K229" i="63"/>
  <c r="J229" i="63"/>
  <c r="K228" i="63"/>
  <c r="J228" i="63"/>
  <c r="K227" i="63"/>
  <c r="J227" i="63"/>
  <c r="K226" i="63"/>
  <c r="J226" i="63"/>
  <c r="K225" i="63"/>
  <c r="J225" i="63"/>
  <c r="K224" i="63"/>
  <c r="J224" i="63"/>
  <c r="K223" i="63"/>
  <c r="J223" i="63"/>
  <c r="K222" i="63"/>
  <c r="J222" i="63"/>
  <c r="K221" i="63"/>
  <c r="J221" i="63"/>
  <c r="K220" i="63"/>
  <c r="J220" i="63"/>
  <c r="K219" i="63"/>
  <c r="J219" i="63"/>
  <c r="K218" i="63"/>
  <c r="J218" i="63"/>
  <c r="K217" i="63"/>
  <c r="J217" i="63"/>
  <c r="K216" i="63"/>
  <c r="J216" i="63"/>
  <c r="K215" i="63"/>
  <c r="J215" i="63"/>
  <c r="K214" i="63"/>
  <c r="J214" i="63"/>
  <c r="K213" i="63"/>
  <c r="J213" i="63"/>
  <c r="K212" i="63"/>
  <c r="J212" i="63"/>
  <c r="K211" i="63"/>
  <c r="J211" i="63"/>
  <c r="K210" i="63"/>
  <c r="J210" i="63"/>
  <c r="K209" i="63"/>
  <c r="J209" i="63"/>
  <c r="K208" i="63"/>
  <c r="J208" i="63"/>
  <c r="K207" i="63"/>
  <c r="J207" i="63"/>
  <c r="K206" i="63"/>
  <c r="J206" i="63"/>
  <c r="K205" i="63"/>
  <c r="J205" i="63"/>
  <c r="K204" i="63"/>
  <c r="J204" i="63"/>
  <c r="K203" i="63"/>
  <c r="J203" i="63"/>
  <c r="K202" i="63"/>
  <c r="J202" i="63"/>
  <c r="K201" i="63"/>
  <c r="J201" i="63"/>
  <c r="K200" i="63"/>
  <c r="J200" i="63"/>
  <c r="K199" i="63"/>
  <c r="J199" i="63"/>
  <c r="K198" i="63"/>
  <c r="J198" i="63"/>
  <c r="K197" i="63"/>
  <c r="J197" i="63"/>
  <c r="K196" i="63"/>
  <c r="J196" i="63"/>
  <c r="K195" i="63"/>
  <c r="J195" i="63"/>
  <c r="K194" i="63"/>
  <c r="J194" i="63"/>
  <c r="K193" i="63"/>
  <c r="J193" i="63"/>
  <c r="K192" i="63"/>
  <c r="J192" i="63"/>
  <c r="K191" i="63"/>
  <c r="J191" i="63"/>
  <c r="K190" i="63"/>
  <c r="J190" i="63"/>
  <c r="K189" i="63"/>
  <c r="J189" i="63"/>
  <c r="K188" i="63"/>
  <c r="J188" i="63"/>
  <c r="K187" i="63"/>
  <c r="J187" i="63"/>
  <c r="K186" i="63"/>
  <c r="J186" i="63"/>
  <c r="K185" i="63"/>
  <c r="J185" i="63"/>
  <c r="K184" i="63"/>
  <c r="J184" i="63"/>
  <c r="K183" i="63"/>
  <c r="J183" i="63"/>
  <c r="K182" i="63"/>
  <c r="J182" i="63"/>
  <c r="K181" i="63"/>
  <c r="J181" i="63"/>
  <c r="K180" i="63"/>
  <c r="J180" i="63"/>
  <c r="K179" i="63"/>
  <c r="J179" i="63"/>
  <c r="K178" i="63"/>
  <c r="J178" i="63"/>
  <c r="K177" i="63"/>
  <c r="J177" i="63"/>
  <c r="K176" i="63"/>
  <c r="J176" i="63"/>
  <c r="K175" i="63"/>
  <c r="J175" i="63"/>
  <c r="K174" i="63"/>
  <c r="J174" i="63"/>
  <c r="K173" i="63"/>
  <c r="J173" i="63"/>
  <c r="K172" i="63"/>
  <c r="J172" i="63"/>
  <c r="K171" i="63"/>
  <c r="J171" i="63"/>
  <c r="K170" i="63"/>
  <c r="J170" i="63"/>
  <c r="K169" i="63"/>
  <c r="J169" i="63"/>
  <c r="K168" i="63"/>
  <c r="J168" i="63"/>
  <c r="K167" i="63"/>
  <c r="J167" i="63"/>
  <c r="K166" i="63"/>
  <c r="J166" i="63"/>
  <c r="K165" i="63"/>
  <c r="J165" i="63"/>
  <c r="K164" i="63"/>
  <c r="J164" i="63"/>
  <c r="K163" i="63"/>
  <c r="J163" i="63"/>
  <c r="K162" i="63"/>
  <c r="J162" i="63"/>
  <c r="K161" i="63"/>
  <c r="J161" i="63"/>
  <c r="K160" i="63"/>
  <c r="J160" i="63"/>
  <c r="K159" i="63"/>
  <c r="J159" i="63"/>
  <c r="K158" i="63"/>
  <c r="J158" i="63"/>
  <c r="K157" i="63"/>
  <c r="J157" i="63"/>
  <c r="K156" i="63"/>
  <c r="J156" i="63"/>
  <c r="K155" i="63"/>
  <c r="J155" i="63"/>
  <c r="K154" i="63"/>
  <c r="J154" i="63"/>
  <c r="K153" i="63"/>
  <c r="J153" i="63"/>
  <c r="K152" i="63"/>
  <c r="J152" i="63"/>
  <c r="K151" i="63"/>
  <c r="J151" i="63"/>
  <c r="K150" i="63"/>
  <c r="J150" i="63"/>
  <c r="K149" i="63"/>
  <c r="J149" i="63"/>
  <c r="K148" i="63"/>
  <c r="J148" i="63"/>
  <c r="K147" i="63"/>
  <c r="J147" i="63"/>
  <c r="K146" i="63"/>
  <c r="J146" i="63"/>
  <c r="K145" i="63"/>
  <c r="J145" i="63"/>
  <c r="K144" i="63"/>
  <c r="J144" i="63"/>
  <c r="K143" i="63"/>
  <c r="J143" i="63"/>
  <c r="K142" i="63"/>
  <c r="J142" i="63"/>
  <c r="K141" i="63"/>
  <c r="J141" i="63"/>
  <c r="K140" i="63"/>
  <c r="J140" i="63"/>
  <c r="K139" i="63"/>
  <c r="J139" i="63"/>
  <c r="K138" i="63"/>
  <c r="J138" i="63"/>
  <c r="K137" i="63"/>
  <c r="J137" i="63"/>
  <c r="K136" i="63"/>
  <c r="J136" i="63"/>
  <c r="K135" i="63"/>
  <c r="J135" i="63"/>
  <c r="K134" i="63"/>
  <c r="J134" i="63"/>
  <c r="K133" i="63"/>
  <c r="J133" i="63"/>
  <c r="K132" i="63"/>
  <c r="J132" i="63"/>
  <c r="K131" i="63"/>
  <c r="J131" i="63"/>
  <c r="K130" i="63"/>
  <c r="J130" i="63"/>
  <c r="K129" i="63"/>
  <c r="J129" i="63"/>
  <c r="K128" i="63"/>
  <c r="J128" i="63"/>
  <c r="K127" i="63"/>
  <c r="J127" i="63"/>
  <c r="K126" i="63"/>
  <c r="J126" i="63"/>
  <c r="K125" i="63"/>
  <c r="J125" i="63"/>
  <c r="K124" i="63"/>
  <c r="J124" i="63"/>
  <c r="K123" i="63"/>
  <c r="J123" i="63"/>
  <c r="K122" i="63"/>
  <c r="J122" i="63"/>
  <c r="K121" i="63"/>
  <c r="J121" i="63"/>
  <c r="K120" i="63"/>
  <c r="J120" i="63"/>
  <c r="K119" i="63"/>
  <c r="J119" i="63"/>
  <c r="K118" i="63"/>
  <c r="J118" i="63"/>
  <c r="K117" i="63"/>
  <c r="J117" i="63"/>
  <c r="K116" i="63"/>
  <c r="J116" i="63"/>
  <c r="K115" i="63"/>
  <c r="J115" i="63"/>
  <c r="K114" i="63"/>
  <c r="J114" i="63"/>
  <c r="K113" i="63"/>
  <c r="J113" i="63"/>
  <c r="K112" i="63"/>
  <c r="J112" i="63"/>
  <c r="K111" i="63"/>
  <c r="J111" i="63"/>
  <c r="K110" i="63"/>
  <c r="J110" i="63"/>
  <c r="K109" i="63"/>
  <c r="J109" i="63"/>
  <c r="K108" i="63"/>
  <c r="J108" i="63"/>
  <c r="K107" i="63"/>
  <c r="J107" i="63"/>
  <c r="K106" i="63"/>
  <c r="J106" i="63"/>
  <c r="K105" i="63"/>
  <c r="J105" i="63"/>
  <c r="K104" i="63"/>
  <c r="J104" i="63"/>
  <c r="K103" i="63"/>
  <c r="J103" i="63"/>
  <c r="K102" i="63"/>
  <c r="J102" i="63"/>
  <c r="K101" i="63"/>
  <c r="J101" i="63"/>
  <c r="K100" i="63"/>
  <c r="J100" i="63"/>
  <c r="K99" i="63"/>
  <c r="J99" i="63"/>
  <c r="K98" i="63"/>
  <c r="J98" i="63"/>
  <c r="K97" i="63"/>
  <c r="J97" i="63"/>
  <c r="K96" i="63"/>
  <c r="J96" i="63"/>
  <c r="K95" i="63"/>
  <c r="J95" i="63"/>
  <c r="K94" i="63"/>
  <c r="J94" i="63"/>
  <c r="K93" i="63"/>
  <c r="J93" i="63"/>
  <c r="K92" i="63"/>
  <c r="J92" i="63"/>
  <c r="K91" i="63"/>
  <c r="J91" i="63"/>
  <c r="K90" i="63"/>
  <c r="J90" i="63"/>
  <c r="K89" i="63"/>
  <c r="J89" i="63"/>
  <c r="K88" i="63"/>
  <c r="J88" i="63"/>
  <c r="K87" i="63"/>
  <c r="J87" i="63"/>
  <c r="K86" i="63"/>
  <c r="J86" i="63"/>
  <c r="K85" i="63"/>
  <c r="J85" i="63"/>
  <c r="K84" i="63"/>
  <c r="J84" i="63"/>
  <c r="K83" i="63"/>
  <c r="J83" i="63"/>
  <c r="K82" i="63"/>
  <c r="J82" i="63"/>
  <c r="K81" i="63"/>
  <c r="J81" i="63"/>
  <c r="K80" i="63"/>
  <c r="J80" i="63"/>
  <c r="K79" i="63"/>
  <c r="J79" i="63"/>
  <c r="K78" i="63"/>
  <c r="J78" i="63"/>
  <c r="K77" i="63"/>
  <c r="J77" i="63"/>
  <c r="K76" i="63"/>
  <c r="J76" i="63"/>
  <c r="K75" i="63"/>
  <c r="J75" i="63"/>
  <c r="K74" i="63"/>
  <c r="J74" i="63"/>
  <c r="K73" i="63"/>
  <c r="J73" i="63"/>
  <c r="K72" i="63"/>
  <c r="J72" i="63"/>
  <c r="K71" i="63"/>
  <c r="J71" i="63"/>
  <c r="K70" i="63"/>
  <c r="J70" i="63"/>
  <c r="K69" i="63"/>
  <c r="J69" i="63"/>
  <c r="K68" i="63"/>
  <c r="J68" i="63"/>
  <c r="K67" i="63"/>
  <c r="J67" i="63"/>
  <c r="K66" i="63"/>
  <c r="J66" i="63"/>
  <c r="K65" i="63"/>
  <c r="J65" i="63"/>
  <c r="K64" i="63"/>
  <c r="J64" i="63"/>
  <c r="K63" i="63"/>
  <c r="J63" i="63"/>
  <c r="K62" i="63"/>
  <c r="J62" i="63"/>
  <c r="K61" i="63"/>
  <c r="J61" i="63"/>
  <c r="K60" i="63"/>
  <c r="J60" i="63"/>
  <c r="K59" i="63"/>
  <c r="J59" i="63"/>
  <c r="K58" i="63"/>
  <c r="J58" i="63"/>
  <c r="K57" i="63"/>
  <c r="J57" i="63"/>
  <c r="K56" i="63"/>
  <c r="J56" i="63"/>
  <c r="K55" i="63"/>
  <c r="J55" i="63"/>
  <c r="K54" i="63"/>
  <c r="J54" i="63"/>
  <c r="K53" i="63"/>
  <c r="J53" i="63"/>
  <c r="K52" i="63"/>
  <c r="J52" i="63"/>
  <c r="K51" i="63"/>
  <c r="J51" i="63"/>
  <c r="K50" i="63"/>
  <c r="J50" i="63"/>
  <c r="K49" i="63"/>
  <c r="J49" i="63"/>
  <c r="K48" i="63"/>
  <c r="J48" i="63"/>
  <c r="K47" i="63"/>
  <c r="J47" i="63"/>
  <c r="K46" i="63"/>
  <c r="J46" i="63"/>
  <c r="K45" i="63"/>
  <c r="J45" i="63"/>
  <c r="K44" i="63"/>
  <c r="J44" i="63"/>
  <c r="K43" i="63"/>
  <c r="J43" i="63"/>
  <c r="K42" i="63"/>
  <c r="J42" i="63"/>
  <c r="K41" i="63"/>
  <c r="J41" i="63"/>
  <c r="K40" i="63"/>
  <c r="J40" i="63"/>
  <c r="K39" i="63"/>
  <c r="J39" i="63"/>
  <c r="K38" i="63"/>
  <c r="J38" i="63"/>
  <c r="K37" i="63"/>
  <c r="J37" i="63"/>
  <c r="K36" i="63"/>
  <c r="J36" i="63"/>
  <c r="K35" i="63"/>
  <c r="J35" i="63"/>
  <c r="K34" i="63"/>
  <c r="J34" i="63"/>
  <c r="K33" i="63"/>
  <c r="J33" i="63"/>
  <c r="K32" i="63"/>
  <c r="J32" i="63"/>
  <c r="K31" i="63"/>
  <c r="J31" i="63"/>
  <c r="K30" i="63"/>
  <c r="J30" i="63"/>
  <c r="K29" i="63"/>
  <c r="J29" i="63"/>
  <c r="K28" i="63"/>
  <c r="J28" i="63"/>
  <c r="K27" i="63"/>
  <c r="J27" i="63"/>
  <c r="K26" i="63"/>
  <c r="J26" i="63"/>
  <c r="K25" i="63"/>
  <c r="J25" i="63"/>
  <c r="K24" i="63"/>
  <c r="J24" i="63"/>
  <c r="K23" i="63"/>
  <c r="J23" i="63"/>
  <c r="K22" i="63"/>
  <c r="J22" i="63"/>
  <c r="K21" i="63"/>
  <c r="J21" i="63"/>
  <c r="K20" i="63"/>
  <c r="J20" i="63"/>
  <c r="K19" i="63"/>
  <c r="J19" i="63"/>
  <c r="K18" i="63"/>
  <c r="J18" i="63"/>
  <c r="K17" i="63"/>
  <c r="J17" i="63"/>
  <c r="K16" i="63"/>
  <c r="J16" i="63"/>
  <c r="K15" i="63"/>
  <c r="J15" i="63"/>
  <c r="K14" i="63"/>
  <c r="J14" i="63"/>
  <c r="K13" i="63"/>
  <c r="J13" i="63"/>
  <c r="K12" i="63"/>
  <c r="J12" i="63"/>
  <c r="K11" i="63"/>
  <c r="J11" i="63"/>
  <c r="K10" i="63"/>
  <c r="J10" i="63"/>
  <c r="K9" i="63"/>
  <c r="J9" i="63"/>
  <c r="K8" i="63"/>
  <c r="J8" i="63"/>
  <c r="K7" i="63"/>
  <c r="J7" i="63"/>
  <c r="K6" i="63"/>
  <c r="J6" i="63"/>
  <c r="K5" i="63"/>
  <c r="K3" i="63"/>
  <c r="I3" i="63"/>
  <c r="H3" i="63"/>
  <c r="K6" i="57"/>
  <c r="J6" i="57"/>
  <c r="I3" i="57"/>
  <c r="H3" i="57"/>
  <c r="K3" i="57" s="1"/>
  <c r="K6" i="51"/>
  <c r="J6" i="51"/>
  <c r="I3" i="51"/>
  <c r="H3" i="51"/>
  <c r="K3" i="51" s="1"/>
  <c r="K6" i="31"/>
  <c r="J6" i="31"/>
  <c r="I3" i="31"/>
  <c r="H3" i="31"/>
  <c r="K3" i="31" s="1"/>
  <c r="K10" i="41"/>
  <c r="J10" i="41"/>
  <c r="K8" i="41"/>
  <c r="J8" i="41"/>
  <c r="K6" i="41"/>
  <c r="J6" i="41"/>
  <c r="I3" i="41"/>
  <c r="H3" i="41"/>
  <c r="J7" i="57" l="1"/>
  <c r="K7" i="57"/>
  <c r="K7" i="51"/>
  <c r="J7" i="51"/>
  <c r="K7" i="31"/>
  <c r="J7" i="31"/>
  <c r="K3" i="41"/>
  <c r="J11" i="41"/>
  <c r="K11" i="41"/>
  <c r="K8" i="57" l="1"/>
  <c r="J8" i="57"/>
  <c r="J8" i="51"/>
  <c r="K8" i="51"/>
  <c r="K8" i="31"/>
  <c r="J8" i="31"/>
  <c r="K12" i="41"/>
  <c r="J12" i="41"/>
  <c r="K9" i="57" l="1"/>
  <c r="J9" i="57"/>
  <c r="J9" i="51"/>
  <c r="K9" i="51"/>
  <c r="K9" i="31"/>
  <c r="J9" i="31"/>
  <c r="J13" i="41"/>
  <c r="K13" i="41"/>
  <c r="J10" i="57" l="1"/>
  <c r="K10" i="57"/>
  <c r="K10" i="51"/>
  <c r="J10" i="51"/>
  <c r="J10" i="31"/>
  <c r="K10" i="31"/>
  <c r="J14" i="41"/>
  <c r="K14" i="41"/>
  <c r="J11" i="57" l="1"/>
  <c r="K11" i="57"/>
  <c r="J11" i="51"/>
  <c r="K11" i="51"/>
  <c r="K11" i="31"/>
  <c r="J11" i="31"/>
  <c r="J15" i="41"/>
  <c r="K15" i="41"/>
  <c r="K12" i="57" l="1"/>
  <c r="J12" i="57"/>
  <c r="J12" i="51"/>
  <c r="K12" i="51"/>
  <c r="K12" i="31"/>
  <c r="J12" i="31"/>
  <c r="K16" i="41"/>
  <c r="J16" i="41"/>
  <c r="J13" i="57" l="1"/>
  <c r="K13" i="57"/>
  <c r="J13" i="51"/>
  <c r="K13" i="51"/>
  <c r="J13" i="31"/>
  <c r="K13" i="31"/>
  <c r="K17" i="41"/>
  <c r="J17" i="41"/>
  <c r="J14" i="57" l="1"/>
  <c r="K14" i="57"/>
  <c r="J14" i="51"/>
  <c r="K14" i="51"/>
  <c r="J14" i="31"/>
  <c r="K14" i="31"/>
  <c r="J18" i="41"/>
  <c r="K18" i="41"/>
  <c r="K15" i="57" l="1"/>
  <c r="J15" i="57"/>
  <c r="J15" i="51"/>
  <c r="K15" i="51"/>
  <c r="J15" i="31"/>
  <c r="K15" i="31"/>
  <c r="J19" i="41"/>
  <c r="K19" i="41"/>
  <c r="K16" i="57" l="1"/>
  <c r="J16" i="57"/>
  <c r="J16" i="51"/>
  <c r="K16" i="51"/>
  <c r="K16" i="31"/>
  <c r="J16" i="31"/>
  <c r="J20" i="41"/>
  <c r="K20" i="41"/>
  <c r="K17" i="57" l="1"/>
  <c r="J17" i="57"/>
  <c r="J17" i="51"/>
  <c r="K17" i="51"/>
  <c r="J17" i="31"/>
  <c r="K17" i="31"/>
  <c r="J21" i="41"/>
  <c r="K21" i="41"/>
  <c r="J18" i="57" l="1"/>
  <c r="K18" i="57"/>
  <c r="K18" i="51"/>
  <c r="J18" i="51"/>
  <c r="J18" i="31"/>
  <c r="K18" i="31"/>
  <c r="J19" i="57" l="1"/>
  <c r="K19" i="57"/>
  <c r="J19" i="51"/>
  <c r="K19" i="51"/>
  <c r="J19" i="31"/>
  <c r="K19" i="31"/>
  <c r="K20" i="57" l="1"/>
  <c r="J20" i="57"/>
  <c r="J20" i="51"/>
  <c r="K20" i="51"/>
  <c r="K20" i="31"/>
  <c r="J20" i="31"/>
  <c r="K21" i="57" l="1"/>
  <c r="J21" i="57"/>
  <c r="J21" i="31"/>
  <c r="K21" i="31"/>
  <c r="J22" i="57" l="1"/>
  <c r="K22" i="5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99" authorId="0" shapeId="0" xr:uid="{00000000-0006-0000-08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小洁合同号编重，顺延修改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81" authorId="0" shapeId="0" xr:uid="{00000000-0006-0000-09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小洁合同号编重，顺延修改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70" authorId="0" shapeId="0" xr:uid="{00000000-0006-0000-12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实际发生日期4.30日，因统计4月现金流时漏记，故计入到5月
</t>
        </r>
      </text>
    </comment>
  </commentList>
</comments>
</file>

<file path=xl/sharedStrings.xml><?xml version="1.0" encoding="utf-8"?>
<sst xmlns="http://schemas.openxmlformats.org/spreadsheetml/2006/main" count="1018" uniqueCount="103">
  <si>
    <t>单位</t>
  </si>
  <si>
    <t>活期账户</t>
  </si>
  <si>
    <t>保证金户</t>
  </si>
  <si>
    <t>外币户</t>
  </si>
  <si>
    <t>合计</t>
  </si>
  <si>
    <t>迈本石家庄招行</t>
  </si>
  <si>
    <t>迈本石家庄交行</t>
  </si>
  <si>
    <t>迈本石家庄建行</t>
  </si>
  <si>
    <t>石家庄仪器</t>
  </si>
  <si>
    <t>迈本沈阳</t>
  </si>
  <si>
    <t>迈本成都</t>
  </si>
  <si>
    <t>迈本上海</t>
  </si>
  <si>
    <t>迈本苏州</t>
  </si>
  <si>
    <t>北V</t>
  </si>
  <si>
    <t>澳强苏州</t>
  </si>
  <si>
    <t>澳强长春</t>
  </si>
  <si>
    <t>义岭</t>
  </si>
  <si>
    <t>迪青</t>
  </si>
  <si>
    <t>吉宙</t>
  </si>
  <si>
    <t>天津富麦</t>
  </si>
  <si>
    <t>承兑</t>
  </si>
  <si>
    <t>余额</t>
  </si>
  <si>
    <t>迈本石家庄</t>
  </si>
  <si>
    <t>迈本仪器</t>
  </si>
  <si>
    <t>银行存款日记账</t>
  </si>
  <si>
    <t>单位名称：迈本石家庄医药科技有限公司                                     单位：元</t>
  </si>
  <si>
    <t>备注</t>
  </si>
  <si>
    <t>年</t>
  </si>
  <si>
    <t>月</t>
  </si>
  <si>
    <t>日</t>
  </si>
  <si>
    <t>摘要</t>
  </si>
  <si>
    <t>明细摘要</t>
  </si>
  <si>
    <t>对方科目</t>
  </si>
  <si>
    <t>现金流备注</t>
  </si>
  <si>
    <t>收入</t>
  </si>
  <si>
    <t>支出</t>
  </si>
  <si>
    <t>方向</t>
  </si>
  <si>
    <t>业务类别</t>
  </si>
  <si>
    <t>测试期初余额</t>
  </si>
  <si>
    <t>借</t>
  </si>
  <si>
    <t>测试收入</t>
  </si>
  <si>
    <t>主营业务收入</t>
  </si>
  <si>
    <t>业务收款</t>
  </si>
  <si>
    <t>测试管理费用</t>
  </si>
  <si>
    <t>管理费用</t>
  </si>
  <si>
    <t>测试支出</t>
  </si>
  <si>
    <t>预付账款</t>
  </si>
  <si>
    <t>业务付款</t>
  </si>
  <si>
    <t>测试手续费</t>
  </si>
  <si>
    <t>财务费用</t>
  </si>
  <si>
    <t>单位名称：迈本(交行)                             单位：元</t>
  </si>
  <si>
    <t>现金流流量表</t>
  </si>
  <si>
    <t>单位名称：迈本（建行）                             单位：元</t>
  </si>
  <si>
    <t>单位名称：迈本（建行）                             单位：欧元</t>
  </si>
  <si>
    <t>单位名称：迈本（保证金）                             单位：元</t>
  </si>
  <si>
    <t>存入保证金</t>
  </si>
  <si>
    <t>银行存款</t>
  </si>
  <si>
    <t>内转</t>
  </si>
  <si>
    <t>保证金解冻转入基本户</t>
  </si>
  <si>
    <t>单位名称：迈本石家庄（承兑）                             单位：元</t>
  </si>
  <si>
    <t>单位名称：仪器                             单位：元</t>
  </si>
  <si>
    <t>业务类型</t>
  </si>
  <si>
    <t>单位名称：仪器   （数币）                          单位：元</t>
  </si>
  <si>
    <t>单位名称：迈本仪器（承兑）                             单位：元</t>
  </si>
  <si>
    <t>单位名称：北京威客特瑞医药科技有限公司                                      单位：元</t>
  </si>
  <si>
    <t>发票情况</t>
  </si>
  <si>
    <t>单位名称：迈本（成都）医药科技有限公司                            单位：元</t>
  </si>
  <si>
    <t>单位名称：迈本成都（承兑）                             单位：元</t>
  </si>
  <si>
    <t>单位名称：迈本沈阳                             单位：元</t>
  </si>
  <si>
    <t>现金流量备注</t>
  </si>
  <si>
    <t>单位名称：迈本沈阳（承兑）                             单位：元</t>
  </si>
  <si>
    <t>单位名称：迈本（苏州）医药科技有限公司                                单位：元</t>
  </si>
  <si>
    <t>单位名称：迈本苏州（承兑）                             单位：元</t>
  </si>
  <si>
    <t>单位名称：澳强长春                            单位：元</t>
  </si>
  <si>
    <t>现金流量表备注</t>
  </si>
  <si>
    <t>期初余额</t>
  </si>
  <si>
    <t>单位名称：澳强苏州                             单位：元</t>
  </si>
  <si>
    <t>单位名称：天津富麦                               单位：元</t>
  </si>
  <si>
    <t>单位名称：迪青                           单位：元</t>
  </si>
  <si>
    <t>财务费分摊</t>
  </si>
  <si>
    <t>管理公摊</t>
  </si>
  <si>
    <t>单位名称：义岭                             单位：元</t>
  </si>
  <si>
    <t>单位名称：沛能                             单位：元</t>
  </si>
  <si>
    <t>单位名称：现金                       单位：元</t>
  </si>
  <si>
    <t>单位名称：康丽进（现金）                           单位：元</t>
  </si>
  <si>
    <t>单位名称：吴利君                          单位：元</t>
  </si>
  <si>
    <t>单位名称：马蕾                          单位：元</t>
  </si>
  <si>
    <t>单位名称：王建肖                          单位：元</t>
  </si>
  <si>
    <t>单位名称：白秀敏                         单位：元</t>
  </si>
  <si>
    <t>单位名称：雷朝霞                         单位：元</t>
  </si>
  <si>
    <t>单位名称：李冬日                         单位：元</t>
  </si>
  <si>
    <t>单位名称：佟丽                            单位：元</t>
  </si>
  <si>
    <t>单位名称：雷杰                            单位：元</t>
  </si>
  <si>
    <t>单位名称：晟才                          单位：元</t>
  </si>
  <si>
    <t>单位名称：马义岭                            单位：元</t>
  </si>
  <si>
    <t>单位名称：刘勇                            单位：元</t>
  </si>
  <si>
    <t>期初</t>
  </si>
  <si>
    <t>单位名称：王茜                          单位：元</t>
  </si>
  <si>
    <t>单位名称：李晓东    开户行 ： 石家庄和平天河支行            账号： 6222020402005539497        单位：元</t>
  </si>
  <si>
    <t>结息</t>
  </si>
  <si>
    <t>单位名称：刘硕             单位：元       卡号：6217991210026875716   开户行：石家庄市红石原著营业所  身份证号130682198509127833 手机号 17330071015</t>
  </si>
  <si>
    <t>现金流</t>
  </si>
  <si>
    <t>金额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</si>
</sst>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#,##0.00_ "/>
  </numFmts>
  <fonts count="23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080A0D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宋体"/>
      <charset val="134"/>
      <scheme val="minor"/>
    </font>
    <font>
      <sz val="10.5"/>
      <name val="宋体"/>
      <charset val="134"/>
    </font>
    <font>
      <sz val="10.5"/>
      <color rgb="FF0A0C10"/>
      <name val="Segoe UI"/>
      <family val="2"/>
    </font>
    <font>
      <sz val="10.5"/>
      <color rgb="FF0A0C10"/>
      <name val="宋体"/>
      <charset val="134"/>
    </font>
    <font>
      <sz val="10"/>
      <color rgb="FF242424"/>
      <name val="Arial"/>
      <family val="2"/>
    </font>
    <font>
      <b/>
      <sz val="11"/>
      <color rgb="FFFF0000"/>
      <name val="宋体"/>
      <charset val="134"/>
      <scheme val="minor"/>
    </font>
    <font>
      <sz val="9"/>
      <color rgb="FF000000"/>
      <name val="微软雅黑"/>
      <charset val="134"/>
    </font>
    <font>
      <sz val="9.75"/>
      <color rgb="FF000000"/>
      <name val="Helvetica"/>
      <family val="2"/>
    </font>
    <font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family val="2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7" fillId="0" borderId="0">
      <alignment vertical="center"/>
    </xf>
    <xf numFmtId="0" fontId="16" fillId="0" borderId="0"/>
    <xf numFmtId="0" fontId="18" fillId="0" borderId="0"/>
    <xf numFmtId="0" fontId="16" fillId="0" borderId="0">
      <alignment vertical="center"/>
    </xf>
  </cellStyleXfs>
  <cellXfs count="7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4" fontId="0" fillId="0" borderId="1" xfId="0" applyNumberFormat="1" applyBorder="1">
      <alignment vertical="center"/>
    </xf>
    <xf numFmtId="4" fontId="0" fillId="0" borderId="1" xfId="0" applyNumberFormat="1" applyBorder="1" applyAlignment="1"/>
    <xf numFmtId="0" fontId="0" fillId="0" borderId="1" xfId="0" applyBorder="1" applyAlignment="1">
      <alignment horizontal="left"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>
      <alignment vertical="center"/>
    </xf>
    <xf numFmtId="176" fontId="0" fillId="0" borderId="2" xfId="0" applyNumberFormat="1" applyBorder="1" applyAlignment="1"/>
    <xf numFmtId="0" fontId="0" fillId="0" borderId="0" xfId="0" applyAlignment="1">
      <alignment horizontal="left" vertical="center" wrapText="1"/>
    </xf>
    <xf numFmtId="176" fontId="0" fillId="0" borderId="2" xfId="0" applyNumberFormat="1" applyBorder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/>
    <xf numFmtId="14" fontId="0" fillId="0" borderId="1" xfId="0" applyNumberFormat="1" applyBorder="1">
      <alignment vertical="center"/>
    </xf>
    <xf numFmtId="21" fontId="0" fillId="0" borderId="1" xfId="0" applyNumberFormat="1" applyBorder="1">
      <alignment vertical="center"/>
    </xf>
    <xf numFmtId="49" fontId="0" fillId="0" borderId="1" xfId="0" applyNumberFormat="1" applyBorder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76" fontId="0" fillId="2" borderId="1" xfId="0" applyNumberFormat="1" applyFill="1" applyBorder="1">
      <alignment vertical="center"/>
    </xf>
    <xf numFmtId="0" fontId="9" fillId="0" borderId="1" xfId="0" applyFont="1" applyBorder="1">
      <alignment vertical="center"/>
    </xf>
    <xf numFmtId="43" fontId="0" fillId="0" borderId="1" xfId="0" applyNumberFormat="1" applyBorder="1">
      <alignment vertical="center"/>
    </xf>
    <xf numFmtId="0" fontId="5" fillId="0" borderId="1" xfId="0" applyFont="1" applyBorder="1">
      <alignment vertical="center"/>
    </xf>
    <xf numFmtId="4" fontId="0" fillId="0" borderId="0" xfId="0" applyNumberFormat="1">
      <alignment vertical="center"/>
    </xf>
    <xf numFmtId="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/>
    <xf numFmtId="4" fontId="0" fillId="0" borderId="0" xfId="0" applyNumberFormat="1" applyAlignment="1">
      <alignment vertical="center" wrapText="1"/>
    </xf>
    <xf numFmtId="176" fontId="0" fillId="0" borderId="4" xfId="0" applyNumberFormat="1" applyBorder="1" applyAlignment="1"/>
    <xf numFmtId="4" fontId="11" fillId="0" borderId="1" xfId="0" applyNumberFormat="1" applyFont="1" applyBorder="1">
      <alignment vertical="center"/>
    </xf>
    <xf numFmtId="0" fontId="12" fillId="0" borderId="1" xfId="0" applyFont="1" applyBorder="1">
      <alignment vertical="center"/>
    </xf>
    <xf numFmtId="0" fontId="13" fillId="0" borderId="0" xfId="0" applyFont="1">
      <alignment vertical="center"/>
    </xf>
    <xf numFmtId="0" fontId="0" fillId="3" borderId="0" xfId="0" applyFill="1" applyAlignment="1">
      <alignment vertical="center" wrapText="1"/>
    </xf>
    <xf numFmtId="0" fontId="3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4" fillId="0" borderId="0" xfId="0" applyFont="1">
      <alignment vertical="center"/>
    </xf>
    <xf numFmtId="0" fontId="0" fillId="0" borderId="1" xfId="0" applyBorder="1" applyAlignment="1"/>
    <xf numFmtId="0" fontId="1" fillId="0" borderId="5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176" fontId="0" fillId="0" borderId="5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7" xfId="0" applyNumberFormat="1" applyBorder="1" applyAlignment="1"/>
    <xf numFmtId="43" fontId="0" fillId="0" borderId="0" xfId="0" applyNumberFormat="1">
      <alignment vertical="center"/>
    </xf>
    <xf numFmtId="4" fontId="2" fillId="0" borderId="0" xfId="0" applyNumberFormat="1" applyFont="1">
      <alignment vertical="center"/>
    </xf>
    <xf numFmtId="43" fontId="0" fillId="0" borderId="0" xfId="0" applyNumberFormat="1" applyAlignment="1">
      <alignment horizontal="center" vertical="center"/>
    </xf>
    <xf numFmtId="43" fontId="2" fillId="0" borderId="0" xfId="0" applyNumberFormat="1" applyFont="1">
      <alignment vertical="center"/>
    </xf>
    <xf numFmtId="43" fontId="15" fillId="0" borderId="0" xfId="0" applyNumberFormat="1" applyFont="1">
      <alignment vertical="center"/>
    </xf>
    <xf numFmtId="0" fontId="2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5">
    <cellStyle name="Normal" xfId="3" xr:uid="{00000000-0005-0000-0000-000033000000}"/>
    <cellStyle name="常规" xfId="0" builtinId="0"/>
    <cellStyle name="常规 2" xfId="2" xr:uid="{00000000-0005-0000-0000-000032000000}"/>
    <cellStyle name="常规 2 2" xfId="4" xr:uid="{00000000-0005-0000-0000-000034000000}"/>
    <cellStyle name="常规 3" xfId="1" xr:uid="{00000000-0005-0000-0000-000031000000}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00B0F0"/>
      <color rgb="FF92D05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workbookViewId="0">
      <selection activeCell="B26" sqref="B26"/>
    </sheetView>
  </sheetViews>
  <sheetFormatPr defaultColWidth="9" defaultRowHeight="13.5" x14ac:dyDescent="0.15"/>
  <cols>
    <col min="1" max="1" width="15.25" customWidth="1"/>
    <col min="2" max="2" width="17.75" style="59" customWidth="1"/>
    <col min="3" max="4" width="16.625" style="59" customWidth="1"/>
    <col min="5" max="5" width="17.25" customWidth="1"/>
    <col min="6" max="6" width="11.5"/>
    <col min="8" max="8" width="16.875" customWidth="1"/>
    <col min="9" max="9" width="12" customWidth="1"/>
    <col min="10" max="10" width="12.5" customWidth="1"/>
    <col min="11" max="11" width="15.75" customWidth="1"/>
    <col min="12" max="12" width="11.375" customWidth="1"/>
  </cols>
  <sheetData>
    <row r="1" spans="1:8" x14ac:dyDescent="0.15">
      <c r="A1" t="s">
        <v>0</v>
      </c>
      <c r="B1" s="59" t="s">
        <v>1</v>
      </c>
      <c r="C1" s="59" t="s">
        <v>2</v>
      </c>
      <c r="D1" s="59" t="s">
        <v>3</v>
      </c>
      <c r="E1" t="s">
        <v>4</v>
      </c>
    </row>
    <row r="2" spans="1:8" x14ac:dyDescent="0.15">
      <c r="A2" t="s">
        <v>5</v>
      </c>
      <c r="C2"/>
      <c r="D2"/>
      <c r="E2" s="59"/>
      <c r="H2" s="60"/>
    </row>
    <row r="3" spans="1:8" x14ac:dyDescent="0.15">
      <c r="A3" t="s">
        <v>6</v>
      </c>
      <c r="C3"/>
      <c r="D3"/>
      <c r="H3" s="38"/>
    </row>
    <row r="4" spans="1:8" x14ac:dyDescent="0.15">
      <c r="A4" t="s">
        <v>7</v>
      </c>
      <c r="C4"/>
      <c r="D4"/>
    </row>
    <row r="5" spans="1:8" x14ac:dyDescent="0.15">
      <c r="A5" t="s">
        <v>8</v>
      </c>
      <c r="C5"/>
      <c r="D5"/>
    </row>
    <row r="6" spans="1:8" x14ac:dyDescent="0.15">
      <c r="A6" t="s">
        <v>9</v>
      </c>
      <c r="C6"/>
      <c r="D6"/>
    </row>
    <row r="7" spans="1:8" x14ac:dyDescent="0.15">
      <c r="A7" t="s">
        <v>10</v>
      </c>
      <c r="C7"/>
      <c r="D7"/>
    </row>
    <row r="8" spans="1:8" x14ac:dyDescent="0.15">
      <c r="A8" t="s">
        <v>11</v>
      </c>
      <c r="C8"/>
      <c r="D8"/>
    </row>
    <row r="9" spans="1:8" x14ac:dyDescent="0.15">
      <c r="A9" t="s">
        <v>12</v>
      </c>
      <c r="C9"/>
      <c r="D9"/>
    </row>
    <row r="10" spans="1:8" x14ac:dyDescent="0.15">
      <c r="A10" t="s">
        <v>13</v>
      </c>
      <c r="B10" s="61"/>
      <c r="C10"/>
      <c r="D10"/>
    </row>
    <row r="11" spans="1:8" x14ac:dyDescent="0.15">
      <c r="A11" t="s">
        <v>14</v>
      </c>
      <c r="C11"/>
      <c r="D11"/>
    </row>
    <row r="12" spans="1:8" x14ac:dyDescent="0.15">
      <c r="A12" t="s">
        <v>15</v>
      </c>
      <c r="C12"/>
      <c r="D12"/>
    </row>
    <row r="13" spans="1:8" x14ac:dyDescent="0.15">
      <c r="A13" t="s">
        <v>16</v>
      </c>
      <c r="B13" s="62"/>
      <c r="C13"/>
      <c r="D13"/>
    </row>
    <row r="14" spans="1:8" x14ac:dyDescent="0.15">
      <c r="A14" t="s">
        <v>17</v>
      </c>
      <c r="C14"/>
      <c r="D14"/>
    </row>
    <row r="15" spans="1:8" x14ac:dyDescent="0.15">
      <c r="A15" t="s">
        <v>18</v>
      </c>
      <c r="C15"/>
      <c r="D15"/>
    </row>
    <row r="16" spans="1:8" x14ac:dyDescent="0.15">
      <c r="A16" t="s">
        <v>19</v>
      </c>
      <c r="C16"/>
      <c r="D16"/>
    </row>
    <row r="17" spans="1:12" x14ac:dyDescent="0.15">
      <c r="A17" t="s">
        <v>20</v>
      </c>
      <c r="C17"/>
      <c r="D17"/>
    </row>
    <row r="18" spans="1:12" x14ac:dyDescent="0.15">
      <c r="C18"/>
      <c r="D18"/>
      <c r="I18" s="59"/>
    </row>
    <row r="19" spans="1:12" x14ac:dyDescent="0.15">
      <c r="C19"/>
      <c r="D19"/>
    </row>
    <row r="20" spans="1:12" x14ac:dyDescent="0.15">
      <c r="C20"/>
      <c r="D20"/>
    </row>
    <row r="22" spans="1:12" x14ac:dyDescent="0.15">
      <c r="H22" s="38"/>
      <c r="K22" s="59"/>
      <c r="L22" s="59"/>
    </row>
    <row r="24" spans="1:12" x14ac:dyDescent="0.15">
      <c r="L24" s="59"/>
    </row>
    <row r="25" spans="1:12" x14ac:dyDescent="0.15">
      <c r="L25" s="59"/>
    </row>
    <row r="26" spans="1:12" x14ac:dyDescent="0.15">
      <c r="C26" s="63"/>
      <c r="D26" s="63"/>
      <c r="E26" s="59"/>
      <c r="H26" s="60"/>
    </row>
    <row r="27" spans="1:12" x14ac:dyDescent="0.15">
      <c r="H27" s="38"/>
    </row>
    <row r="28" spans="1:12" x14ac:dyDescent="0.15">
      <c r="C28" s="63"/>
      <c r="D28" s="63"/>
      <c r="E28" s="59"/>
      <c r="H28" s="60"/>
    </row>
    <row r="29" spans="1:12" x14ac:dyDescent="0.15">
      <c r="H29" s="38"/>
    </row>
    <row r="33" spans="2:9" x14ac:dyDescent="0.15">
      <c r="B33" s="62"/>
    </row>
    <row r="38" spans="2:9" x14ac:dyDescent="0.15">
      <c r="B38" s="61"/>
    </row>
    <row r="42" spans="2:9" x14ac:dyDescent="0.15">
      <c r="B42" s="62"/>
    </row>
    <row r="47" spans="2:9" x14ac:dyDescent="0.15">
      <c r="I47" s="59"/>
    </row>
  </sheetData>
  <phoneticPr fontId="21" type="noConversion"/>
  <conditionalFormatting sqref="A1:I1 A52:I52">
    <cfRule type="duplicateValues" dxfId="1" priority="5"/>
  </conditionalFormatting>
  <conditionalFormatting sqref="A2:I2 A3:A22 A23:I51">
    <cfRule type="duplicateValues" dxfId="0" priority="6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J20" sqref="J20"/>
    </sheetView>
  </sheetViews>
  <sheetFormatPr defaultColWidth="9" defaultRowHeight="13.5" x14ac:dyDescent="0.15"/>
  <cols>
    <col min="1" max="1" width="13.5" customWidth="1"/>
    <col min="2" max="2" width="13.375" customWidth="1"/>
  </cols>
  <sheetData>
    <row r="1" spans="1:2" x14ac:dyDescent="0.15">
      <c r="A1" t="s">
        <v>0</v>
      </c>
      <c r="B1" t="s">
        <v>21</v>
      </c>
    </row>
    <row r="2" spans="1:2" x14ac:dyDescent="0.15">
      <c r="A2" t="s">
        <v>22</v>
      </c>
    </row>
    <row r="3" spans="1:2" x14ac:dyDescent="0.15">
      <c r="A3" t="s">
        <v>23</v>
      </c>
    </row>
    <row r="4" spans="1:2" x14ac:dyDescent="0.15">
      <c r="A4" t="s">
        <v>10</v>
      </c>
    </row>
    <row r="5" spans="1:2" x14ac:dyDescent="0.15">
      <c r="A5" t="s">
        <v>9</v>
      </c>
    </row>
    <row r="6" spans="1:2" x14ac:dyDescent="0.15">
      <c r="A6" t="s">
        <v>12</v>
      </c>
    </row>
    <row r="7" spans="1:2" x14ac:dyDescent="0.15">
      <c r="A7" t="s">
        <v>4</v>
      </c>
    </row>
  </sheetData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78"/>
  <sheetViews>
    <sheetView zoomScale="115" zoomScaleNormal="115" workbookViewId="0">
      <selection activeCell="E14" sqref="E14"/>
    </sheetView>
  </sheetViews>
  <sheetFormatPr defaultColWidth="9" defaultRowHeight="13.5" x14ac:dyDescent="0.15"/>
  <cols>
    <col min="1" max="1" width="5.125" customWidth="1"/>
    <col min="2" max="2" width="2.75" customWidth="1"/>
    <col min="3" max="3" width="2.625" customWidth="1"/>
    <col min="4" max="4" width="43.75" customWidth="1"/>
    <col min="5" max="5" width="29.25" customWidth="1"/>
    <col min="6" max="6" width="15" customWidth="1"/>
    <col min="7" max="7" width="17.125" customWidth="1"/>
    <col min="8" max="9" width="16" style="1" customWidth="1"/>
    <col min="10" max="10" width="6.375" style="1" customWidth="1"/>
    <col min="11" max="11" width="15.75" customWidth="1"/>
    <col min="12" max="12" width="20" customWidth="1"/>
    <col min="13" max="13" width="27.75" customWidth="1"/>
  </cols>
  <sheetData>
    <row r="1" spans="1:13" ht="20.100000000000001" customHeight="1" x14ac:dyDescent="0.15">
      <c r="A1" s="2" t="s">
        <v>24</v>
      </c>
      <c r="B1" s="52"/>
      <c r="C1" s="52"/>
      <c r="D1" s="52"/>
      <c r="E1" s="52"/>
      <c r="F1" s="52"/>
      <c r="G1" s="52"/>
      <c r="H1" s="53"/>
      <c r="I1" s="53"/>
      <c r="J1" s="53"/>
      <c r="K1" s="52"/>
      <c r="L1" s="52"/>
      <c r="M1" s="54"/>
    </row>
    <row r="2" spans="1:13" ht="20.100000000000001" customHeight="1" x14ac:dyDescent="0.15">
      <c r="A2" s="66" t="s">
        <v>25</v>
      </c>
      <c r="B2" s="66"/>
      <c r="C2" s="66"/>
      <c r="D2" s="66"/>
      <c r="E2" s="66"/>
      <c r="F2" s="66"/>
      <c r="G2" s="66"/>
      <c r="H2" s="53"/>
      <c r="I2" s="53"/>
      <c r="J2" s="53"/>
      <c r="K2" s="52"/>
      <c r="L2" s="52"/>
      <c r="M2" s="54"/>
    </row>
    <row r="3" spans="1:13" ht="20.100000000000001" customHeight="1" x14ac:dyDescent="0.15">
      <c r="B3" s="55"/>
      <c r="C3" s="55"/>
      <c r="D3" s="55"/>
      <c r="E3" s="55"/>
      <c r="F3" s="55"/>
      <c r="G3" s="55"/>
      <c r="H3" s="56">
        <f>SUM(H5:H188781)</f>
        <v>10000</v>
      </c>
      <c r="I3" s="56">
        <f>SUM(I5:I188781)</f>
        <v>10110</v>
      </c>
      <c r="J3" s="56"/>
      <c r="K3" s="55">
        <f>K5+H3-I3</f>
        <v>11001</v>
      </c>
      <c r="L3" s="55"/>
      <c r="M3" s="54" t="s">
        <v>26</v>
      </c>
    </row>
    <row r="4" spans="1:13" ht="20.100000000000001" customHeight="1" x14ac:dyDescent="0.15">
      <c r="A4" s="27" t="s">
        <v>27</v>
      </c>
      <c r="B4" s="57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64" t="s">
        <v>102</v>
      </c>
      <c r="L4" s="57" t="s">
        <v>37</v>
      </c>
      <c r="M4" s="54"/>
    </row>
    <row r="5" spans="1:13" ht="20.100000000000001" customHeight="1" x14ac:dyDescent="0.15">
      <c r="A5" s="27">
        <v>2026</v>
      </c>
      <c r="B5" s="57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11111</v>
      </c>
      <c r="L5" s="58"/>
      <c r="M5" s="54"/>
    </row>
    <row r="6" spans="1:13" ht="20.100000000000001" customHeight="1" x14ac:dyDescent="0.15">
      <c r="A6" s="27"/>
      <c r="B6" s="57">
        <v>2</v>
      </c>
      <c r="C6" s="5">
        <v>2</v>
      </c>
      <c r="D6" s="48" t="s">
        <v>40</v>
      </c>
      <c r="E6" s="10"/>
      <c r="F6" s="10" t="s">
        <v>41</v>
      </c>
      <c r="G6" s="7" t="s">
        <v>42</v>
      </c>
      <c r="H6" s="8">
        <v>10000</v>
      </c>
      <c r="I6" s="8"/>
      <c r="J6" s="8" t="str">
        <f>IF((K5+H6-I6)&gt;0,"借","贷")</f>
        <v>借</v>
      </c>
      <c r="K6" s="9">
        <f>K5+H6-I6</f>
        <v>21111</v>
      </c>
      <c r="L6" s="58"/>
      <c r="M6" s="54"/>
    </row>
    <row r="7" spans="1:13" ht="20.100000000000001" customHeight="1" x14ac:dyDescent="0.15">
      <c r="A7" s="27"/>
      <c r="B7" s="57">
        <v>2</v>
      </c>
      <c r="C7" s="5">
        <v>3</v>
      </c>
      <c r="D7" s="48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">
        <v>39</v>
      </c>
      <c r="K7" s="9">
        <v>11112</v>
      </c>
      <c r="L7" s="58"/>
      <c r="M7" s="54"/>
    </row>
    <row r="8" spans="1:13" ht="20.100000000000001" customHeight="1" x14ac:dyDescent="0.15">
      <c r="A8" s="27"/>
      <c r="B8" s="57">
        <v>2</v>
      </c>
      <c r="C8" s="5">
        <v>4</v>
      </c>
      <c r="D8" s="10" t="s">
        <v>45</v>
      </c>
      <c r="E8" s="10"/>
      <c r="F8" s="10" t="s">
        <v>46</v>
      </c>
      <c r="G8" s="7" t="s">
        <v>47</v>
      </c>
      <c r="H8" s="8"/>
      <c r="I8" s="8">
        <v>10000</v>
      </c>
      <c r="J8" s="8" t="str">
        <f>IF((K7+H8-I8)&gt;0,"借","贷")</f>
        <v>借</v>
      </c>
      <c r="K8" s="9">
        <f>K7+H8-I8</f>
        <v>1112</v>
      </c>
      <c r="L8" s="58"/>
      <c r="M8" s="54"/>
    </row>
    <row r="9" spans="1:13" ht="20.100000000000001" customHeight="1" x14ac:dyDescent="0.15">
      <c r="A9" s="27"/>
      <c r="B9" s="57">
        <v>2</v>
      </c>
      <c r="C9" s="5">
        <v>5</v>
      </c>
      <c r="D9" s="10" t="s">
        <v>48</v>
      </c>
      <c r="E9" s="10"/>
      <c r="F9" s="10" t="s">
        <v>49</v>
      </c>
      <c r="G9" s="7" t="s">
        <v>49</v>
      </c>
      <c r="H9" s="8"/>
      <c r="I9" s="8">
        <v>10</v>
      </c>
      <c r="J9" s="8" t="s">
        <v>39</v>
      </c>
      <c r="K9" s="9">
        <v>11113</v>
      </c>
      <c r="L9" s="58"/>
      <c r="M9" s="54"/>
    </row>
    <row r="10" spans="1:13" ht="20.100000000000001" customHeight="1" x14ac:dyDescent="0.15">
      <c r="A10" s="27"/>
      <c r="B10" s="57"/>
      <c r="C10" s="5"/>
      <c r="D10" s="10"/>
      <c r="E10" s="10"/>
      <c r="F10" s="10"/>
      <c r="G10" s="7"/>
      <c r="H10" s="8"/>
      <c r="I10" s="8"/>
      <c r="J10" s="8" t="str">
        <f>IF((K9+H10-I10)&gt;0,"借","贷")</f>
        <v>借</v>
      </c>
      <c r="K10" s="9">
        <f>K9+H10-I10</f>
        <v>11113</v>
      </c>
      <c r="L10" s="58"/>
      <c r="M10" s="54"/>
    </row>
    <row r="11" spans="1:13" ht="20.100000000000001" customHeight="1" x14ac:dyDescent="0.15">
      <c r="A11" s="27"/>
      <c r="B11" s="57"/>
      <c r="C11" s="5"/>
      <c r="D11" s="10"/>
      <c r="E11" s="10"/>
      <c r="F11" s="10"/>
      <c r="G11" s="7"/>
      <c r="H11" s="8"/>
      <c r="I11" s="8"/>
      <c r="J11" s="8" t="str">
        <f t="shared" ref="J11:J21" si="0">IF((K10+H11-I11)&gt;0,"借","贷")</f>
        <v>借</v>
      </c>
      <c r="K11" s="9">
        <f t="shared" ref="K11:K21" si="1">K10+H11-I11</f>
        <v>11113</v>
      </c>
      <c r="L11" s="58"/>
      <c r="M11" s="54"/>
    </row>
    <row r="12" spans="1:13" ht="20.100000000000001" customHeight="1" x14ac:dyDescent="0.15">
      <c r="A12" s="27"/>
      <c r="B12" s="57"/>
      <c r="C12" s="5"/>
      <c r="D12" s="10"/>
      <c r="E12" s="10"/>
      <c r="F12" s="10"/>
      <c r="G12" s="7"/>
      <c r="H12" s="8"/>
      <c r="I12" s="8"/>
      <c r="J12" s="8" t="str">
        <f t="shared" si="0"/>
        <v>借</v>
      </c>
      <c r="K12" s="9">
        <f t="shared" si="1"/>
        <v>11113</v>
      </c>
      <c r="L12" s="58"/>
      <c r="M12" s="54"/>
    </row>
    <row r="13" spans="1:13" ht="20.100000000000001" customHeight="1" x14ac:dyDescent="0.15">
      <c r="A13" s="27"/>
      <c r="B13" s="57"/>
      <c r="C13" s="5"/>
      <c r="D13" s="10"/>
      <c r="E13" s="10"/>
      <c r="F13" s="10"/>
      <c r="G13" s="7"/>
      <c r="H13" s="8"/>
      <c r="I13" s="8"/>
      <c r="J13" s="8" t="str">
        <f t="shared" si="0"/>
        <v>借</v>
      </c>
      <c r="K13" s="9">
        <f t="shared" si="1"/>
        <v>11113</v>
      </c>
      <c r="L13" s="58"/>
      <c r="M13" s="54"/>
    </row>
    <row r="14" spans="1:13" ht="20.100000000000001" customHeight="1" x14ac:dyDescent="0.15">
      <c r="A14" s="27"/>
      <c r="B14" s="57"/>
      <c r="C14" s="5"/>
      <c r="D14" s="10"/>
      <c r="E14" s="10"/>
      <c r="F14" s="10"/>
      <c r="G14" s="7"/>
      <c r="H14" s="8"/>
      <c r="I14" s="8"/>
      <c r="J14" s="8" t="str">
        <f t="shared" si="0"/>
        <v>借</v>
      </c>
      <c r="K14" s="9">
        <f t="shared" si="1"/>
        <v>11113</v>
      </c>
      <c r="L14" s="58"/>
      <c r="M14" s="54"/>
    </row>
    <row r="15" spans="1:13" ht="20.100000000000001" customHeight="1" x14ac:dyDescent="0.15">
      <c r="A15" s="27"/>
      <c r="B15" s="57"/>
      <c r="C15" s="5"/>
      <c r="D15" s="10"/>
      <c r="E15" s="10"/>
      <c r="F15" s="10"/>
      <c r="G15" s="7"/>
      <c r="H15" s="8"/>
      <c r="I15" s="8"/>
      <c r="J15" s="8" t="str">
        <f t="shared" si="0"/>
        <v>借</v>
      </c>
      <c r="K15" s="9">
        <f t="shared" si="1"/>
        <v>11113</v>
      </c>
      <c r="L15" s="58"/>
      <c r="M15" s="54"/>
    </row>
    <row r="16" spans="1:13" ht="20.100000000000001" customHeight="1" x14ac:dyDescent="0.15">
      <c r="A16" s="27"/>
      <c r="B16" s="57"/>
      <c r="C16" s="5"/>
      <c r="D16" s="10"/>
      <c r="E16" s="10"/>
      <c r="F16" s="10"/>
      <c r="G16" s="7"/>
      <c r="H16" s="8"/>
      <c r="I16" s="8"/>
      <c r="J16" s="8" t="str">
        <f t="shared" si="0"/>
        <v>借</v>
      </c>
      <c r="K16" s="9">
        <f t="shared" si="1"/>
        <v>11113</v>
      </c>
      <c r="L16" s="58"/>
      <c r="M16" s="54"/>
    </row>
    <row r="17" spans="1:13" ht="20.100000000000001" customHeight="1" x14ac:dyDescent="0.15">
      <c r="A17" s="27"/>
      <c r="B17" s="57"/>
      <c r="C17" s="5"/>
      <c r="D17" s="10"/>
      <c r="E17" s="10"/>
      <c r="F17" s="10"/>
      <c r="G17" s="7"/>
      <c r="H17" s="8"/>
      <c r="I17" s="8"/>
      <c r="J17" s="8" t="str">
        <f t="shared" si="0"/>
        <v>借</v>
      </c>
      <c r="K17" s="9">
        <f t="shared" si="1"/>
        <v>11113</v>
      </c>
      <c r="L17" s="58"/>
      <c r="M17" s="54"/>
    </row>
    <row r="18" spans="1:13" ht="20.100000000000001" customHeight="1" x14ac:dyDescent="0.15">
      <c r="A18" s="27"/>
      <c r="B18" s="57"/>
      <c r="C18" s="5"/>
      <c r="D18" s="10"/>
      <c r="E18" s="10"/>
      <c r="F18" s="10"/>
      <c r="G18" s="7"/>
      <c r="H18" s="8"/>
      <c r="I18" s="8"/>
      <c r="J18" s="8" t="str">
        <f t="shared" si="0"/>
        <v>借</v>
      </c>
      <c r="K18" s="9">
        <f t="shared" si="1"/>
        <v>11113</v>
      </c>
      <c r="L18" s="58"/>
      <c r="M18" s="54"/>
    </row>
    <row r="19" spans="1:13" ht="20.100000000000001" customHeight="1" x14ac:dyDescent="0.15">
      <c r="A19" s="27"/>
      <c r="B19" s="57"/>
      <c r="C19" s="5"/>
      <c r="D19" s="10"/>
      <c r="E19" s="10"/>
      <c r="F19" s="10"/>
      <c r="G19" s="7"/>
      <c r="H19" s="8"/>
      <c r="I19" s="8"/>
      <c r="J19" s="8" t="str">
        <f t="shared" si="0"/>
        <v>借</v>
      </c>
      <c r="K19" s="9">
        <f t="shared" si="1"/>
        <v>11113</v>
      </c>
      <c r="L19" s="58"/>
      <c r="M19" s="54"/>
    </row>
    <row r="20" spans="1:13" ht="20.100000000000001" customHeight="1" x14ac:dyDescent="0.15">
      <c r="A20" s="27"/>
      <c r="B20" s="57"/>
      <c r="C20" s="5"/>
      <c r="D20" s="10"/>
      <c r="E20" s="10"/>
      <c r="F20" s="10"/>
      <c r="G20" s="7"/>
      <c r="H20" s="8"/>
      <c r="I20" s="8"/>
      <c r="J20" s="8" t="str">
        <f t="shared" si="0"/>
        <v>借</v>
      </c>
      <c r="K20" s="9">
        <f t="shared" si="1"/>
        <v>11113</v>
      </c>
      <c r="L20" s="58"/>
      <c r="M20" s="54"/>
    </row>
    <row r="21" spans="1:13" ht="20.100000000000001" customHeight="1" x14ac:dyDescent="0.15">
      <c r="A21" s="27"/>
      <c r="B21" s="57"/>
      <c r="C21" s="5"/>
      <c r="D21" s="10"/>
      <c r="E21" s="10"/>
      <c r="F21" s="10"/>
      <c r="G21" s="7"/>
      <c r="H21" s="8"/>
      <c r="I21" s="8"/>
      <c r="J21" s="8" t="str">
        <f t="shared" si="0"/>
        <v>借</v>
      </c>
      <c r="K21" s="9">
        <f t="shared" si="1"/>
        <v>11113</v>
      </c>
      <c r="L21" s="58"/>
      <c r="M21" s="54"/>
    </row>
    <row r="22" spans="1:13" ht="20.100000000000001" customHeight="1" x14ac:dyDescent="0.15"/>
    <row r="23" spans="1:13" ht="20.100000000000001" customHeight="1" x14ac:dyDescent="0.15"/>
    <row r="24" spans="1:13" ht="20.100000000000001" customHeight="1" x14ac:dyDescent="0.15"/>
    <row r="25" spans="1:13" ht="20.100000000000001" customHeight="1" x14ac:dyDescent="0.15"/>
    <row r="26" spans="1:13" ht="20.100000000000001" customHeight="1" x14ac:dyDescent="0.15"/>
    <row r="27" spans="1:13" ht="20.100000000000001" customHeight="1" x14ac:dyDescent="0.15"/>
    <row r="28" spans="1:13" ht="20.100000000000001" customHeight="1" x14ac:dyDescent="0.15"/>
    <row r="29" spans="1:13" ht="20.100000000000001" customHeight="1" x14ac:dyDescent="0.15"/>
    <row r="30" spans="1:13" ht="20.100000000000001" customHeight="1" x14ac:dyDescent="0.15"/>
    <row r="31" spans="1:13" ht="20.100000000000001" customHeight="1" x14ac:dyDescent="0.15"/>
    <row r="32" spans="1:13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  <row r="41" ht="20.100000000000001" customHeight="1" x14ac:dyDescent="0.15"/>
    <row r="42" ht="20.100000000000001" customHeight="1" x14ac:dyDescent="0.15"/>
    <row r="43" ht="20.100000000000001" customHeight="1" x14ac:dyDescent="0.15"/>
    <row r="44" ht="20.100000000000001" customHeight="1" x14ac:dyDescent="0.15"/>
    <row r="45" ht="20.100000000000001" customHeight="1" x14ac:dyDescent="0.15"/>
    <row r="46" ht="20.100000000000001" customHeight="1" x14ac:dyDescent="0.15"/>
    <row r="47" ht="20.100000000000001" customHeight="1" x14ac:dyDescent="0.15"/>
    <row r="48" ht="20.100000000000001" customHeight="1" x14ac:dyDescent="0.15"/>
    <row r="49" ht="20.100000000000001" customHeight="1" x14ac:dyDescent="0.15"/>
    <row r="50" ht="20.100000000000001" customHeight="1" x14ac:dyDescent="0.15"/>
    <row r="51" ht="20.100000000000001" customHeight="1" x14ac:dyDescent="0.15"/>
    <row r="52" ht="20.100000000000001" customHeight="1" x14ac:dyDescent="0.15"/>
    <row r="53" ht="20.100000000000001" customHeight="1" x14ac:dyDescent="0.15"/>
    <row r="54" ht="20.100000000000001" customHeight="1" x14ac:dyDescent="0.15"/>
    <row r="55" ht="20.100000000000001" customHeight="1" x14ac:dyDescent="0.15"/>
    <row r="56" ht="20.100000000000001" customHeight="1" x14ac:dyDescent="0.15"/>
    <row r="57" ht="20.100000000000001" customHeight="1" x14ac:dyDescent="0.15"/>
    <row r="58" ht="20.100000000000001" customHeight="1" x14ac:dyDescent="0.15"/>
    <row r="59" ht="20.100000000000001" customHeight="1" x14ac:dyDescent="0.15"/>
    <row r="60" ht="20.100000000000001" customHeight="1" x14ac:dyDescent="0.15"/>
    <row r="61" ht="20.100000000000001" customHeight="1" x14ac:dyDescent="0.15"/>
    <row r="62" ht="20.100000000000001" customHeight="1" x14ac:dyDescent="0.15"/>
    <row r="63" ht="20.100000000000001" customHeight="1" x14ac:dyDescent="0.15"/>
    <row r="64" ht="20.100000000000001" customHeight="1" x14ac:dyDescent="0.15"/>
    <row r="65" ht="20.100000000000001" customHeight="1" x14ac:dyDescent="0.15"/>
    <row r="66" ht="20.100000000000001" customHeight="1" x14ac:dyDescent="0.15"/>
    <row r="67" ht="20.100000000000001" customHeight="1" x14ac:dyDescent="0.15"/>
    <row r="68" ht="20.100000000000001" customHeight="1" x14ac:dyDescent="0.15"/>
    <row r="69" ht="20.100000000000001" customHeight="1" x14ac:dyDescent="0.15"/>
    <row r="70" ht="20.100000000000001" customHeight="1" x14ac:dyDescent="0.15"/>
    <row r="71" ht="20.100000000000001" customHeight="1" x14ac:dyDescent="0.15"/>
    <row r="72" ht="20.100000000000001" customHeight="1" x14ac:dyDescent="0.15"/>
    <row r="73" ht="20.100000000000001" customHeight="1" x14ac:dyDescent="0.15"/>
    <row r="74" ht="20.100000000000001" customHeight="1" x14ac:dyDescent="0.15"/>
    <row r="75" ht="20.100000000000001" customHeight="1" x14ac:dyDescent="0.15"/>
    <row r="76" ht="20.100000000000001" customHeight="1" x14ac:dyDescent="0.15"/>
    <row r="77" ht="20.100000000000001" customHeight="1" x14ac:dyDescent="0.15"/>
    <row r="78" ht="20.100000000000001" customHeight="1" x14ac:dyDescent="0.15"/>
    <row r="79" ht="20.100000000000001" customHeight="1" x14ac:dyDescent="0.15"/>
    <row r="80" ht="20.100000000000001" customHeight="1" x14ac:dyDescent="0.15"/>
    <row r="81" ht="20.100000000000001" customHeight="1" x14ac:dyDescent="0.15"/>
    <row r="82" ht="20.100000000000001" customHeight="1" x14ac:dyDescent="0.15"/>
    <row r="83" ht="20.100000000000001" customHeight="1" x14ac:dyDescent="0.15"/>
    <row r="84" ht="20.100000000000001" customHeight="1" x14ac:dyDescent="0.15"/>
    <row r="85" ht="20.100000000000001" customHeight="1" x14ac:dyDescent="0.15"/>
    <row r="86" ht="20.100000000000001" customHeight="1" x14ac:dyDescent="0.15"/>
    <row r="87" ht="20.100000000000001" customHeight="1" x14ac:dyDescent="0.15"/>
    <row r="88" ht="20.100000000000001" customHeight="1" x14ac:dyDescent="0.15"/>
    <row r="89" ht="20.100000000000001" customHeight="1" x14ac:dyDescent="0.15"/>
    <row r="90" ht="20.100000000000001" customHeight="1" x14ac:dyDescent="0.15"/>
    <row r="91" ht="20.100000000000001" customHeight="1" x14ac:dyDescent="0.15"/>
    <row r="92" ht="20.100000000000001" customHeight="1" x14ac:dyDescent="0.15"/>
    <row r="93" ht="20.100000000000001" customHeight="1" x14ac:dyDescent="0.15"/>
    <row r="94" ht="20.100000000000001" customHeight="1" x14ac:dyDescent="0.15"/>
    <row r="95" ht="20.100000000000001" customHeight="1" x14ac:dyDescent="0.15"/>
    <row r="96" ht="20.100000000000001" customHeight="1" x14ac:dyDescent="0.15"/>
    <row r="97" ht="20.100000000000001" customHeight="1" x14ac:dyDescent="0.15"/>
    <row r="98" ht="20.100000000000001" customHeight="1" x14ac:dyDescent="0.15"/>
    <row r="99" ht="20.100000000000001" customHeight="1" x14ac:dyDescent="0.15"/>
    <row r="100" ht="20.100000000000001" customHeight="1" x14ac:dyDescent="0.15"/>
    <row r="101" ht="20.100000000000001" customHeight="1" x14ac:dyDescent="0.15"/>
    <row r="102" ht="20.100000000000001" customHeight="1" x14ac:dyDescent="0.15"/>
    <row r="103" ht="20.100000000000001" customHeight="1" x14ac:dyDescent="0.15"/>
    <row r="104" ht="20.100000000000001" customHeight="1" x14ac:dyDescent="0.15"/>
    <row r="105" ht="20.100000000000001" customHeight="1" x14ac:dyDescent="0.15"/>
    <row r="106" ht="20.100000000000001" customHeight="1" x14ac:dyDescent="0.15"/>
    <row r="107" ht="20.100000000000001" customHeight="1" x14ac:dyDescent="0.15"/>
    <row r="108" ht="20.100000000000001" customHeight="1" x14ac:dyDescent="0.15"/>
    <row r="109" ht="20.100000000000001" customHeight="1" x14ac:dyDescent="0.15"/>
    <row r="110" ht="20.100000000000001" customHeight="1" x14ac:dyDescent="0.15"/>
    <row r="111" ht="20.100000000000001" customHeight="1" x14ac:dyDescent="0.15"/>
    <row r="112" ht="20.100000000000001" customHeight="1" x14ac:dyDescent="0.15"/>
    <row r="113" ht="20.100000000000001" customHeight="1" x14ac:dyDescent="0.15"/>
    <row r="114" ht="20.100000000000001" customHeight="1" x14ac:dyDescent="0.15"/>
    <row r="115" ht="20.100000000000001" customHeight="1" x14ac:dyDescent="0.15"/>
    <row r="116" ht="20.100000000000001" customHeight="1" x14ac:dyDescent="0.15"/>
    <row r="117" ht="20.100000000000001" customHeight="1" x14ac:dyDescent="0.15"/>
    <row r="118" ht="20.100000000000001" customHeight="1" x14ac:dyDescent="0.15"/>
    <row r="119" ht="20.100000000000001" customHeight="1" x14ac:dyDescent="0.15"/>
    <row r="120" ht="20.100000000000001" customHeight="1" x14ac:dyDescent="0.15"/>
    <row r="121" ht="20.100000000000001" customHeight="1" x14ac:dyDescent="0.15"/>
    <row r="122" ht="20.100000000000001" customHeight="1" x14ac:dyDescent="0.15"/>
    <row r="123" ht="20.100000000000001" customHeight="1" x14ac:dyDescent="0.15"/>
    <row r="124" ht="20.100000000000001" customHeight="1" x14ac:dyDescent="0.15"/>
    <row r="125" ht="20.100000000000001" customHeight="1" x14ac:dyDescent="0.15"/>
    <row r="126" ht="20.100000000000001" customHeight="1" x14ac:dyDescent="0.15"/>
    <row r="127" ht="20.100000000000001" customHeight="1" x14ac:dyDescent="0.15"/>
    <row r="128" ht="20.100000000000001" customHeight="1" x14ac:dyDescent="0.15"/>
    <row r="129" ht="20.100000000000001" customHeight="1" x14ac:dyDescent="0.15"/>
    <row r="130" ht="20.100000000000001" customHeight="1" x14ac:dyDescent="0.15"/>
    <row r="131" ht="20.100000000000001" customHeight="1" x14ac:dyDescent="0.15"/>
    <row r="132" ht="20.100000000000001" customHeight="1" x14ac:dyDescent="0.15"/>
    <row r="133" ht="20.100000000000001" customHeight="1" x14ac:dyDescent="0.15"/>
    <row r="134" ht="20.100000000000001" customHeight="1" x14ac:dyDescent="0.15"/>
    <row r="135" ht="20.100000000000001" customHeight="1" x14ac:dyDescent="0.15"/>
    <row r="136" ht="20.100000000000001" customHeight="1" x14ac:dyDescent="0.15"/>
    <row r="137" ht="20.100000000000001" customHeight="1" x14ac:dyDescent="0.15"/>
    <row r="138" ht="20.100000000000001" customHeight="1" x14ac:dyDescent="0.15"/>
    <row r="139" ht="20.100000000000001" customHeight="1" x14ac:dyDescent="0.15"/>
    <row r="140" ht="20.100000000000001" customHeight="1" x14ac:dyDescent="0.15"/>
    <row r="141" ht="20.100000000000001" customHeight="1" x14ac:dyDescent="0.15"/>
    <row r="142" ht="20.100000000000001" customHeight="1" x14ac:dyDescent="0.15"/>
    <row r="143" ht="20.100000000000001" customHeight="1" x14ac:dyDescent="0.15"/>
    <row r="144" ht="20.100000000000001" customHeight="1" x14ac:dyDescent="0.15"/>
    <row r="145" ht="20.100000000000001" customHeight="1" x14ac:dyDescent="0.15"/>
    <row r="146" ht="20.100000000000001" customHeight="1" x14ac:dyDescent="0.15"/>
    <row r="147" ht="20.100000000000001" customHeight="1" x14ac:dyDescent="0.15"/>
    <row r="148" ht="20.100000000000001" customHeight="1" x14ac:dyDescent="0.15"/>
    <row r="149" ht="20.100000000000001" customHeight="1" x14ac:dyDescent="0.15"/>
    <row r="150" ht="20.100000000000001" customHeight="1" x14ac:dyDescent="0.15"/>
    <row r="151" ht="20.100000000000001" customHeight="1" x14ac:dyDescent="0.15"/>
    <row r="152" ht="20.100000000000001" customHeight="1" x14ac:dyDescent="0.15"/>
    <row r="153" ht="20.100000000000001" customHeight="1" x14ac:dyDescent="0.15"/>
    <row r="154" ht="20.100000000000001" customHeight="1" x14ac:dyDescent="0.15"/>
    <row r="155" ht="20.100000000000001" customHeight="1" x14ac:dyDescent="0.15"/>
    <row r="156" ht="20.100000000000001" customHeight="1" x14ac:dyDescent="0.15"/>
    <row r="157" ht="20.100000000000001" customHeight="1" x14ac:dyDescent="0.15"/>
    <row r="158" ht="20.100000000000001" customHeight="1" x14ac:dyDescent="0.15"/>
    <row r="159" ht="20.100000000000001" customHeight="1" x14ac:dyDescent="0.15"/>
    <row r="160" ht="20.100000000000001" customHeight="1" x14ac:dyDescent="0.15"/>
    <row r="161" ht="20.100000000000001" customHeight="1" x14ac:dyDescent="0.15"/>
    <row r="162" ht="20.100000000000001" customHeight="1" x14ac:dyDescent="0.15"/>
    <row r="163" ht="20.100000000000001" customHeight="1" x14ac:dyDescent="0.15"/>
    <row r="164" ht="20.100000000000001" customHeight="1" x14ac:dyDescent="0.15"/>
    <row r="165" ht="20.100000000000001" customHeight="1" x14ac:dyDescent="0.15"/>
    <row r="166" ht="20.100000000000001" customHeight="1" x14ac:dyDescent="0.15"/>
    <row r="167" ht="20.100000000000001" customHeight="1" x14ac:dyDescent="0.15"/>
    <row r="168" ht="20.100000000000001" customHeight="1" x14ac:dyDescent="0.15"/>
    <row r="169" ht="20.100000000000001" customHeight="1" x14ac:dyDescent="0.15"/>
    <row r="170" ht="20.100000000000001" customHeight="1" x14ac:dyDescent="0.15"/>
    <row r="171" ht="20.100000000000001" customHeight="1" x14ac:dyDescent="0.15"/>
    <row r="172" ht="20.100000000000001" customHeight="1" x14ac:dyDescent="0.15"/>
    <row r="173" ht="20.100000000000001" customHeight="1" x14ac:dyDescent="0.15"/>
    <row r="174" ht="20.100000000000001" customHeight="1" x14ac:dyDescent="0.15"/>
    <row r="175" ht="20.100000000000001" customHeight="1" x14ac:dyDescent="0.15"/>
    <row r="176" ht="20.100000000000001" customHeight="1" x14ac:dyDescent="0.15"/>
    <row r="177" ht="20.100000000000001" customHeight="1" x14ac:dyDescent="0.15"/>
    <row r="178" ht="20.100000000000001" customHeight="1" x14ac:dyDescent="0.15"/>
    <row r="179" ht="20.100000000000001" customHeight="1" x14ac:dyDescent="0.15"/>
    <row r="180" ht="20.100000000000001" customHeight="1" x14ac:dyDescent="0.15"/>
    <row r="181" ht="20.100000000000001" customHeight="1" x14ac:dyDescent="0.15"/>
    <row r="182" ht="20.100000000000001" customHeight="1" x14ac:dyDescent="0.15"/>
    <row r="183" ht="20.100000000000001" customHeight="1" x14ac:dyDescent="0.15"/>
    <row r="184" ht="20.100000000000001" customHeight="1" x14ac:dyDescent="0.15"/>
    <row r="185" ht="20.100000000000001" customHeight="1" x14ac:dyDescent="0.15"/>
    <row r="186" ht="20.100000000000001" customHeight="1" x14ac:dyDescent="0.15"/>
    <row r="187" ht="20.100000000000001" customHeight="1" x14ac:dyDescent="0.15"/>
    <row r="188" ht="20.100000000000001" customHeight="1" x14ac:dyDescent="0.15"/>
    <row r="189" ht="20.100000000000001" customHeight="1" x14ac:dyDescent="0.15"/>
    <row r="190" ht="20.100000000000001" customHeight="1" x14ac:dyDescent="0.15"/>
    <row r="191" ht="20.100000000000001" customHeight="1" x14ac:dyDescent="0.15"/>
    <row r="192" ht="20.100000000000001" customHeight="1" x14ac:dyDescent="0.15"/>
    <row r="193" ht="20.100000000000001" customHeight="1" x14ac:dyDescent="0.15"/>
    <row r="194" ht="20.100000000000001" customHeight="1" x14ac:dyDescent="0.15"/>
    <row r="195" ht="20.100000000000001" customHeight="1" x14ac:dyDescent="0.15"/>
    <row r="196" ht="20.100000000000001" customHeight="1" x14ac:dyDescent="0.15"/>
    <row r="197" ht="20.100000000000001" customHeight="1" x14ac:dyDescent="0.15"/>
    <row r="198" ht="20.100000000000001" customHeight="1" x14ac:dyDescent="0.15"/>
    <row r="199" ht="20.100000000000001" customHeight="1" x14ac:dyDescent="0.15"/>
    <row r="200" ht="20.100000000000001" customHeight="1" x14ac:dyDescent="0.15"/>
    <row r="201" ht="20.100000000000001" customHeight="1" x14ac:dyDescent="0.15"/>
    <row r="202" ht="20.100000000000001" customHeight="1" x14ac:dyDescent="0.15"/>
    <row r="203" ht="20.100000000000001" customHeight="1" x14ac:dyDescent="0.15"/>
    <row r="204" ht="20.100000000000001" customHeight="1" x14ac:dyDescent="0.15"/>
    <row r="205" ht="20.100000000000001" customHeight="1" x14ac:dyDescent="0.15"/>
    <row r="206" ht="20.100000000000001" customHeight="1" x14ac:dyDescent="0.15"/>
    <row r="207" ht="20.100000000000001" customHeight="1" x14ac:dyDescent="0.15"/>
    <row r="208" ht="20.100000000000001" customHeight="1" x14ac:dyDescent="0.15"/>
    <row r="209" ht="20.100000000000001" customHeight="1" x14ac:dyDescent="0.15"/>
    <row r="210" ht="20.100000000000001" customHeight="1" x14ac:dyDescent="0.15"/>
    <row r="211" ht="20.100000000000001" customHeight="1" x14ac:dyDescent="0.15"/>
    <row r="212" ht="20.100000000000001" customHeight="1" x14ac:dyDescent="0.15"/>
    <row r="213" ht="20.100000000000001" customHeight="1" x14ac:dyDescent="0.15"/>
    <row r="214" ht="20.100000000000001" customHeight="1" x14ac:dyDescent="0.15"/>
    <row r="215" ht="20.100000000000001" customHeight="1" x14ac:dyDescent="0.15"/>
    <row r="216" ht="20.100000000000001" customHeight="1" x14ac:dyDescent="0.15"/>
    <row r="217" ht="20.100000000000001" customHeight="1" x14ac:dyDescent="0.15"/>
    <row r="218" ht="20.100000000000001" customHeight="1" x14ac:dyDescent="0.15"/>
    <row r="219" ht="20.100000000000001" customHeight="1" x14ac:dyDescent="0.15"/>
    <row r="220" ht="20.100000000000001" customHeight="1" x14ac:dyDescent="0.15"/>
    <row r="221" ht="20.100000000000001" customHeight="1" x14ac:dyDescent="0.15"/>
    <row r="222" ht="20.100000000000001" customHeight="1" x14ac:dyDescent="0.15"/>
    <row r="223" ht="20.100000000000001" customHeight="1" x14ac:dyDescent="0.15"/>
    <row r="224" ht="20.100000000000001" customHeight="1" x14ac:dyDescent="0.15"/>
    <row r="225" ht="20.100000000000001" customHeight="1" x14ac:dyDescent="0.15"/>
    <row r="226" ht="20.100000000000001" customHeight="1" x14ac:dyDescent="0.15"/>
    <row r="227" ht="20.100000000000001" customHeight="1" x14ac:dyDescent="0.15"/>
    <row r="228" ht="20.100000000000001" customHeight="1" x14ac:dyDescent="0.15"/>
    <row r="229" ht="20.100000000000001" customHeight="1" x14ac:dyDescent="0.15"/>
    <row r="230" ht="20.100000000000001" customHeight="1" x14ac:dyDescent="0.15"/>
    <row r="231" ht="20.100000000000001" customHeight="1" x14ac:dyDescent="0.15"/>
    <row r="232" ht="20.100000000000001" customHeight="1" x14ac:dyDescent="0.15"/>
    <row r="233" ht="20.100000000000001" customHeight="1" x14ac:dyDescent="0.15"/>
    <row r="234" ht="20.100000000000001" customHeight="1" x14ac:dyDescent="0.15"/>
    <row r="235" ht="20.100000000000001" customHeight="1" x14ac:dyDescent="0.15"/>
    <row r="236" ht="20.100000000000001" customHeight="1" x14ac:dyDescent="0.15"/>
    <row r="237" ht="20.100000000000001" customHeight="1" x14ac:dyDescent="0.15"/>
    <row r="238" ht="20.100000000000001" customHeight="1" x14ac:dyDescent="0.15"/>
    <row r="239" ht="20.100000000000001" customHeight="1" x14ac:dyDescent="0.15"/>
    <row r="240" ht="20.100000000000001" customHeight="1" x14ac:dyDescent="0.15"/>
    <row r="241" ht="20.100000000000001" customHeight="1" x14ac:dyDescent="0.15"/>
    <row r="242" ht="20.100000000000001" customHeight="1" x14ac:dyDescent="0.15"/>
    <row r="243" ht="20.100000000000001" customHeight="1" x14ac:dyDescent="0.15"/>
    <row r="244" ht="20.100000000000001" customHeight="1" x14ac:dyDescent="0.15"/>
    <row r="245" ht="20.100000000000001" customHeight="1" x14ac:dyDescent="0.15"/>
    <row r="246" ht="20.100000000000001" customHeight="1" x14ac:dyDescent="0.15"/>
    <row r="247" ht="20.100000000000001" customHeight="1" x14ac:dyDescent="0.15"/>
    <row r="248" ht="20.100000000000001" customHeight="1" x14ac:dyDescent="0.15"/>
    <row r="249" ht="20.100000000000001" customHeight="1" x14ac:dyDescent="0.15"/>
    <row r="250" ht="20.100000000000001" customHeight="1" x14ac:dyDescent="0.15"/>
    <row r="251" ht="20.100000000000001" customHeight="1" x14ac:dyDescent="0.15"/>
    <row r="252" ht="20.100000000000001" customHeight="1" x14ac:dyDescent="0.15"/>
    <row r="253" ht="20.100000000000001" customHeight="1" x14ac:dyDescent="0.15"/>
    <row r="254" ht="20.100000000000001" customHeight="1" x14ac:dyDescent="0.15"/>
    <row r="255" ht="20.100000000000001" customHeight="1" x14ac:dyDescent="0.15"/>
    <row r="256" ht="20.100000000000001" customHeight="1" x14ac:dyDescent="0.15"/>
    <row r="257" ht="20.100000000000001" customHeight="1" x14ac:dyDescent="0.15"/>
    <row r="258" ht="20.100000000000001" customHeight="1" x14ac:dyDescent="0.15"/>
    <row r="259" ht="20.100000000000001" customHeight="1" x14ac:dyDescent="0.15"/>
    <row r="260" ht="20.100000000000001" customHeight="1" x14ac:dyDescent="0.15"/>
    <row r="261" ht="20.100000000000001" customHeight="1" x14ac:dyDescent="0.15"/>
    <row r="262" ht="20.100000000000001" customHeight="1" x14ac:dyDescent="0.15"/>
    <row r="263" ht="20.100000000000001" customHeight="1" x14ac:dyDescent="0.15"/>
    <row r="264" ht="20.100000000000001" customHeight="1" x14ac:dyDescent="0.15"/>
    <row r="265" ht="20.100000000000001" customHeight="1" x14ac:dyDescent="0.15"/>
    <row r="266" ht="20.100000000000001" customHeight="1" x14ac:dyDescent="0.15"/>
    <row r="267" ht="20.100000000000001" customHeight="1" x14ac:dyDescent="0.15"/>
    <row r="268" ht="20.100000000000001" customHeight="1" x14ac:dyDescent="0.15"/>
    <row r="269" ht="20.100000000000001" customHeight="1" x14ac:dyDescent="0.15"/>
    <row r="270" ht="20.100000000000001" customHeight="1" x14ac:dyDescent="0.15"/>
    <row r="271" ht="20.100000000000001" customHeight="1" x14ac:dyDescent="0.15"/>
    <row r="272" ht="20.100000000000001" customHeight="1" x14ac:dyDescent="0.15"/>
    <row r="273" ht="20.100000000000001" customHeight="1" x14ac:dyDescent="0.15"/>
    <row r="274" ht="20.100000000000001" customHeight="1" x14ac:dyDescent="0.15"/>
    <row r="275" ht="20.100000000000001" customHeight="1" x14ac:dyDescent="0.15"/>
    <row r="276" ht="20.100000000000001" customHeight="1" x14ac:dyDescent="0.15"/>
    <row r="277" ht="20.100000000000001" customHeight="1" x14ac:dyDescent="0.15"/>
    <row r="278" ht="20.100000000000001" customHeight="1" x14ac:dyDescent="0.15"/>
    <row r="279" ht="20.100000000000001" customHeight="1" x14ac:dyDescent="0.15"/>
    <row r="280" ht="20.100000000000001" customHeight="1" x14ac:dyDescent="0.15"/>
    <row r="281" ht="20.100000000000001" customHeight="1" x14ac:dyDescent="0.15"/>
    <row r="282" ht="20.100000000000001" customHeight="1" x14ac:dyDescent="0.15"/>
    <row r="283" ht="20.100000000000001" customHeight="1" x14ac:dyDescent="0.15"/>
    <row r="284" ht="20.100000000000001" customHeight="1" x14ac:dyDescent="0.15"/>
    <row r="285" ht="20.100000000000001" customHeight="1" x14ac:dyDescent="0.15"/>
    <row r="286" ht="20.100000000000001" customHeight="1" x14ac:dyDescent="0.15"/>
    <row r="287" ht="20.100000000000001" customHeight="1" x14ac:dyDescent="0.15"/>
    <row r="288" ht="20.100000000000001" customHeight="1" x14ac:dyDescent="0.15"/>
    <row r="289" ht="20.100000000000001" customHeight="1" x14ac:dyDescent="0.15"/>
    <row r="290" ht="20.100000000000001" customHeight="1" x14ac:dyDescent="0.15"/>
    <row r="291" ht="20.100000000000001" customHeight="1" x14ac:dyDescent="0.15"/>
    <row r="292" ht="20.100000000000001" customHeight="1" x14ac:dyDescent="0.15"/>
    <row r="293" ht="20.100000000000001" customHeight="1" x14ac:dyDescent="0.15"/>
    <row r="294" ht="20.100000000000001" customHeight="1" x14ac:dyDescent="0.15"/>
    <row r="295" ht="20.100000000000001" customHeight="1" x14ac:dyDescent="0.15"/>
    <row r="296" ht="20.100000000000001" customHeight="1" x14ac:dyDescent="0.15"/>
    <row r="297" ht="20.100000000000001" customHeight="1" x14ac:dyDescent="0.15"/>
    <row r="298" ht="20.100000000000001" customHeight="1" x14ac:dyDescent="0.15"/>
    <row r="299" ht="20.100000000000001" customHeight="1" x14ac:dyDescent="0.15"/>
    <row r="300" ht="20.100000000000001" customHeight="1" x14ac:dyDescent="0.15"/>
    <row r="301" ht="20.100000000000001" customHeight="1" x14ac:dyDescent="0.15"/>
    <row r="302" ht="20.100000000000001" customHeight="1" x14ac:dyDescent="0.15"/>
    <row r="303" ht="20.100000000000001" customHeight="1" x14ac:dyDescent="0.15"/>
    <row r="304" ht="20.100000000000001" customHeight="1" x14ac:dyDescent="0.15"/>
    <row r="305" ht="20.100000000000001" customHeight="1" x14ac:dyDescent="0.15"/>
    <row r="306" ht="20.100000000000001" customHeight="1" x14ac:dyDescent="0.15"/>
    <row r="307" ht="20.100000000000001" customHeight="1" x14ac:dyDescent="0.15"/>
    <row r="308" ht="20.100000000000001" customHeight="1" x14ac:dyDescent="0.15"/>
    <row r="309" ht="20.100000000000001" customHeight="1" x14ac:dyDescent="0.15"/>
    <row r="310" ht="20.100000000000001" customHeight="1" x14ac:dyDescent="0.15"/>
    <row r="311" ht="20.100000000000001" customHeight="1" x14ac:dyDescent="0.15"/>
    <row r="312" ht="20.100000000000001" customHeight="1" x14ac:dyDescent="0.15"/>
    <row r="313" ht="20.100000000000001" customHeight="1" x14ac:dyDescent="0.15"/>
    <row r="314" ht="20.100000000000001" customHeight="1" x14ac:dyDescent="0.15"/>
    <row r="315" ht="20.100000000000001" customHeight="1" x14ac:dyDescent="0.15"/>
    <row r="316" ht="20.100000000000001" customHeight="1" x14ac:dyDescent="0.15"/>
    <row r="317" ht="20.100000000000001" customHeight="1" x14ac:dyDescent="0.15"/>
    <row r="318" ht="20.100000000000001" customHeight="1" x14ac:dyDescent="0.15"/>
    <row r="319" ht="20.100000000000001" customHeight="1" x14ac:dyDescent="0.15"/>
    <row r="320" ht="20.100000000000001" customHeight="1" x14ac:dyDescent="0.15"/>
    <row r="321" ht="20.100000000000001" customHeight="1" x14ac:dyDescent="0.15"/>
    <row r="322" ht="20.100000000000001" customHeight="1" x14ac:dyDescent="0.15"/>
    <row r="323" ht="20.100000000000001" customHeight="1" x14ac:dyDescent="0.15"/>
    <row r="324" ht="20.100000000000001" customHeight="1" x14ac:dyDescent="0.15"/>
    <row r="325" ht="20.100000000000001" customHeight="1" x14ac:dyDescent="0.15"/>
    <row r="326" ht="20.100000000000001" customHeight="1" x14ac:dyDescent="0.15"/>
    <row r="327" ht="20.100000000000001" customHeight="1" x14ac:dyDescent="0.15"/>
    <row r="328" ht="20.100000000000001" customHeight="1" x14ac:dyDescent="0.15"/>
    <row r="329" ht="20.100000000000001" customHeight="1" x14ac:dyDescent="0.15"/>
    <row r="330" ht="20.100000000000001" customHeight="1" x14ac:dyDescent="0.15"/>
    <row r="331" ht="20.100000000000001" customHeight="1" x14ac:dyDescent="0.15"/>
    <row r="332" ht="20.100000000000001" customHeight="1" x14ac:dyDescent="0.15"/>
    <row r="333" ht="20.100000000000001" customHeight="1" x14ac:dyDescent="0.15"/>
    <row r="334" ht="20.100000000000001" customHeight="1" x14ac:dyDescent="0.15"/>
    <row r="335" ht="20.100000000000001" customHeight="1" x14ac:dyDescent="0.15"/>
    <row r="336" ht="20.100000000000001" customHeight="1" x14ac:dyDescent="0.15"/>
    <row r="337" ht="20.100000000000001" customHeight="1" x14ac:dyDescent="0.15"/>
    <row r="338" ht="20.100000000000001" customHeight="1" x14ac:dyDescent="0.15"/>
    <row r="339" ht="20.100000000000001" customHeight="1" x14ac:dyDescent="0.15"/>
    <row r="340" ht="20.100000000000001" customHeight="1" x14ac:dyDescent="0.15"/>
    <row r="341" ht="20.100000000000001" customHeight="1" x14ac:dyDescent="0.15"/>
    <row r="342" ht="20.100000000000001" customHeight="1" x14ac:dyDescent="0.15"/>
    <row r="343" ht="20.100000000000001" customHeight="1" x14ac:dyDescent="0.15"/>
    <row r="344" ht="20.100000000000001" customHeight="1" x14ac:dyDescent="0.15"/>
    <row r="345" ht="20.100000000000001" customHeight="1" x14ac:dyDescent="0.15"/>
    <row r="346" ht="20.100000000000001" customHeight="1" x14ac:dyDescent="0.15"/>
    <row r="347" ht="20.100000000000001" customHeight="1" x14ac:dyDescent="0.15"/>
    <row r="348" ht="20.100000000000001" customHeight="1" x14ac:dyDescent="0.15"/>
    <row r="349" ht="20.100000000000001" customHeight="1" x14ac:dyDescent="0.15"/>
    <row r="350" ht="20.100000000000001" customHeight="1" x14ac:dyDescent="0.15"/>
    <row r="351" ht="20.100000000000001" customHeight="1" x14ac:dyDescent="0.15"/>
    <row r="352" ht="20.100000000000001" customHeight="1" x14ac:dyDescent="0.15"/>
    <row r="353" ht="20.100000000000001" customHeight="1" x14ac:dyDescent="0.15"/>
    <row r="354" ht="20.100000000000001" customHeight="1" x14ac:dyDescent="0.15"/>
    <row r="355" ht="20.100000000000001" customHeight="1" x14ac:dyDescent="0.15"/>
    <row r="356" ht="20.100000000000001" customHeight="1" x14ac:dyDescent="0.15"/>
    <row r="357" ht="20.100000000000001" customHeight="1" x14ac:dyDescent="0.15"/>
    <row r="358" ht="20.100000000000001" customHeight="1" x14ac:dyDescent="0.15"/>
    <row r="359" ht="20.100000000000001" customHeight="1" x14ac:dyDescent="0.15"/>
    <row r="360" ht="20.100000000000001" customHeight="1" x14ac:dyDescent="0.15"/>
    <row r="361" ht="20.100000000000001" customHeight="1" x14ac:dyDescent="0.15"/>
    <row r="362" ht="20.100000000000001" customHeight="1" x14ac:dyDescent="0.15"/>
    <row r="363" ht="20.100000000000001" customHeight="1" x14ac:dyDescent="0.15"/>
    <row r="364" ht="20.100000000000001" customHeight="1" x14ac:dyDescent="0.15"/>
    <row r="365" ht="20.100000000000001" customHeight="1" x14ac:dyDescent="0.15"/>
    <row r="366" ht="20.100000000000001" customHeight="1" x14ac:dyDescent="0.15"/>
    <row r="367" ht="20.100000000000001" customHeight="1" x14ac:dyDescent="0.15"/>
    <row r="368" ht="20.100000000000001" customHeight="1" x14ac:dyDescent="0.15"/>
    <row r="369" ht="20.100000000000001" customHeight="1" x14ac:dyDescent="0.15"/>
    <row r="370" ht="20.100000000000001" customHeight="1" x14ac:dyDescent="0.15"/>
    <row r="371" ht="20.100000000000001" customHeight="1" x14ac:dyDescent="0.15"/>
    <row r="372" ht="20.100000000000001" customHeight="1" x14ac:dyDescent="0.15"/>
    <row r="373" ht="20.100000000000001" customHeight="1" x14ac:dyDescent="0.15"/>
    <row r="374" ht="20.100000000000001" customHeight="1" x14ac:dyDescent="0.15"/>
    <row r="375" ht="20.100000000000001" customHeight="1" x14ac:dyDescent="0.15"/>
    <row r="376" ht="20.100000000000001" customHeight="1" x14ac:dyDescent="0.15"/>
    <row r="377" ht="20.100000000000001" customHeight="1" x14ac:dyDescent="0.15"/>
    <row r="378" ht="20.100000000000001" customHeight="1" x14ac:dyDescent="0.15"/>
    <row r="379" ht="20.100000000000001" customHeight="1" x14ac:dyDescent="0.15"/>
    <row r="380" ht="20.100000000000001" customHeight="1" x14ac:dyDescent="0.15"/>
    <row r="381" ht="20.100000000000001" customHeight="1" x14ac:dyDescent="0.15"/>
    <row r="382" ht="20.100000000000001" customHeight="1" x14ac:dyDescent="0.15"/>
    <row r="383" ht="20.100000000000001" customHeight="1" x14ac:dyDescent="0.15"/>
    <row r="384" ht="20.100000000000001" customHeight="1" x14ac:dyDescent="0.15"/>
    <row r="385" ht="20.100000000000001" customHeight="1" x14ac:dyDescent="0.15"/>
    <row r="386" ht="20.100000000000001" customHeight="1" x14ac:dyDescent="0.15"/>
    <row r="387" ht="20.100000000000001" customHeight="1" x14ac:dyDescent="0.15"/>
    <row r="388" ht="20.100000000000001" customHeight="1" x14ac:dyDescent="0.15"/>
    <row r="389" ht="20.100000000000001" customHeight="1" x14ac:dyDescent="0.15"/>
    <row r="390" ht="20.100000000000001" customHeight="1" x14ac:dyDescent="0.15"/>
    <row r="391" ht="20.100000000000001" customHeight="1" x14ac:dyDescent="0.15"/>
    <row r="392" ht="20.100000000000001" customHeight="1" x14ac:dyDescent="0.15"/>
    <row r="393" ht="20.100000000000001" customHeight="1" x14ac:dyDescent="0.15"/>
    <row r="394" ht="20.100000000000001" customHeight="1" x14ac:dyDescent="0.15"/>
    <row r="395" ht="20.100000000000001" customHeight="1" x14ac:dyDescent="0.15"/>
    <row r="396" ht="20.100000000000001" customHeight="1" x14ac:dyDescent="0.15"/>
    <row r="397" ht="20.100000000000001" customHeight="1" x14ac:dyDescent="0.15"/>
    <row r="398" ht="20.100000000000001" customHeight="1" x14ac:dyDescent="0.15"/>
    <row r="399" ht="20.100000000000001" customHeight="1" x14ac:dyDescent="0.15"/>
    <row r="400" ht="20.100000000000001" customHeight="1" x14ac:dyDescent="0.15"/>
    <row r="401" ht="20.100000000000001" customHeight="1" x14ac:dyDescent="0.15"/>
    <row r="402" ht="20.100000000000001" customHeight="1" x14ac:dyDescent="0.15"/>
    <row r="403" ht="20.100000000000001" customHeight="1" x14ac:dyDescent="0.15"/>
    <row r="404" ht="20.100000000000001" customHeight="1" x14ac:dyDescent="0.15"/>
    <row r="405" ht="20.100000000000001" customHeight="1" x14ac:dyDescent="0.15"/>
    <row r="406" ht="20.100000000000001" customHeight="1" x14ac:dyDescent="0.15"/>
    <row r="407" ht="20.100000000000001" customHeight="1" x14ac:dyDescent="0.15"/>
    <row r="408" ht="20.100000000000001" customHeight="1" x14ac:dyDescent="0.15"/>
    <row r="409" ht="20.100000000000001" customHeight="1" x14ac:dyDescent="0.15"/>
    <row r="410" ht="20.100000000000001" customHeight="1" x14ac:dyDescent="0.15"/>
    <row r="411" ht="20.100000000000001" customHeight="1" x14ac:dyDescent="0.15"/>
    <row r="412" ht="20.100000000000001" customHeight="1" x14ac:dyDescent="0.15"/>
    <row r="413" ht="20.100000000000001" customHeight="1" x14ac:dyDescent="0.15"/>
    <row r="414" ht="20.100000000000001" customHeight="1" x14ac:dyDescent="0.15"/>
    <row r="415" ht="20.100000000000001" customHeight="1" x14ac:dyDescent="0.15"/>
    <row r="416" ht="20.100000000000001" customHeight="1" x14ac:dyDescent="0.15"/>
    <row r="417" ht="20.100000000000001" customHeight="1" x14ac:dyDescent="0.15"/>
    <row r="418" ht="20.100000000000001" customHeight="1" x14ac:dyDescent="0.15"/>
    <row r="419" ht="20.100000000000001" customHeight="1" x14ac:dyDescent="0.15"/>
    <row r="420" ht="20.100000000000001" customHeight="1" x14ac:dyDescent="0.15"/>
    <row r="421" ht="20.100000000000001" customHeight="1" x14ac:dyDescent="0.15"/>
    <row r="422" ht="20.100000000000001" customHeight="1" x14ac:dyDescent="0.15"/>
    <row r="423" ht="20.100000000000001" customHeight="1" x14ac:dyDescent="0.15"/>
    <row r="424" ht="20.100000000000001" customHeight="1" x14ac:dyDescent="0.15"/>
    <row r="425" ht="20.100000000000001" customHeight="1" x14ac:dyDescent="0.15"/>
    <row r="426" ht="20.100000000000001" customHeight="1" x14ac:dyDescent="0.15"/>
    <row r="427" ht="20.100000000000001" customHeight="1" x14ac:dyDescent="0.15"/>
    <row r="428" ht="20.100000000000001" customHeight="1" x14ac:dyDescent="0.15"/>
    <row r="429" ht="20.100000000000001" customHeight="1" x14ac:dyDescent="0.15"/>
    <row r="430" ht="20.100000000000001" customHeight="1" x14ac:dyDescent="0.15"/>
    <row r="431" ht="20.100000000000001" customHeight="1" x14ac:dyDescent="0.15"/>
    <row r="432" ht="20.100000000000001" customHeight="1" x14ac:dyDescent="0.15"/>
    <row r="433" ht="20.100000000000001" customHeight="1" x14ac:dyDescent="0.15"/>
    <row r="434" ht="20.100000000000001" customHeight="1" x14ac:dyDescent="0.15"/>
    <row r="435" ht="20.100000000000001" customHeight="1" x14ac:dyDescent="0.15"/>
    <row r="436" ht="20.100000000000001" customHeight="1" x14ac:dyDescent="0.15"/>
    <row r="437" ht="20.100000000000001" customHeight="1" x14ac:dyDescent="0.15"/>
    <row r="438" ht="20.100000000000001" customHeight="1" x14ac:dyDescent="0.15"/>
    <row r="439" ht="20.100000000000001" customHeight="1" x14ac:dyDescent="0.15"/>
    <row r="440" ht="20.100000000000001" customHeight="1" x14ac:dyDescent="0.15"/>
    <row r="441" ht="20.100000000000001" customHeight="1" x14ac:dyDescent="0.15"/>
    <row r="442" ht="20.100000000000001" customHeight="1" x14ac:dyDescent="0.15"/>
    <row r="443" ht="20.100000000000001" customHeight="1" x14ac:dyDescent="0.15"/>
    <row r="444" ht="20.100000000000001" customHeight="1" x14ac:dyDescent="0.15"/>
    <row r="445" ht="20.100000000000001" customHeight="1" x14ac:dyDescent="0.15"/>
    <row r="446" ht="20.100000000000001" customHeight="1" x14ac:dyDescent="0.15"/>
    <row r="447" ht="20.100000000000001" customHeight="1" x14ac:dyDescent="0.15"/>
    <row r="448" ht="20.100000000000001" customHeight="1" x14ac:dyDescent="0.15"/>
    <row r="449" ht="20.100000000000001" customHeight="1" x14ac:dyDescent="0.15"/>
    <row r="450" ht="20.100000000000001" customHeight="1" x14ac:dyDescent="0.15"/>
    <row r="451" ht="20.100000000000001" customHeight="1" x14ac:dyDescent="0.15"/>
    <row r="452" ht="20.100000000000001" customHeight="1" x14ac:dyDescent="0.15"/>
    <row r="453" ht="20.100000000000001" customHeight="1" x14ac:dyDescent="0.15"/>
    <row r="454" ht="20.100000000000001" customHeight="1" x14ac:dyDescent="0.15"/>
    <row r="455" ht="20.100000000000001" customHeight="1" x14ac:dyDescent="0.15"/>
    <row r="456" ht="20.100000000000001" customHeight="1" x14ac:dyDescent="0.15"/>
    <row r="457" ht="20.100000000000001" customHeight="1" x14ac:dyDescent="0.15"/>
    <row r="458" ht="20.100000000000001" customHeight="1" x14ac:dyDescent="0.15"/>
    <row r="459" ht="20.100000000000001" customHeight="1" x14ac:dyDescent="0.15"/>
    <row r="460" ht="20.100000000000001" customHeight="1" x14ac:dyDescent="0.15"/>
    <row r="461" ht="20.100000000000001" customHeight="1" x14ac:dyDescent="0.15"/>
    <row r="462" ht="20.100000000000001" customHeight="1" x14ac:dyDescent="0.15"/>
    <row r="463" ht="20.100000000000001" customHeight="1" x14ac:dyDescent="0.15"/>
    <row r="464" ht="20.100000000000001" customHeight="1" x14ac:dyDescent="0.15"/>
    <row r="465" ht="20.100000000000001" customHeight="1" x14ac:dyDescent="0.15"/>
    <row r="466" ht="20.100000000000001" customHeight="1" x14ac:dyDescent="0.15"/>
    <row r="467" ht="20.100000000000001" customHeight="1" x14ac:dyDescent="0.15"/>
    <row r="468" ht="20.100000000000001" customHeight="1" x14ac:dyDescent="0.15"/>
    <row r="469" ht="20.100000000000001" customHeight="1" x14ac:dyDescent="0.15"/>
    <row r="470" ht="20.100000000000001" customHeight="1" x14ac:dyDescent="0.15"/>
    <row r="471" ht="20.100000000000001" customHeight="1" x14ac:dyDescent="0.15"/>
    <row r="472" ht="20.100000000000001" customHeight="1" x14ac:dyDescent="0.15"/>
    <row r="473" ht="20.100000000000001" customHeight="1" x14ac:dyDescent="0.15"/>
    <row r="474" ht="20.100000000000001" customHeight="1" x14ac:dyDescent="0.15"/>
    <row r="475" ht="20.100000000000001" customHeight="1" x14ac:dyDescent="0.15"/>
    <row r="476" ht="20.100000000000001" customHeight="1" x14ac:dyDescent="0.15"/>
    <row r="477" ht="20.100000000000001" customHeight="1" x14ac:dyDescent="0.15"/>
    <row r="478" ht="20.100000000000001" customHeight="1" x14ac:dyDescent="0.15"/>
    <row r="479" ht="20.100000000000001" customHeight="1" x14ac:dyDescent="0.15"/>
    <row r="480" ht="20.100000000000001" customHeight="1" x14ac:dyDescent="0.15"/>
    <row r="481" ht="20.100000000000001" customHeight="1" x14ac:dyDescent="0.15"/>
    <row r="482" ht="20.100000000000001" customHeight="1" x14ac:dyDescent="0.15"/>
    <row r="483" ht="20.100000000000001" customHeight="1" x14ac:dyDescent="0.15"/>
    <row r="484" ht="20.100000000000001" customHeight="1" x14ac:dyDescent="0.15"/>
    <row r="485" ht="20.100000000000001" customHeight="1" x14ac:dyDescent="0.15"/>
    <row r="486" ht="20.100000000000001" customHeight="1" x14ac:dyDescent="0.15"/>
    <row r="487" ht="20.100000000000001" customHeight="1" x14ac:dyDescent="0.15"/>
    <row r="488" ht="20.100000000000001" customHeight="1" x14ac:dyDescent="0.15"/>
    <row r="489" ht="20.100000000000001" customHeight="1" x14ac:dyDescent="0.15"/>
    <row r="490" ht="20.100000000000001" customHeight="1" x14ac:dyDescent="0.15"/>
    <row r="491" ht="20.100000000000001" customHeight="1" x14ac:dyDescent="0.15"/>
    <row r="492" ht="20.100000000000001" customHeight="1" x14ac:dyDescent="0.15"/>
    <row r="493" ht="20.100000000000001" customHeight="1" x14ac:dyDescent="0.15"/>
    <row r="494" ht="20.100000000000001" customHeight="1" x14ac:dyDescent="0.15"/>
    <row r="495" ht="20.100000000000001" customHeight="1" x14ac:dyDescent="0.15"/>
    <row r="496" ht="20.100000000000001" customHeight="1" x14ac:dyDescent="0.15"/>
    <row r="497" ht="20.100000000000001" customHeight="1" x14ac:dyDescent="0.15"/>
    <row r="498" ht="20.100000000000001" customHeight="1" x14ac:dyDescent="0.15"/>
    <row r="499" ht="20.100000000000001" customHeight="1" x14ac:dyDescent="0.15"/>
    <row r="500" ht="20.100000000000001" customHeight="1" x14ac:dyDescent="0.15"/>
    <row r="501" ht="20.100000000000001" customHeight="1" x14ac:dyDescent="0.15"/>
    <row r="502" ht="20.100000000000001" customHeight="1" x14ac:dyDescent="0.15"/>
    <row r="503" ht="20.100000000000001" customHeight="1" x14ac:dyDescent="0.15"/>
    <row r="504" ht="20.100000000000001" customHeight="1" x14ac:dyDescent="0.15"/>
    <row r="505" ht="20.100000000000001" customHeight="1" x14ac:dyDescent="0.15"/>
    <row r="506" ht="20.100000000000001" customHeight="1" x14ac:dyDescent="0.15"/>
    <row r="507" ht="20.100000000000001" customHeight="1" x14ac:dyDescent="0.15"/>
    <row r="508" ht="20.100000000000001" customHeight="1" x14ac:dyDescent="0.15"/>
    <row r="509" ht="20.100000000000001" customHeight="1" x14ac:dyDescent="0.15"/>
    <row r="510" ht="20.100000000000001" customHeight="1" x14ac:dyDescent="0.15"/>
    <row r="511" ht="20.100000000000001" customHeight="1" x14ac:dyDescent="0.15"/>
    <row r="512" ht="20.100000000000001" customHeight="1" x14ac:dyDescent="0.15"/>
    <row r="513" ht="20.100000000000001" customHeight="1" x14ac:dyDescent="0.15"/>
    <row r="514" ht="20.100000000000001" customHeight="1" x14ac:dyDescent="0.15"/>
    <row r="515" ht="20.100000000000001" customHeight="1" x14ac:dyDescent="0.15"/>
    <row r="516" ht="20.100000000000001" customHeight="1" x14ac:dyDescent="0.15"/>
    <row r="517" ht="20.100000000000001" customHeight="1" x14ac:dyDescent="0.15"/>
    <row r="518" ht="20.100000000000001" customHeight="1" x14ac:dyDescent="0.15"/>
    <row r="519" ht="20.100000000000001" customHeight="1" x14ac:dyDescent="0.15"/>
    <row r="520" ht="20.100000000000001" customHeight="1" x14ac:dyDescent="0.15"/>
    <row r="521" ht="20.100000000000001" customHeight="1" x14ac:dyDescent="0.15"/>
    <row r="522" ht="20.100000000000001" customHeight="1" x14ac:dyDescent="0.15"/>
    <row r="523" ht="20.100000000000001" customHeight="1" x14ac:dyDescent="0.15"/>
    <row r="524" ht="20.100000000000001" customHeight="1" x14ac:dyDescent="0.15"/>
    <row r="525" ht="20.100000000000001" customHeight="1" x14ac:dyDescent="0.15"/>
    <row r="526" ht="20.100000000000001" customHeight="1" x14ac:dyDescent="0.15"/>
    <row r="527" ht="20.100000000000001" customHeight="1" x14ac:dyDescent="0.15"/>
    <row r="528" ht="20.100000000000001" customHeight="1" x14ac:dyDescent="0.15"/>
    <row r="529" ht="20.100000000000001" customHeight="1" x14ac:dyDescent="0.15"/>
    <row r="530" ht="20.100000000000001" customHeight="1" x14ac:dyDescent="0.15"/>
    <row r="531" ht="20.100000000000001" customHeight="1" x14ac:dyDescent="0.15"/>
    <row r="532" ht="20.100000000000001" customHeight="1" x14ac:dyDescent="0.15"/>
    <row r="533" ht="20.100000000000001" customHeight="1" x14ac:dyDescent="0.15"/>
    <row r="534" ht="20.100000000000001" customHeight="1" x14ac:dyDescent="0.15"/>
    <row r="535" ht="20.100000000000001" customHeight="1" x14ac:dyDescent="0.15"/>
    <row r="536" ht="20.100000000000001" customHeight="1" x14ac:dyDescent="0.15"/>
    <row r="537" ht="20.100000000000001" customHeight="1" x14ac:dyDescent="0.15"/>
    <row r="538" ht="20.100000000000001" customHeight="1" x14ac:dyDescent="0.15"/>
    <row r="539" ht="20.100000000000001" customHeight="1" x14ac:dyDescent="0.15"/>
    <row r="540" ht="20.100000000000001" customHeight="1" x14ac:dyDescent="0.15"/>
    <row r="541" ht="20.100000000000001" customHeight="1" x14ac:dyDescent="0.15"/>
    <row r="542" ht="20.100000000000001" customHeight="1" x14ac:dyDescent="0.15"/>
    <row r="543" ht="20.100000000000001" customHeight="1" x14ac:dyDescent="0.15"/>
    <row r="544" ht="20.100000000000001" customHeight="1" x14ac:dyDescent="0.15"/>
    <row r="545" ht="20.100000000000001" customHeight="1" x14ac:dyDescent="0.15"/>
    <row r="546" ht="20.100000000000001" customHeight="1" x14ac:dyDescent="0.15"/>
    <row r="547" ht="20.100000000000001" customHeight="1" x14ac:dyDescent="0.15"/>
    <row r="548" ht="20.100000000000001" customHeight="1" x14ac:dyDescent="0.15"/>
    <row r="549" ht="20.100000000000001" customHeight="1" x14ac:dyDescent="0.15"/>
    <row r="550" ht="20.100000000000001" customHeight="1" x14ac:dyDescent="0.15"/>
    <row r="551" ht="20.100000000000001" customHeight="1" x14ac:dyDescent="0.15"/>
    <row r="552" ht="20.100000000000001" customHeight="1" x14ac:dyDescent="0.15"/>
    <row r="553" ht="20.100000000000001" customHeight="1" x14ac:dyDescent="0.15"/>
    <row r="554" ht="20.100000000000001" customHeight="1" x14ac:dyDescent="0.15"/>
    <row r="555" ht="20.100000000000001" customHeight="1" x14ac:dyDescent="0.15"/>
    <row r="556" ht="20.100000000000001" customHeight="1" x14ac:dyDescent="0.15"/>
    <row r="557" ht="20.100000000000001" customHeight="1" x14ac:dyDescent="0.15"/>
    <row r="558" ht="20.100000000000001" customHeight="1" x14ac:dyDescent="0.15"/>
    <row r="559" ht="20.100000000000001" customHeight="1" x14ac:dyDescent="0.15"/>
    <row r="560" ht="20.100000000000001" customHeight="1" x14ac:dyDescent="0.15"/>
    <row r="561" ht="20.100000000000001" customHeight="1" x14ac:dyDescent="0.15"/>
    <row r="562" ht="20.100000000000001" customHeight="1" x14ac:dyDescent="0.15"/>
    <row r="563" ht="20.100000000000001" customHeight="1" x14ac:dyDescent="0.15"/>
    <row r="564" ht="20.100000000000001" customHeight="1" x14ac:dyDescent="0.15"/>
    <row r="565" ht="20.100000000000001" customHeight="1" x14ac:dyDescent="0.15"/>
    <row r="566" ht="20.100000000000001" customHeight="1" x14ac:dyDescent="0.15"/>
    <row r="567" ht="20.100000000000001" customHeight="1" x14ac:dyDescent="0.15"/>
    <row r="568" ht="20.100000000000001" customHeight="1" x14ac:dyDescent="0.15"/>
    <row r="569" ht="20.100000000000001" customHeight="1" x14ac:dyDescent="0.15"/>
    <row r="570" ht="20.100000000000001" customHeight="1" x14ac:dyDescent="0.15"/>
    <row r="571" ht="20.100000000000001" customHeight="1" x14ac:dyDescent="0.15"/>
    <row r="572" ht="20.100000000000001" customHeight="1" x14ac:dyDescent="0.15"/>
    <row r="573" ht="20.100000000000001" customHeight="1" x14ac:dyDescent="0.15"/>
    <row r="574" ht="20.100000000000001" customHeight="1" x14ac:dyDescent="0.15"/>
    <row r="575" ht="20.100000000000001" customHeight="1" x14ac:dyDescent="0.15"/>
    <row r="576" ht="20.100000000000001" customHeight="1" x14ac:dyDescent="0.15"/>
    <row r="577" ht="20.100000000000001" customHeight="1" x14ac:dyDescent="0.15"/>
    <row r="578" ht="20.100000000000001" customHeight="1" x14ac:dyDescent="0.15"/>
    <row r="579" ht="20.100000000000001" customHeight="1" x14ac:dyDescent="0.15"/>
    <row r="580" ht="20.100000000000001" customHeight="1" x14ac:dyDescent="0.15"/>
    <row r="581" ht="20.100000000000001" customHeight="1" x14ac:dyDescent="0.15"/>
    <row r="582" ht="20.100000000000001" customHeight="1" x14ac:dyDescent="0.15"/>
    <row r="583" ht="20.100000000000001" customHeight="1" x14ac:dyDescent="0.15"/>
    <row r="584" ht="20.100000000000001" customHeight="1" x14ac:dyDescent="0.15"/>
    <row r="585" ht="20.100000000000001" customHeight="1" x14ac:dyDescent="0.15"/>
    <row r="586" ht="20.100000000000001" customHeight="1" x14ac:dyDescent="0.15"/>
    <row r="587" ht="20.100000000000001" customHeight="1" x14ac:dyDescent="0.15"/>
    <row r="588" ht="20.100000000000001" customHeight="1" x14ac:dyDescent="0.15"/>
    <row r="589" ht="20.100000000000001" customHeight="1" x14ac:dyDescent="0.15"/>
    <row r="590" ht="20.100000000000001" customHeight="1" x14ac:dyDescent="0.15"/>
    <row r="591" ht="20.100000000000001" customHeight="1" x14ac:dyDescent="0.15"/>
    <row r="592" ht="20.100000000000001" customHeight="1" x14ac:dyDescent="0.15"/>
    <row r="593" ht="20.100000000000001" customHeight="1" x14ac:dyDescent="0.15"/>
    <row r="594" ht="20.100000000000001" customHeight="1" x14ac:dyDescent="0.15"/>
    <row r="595" ht="20.100000000000001" customHeight="1" x14ac:dyDescent="0.15"/>
    <row r="596" ht="20.100000000000001" customHeight="1" x14ac:dyDescent="0.15"/>
    <row r="597" ht="20.100000000000001" customHeight="1" x14ac:dyDescent="0.15"/>
    <row r="598" ht="20.100000000000001" customHeight="1" x14ac:dyDescent="0.15"/>
    <row r="599" ht="20.100000000000001" customHeight="1" x14ac:dyDescent="0.15"/>
    <row r="600" ht="20.100000000000001" customHeight="1" x14ac:dyDescent="0.15"/>
    <row r="601" ht="20.100000000000001" customHeight="1" x14ac:dyDescent="0.15"/>
    <row r="602" ht="20.100000000000001" customHeight="1" x14ac:dyDescent="0.15"/>
    <row r="603" ht="20.100000000000001" customHeight="1" x14ac:dyDescent="0.15"/>
    <row r="604" ht="20.100000000000001" customHeight="1" x14ac:dyDescent="0.15"/>
    <row r="605" ht="20.100000000000001" customHeight="1" x14ac:dyDescent="0.15"/>
    <row r="606" ht="20.100000000000001" customHeight="1" x14ac:dyDescent="0.15"/>
    <row r="607" ht="20.100000000000001" customHeight="1" x14ac:dyDescent="0.15"/>
    <row r="608" ht="20.100000000000001" customHeight="1" x14ac:dyDescent="0.15"/>
    <row r="609" ht="20.100000000000001" customHeight="1" x14ac:dyDescent="0.15"/>
    <row r="610" ht="20.100000000000001" customHeight="1" x14ac:dyDescent="0.15"/>
    <row r="611" ht="20.100000000000001" customHeight="1" x14ac:dyDescent="0.15"/>
    <row r="612" ht="20.100000000000001" customHeight="1" x14ac:dyDescent="0.15"/>
    <row r="613" ht="20.100000000000001" customHeight="1" x14ac:dyDescent="0.15"/>
    <row r="614" ht="20.100000000000001" customHeight="1" x14ac:dyDescent="0.15"/>
    <row r="615" ht="20.100000000000001" customHeight="1" x14ac:dyDescent="0.15"/>
    <row r="616" ht="20.100000000000001" customHeight="1" x14ac:dyDescent="0.15"/>
    <row r="617" ht="20.100000000000001" customHeight="1" x14ac:dyDescent="0.15"/>
    <row r="618" ht="20.100000000000001" customHeight="1" x14ac:dyDescent="0.15"/>
    <row r="619" ht="20.100000000000001" customHeight="1" x14ac:dyDescent="0.15"/>
    <row r="620" ht="20.100000000000001" customHeight="1" x14ac:dyDescent="0.15"/>
    <row r="621" ht="20.100000000000001" customHeight="1" x14ac:dyDescent="0.15"/>
    <row r="622" ht="20.100000000000001" customHeight="1" x14ac:dyDescent="0.15"/>
    <row r="623" ht="20.100000000000001" customHeight="1" x14ac:dyDescent="0.15"/>
    <row r="624" ht="20.100000000000001" customHeight="1" x14ac:dyDescent="0.15"/>
    <row r="625" ht="20.100000000000001" customHeight="1" x14ac:dyDescent="0.15"/>
    <row r="626" ht="20.100000000000001" customHeight="1" x14ac:dyDescent="0.15"/>
    <row r="627" ht="20.100000000000001" customHeight="1" x14ac:dyDescent="0.15"/>
    <row r="628" ht="20.100000000000001" customHeight="1" x14ac:dyDescent="0.15"/>
    <row r="629" ht="20.100000000000001" customHeight="1" x14ac:dyDescent="0.15"/>
    <row r="630" ht="20.100000000000001" customHeight="1" x14ac:dyDescent="0.15"/>
    <row r="631" ht="20.100000000000001" customHeight="1" x14ac:dyDescent="0.15"/>
    <row r="632" ht="20.100000000000001" customHeight="1" x14ac:dyDescent="0.15"/>
    <row r="633" ht="20.100000000000001" customHeight="1" x14ac:dyDescent="0.15"/>
    <row r="634" ht="20.100000000000001" customHeight="1" x14ac:dyDescent="0.15"/>
    <row r="635" ht="20.100000000000001" customHeight="1" x14ac:dyDescent="0.15"/>
    <row r="636" ht="20.100000000000001" customHeight="1" x14ac:dyDescent="0.15"/>
    <row r="637" ht="20.100000000000001" customHeight="1" x14ac:dyDescent="0.15"/>
    <row r="638" ht="20.100000000000001" customHeight="1" x14ac:dyDescent="0.15"/>
    <row r="639" ht="20.100000000000001" customHeight="1" x14ac:dyDescent="0.15"/>
    <row r="640" ht="20.100000000000001" customHeight="1" x14ac:dyDescent="0.15"/>
    <row r="641" ht="20.100000000000001" customHeight="1" x14ac:dyDescent="0.15"/>
    <row r="642" ht="20.100000000000001" customHeight="1" x14ac:dyDescent="0.15"/>
    <row r="643" ht="20.100000000000001" customHeight="1" x14ac:dyDescent="0.15"/>
    <row r="644" ht="20.100000000000001" customHeight="1" x14ac:dyDescent="0.15"/>
    <row r="645" ht="20.100000000000001" customHeight="1" x14ac:dyDescent="0.15"/>
    <row r="646" ht="20.100000000000001" customHeight="1" x14ac:dyDescent="0.15"/>
    <row r="647" ht="20.100000000000001" customHeight="1" x14ac:dyDescent="0.15"/>
    <row r="648" ht="20.100000000000001" customHeight="1" x14ac:dyDescent="0.15"/>
    <row r="649" ht="20.100000000000001" customHeight="1" x14ac:dyDescent="0.15"/>
    <row r="650" ht="20.100000000000001" customHeight="1" x14ac:dyDescent="0.15"/>
    <row r="651" ht="20.100000000000001" customHeight="1" x14ac:dyDescent="0.15"/>
    <row r="652" ht="20.100000000000001" customHeight="1" x14ac:dyDescent="0.15"/>
    <row r="653" ht="20.100000000000001" customHeight="1" x14ac:dyDescent="0.15"/>
    <row r="654" ht="20.100000000000001" customHeight="1" x14ac:dyDescent="0.15"/>
    <row r="655" ht="20.100000000000001" customHeight="1" x14ac:dyDescent="0.15"/>
    <row r="656" ht="20.100000000000001" customHeight="1" x14ac:dyDescent="0.15"/>
    <row r="657" ht="20.100000000000001" customHeight="1" x14ac:dyDescent="0.15"/>
    <row r="658" ht="20.100000000000001" customHeight="1" x14ac:dyDescent="0.15"/>
    <row r="659" ht="20.100000000000001" customHeight="1" x14ac:dyDescent="0.15"/>
    <row r="660" ht="20.100000000000001" customHeight="1" x14ac:dyDescent="0.15"/>
    <row r="661" ht="20.100000000000001" customHeight="1" x14ac:dyDescent="0.15"/>
    <row r="662" ht="20.100000000000001" customHeight="1" x14ac:dyDescent="0.15"/>
    <row r="663" ht="20.100000000000001" customHeight="1" x14ac:dyDescent="0.15"/>
    <row r="664" ht="20.100000000000001" customHeight="1" x14ac:dyDescent="0.15"/>
    <row r="665" ht="20.100000000000001" customHeight="1" x14ac:dyDescent="0.15"/>
    <row r="666" ht="20.100000000000001" customHeight="1" x14ac:dyDescent="0.15"/>
    <row r="667" ht="20.100000000000001" customHeight="1" x14ac:dyDescent="0.15"/>
    <row r="668" ht="20.100000000000001" customHeight="1" x14ac:dyDescent="0.15"/>
    <row r="669" ht="20.100000000000001" customHeight="1" x14ac:dyDescent="0.15"/>
    <row r="670" ht="20.100000000000001" customHeight="1" x14ac:dyDescent="0.15"/>
    <row r="671" ht="20.100000000000001" customHeight="1" x14ac:dyDescent="0.15"/>
    <row r="672" ht="20.100000000000001" customHeight="1" x14ac:dyDescent="0.15"/>
    <row r="673" ht="20.100000000000001" customHeight="1" x14ac:dyDescent="0.15"/>
    <row r="674" ht="20.100000000000001" customHeight="1" x14ac:dyDescent="0.15"/>
    <row r="675" ht="20.100000000000001" customHeight="1" x14ac:dyDescent="0.15"/>
    <row r="676" ht="20.100000000000001" customHeight="1" x14ac:dyDescent="0.15"/>
    <row r="677" ht="20.100000000000001" customHeight="1" x14ac:dyDescent="0.15"/>
    <row r="678" ht="20.100000000000001" customHeight="1" x14ac:dyDescent="0.15"/>
    <row r="679" ht="20.100000000000001" customHeight="1" x14ac:dyDescent="0.15"/>
    <row r="680" ht="20.100000000000001" customHeight="1" x14ac:dyDescent="0.15"/>
    <row r="681" ht="20.100000000000001" customHeight="1" x14ac:dyDescent="0.15"/>
    <row r="682" ht="20.100000000000001" customHeight="1" x14ac:dyDescent="0.15"/>
    <row r="683" ht="20.100000000000001" customHeight="1" x14ac:dyDescent="0.15"/>
    <row r="684" ht="20.100000000000001" customHeight="1" x14ac:dyDescent="0.15"/>
    <row r="685" ht="20.100000000000001" customHeight="1" x14ac:dyDescent="0.15"/>
    <row r="686" ht="20.100000000000001" customHeight="1" x14ac:dyDescent="0.15"/>
    <row r="687" ht="20.100000000000001" customHeight="1" x14ac:dyDescent="0.15"/>
    <row r="688" ht="20.100000000000001" customHeight="1" x14ac:dyDescent="0.15"/>
    <row r="689" ht="20.100000000000001" customHeight="1" x14ac:dyDescent="0.15"/>
    <row r="690" ht="20.100000000000001" customHeight="1" x14ac:dyDescent="0.15"/>
    <row r="691" ht="20.100000000000001" customHeight="1" x14ac:dyDescent="0.15"/>
    <row r="692" ht="20.100000000000001" customHeight="1" x14ac:dyDescent="0.15"/>
    <row r="693" ht="20.100000000000001" customHeight="1" x14ac:dyDescent="0.15"/>
    <row r="694" ht="20.100000000000001" customHeight="1" x14ac:dyDescent="0.15"/>
    <row r="695" ht="20.100000000000001" customHeight="1" x14ac:dyDescent="0.15"/>
    <row r="696" ht="20.100000000000001" customHeight="1" x14ac:dyDescent="0.15"/>
    <row r="697" ht="20.100000000000001" customHeight="1" x14ac:dyDescent="0.15"/>
    <row r="698" ht="20.100000000000001" customHeight="1" x14ac:dyDescent="0.15"/>
    <row r="699" ht="20.100000000000001" customHeight="1" x14ac:dyDescent="0.15"/>
    <row r="700" ht="20.100000000000001" customHeight="1" x14ac:dyDescent="0.15"/>
    <row r="701" ht="20.100000000000001" customHeight="1" x14ac:dyDescent="0.15"/>
    <row r="702" ht="20.100000000000001" customHeight="1" x14ac:dyDescent="0.15"/>
    <row r="703" ht="20.100000000000001" customHeight="1" x14ac:dyDescent="0.15"/>
    <row r="704" ht="20.100000000000001" customHeight="1" x14ac:dyDescent="0.15"/>
    <row r="705" ht="20.100000000000001" customHeight="1" x14ac:dyDescent="0.15"/>
    <row r="706" ht="20.100000000000001" customHeight="1" x14ac:dyDescent="0.15"/>
    <row r="707" ht="20.100000000000001" customHeight="1" x14ac:dyDescent="0.15"/>
    <row r="708" ht="20.100000000000001" customHeight="1" x14ac:dyDescent="0.15"/>
    <row r="709" ht="20.100000000000001" customHeight="1" x14ac:dyDescent="0.15"/>
    <row r="710" ht="20.100000000000001" customHeight="1" x14ac:dyDescent="0.15"/>
    <row r="711" ht="20.100000000000001" customHeight="1" x14ac:dyDescent="0.15"/>
    <row r="712" ht="20.100000000000001" customHeight="1" x14ac:dyDescent="0.15"/>
    <row r="713" ht="20.100000000000001" customHeight="1" x14ac:dyDescent="0.15"/>
    <row r="714" ht="20.100000000000001" customHeight="1" x14ac:dyDescent="0.15"/>
    <row r="715" ht="20.100000000000001" customHeight="1" x14ac:dyDescent="0.15"/>
    <row r="716" ht="20.100000000000001" customHeight="1" x14ac:dyDescent="0.15"/>
    <row r="717" ht="20.100000000000001" customHeight="1" x14ac:dyDescent="0.15"/>
    <row r="718" ht="20.100000000000001" customHeight="1" x14ac:dyDescent="0.15"/>
    <row r="719" ht="20.100000000000001" customHeight="1" x14ac:dyDescent="0.15"/>
    <row r="720" ht="20.100000000000001" customHeight="1" x14ac:dyDescent="0.15"/>
    <row r="721" ht="20.100000000000001" customHeight="1" x14ac:dyDescent="0.15"/>
    <row r="722" ht="20.100000000000001" customHeight="1" x14ac:dyDescent="0.15"/>
    <row r="723" ht="20.100000000000001" customHeight="1" x14ac:dyDescent="0.15"/>
    <row r="724" ht="20.100000000000001" customHeight="1" x14ac:dyDescent="0.15"/>
    <row r="725" ht="20.100000000000001" customHeight="1" x14ac:dyDescent="0.15"/>
    <row r="726" ht="20.100000000000001" customHeight="1" x14ac:dyDescent="0.15"/>
    <row r="727" ht="20.100000000000001" customHeight="1" x14ac:dyDescent="0.15"/>
    <row r="728" ht="20.100000000000001" customHeight="1" x14ac:dyDescent="0.15"/>
    <row r="729" ht="20.100000000000001" customHeight="1" x14ac:dyDescent="0.15"/>
    <row r="730" ht="20.100000000000001" customHeight="1" x14ac:dyDescent="0.15"/>
    <row r="731" ht="20.100000000000001" customHeight="1" x14ac:dyDescent="0.15"/>
    <row r="732" ht="20.100000000000001" customHeight="1" x14ac:dyDescent="0.15"/>
    <row r="733" ht="20.100000000000001" customHeight="1" x14ac:dyDescent="0.15"/>
    <row r="734" ht="20.100000000000001" customHeight="1" x14ac:dyDescent="0.15"/>
    <row r="735" ht="20.100000000000001" customHeight="1" x14ac:dyDescent="0.15"/>
    <row r="736" ht="20.100000000000001" customHeight="1" x14ac:dyDescent="0.15"/>
    <row r="737" ht="20.100000000000001" customHeight="1" x14ac:dyDescent="0.15"/>
    <row r="738" ht="20.100000000000001" customHeight="1" x14ac:dyDescent="0.15"/>
    <row r="739" ht="20.100000000000001" customHeight="1" x14ac:dyDescent="0.15"/>
    <row r="740" ht="20.100000000000001" customHeight="1" x14ac:dyDescent="0.15"/>
    <row r="741" ht="20.100000000000001" customHeight="1" x14ac:dyDescent="0.15"/>
    <row r="742" ht="20.100000000000001" customHeight="1" x14ac:dyDescent="0.15"/>
    <row r="743" ht="20.100000000000001" customHeight="1" x14ac:dyDescent="0.15"/>
    <row r="744" ht="20.100000000000001" customHeight="1" x14ac:dyDescent="0.15"/>
    <row r="745" ht="20.100000000000001" customHeight="1" x14ac:dyDescent="0.15"/>
    <row r="746" ht="20.100000000000001" customHeight="1" x14ac:dyDescent="0.15"/>
    <row r="747" ht="20.100000000000001" customHeight="1" x14ac:dyDescent="0.15"/>
    <row r="748" ht="20.100000000000001" customHeight="1" x14ac:dyDescent="0.15"/>
    <row r="749" ht="20.100000000000001" customHeight="1" x14ac:dyDescent="0.15"/>
    <row r="750" ht="20.100000000000001" customHeight="1" x14ac:dyDescent="0.15"/>
    <row r="751" ht="20.100000000000001" customHeight="1" x14ac:dyDescent="0.15"/>
    <row r="752" ht="20.100000000000001" customHeight="1" x14ac:dyDescent="0.15"/>
    <row r="753" ht="20.100000000000001" customHeight="1" x14ac:dyDescent="0.15"/>
    <row r="754" ht="20.100000000000001" customHeight="1" x14ac:dyDescent="0.15"/>
    <row r="755" ht="20.100000000000001" customHeight="1" x14ac:dyDescent="0.15"/>
    <row r="756" ht="20.100000000000001" customHeight="1" x14ac:dyDescent="0.15"/>
    <row r="757" ht="20.100000000000001" customHeight="1" x14ac:dyDescent="0.15"/>
    <row r="758" ht="20.100000000000001" customHeight="1" x14ac:dyDescent="0.15"/>
    <row r="759" ht="20.100000000000001" customHeight="1" x14ac:dyDescent="0.15"/>
    <row r="760" ht="20.100000000000001" customHeight="1" x14ac:dyDescent="0.15"/>
    <row r="761" ht="20.100000000000001" customHeight="1" x14ac:dyDescent="0.15"/>
    <row r="762" ht="20.100000000000001" customHeight="1" x14ac:dyDescent="0.15"/>
    <row r="763" ht="20.100000000000001" customHeight="1" x14ac:dyDescent="0.15"/>
    <row r="764" ht="20.100000000000001" customHeight="1" x14ac:dyDescent="0.15"/>
    <row r="765" ht="20.100000000000001" customHeight="1" x14ac:dyDescent="0.15"/>
    <row r="766" ht="20.100000000000001" customHeight="1" x14ac:dyDescent="0.15"/>
    <row r="767" ht="20.100000000000001" customHeight="1" x14ac:dyDescent="0.15"/>
    <row r="768" ht="20.100000000000001" customHeight="1" x14ac:dyDescent="0.15"/>
    <row r="769" ht="20.100000000000001" customHeight="1" x14ac:dyDescent="0.15"/>
    <row r="770" ht="20.100000000000001" customHeight="1" x14ac:dyDescent="0.15"/>
    <row r="771" ht="20.100000000000001" customHeight="1" x14ac:dyDescent="0.15"/>
    <row r="772" ht="20.100000000000001" customHeight="1" x14ac:dyDescent="0.15"/>
    <row r="773" ht="20.100000000000001" customHeight="1" x14ac:dyDescent="0.15"/>
    <row r="774" ht="20.100000000000001" customHeight="1" x14ac:dyDescent="0.15"/>
    <row r="775" ht="20.100000000000001" customHeight="1" x14ac:dyDescent="0.15"/>
    <row r="776" ht="20.100000000000001" customHeight="1" x14ac:dyDescent="0.15"/>
    <row r="777" ht="20.100000000000001" customHeight="1" x14ac:dyDescent="0.15"/>
    <row r="778" ht="20.100000000000001" customHeight="1" x14ac:dyDescent="0.15"/>
    <row r="779" ht="20.100000000000001" customHeight="1" x14ac:dyDescent="0.15"/>
    <row r="780" ht="20.100000000000001" customHeight="1" x14ac:dyDescent="0.15"/>
    <row r="781" ht="20.100000000000001" customHeight="1" x14ac:dyDescent="0.15"/>
    <row r="782" ht="20.100000000000001" customHeight="1" x14ac:dyDescent="0.15"/>
    <row r="783" ht="20.100000000000001" customHeight="1" x14ac:dyDescent="0.15"/>
    <row r="784" ht="20.100000000000001" customHeight="1" x14ac:dyDescent="0.15"/>
    <row r="785" ht="20.100000000000001" customHeight="1" x14ac:dyDescent="0.15"/>
    <row r="786" ht="20.100000000000001" customHeight="1" x14ac:dyDescent="0.15"/>
    <row r="787" ht="20.100000000000001" customHeight="1" x14ac:dyDescent="0.15"/>
    <row r="788" ht="20.100000000000001" customHeight="1" x14ac:dyDescent="0.15"/>
    <row r="789" ht="20.100000000000001" customHeight="1" x14ac:dyDescent="0.15"/>
    <row r="790" ht="20.100000000000001" customHeight="1" x14ac:dyDescent="0.15"/>
    <row r="791" ht="20.100000000000001" customHeight="1" x14ac:dyDescent="0.15"/>
    <row r="792" ht="20.100000000000001" customHeight="1" x14ac:dyDescent="0.15"/>
    <row r="793" ht="20.100000000000001" customHeight="1" x14ac:dyDescent="0.15"/>
    <row r="794" ht="20.100000000000001" customHeight="1" x14ac:dyDescent="0.15"/>
    <row r="795" ht="20.100000000000001" customHeight="1" x14ac:dyDescent="0.15"/>
    <row r="796" ht="20.100000000000001" customHeight="1" x14ac:dyDescent="0.15"/>
    <row r="797" ht="20.100000000000001" customHeight="1" x14ac:dyDescent="0.15"/>
    <row r="798" ht="20.100000000000001" customHeight="1" x14ac:dyDescent="0.15"/>
    <row r="799" ht="20.100000000000001" customHeight="1" x14ac:dyDescent="0.15"/>
    <row r="800" ht="20.100000000000001" customHeight="1" x14ac:dyDescent="0.15"/>
    <row r="801" ht="20.100000000000001" customHeight="1" x14ac:dyDescent="0.15"/>
    <row r="802" ht="20.100000000000001" customHeight="1" x14ac:dyDescent="0.15"/>
    <row r="803" ht="20.100000000000001" customHeight="1" x14ac:dyDescent="0.15"/>
    <row r="804" ht="20.100000000000001" customHeight="1" x14ac:dyDescent="0.15"/>
    <row r="805" ht="20.100000000000001" customHeight="1" x14ac:dyDescent="0.15"/>
    <row r="806" ht="20.100000000000001" customHeight="1" x14ac:dyDescent="0.15"/>
    <row r="807" ht="20.100000000000001" customHeight="1" x14ac:dyDescent="0.15"/>
    <row r="808" ht="20.100000000000001" customHeight="1" x14ac:dyDescent="0.15"/>
    <row r="809" ht="20.100000000000001" customHeight="1" x14ac:dyDescent="0.15"/>
    <row r="810" ht="20.100000000000001" customHeight="1" x14ac:dyDescent="0.15"/>
    <row r="811" ht="20.100000000000001" customHeight="1" x14ac:dyDescent="0.15"/>
    <row r="812" ht="20.100000000000001" customHeight="1" x14ac:dyDescent="0.15"/>
    <row r="813" ht="20.100000000000001" customHeight="1" x14ac:dyDescent="0.15"/>
    <row r="814" ht="20.100000000000001" customHeight="1" x14ac:dyDescent="0.15"/>
    <row r="815" ht="20.100000000000001" customHeight="1" x14ac:dyDescent="0.15"/>
    <row r="816" ht="20.100000000000001" customHeight="1" x14ac:dyDescent="0.15"/>
    <row r="817" ht="20.100000000000001" customHeight="1" x14ac:dyDescent="0.15"/>
    <row r="818" ht="20.100000000000001" customHeight="1" x14ac:dyDescent="0.15"/>
    <row r="819" ht="20.100000000000001" customHeight="1" x14ac:dyDescent="0.15"/>
    <row r="820" ht="20.100000000000001" customHeight="1" x14ac:dyDescent="0.15"/>
    <row r="821" ht="20.100000000000001" customHeight="1" x14ac:dyDescent="0.15"/>
    <row r="822" ht="20.100000000000001" customHeight="1" x14ac:dyDescent="0.15"/>
    <row r="823" ht="20.100000000000001" customHeight="1" x14ac:dyDescent="0.15"/>
    <row r="824" ht="20.100000000000001" customHeight="1" x14ac:dyDescent="0.15"/>
    <row r="825" ht="20.100000000000001" customHeight="1" x14ac:dyDescent="0.15"/>
    <row r="826" ht="20.100000000000001" customHeight="1" x14ac:dyDescent="0.15"/>
    <row r="827" ht="20.100000000000001" customHeight="1" x14ac:dyDescent="0.15"/>
    <row r="828" ht="20.100000000000001" customHeight="1" x14ac:dyDescent="0.15"/>
    <row r="829" ht="20.100000000000001" customHeight="1" x14ac:dyDescent="0.15"/>
    <row r="830" ht="20.100000000000001" customHeight="1" x14ac:dyDescent="0.15"/>
    <row r="831" ht="20.100000000000001" customHeight="1" x14ac:dyDescent="0.15"/>
    <row r="832" ht="20.100000000000001" customHeight="1" x14ac:dyDescent="0.15"/>
    <row r="833" ht="20.100000000000001" customHeight="1" x14ac:dyDescent="0.15"/>
    <row r="834" ht="20.100000000000001" customHeight="1" x14ac:dyDescent="0.15"/>
    <row r="835" ht="20.100000000000001" customHeight="1" x14ac:dyDescent="0.15"/>
    <row r="836" ht="20.100000000000001" customHeight="1" x14ac:dyDescent="0.15"/>
    <row r="837" ht="20.100000000000001" customHeight="1" x14ac:dyDescent="0.15"/>
    <row r="838" ht="20.100000000000001" customHeight="1" x14ac:dyDescent="0.15"/>
    <row r="839" ht="20.100000000000001" customHeight="1" x14ac:dyDescent="0.15"/>
    <row r="840" ht="20.100000000000001" customHeight="1" x14ac:dyDescent="0.15"/>
    <row r="841" ht="20.100000000000001" customHeight="1" x14ac:dyDescent="0.15"/>
    <row r="842" ht="20.100000000000001" customHeight="1" x14ac:dyDescent="0.15"/>
    <row r="843" ht="20.100000000000001" customHeight="1" x14ac:dyDescent="0.15"/>
    <row r="844" ht="20.100000000000001" customHeight="1" x14ac:dyDescent="0.15"/>
    <row r="845" ht="20.100000000000001" customHeight="1" x14ac:dyDescent="0.15"/>
    <row r="846" ht="20.100000000000001" customHeight="1" x14ac:dyDescent="0.15"/>
    <row r="847" ht="20.100000000000001" customHeight="1" x14ac:dyDescent="0.15"/>
    <row r="848" ht="20.100000000000001" customHeight="1" x14ac:dyDescent="0.15"/>
    <row r="849" ht="20.100000000000001" customHeight="1" x14ac:dyDescent="0.15"/>
    <row r="850" ht="20.100000000000001" customHeight="1" x14ac:dyDescent="0.15"/>
    <row r="851" ht="20.100000000000001" customHeight="1" x14ac:dyDescent="0.15"/>
    <row r="852" ht="20.100000000000001" customHeight="1" x14ac:dyDescent="0.15"/>
    <row r="853" ht="20.100000000000001" customHeight="1" x14ac:dyDescent="0.15"/>
    <row r="854" ht="20.100000000000001" customHeight="1" x14ac:dyDescent="0.15"/>
    <row r="855" ht="20.100000000000001" customHeight="1" x14ac:dyDescent="0.15"/>
    <row r="856" ht="20.100000000000001" customHeight="1" x14ac:dyDescent="0.15"/>
    <row r="857" ht="20.100000000000001" customHeight="1" x14ac:dyDescent="0.15"/>
    <row r="858" ht="20.100000000000001" customHeight="1" x14ac:dyDescent="0.15"/>
    <row r="859" ht="20.100000000000001" customHeight="1" x14ac:dyDescent="0.15"/>
    <row r="860" ht="20.100000000000001" customHeight="1" x14ac:dyDescent="0.15"/>
    <row r="861" ht="20.100000000000001" customHeight="1" x14ac:dyDescent="0.15"/>
    <row r="862" ht="20.100000000000001" customHeight="1" x14ac:dyDescent="0.15"/>
    <row r="863" ht="20.100000000000001" customHeight="1" x14ac:dyDescent="0.15"/>
    <row r="864" ht="20.100000000000001" customHeight="1" x14ac:dyDescent="0.15"/>
    <row r="865" ht="20.100000000000001" customHeight="1" x14ac:dyDescent="0.15"/>
    <row r="866" ht="20.100000000000001" customHeight="1" x14ac:dyDescent="0.15"/>
    <row r="867" ht="20.100000000000001" customHeight="1" x14ac:dyDescent="0.15"/>
    <row r="868" ht="20.100000000000001" customHeight="1" x14ac:dyDescent="0.15"/>
    <row r="869" ht="20.100000000000001" customHeight="1" x14ac:dyDescent="0.15"/>
    <row r="870" ht="20.100000000000001" customHeight="1" x14ac:dyDescent="0.15"/>
    <row r="871" ht="20.100000000000001" customHeight="1" x14ac:dyDescent="0.15"/>
    <row r="872" ht="20.100000000000001" customHeight="1" x14ac:dyDescent="0.15"/>
    <row r="873" ht="20.100000000000001" customHeight="1" x14ac:dyDescent="0.15"/>
    <row r="874" ht="20.100000000000001" customHeight="1" x14ac:dyDescent="0.15"/>
    <row r="875" ht="20.100000000000001" customHeight="1" x14ac:dyDescent="0.15"/>
    <row r="876" ht="20.100000000000001" customHeight="1" x14ac:dyDescent="0.15"/>
    <row r="877" ht="20.100000000000001" customHeight="1" x14ac:dyDescent="0.15"/>
    <row r="878" ht="20.100000000000001" customHeight="1" x14ac:dyDescent="0.15"/>
    <row r="879" ht="20.100000000000001" customHeight="1" x14ac:dyDescent="0.15"/>
    <row r="880" ht="20.100000000000001" customHeight="1" x14ac:dyDescent="0.15"/>
    <row r="881" ht="20.100000000000001" customHeight="1" x14ac:dyDescent="0.15"/>
    <row r="882" ht="20.100000000000001" customHeight="1" x14ac:dyDescent="0.15"/>
    <row r="883" ht="20.100000000000001" customHeight="1" x14ac:dyDescent="0.15"/>
    <row r="884" ht="20.100000000000001" customHeight="1" x14ac:dyDescent="0.15"/>
    <row r="885" ht="20.100000000000001" customHeight="1" x14ac:dyDescent="0.15"/>
    <row r="886" ht="20.100000000000001" customHeight="1" x14ac:dyDescent="0.15"/>
    <row r="887" ht="20.100000000000001" customHeight="1" x14ac:dyDescent="0.15"/>
    <row r="888" ht="20.100000000000001" customHeight="1" x14ac:dyDescent="0.15"/>
    <row r="889" ht="20.100000000000001" customHeight="1" x14ac:dyDescent="0.15"/>
    <row r="890" ht="20.100000000000001" customHeight="1" x14ac:dyDescent="0.15"/>
    <row r="891" ht="20.100000000000001" customHeight="1" x14ac:dyDescent="0.15"/>
    <row r="892" ht="20.100000000000001" customHeight="1" x14ac:dyDescent="0.15"/>
    <row r="893" ht="20.100000000000001" customHeight="1" x14ac:dyDescent="0.15"/>
    <row r="894" ht="20.100000000000001" customHeight="1" x14ac:dyDescent="0.15"/>
    <row r="895" ht="20.100000000000001" customHeight="1" x14ac:dyDescent="0.15"/>
    <row r="896" ht="20.100000000000001" customHeight="1" x14ac:dyDescent="0.15"/>
    <row r="897" ht="20.100000000000001" customHeight="1" x14ac:dyDescent="0.15"/>
    <row r="898" ht="20.100000000000001" customHeight="1" x14ac:dyDescent="0.15"/>
    <row r="899" ht="20.100000000000001" customHeight="1" x14ac:dyDescent="0.15"/>
    <row r="900" ht="20.100000000000001" customHeight="1" x14ac:dyDescent="0.15"/>
    <row r="901" ht="20.100000000000001" customHeight="1" x14ac:dyDescent="0.15"/>
    <row r="902" ht="20.100000000000001" customHeight="1" x14ac:dyDescent="0.15"/>
    <row r="903" ht="20.100000000000001" customHeight="1" x14ac:dyDescent="0.15"/>
    <row r="904" ht="20.100000000000001" customHeight="1" x14ac:dyDescent="0.15"/>
    <row r="905" ht="20.100000000000001" customHeight="1" x14ac:dyDescent="0.15"/>
    <row r="906" ht="20.100000000000001" customHeight="1" x14ac:dyDescent="0.15"/>
    <row r="907" ht="20.100000000000001" customHeight="1" x14ac:dyDescent="0.15"/>
    <row r="908" ht="20.100000000000001" customHeight="1" x14ac:dyDescent="0.15"/>
    <row r="909" ht="20.100000000000001" customHeight="1" x14ac:dyDescent="0.15"/>
    <row r="910" ht="20.100000000000001" customHeight="1" x14ac:dyDescent="0.15"/>
    <row r="911" ht="20.100000000000001" customHeight="1" x14ac:dyDescent="0.15"/>
    <row r="912" ht="20.100000000000001" customHeight="1" x14ac:dyDescent="0.15"/>
    <row r="913" ht="20.100000000000001" customHeight="1" x14ac:dyDescent="0.15"/>
    <row r="914" ht="20.100000000000001" customHeight="1" x14ac:dyDescent="0.15"/>
    <row r="915" ht="20.100000000000001" customHeight="1" x14ac:dyDescent="0.15"/>
    <row r="916" ht="20.100000000000001" customHeight="1" x14ac:dyDescent="0.15"/>
    <row r="917" ht="20.100000000000001" customHeight="1" x14ac:dyDescent="0.15"/>
    <row r="918" ht="20.100000000000001" customHeight="1" x14ac:dyDescent="0.15"/>
    <row r="919" ht="20.100000000000001" customHeight="1" x14ac:dyDescent="0.15"/>
    <row r="920" ht="20.100000000000001" customHeight="1" x14ac:dyDescent="0.15"/>
    <row r="921" ht="20.100000000000001" customHeight="1" x14ac:dyDescent="0.15"/>
    <row r="922" ht="20.100000000000001" customHeight="1" x14ac:dyDescent="0.15"/>
    <row r="923" ht="20.100000000000001" customHeight="1" x14ac:dyDescent="0.15"/>
    <row r="924" ht="20.100000000000001" customHeight="1" x14ac:dyDescent="0.15"/>
    <row r="925" ht="20.100000000000001" customHeight="1" x14ac:dyDescent="0.15"/>
    <row r="926" ht="20.100000000000001" customHeight="1" x14ac:dyDescent="0.15"/>
    <row r="927" ht="20.100000000000001" customHeight="1" x14ac:dyDescent="0.15"/>
    <row r="928" ht="20.100000000000001" customHeight="1" x14ac:dyDescent="0.15"/>
    <row r="929" ht="20.100000000000001" customHeight="1" x14ac:dyDescent="0.15"/>
    <row r="930" ht="20.100000000000001" customHeight="1" x14ac:dyDescent="0.15"/>
    <row r="931" ht="20.100000000000001" customHeight="1" x14ac:dyDescent="0.15"/>
    <row r="932" ht="20.100000000000001" customHeight="1" x14ac:dyDescent="0.15"/>
    <row r="933" ht="20.100000000000001" customHeight="1" x14ac:dyDescent="0.15"/>
    <row r="934" ht="20.100000000000001" customHeight="1" x14ac:dyDescent="0.15"/>
    <row r="935" ht="20.100000000000001" customHeight="1" x14ac:dyDescent="0.15"/>
    <row r="936" ht="20.100000000000001" customHeight="1" x14ac:dyDescent="0.15"/>
    <row r="937" ht="20.100000000000001" customHeight="1" x14ac:dyDescent="0.15"/>
    <row r="938" ht="20.100000000000001" customHeight="1" x14ac:dyDescent="0.15"/>
    <row r="939" ht="20.100000000000001" customHeight="1" x14ac:dyDescent="0.15"/>
    <row r="940" ht="20.100000000000001" customHeight="1" x14ac:dyDescent="0.15"/>
    <row r="941" ht="20.100000000000001" customHeight="1" x14ac:dyDescent="0.15"/>
    <row r="942" ht="20.100000000000001" customHeight="1" x14ac:dyDescent="0.15"/>
    <row r="943" ht="20.100000000000001" customHeight="1" x14ac:dyDescent="0.15"/>
    <row r="944" ht="20.100000000000001" customHeight="1" x14ac:dyDescent="0.15"/>
    <row r="945" ht="20.100000000000001" customHeight="1" x14ac:dyDescent="0.15"/>
    <row r="946" ht="20.100000000000001" customHeight="1" x14ac:dyDescent="0.15"/>
    <row r="947" ht="20.100000000000001" customHeight="1" x14ac:dyDescent="0.15"/>
    <row r="948" ht="20.100000000000001" customHeight="1" x14ac:dyDescent="0.15"/>
    <row r="949" ht="20.100000000000001" customHeight="1" x14ac:dyDescent="0.15"/>
    <row r="950" ht="20.100000000000001" customHeight="1" x14ac:dyDescent="0.15"/>
    <row r="951" ht="20.100000000000001" customHeight="1" x14ac:dyDescent="0.15"/>
    <row r="952" ht="20.100000000000001" customHeight="1" x14ac:dyDescent="0.15"/>
    <row r="953" ht="20.100000000000001" customHeight="1" x14ac:dyDescent="0.15"/>
    <row r="954" ht="20.100000000000001" customHeight="1" x14ac:dyDescent="0.15"/>
    <row r="955" ht="20.100000000000001" customHeight="1" x14ac:dyDescent="0.15"/>
    <row r="956" ht="20.100000000000001" customHeight="1" x14ac:dyDescent="0.15"/>
    <row r="957" ht="20.100000000000001" customHeight="1" x14ac:dyDescent="0.15"/>
    <row r="958" ht="20.100000000000001" customHeight="1" x14ac:dyDescent="0.15"/>
    <row r="959" ht="20.100000000000001" customHeight="1" x14ac:dyDescent="0.15"/>
    <row r="960" ht="20.100000000000001" customHeight="1" x14ac:dyDescent="0.15"/>
    <row r="961" ht="20.100000000000001" customHeight="1" x14ac:dyDescent="0.15"/>
    <row r="962" ht="20.100000000000001" customHeight="1" x14ac:dyDescent="0.15"/>
    <row r="963" ht="20.100000000000001" customHeight="1" x14ac:dyDescent="0.15"/>
    <row r="964" ht="20.100000000000001" customHeight="1" x14ac:dyDescent="0.15"/>
    <row r="965" ht="20.100000000000001" customHeight="1" x14ac:dyDescent="0.15"/>
    <row r="966" ht="20.100000000000001" customHeight="1" x14ac:dyDescent="0.15"/>
    <row r="967" ht="20.100000000000001" customHeight="1" x14ac:dyDescent="0.15"/>
    <row r="968" ht="20.100000000000001" customHeight="1" x14ac:dyDescent="0.15"/>
    <row r="969" ht="20.100000000000001" customHeight="1" x14ac:dyDescent="0.15"/>
    <row r="970" ht="20.100000000000001" customHeight="1" x14ac:dyDescent="0.15"/>
    <row r="971" ht="20.100000000000001" customHeight="1" x14ac:dyDescent="0.15"/>
    <row r="972" ht="20.100000000000001" customHeight="1" x14ac:dyDescent="0.15"/>
    <row r="973" ht="20.100000000000001" customHeight="1" x14ac:dyDescent="0.15"/>
    <row r="974" ht="20.100000000000001" customHeight="1" x14ac:dyDescent="0.15"/>
    <row r="975" ht="20.100000000000001" customHeight="1" x14ac:dyDescent="0.15"/>
    <row r="976" ht="20.100000000000001" customHeight="1" x14ac:dyDescent="0.15"/>
    <row r="977" ht="20.100000000000001" customHeight="1" x14ac:dyDescent="0.15"/>
    <row r="978" ht="20.100000000000001" customHeight="1" x14ac:dyDescent="0.15"/>
    <row r="979" ht="20.100000000000001" customHeight="1" x14ac:dyDescent="0.15"/>
    <row r="980" ht="20.100000000000001" customHeight="1" x14ac:dyDescent="0.15"/>
    <row r="981" ht="20.100000000000001" customHeight="1" x14ac:dyDescent="0.15"/>
    <row r="982" ht="20.100000000000001" customHeight="1" x14ac:dyDescent="0.15"/>
    <row r="983" ht="20.100000000000001" customHeight="1" x14ac:dyDescent="0.15"/>
    <row r="984" ht="20.100000000000001" customHeight="1" x14ac:dyDescent="0.15"/>
    <row r="985" ht="20.100000000000001" customHeight="1" x14ac:dyDescent="0.15"/>
    <row r="986" ht="20.100000000000001" customHeight="1" x14ac:dyDescent="0.15"/>
    <row r="987" ht="20.100000000000001" customHeight="1" x14ac:dyDescent="0.15"/>
    <row r="988" ht="20.100000000000001" customHeight="1" x14ac:dyDescent="0.15"/>
    <row r="989" ht="20.100000000000001" customHeight="1" x14ac:dyDescent="0.15"/>
    <row r="990" ht="20.100000000000001" customHeight="1" x14ac:dyDescent="0.15"/>
    <row r="991" ht="20.100000000000001" customHeight="1" x14ac:dyDescent="0.15"/>
    <row r="992" ht="20.100000000000001" customHeight="1" x14ac:dyDescent="0.15"/>
    <row r="993" ht="20.100000000000001" customHeight="1" x14ac:dyDescent="0.15"/>
    <row r="994" ht="20.100000000000001" customHeight="1" x14ac:dyDescent="0.15"/>
    <row r="995" ht="20.100000000000001" customHeight="1" x14ac:dyDescent="0.15"/>
    <row r="996" ht="20.100000000000001" customHeight="1" x14ac:dyDescent="0.15"/>
    <row r="997" ht="20.100000000000001" customHeight="1" x14ac:dyDescent="0.15"/>
    <row r="998" ht="20.100000000000001" customHeight="1" x14ac:dyDescent="0.15"/>
    <row r="999" ht="20.100000000000001" customHeight="1" x14ac:dyDescent="0.15"/>
    <row r="1000" ht="20.100000000000001" customHeight="1" x14ac:dyDescent="0.15"/>
    <row r="1001" ht="20.100000000000001" customHeight="1" x14ac:dyDescent="0.15"/>
    <row r="1002" ht="20.100000000000001" customHeight="1" x14ac:dyDescent="0.15"/>
    <row r="1003" ht="20.100000000000001" customHeight="1" x14ac:dyDescent="0.15"/>
    <row r="1004" ht="20.100000000000001" customHeight="1" x14ac:dyDescent="0.15"/>
    <row r="1005" ht="20.100000000000001" customHeight="1" x14ac:dyDescent="0.15"/>
    <row r="1006" ht="20.100000000000001" customHeight="1" x14ac:dyDescent="0.15"/>
    <row r="1007" ht="20.100000000000001" customHeight="1" x14ac:dyDescent="0.15"/>
    <row r="1008" ht="20.100000000000001" customHeight="1" x14ac:dyDescent="0.15"/>
    <row r="1009" ht="20.100000000000001" customHeight="1" x14ac:dyDescent="0.15"/>
    <row r="1010" ht="20.100000000000001" customHeight="1" x14ac:dyDescent="0.15"/>
    <row r="1011" ht="20.100000000000001" customHeight="1" x14ac:dyDescent="0.15"/>
    <row r="1012" ht="20.100000000000001" customHeight="1" x14ac:dyDescent="0.15"/>
    <row r="1013" ht="20.100000000000001" customHeight="1" x14ac:dyDescent="0.15"/>
    <row r="1014" ht="20.100000000000001" customHeight="1" x14ac:dyDescent="0.15"/>
    <row r="1015" ht="20.100000000000001" customHeight="1" x14ac:dyDescent="0.15"/>
    <row r="1016" ht="20.100000000000001" customHeight="1" x14ac:dyDescent="0.15"/>
    <row r="1017" ht="20.100000000000001" customHeight="1" x14ac:dyDescent="0.15"/>
    <row r="1018" ht="20.100000000000001" customHeight="1" x14ac:dyDescent="0.15"/>
    <row r="1019" ht="20.100000000000001" customHeight="1" x14ac:dyDescent="0.15"/>
    <row r="1020" ht="20.100000000000001" customHeight="1" x14ac:dyDescent="0.15"/>
    <row r="1021" ht="20.100000000000001" customHeight="1" x14ac:dyDescent="0.15"/>
    <row r="1022" ht="20.100000000000001" customHeight="1" x14ac:dyDescent="0.15"/>
    <row r="1023" ht="20.100000000000001" customHeight="1" x14ac:dyDescent="0.15"/>
    <row r="1024" ht="20.100000000000001" customHeight="1" x14ac:dyDescent="0.15"/>
    <row r="1025" ht="20.100000000000001" customHeight="1" x14ac:dyDescent="0.15"/>
    <row r="1026" ht="20.100000000000001" customHeight="1" x14ac:dyDescent="0.15"/>
    <row r="1027" ht="20.100000000000001" customHeight="1" x14ac:dyDescent="0.15"/>
    <row r="1028" ht="20.100000000000001" customHeight="1" x14ac:dyDescent="0.15"/>
    <row r="1029" ht="20.100000000000001" customHeight="1" x14ac:dyDescent="0.15"/>
    <row r="1030" ht="20.100000000000001" customHeight="1" x14ac:dyDescent="0.15"/>
    <row r="1031" ht="20.100000000000001" customHeight="1" x14ac:dyDescent="0.15"/>
    <row r="1032" ht="20.100000000000001" customHeight="1" x14ac:dyDescent="0.15"/>
    <row r="1033" ht="20.100000000000001" customHeight="1" x14ac:dyDescent="0.15"/>
    <row r="1034" ht="20.100000000000001" customHeight="1" x14ac:dyDescent="0.15"/>
    <row r="1035" ht="20.100000000000001" customHeight="1" x14ac:dyDescent="0.15"/>
    <row r="1036" ht="20.100000000000001" customHeight="1" x14ac:dyDescent="0.15"/>
    <row r="1037" ht="20.100000000000001" customHeight="1" x14ac:dyDescent="0.15"/>
    <row r="1038" ht="20.100000000000001" customHeight="1" x14ac:dyDescent="0.15"/>
    <row r="1039" ht="20.100000000000001" customHeight="1" x14ac:dyDescent="0.15"/>
    <row r="1040" ht="20.100000000000001" customHeight="1" x14ac:dyDescent="0.15"/>
    <row r="1041" ht="20.100000000000001" customHeight="1" x14ac:dyDescent="0.15"/>
    <row r="1042" ht="20.100000000000001" customHeight="1" x14ac:dyDescent="0.15"/>
    <row r="1043" ht="20.100000000000001" customHeight="1" x14ac:dyDescent="0.15"/>
    <row r="1044" ht="20.100000000000001" customHeight="1" x14ac:dyDescent="0.15"/>
    <row r="1045" ht="20.100000000000001" customHeight="1" x14ac:dyDescent="0.15"/>
    <row r="1046" ht="20.100000000000001" customHeight="1" x14ac:dyDescent="0.15"/>
    <row r="1047" ht="20.100000000000001" customHeight="1" x14ac:dyDescent="0.15"/>
    <row r="1048" ht="20.100000000000001" customHeight="1" x14ac:dyDescent="0.15"/>
    <row r="1049" ht="20.100000000000001" customHeight="1" x14ac:dyDescent="0.15"/>
    <row r="1050" ht="20.100000000000001" customHeight="1" x14ac:dyDescent="0.15"/>
    <row r="1051" ht="20.100000000000001" customHeight="1" x14ac:dyDescent="0.15"/>
    <row r="1052" ht="20.100000000000001" customHeight="1" x14ac:dyDescent="0.15"/>
    <row r="1053" ht="20.100000000000001" customHeight="1" x14ac:dyDescent="0.15"/>
    <row r="1054" ht="20.100000000000001" customHeight="1" x14ac:dyDescent="0.15"/>
    <row r="1055" ht="20.100000000000001" customHeight="1" x14ac:dyDescent="0.15"/>
    <row r="1056" ht="20.100000000000001" customHeight="1" x14ac:dyDescent="0.15"/>
    <row r="1057" ht="20.100000000000001" customHeight="1" x14ac:dyDescent="0.15"/>
    <row r="1058" ht="20.100000000000001" customHeight="1" x14ac:dyDescent="0.15"/>
    <row r="1059" ht="20.100000000000001" customHeight="1" x14ac:dyDescent="0.15"/>
    <row r="1060" ht="20.100000000000001" customHeight="1" x14ac:dyDescent="0.15"/>
    <row r="1061" ht="20.100000000000001" customHeight="1" x14ac:dyDescent="0.15"/>
    <row r="1062" ht="20.100000000000001" customHeight="1" x14ac:dyDescent="0.15"/>
    <row r="1063" ht="20.100000000000001" customHeight="1" x14ac:dyDescent="0.15"/>
    <row r="1064" ht="20.100000000000001" customHeight="1" x14ac:dyDescent="0.15"/>
    <row r="1065" ht="20.100000000000001" customHeight="1" x14ac:dyDescent="0.15"/>
    <row r="1066" ht="20.100000000000001" customHeight="1" x14ac:dyDescent="0.15"/>
    <row r="1067" ht="20.100000000000001" customHeight="1" x14ac:dyDescent="0.15"/>
    <row r="1068" ht="20.100000000000001" customHeight="1" x14ac:dyDescent="0.15"/>
    <row r="1069" ht="20.100000000000001" customHeight="1" x14ac:dyDescent="0.15"/>
    <row r="1070" ht="20.100000000000001" customHeight="1" x14ac:dyDescent="0.15"/>
    <row r="1071" ht="20.100000000000001" customHeight="1" x14ac:dyDescent="0.15"/>
    <row r="1072" ht="20.100000000000001" customHeight="1" x14ac:dyDescent="0.15"/>
    <row r="1073" ht="20.100000000000001" customHeight="1" x14ac:dyDescent="0.15"/>
    <row r="1074" ht="20.100000000000001" customHeight="1" x14ac:dyDescent="0.15"/>
    <row r="1075" ht="20.100000000000001" customHeight="1" x14ac:dyDescent="0.15"/>
    <row r="1076" ht="20.100000000000001" customHeight="1" x14ac:dyDescent="0.15"/>
    <row r="1077" ht="20.100000000000001" customHeight="1" x14ac:dyDescent="0.15"/>
    <row r="1078" ht="20.100000000000001" customHeight="1" x14ac:dyDescent="0.15"/>
    <row r="1079" ht="20.100000000000001" customHeight="1" x14ac:dyDescent="0.15"/>
    <row r="1080" ht="20.100000000000001" customHeight="1" x14ac:dyDescent="0.15"/>
    <row r="1081" ht="20.100000000000001" customHeight="1" x14ac:dyDescent="0.15"/>
    <row r="1082" ht="20.100000000000001" customHeight="1" x14ac:dyDescent="0.15"/>
    <row r="1083" ht="20.100000000000001" customHeight="1" x14ac:dyDescent="0.15"/>
    <row r="1084" ht="20.100000000000001" customHeight="1" x14ac:dyDescent="0.15"/>
    <row r="1085" ht="20.100000000000001" customHeight="1" x14ac:dyDescent="0.15"/>
    <row r="1086" ht="20.100000000000001" customHeight="1" x14ac:dyDescent="0.15"/>
    <row r="1087" ht="20.100000000000001" customHeight="1" x14ac:dyDescent="0.15"/>
    <row r="1088" ht="20.100000000000001" customHeight="1" x14ac:dyDescent="0.15"/>
    <row r="1089" ht="20.100000000000001" customHeight="1" x14ac:dyDescent="0.15"/>
    <row r="1090" ht="20.100000000000001" customHeight="1" x14ac:dyDescent="0.15"/>
    <row r="1091" ht="20.100000000000001" customHeight="1" x14ac:dyDescent="0.15"/>
    <row r="1092" ht="20.100000000000001" customHeight="1" x14ac:dyDescent="0.15"/>
    <row r="1093" ht="20.100000000000001" customHeight="1" x14ac:dyDescent="0.15"/>
    <row r="1094" ht="20.100000000000001" customHeight="1" x14ac:dyDescent="0.15"/>
    <row r="1095" ht="20.100000000000001" customHeight="1" x14ac:dyDescent="0.15"/>
    <row r="1096" ht="20.100000000000001" customHeight="1" x14ac:dyDescent="0.15"/>
    <row r="1097" ht="20.100000000000001" customHeight="1" x14ac:dyDescent="0.15"/>
    <row r="1098" ht="20.100000000000001" customHeight="1" x14ac:dyDescent="0.15"/>
    <row r="1099" ht="20.100000000000001" customHeight="1" x14ac:dyDescent="0.15"/>
    <row r="1100" ht="20.100000000000001" customHeight="1" x14ac:dyDescent="0.15"/>
    <row r="1101" ht="20.100000000000001" customHeight="1" x14ac:dyDescent="0.15"/>
    <row r="1102" ht="20.100000000000001" customHeight="1" x14ac:dyDescent="0.15"/>
    <row r="1103" ht="20.100000000000001" customHeight="1" x14ac:dyDescent="0.15"/>
    <row r="1104" ht="20.100000000000001" customHeight="1" x14ac:dyDescent="0.15"/>
    <row r="1105" ht="20.100000000000001" customHeight="1" x14ac:dyDescent="0.15"/>
    <row r="1106" ht="20.100000000000001" customHeight="1" x14ac:dyDescent="0.15"/>
    <row r="1107" ht="20.100000000000001" customHeight="1" x14ac:dyDescent="0.15"/>
    <row r="1108" ht="20.100000000000001" customHeight="1" x14ac:dyDescent="0.15"/>
    <row r="1109" ht="20.100000000000001" customHeight="1" x14ac:dyDescent="0.15"/>
    <row r="1110" ht="20.100000000000001" customHeight="1" x14ac:dyDescent="0.15"/>
    <row r="1111" ht="20.100000000000001" customHeight="1" x14ac:dyDescent="0.15"/>
    <row r="1112" ht="20.100000000000001" customHeight="1" x14ac:dyDescent="0.15"/>
    <row r="1113" ht="20.100000000000001" customHeight="1" x14ac:dyDescent="0.15"/>
    <row r="1114" ht="20.100000000000001" customHeight="1" x14ac:dyDescent="0.15"/>
    <row r="1115" ht="20.100000000000001" customHeight="1" x14ac:dyDescent="0.15"/>
    <row r="1116" ht="20.100000000000001" customHeight="1" x14ac:dyDescent="0.15"/>
    <row r="1117" ht="20.100000000000001" customHeight="1" x14ac:dyDescent="0.15"/>
    <row r="1118" ht="20.100000000000001" customHeight="1" x14ac:dyDescent="0.15"/>
    <row r="1119" ht="20.100000000000001" customHeight="1" x14ac:dyDescent="0.15"/>
    <row r="1120" ht="20.100000000000001" customHeight="1" x14ac:dyDescent="0.15"/>
    <row r="1121" ht="20.100000000000001" customHeight="1" x14ac:dyDescent="0.15"/>
    <row r="1122" ht="20.100000000000001" customHeight="1" x14ac:dyDescent="0.15"/>
    <row r="1123" ht="20.100000000000001" customHeight="1" x14ac:dyDescent="0.15"/>
    <row r="1124" ht="20.100000000000001" customHeight="1" x14ac:dyDescent="0.15"/>
    <row r="1125" ht="20.100000000000001" customHeight="1" x14ac:dyDescent="0.15"/>
    <row r="1126" ht="20.100000000000001" customHeight="1" x14ac:dyDescent="0.15"/>
    <row r="1127" ht="20.100000000000001" customHeight="1" x14ac:dyDescent="0.15"/>
    <row r="1128" ht="20.100000000000001" customHeight="1" x14ac:dyDescent="0.15"/>
    <row r="1129" ht="20.100000000000001" customHeight="1" x14ac:dyDescent="0.15"/>
    <row r="1130" ht="20.100000000000001" customHeight="1" x14ac:dyDescent="0.15"/>
    <row r="1131" ht="20.100000000000001" customHeight="1" x14ac:dyDescent="0.15"/>
    <row r="1132" ht="20.100000000000001" customHeight="1" x14ac:dyDescent="0.15"/>
    <row r="1133" ht="20.100000000000001" customHeight="1" x14ac:dyDescent="0.15"/>
    <row r="1134" ht="20.100000000000001" customHeight="1" x14ac:dyDescent="0.15"/>
    <row r="1135" ht="20.100000000000001" customHeight="1" x14ac:dyDescent="0.15"/>
    <row r="1136" ht="20.100000000000001" customHeight="1" x14ac:dyDescent="0.15"/>
    <row r="1137" ht="20.100000000000001" customHeight="1" x14ac:dyDescent="0.15"/>
    <row r="1138" ht="20.100000000000001" customHeight="1" x14ac:dyDescent="0.15"/>
    <row r="1139" ht="20.100000000000001" customHeight="1" x14ac:dyDescent="0.15"/>
    <row r="1140" ht="20.100000000000001" customHeight="1" x14ac:dyDescent="0.15"/>
    <row r="1141" ht="20.100000000000001" customHeight="1" x14ac:dyDescent="0.15"/>
    <row r="1142" ht="20.100000000000001" customHeight="1" x14ac:dyDescent="0.15"/>
    <row r="1143" ht="20.100000000000001" customHeight="1" x14ac:dyDescent="0.15"/>
    <row r="1144" ht="20.100000000000001" customHeight="1" x14ac:dyDescent="0.15"/>
    <row r="1145" ht="20.100000000000001" customHeight="1" x14ac:dyDescent="0.15"/>
    <row r="1146" ht="20.100000000000001" customHeight="1" x14ac:dyDescent="0.15"/>
    <row r="1147" ht="20.100000000000001" customHeight="1" x14ac:dyDescent="0.15"/>
    <row r="1148" ht="20.100000000000001" customHeight="1" x14ac:dyDescent="0.15"/>
    <row r="1149" ht="20.100000000000001" customHeight="1" x14ac:dyDescent="0.15"/>
    <row r="1150" ht="20.100000000000001" customHeight="1" x14ac:dyDescent="0.15"/>
    <row r="1151" ht="20.100000000000001" customHeight="1" x14ac:dyDescent="0.15"/>
    <row r="1152" ht="20.100000000000001" customHeight="1" x14ac:dyDescent="0.15"/>
    <row r="1153" ht="20.100000000000001" customHeight="1" x14ac:dyDescent="0.15"/>
    <row r="1154" ht="20.100000000000001" customHeight="1" x14ac:dyDescent="0.15"/>
    <row r="1155" ht="20.100000000000001" customHeight="1" x14ac:dyDescent="0.15"/>
    <row r="1156" ht="20.100000000000001" customHeight="1" x14ac:dyDescent="0.15"/>
    <row r="1157" ht="20.100000000000001" customHeight="1" x14ac:dyDescent="0.15"/>
    <row r="1158" ht="20.100000000000001" customHeight="1" x14ac:dyDescent="0.15"/>
    <row r="1159" ht="20.100000000000001" customHeight="1" x14ac:dyDescent="0.15"/>
    <row r="1160" ht="20.100000000000001" customHeight="1" x14ac:dyDescent="0.15"/>
    <row r="1161" ht="20.100000000000001" customHeight="1" x14ac:dyDescent="0.15"/>
    <row r="1162" ht="20.100000000000001" customHeight="1" x14ac:dyDescent="0.15"/>
    <row r="1163" ht="20.100000000000001" customHeight="1" x14ac:dyDescent="0.15"/>
    <row r="1164" ht="20.100000000000001" customHeight="1" x14ac:dyDescent="0.15"/>
    <row r="1165" ht="20.100000000000001" customHeight="1" x14ac:dyDescent="0.15"/>
    <row r="1166" ht="20.100000000000001" customHeight="1" x14ac:dyDescent="0.15"/>
    <row r="1167" ht="20.100000000000001" customHeight="1" x14ac:dyDescent="0.15"/>
    <row r="1168" ht="20.100000000000001" customHeight="1" x14ac:dyDescent="0.15"/>
    <row r="1169" ht="20.100000000000001" customHeight="1" x14ac:dyDescent="0.15"/>
    <row r="1170" ht="20.100000000000001" customHeight="1" x14ac:dyDescent="0.15"/>
    <row r="1171" ht="20.100000000000001" customHeight="1" x14ac:dyDescent="0.15"/>
    <row r="1172" ht="20.100000000000001" customHeight="1" x14ac:dyDescent="0.15"/>
    <row r="1173" ht="20.100000000000001" customHeight="1" x14ac:dyDescent="0.15"/>
    <row r="1174" ht="20.100000000000001" customHeight="1" x14ac:dyDescent="0.15"/>
    <row r="1175" ht="20.100000000000001" customHeight="1" x14ac:dyDescent="0.15"/>
    <row r="1176" ht="20.100000000000001" customHeight="1" x14ac:dyDescent="0.15"/>
    <row r="1177" ht="20.100000000000001" customHeight="1" x14ac:dyDescent="0.15"/>
    <row r="1178" ht="20.100000000000001" customHeight="1" x14ac:dyDescent="0.15"/>
    <row r="1179" ht="20.100000000000001" customHeight="1" x14ac:dyDescent="0.15"/>
    <row r="1180" ht="20.100000000000001" customHeight="1" x14ac:dyDescent="0.15"/>
    <row r="1181" ht="20.100000000000001" customHeight="1" x14ac:dyDescent="0.15"/>
    <row r="1182" ht="20.100000000000001" customHeight="1" x14ac:dyDescent="0.15"/>
    <row r="1183" ht="20.100000000000001" customHeight="1" x14ac:dyDescent="0.15"/>
    <row r="1184" ht="20.100000000000001" customHeight="1" x14ac:dyDescent="0.15"/>
    <row r="1185" ht="20.100000000000001" customHeight="1" x14ac:dyDescent="0.15"/>
    <row r="1186" ht="20.100000000000001" customHeight="1" x14ac:dyDescent="0.15"/>
    <row r="1187" ht="20.100000000000001" customHeight="1" x14ac:dyDescent="0.15"/>
    <row r="1188" ht="20.100000000000001" customHeight="1" x14ac:dyDescent="0.15"/>
    <row r="1189" ht="20.100000000000001" customHeight="1" x14ac:dyDescent="0.15"/>
    <row r="1190" ht="20.100000000000001" customHeight="1" x14ac:dyDescent="0.15"/>
    <row r="1191" ht="20.100000000000001" customHeight="1" x14ac:dyDescent="0.15"/>
    <row r="1192" ht="20.100000000000001" customHeight="1" x14ac:dyDescent="0.15"/>
    <row r="1193" ht="20.100000000000001" customHeight="1" x14ac:dyDescent="0.15"/>
    <row r="1194" ht="20.100000000000001" customHeight="1" x14ac:dyDescent="0.15"/>
    <row r="1195" ht="20.100000000000001" customHeight="1" x14ac:dyDescent="0.15"/>
    <row r="1196" ht="20.100000000000001" customHeight="1" x14ac:dyDescent="0.15"/>
    <row r="1197" ht="20.100000000000001" customHeight="1" x14ac:dyDescent="0.15"/>
    <row r="1198" ht="20.100000000000001" customHeight="1" x14ac:dyDescent="0.15"/>
    <row r="1199" ht="20.100000000000001" customHeight="1" x14ac:dyDescent="0.15"/>
    <row r="1200" ht="20.100000000000001" customHeight="1" x14ac:dyDescent="0.15"/>
    <row r="1201" ht="20.100000000000001" customHeight="1" x14ac:dyDescent="0.15"/>
    <row r="1202" ht="20.100000000000001" customHeight="1" x14ac:dyDescent="0.15"/>
    <row r="1203" ht="20.100000000000001" customHeight="1" x14ac:dyDescent="0.15"/>
    <row r="1204" ht="20.100000000000001" customHeight="1" x14ac:dyDescent="0.15"/>
    <row r="1205" ht="20.100000000000001" customHeight="1" x14ac:dyDescent="0.15"/>
    <row r="1206" ht="20.100000000000001" customHeight="1" x14ac:dyDescent="0.15"/>
    <row r="1207" ht="20.100000000000001" customHeight="1" x14ac:dyDescent="0.15"/>
    <row r="1208" ht="20.100000000000001" customHeight="1" x14ac:dyDescent="0.15"/>
    <row r="1209" ht="20.100000000000001" customHeight="1" x14ac:dyDescent="0.15"/>
    <row r="1210" ht="20.100000000000001" customHeight="1" x14ac:dyDescent="0.15"/>
    <row r="1211" ht="20.100000000000001" customHeight="1" x14ac:dyDescent="0.15"/>
    <row r="1212" ht="20.100000000000001" customHeight="1" x14ac:dyDescent="0.15"/>
    <row r="1213" ht="20.100000000000001" customHeight="1" x14ac:dyDescent="0.15"/>
    <row r="1214" ht="20.100000000000001" customHeight="1" x14ac:dyDescent="0.15"/>
    <row r="1215" ht="20.100000000000001" customHeight="1" x14ac:dyDescent="0.15"/>
    <row r="1216" ht="20.100000000000001" customHeight="1" x14ac:dyDescent="0.15"/>
    <row r="1217" ht="20.100000000000001" customHeight="1" x14ac:dyDescent="0.15"/>
    <row r="1218" ht="20.100000000000001" customHeight="1" x14ac:dyDescent="0.15"/>
    <row r="1219" ht="20.100000000000001" customHeight="1" x14ac:dyDescent="0.15"/>
    <row r="1220" ht="20.100000000000001" customHeight="1" x14ac:dyDescent="0.15"/>
    <row r="1221" ht="20.100000000000001" customHeight="1" x14ac:dyDescent="0.15"/>
    <row r="1222" ht="20.100000000000001" customHeight="1" x14ac:dyDescent="0.15"/>
    <row r="1223" ht="20.100000000000001" customHeight="1" x14ac:dyDescent="0.15"/>
    <row r="1224" ht="20.100000000000001" customHeight="1" x14ac:dyDescent="0.15"/>
    <row r="1225" ht="20.100000000000001" customHeight="1" x14ac:dyDescent="0.15"/>
    <row r="1226" ht="20.100000000000001" customHeight="1" x14ac:dyDescent="0.15"/>
    <row r="1227" ht="20.100000000000001" customHeight="1" x14ac:dyDescent="0.15"/>
    <row r="1228" ht="20.100000000000001" customHeight="1" x14ac:dyDescent="0.15"/>
    <row r="1229" ht="20.100000000000001" customHeight="1" x14ac:dyDescent="0.15"/>
    <row r="1230" ht="20.100000000000001" customHeight="1" x14ac:dyDescent="0.15"/>
    <row r="1231" ht="20.100000000000001" customHeight="1" x14ac:dyDescent="0.15"/>
    <row r="1232" ht="20.100000000000001" customHeight="1" x14ac:dyDescent="0.15"/>
    <row r="1233" ht="20.100000000000001" customHeight="1" x14ac:dyDescent="0.15"/>
    <row r="1234" ht="20.100000000000001" customHeight="1" x14ac:dyDescent="0.15"/>
    <row r="1235" ht="20.100000000000001" customHeight="1" x14ac:dyDescent="0.15"/>
    <row r="1236" ht="20.100000000000001" customHeight="1" x14ac:dyDescent="0.15"/>
    <row r="1237" ht="20.100000000000001" customHeight="1" x14ac:dyDescent="0.15"/>
    <row r="1238" ht="20.100000000000001" customHeight="1" x14ac:dyDescent="0.15"/>
    <row r="1239" ht="20.100000000000001" customHeight="1" x14ac:dyDescent="0.15"/>
    <row r="1240" ht="20.100000000000001" customHeight="1" x14ac:dyDescent="0.15"/>
    <row r="1241" ht="20.100000000000001" customHeight="1" x14ac:dyDescent="0.15"/>
    <row r="1242" ht="20.100000000000001" customHeight="1" x14ac:dyDescent="0.15"/>
    <row r="1243" ht="20.100000000000001" customHeight="1" x14ac:dyDescent="0.15"/>
    <row r="1244" ht="20.100000000000001" customHeight="1" x14ac:dyDescent="0.15"/>
    <row r="1245" ht="20.100000000000001" customHeight="1" x14ac:dyDescent="0.15"/>
    <row r="1246" ht="20.100000000000001" customHeight="1" x14ac:dyDescent="0.15"/>
    <row r="1247" ht="20.100000000000001" customHeight="1" x14ac:dyDescent="0.15"/>
    <row r="1248" ht="20.100000000000001" customHeight="1" x14ac:dyDescent="0.15"/>
    <row r="1249" ht="20.100000000000001" customHeight="1" x14ac:dyDescent="0.15"/>
    <row r="1250" ht="20.100000000000001" customHeight="1" x14ac:dyDescent="0.15"/>
    <row r="1251" ht="20.100000000000001" customHeight="1" x14ac:dyDescent="0.15"/>
    <row r="1252" ht="20.100000000000001" customHeight="1" x14ac:dyDescent="0.15"/>
    <row r="1253" ht="20.100000000000001" customHeight="1" x14ac:dyDescent="0.15"/>
    <row r="1254" ht="20.100000000000001" customHeight="1" x14ac:dyDescent="0.15"/>
    <row r="1255" ht="20.100000000000001" customHeight="1" x14ac:dyDescent="0.15"/>
    <row r="1256" ht="20.100000000000001" customHeight="1" x14ac:dyDescent="0.15"/>
    <row r="1257" ht="20.100000000000001" customHeight="1" x14ac:dyDescent="0.15"/>
    <row r="1258" ht="20.100000000000001" customHeight="1" x14ac:dyDescent="0.15"/>
    <row r="1259" ht="20.100000000000001" customHeight="1" x14ac:dyDescent="0.15"/>
    <row r="1260" ht="20.100000000000001" customHeight="1" x14ac:dyDescent="0.15"/>
    <row r="1261" ht="20.100000000000001" customHeight="1" x14ac:dyDescent="0.15"/>
    <row r="1262" ht="20.100000000000001" customHeight="1" x14ac:dyDescent="0.15"/>
    <row r="1263" ht="20.100000000000001" customHeight="1" x14ac:dyDescent="0.15"/>
    <row r="1264" ht="20.100000000000001" customHeight="1" x14ac:dyDescent="0.15"/>
    <row r="1265" ht="20.100000000000001" customHeight="1" x14ac:dyDescent="0.15"/>
    <row r="1266" ht="20.100000000000001" customHeight="1" x14ac:dyDescent="0.15"/>
    <row r="1267" ht="20.100000000000001" customHeight="1" x14ac:dyDescent="0.15"/>
    <row r="1268" ht="20.100000000000001" customHeight="1" x14ac:dyDescent="0.15"/>
    <row r="1269" ht="20.100000000000001" customHeight="1" x14ac:dyDescent="0.15"/>
    <row r="1270" ht="20.100000000000001" customHeight="1" x14ac:dyDescent="0.15"/>
    <row r="1271" ht="20.100000000000001" customHeight="1" x14ac:dyDescent="0.15"/>
    <row r="1272" ht="20.100000000000001" customHeight="1" x14ac:dyDescent="0.15"/>
    <row r="1273" ht="20.100000000000001" customHeight="1" x14ac:dyDescent="0.15"/>
    <row r="1274" ht="20.100000000000001" customHeight="1" x14ac:dyDescent="0.15"/>
    <row r="1275" ht="20.100000000000001" customHeight="1" x14ac:dyDescent="0.15"/>
    <row r="1276" ht="20.100000000000001" customHeight="1" x14ac:dyDescent="0.15"/>
    <row r="1277" ht="20.100000000000001" customHeight="1" x14ac:dyDescent="0.15"/>
    <row r="1278" ht="20.100000000000001" customHeight="1" x14ac:dyDescent="0.15"/>
  </sheetData>
  <autoFilter ref="A4:M21" xr:uid="{00000000-0009-0000-0000-000002000000}"/>
  <mergeCells count="1">
    <mergeCell ref="A2:G2"/>
  </mergeCells>
  <phoneticPr fontId="21" type="noConversion"/>
  <dataValidations count="1">
    <dataValidation type="list" allowBlank="1" showInputMessage="1" showErrorMessage="1" sqref="G4:G1048576" xr:uid="{00000000-0002-0000-0200-000000000000}">
      <formula1>#REF!</formula1>
    </dataValidation>
  </dataValidations>
  <pageMargins left="0.75" right="0.75" top="1" bottom="1" header="0.5" footer="0.5"/>
  <pageSetup paperSize="9" orientation="portrait"/>
  <ignoredErrors>
    <ignoredError sqref="G4" listDataValidatio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6"/>
  <sheetViews>
    <sheetView workbookViewId="0">
      <selection activeCell="E15" sqref="E15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2.875" customWidth="1"/>
    <col min="13" max="13" width="12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50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SUM(H5:H89378)</f>
        <v>10000</v>
      </c>
      <c r="I3" s="4">
        <f>SUM(I5:I89378)</f>
        <v>10110</v>
      </c>
      <c r="J3" s="4"/>
      <c r="K3" s="3">
        <f>K5+H3-I3</f>
        <v>19890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20000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14" si="0">IF((K5+H6-I6)&gt;0,"借","贷")</f>
        <v>借</v>
      </c>
      <c r="K6" s="9">
        <f t="shared" ref="K6:K14" si="1">K5+H6-I6</f>
        <v>30000</v>
      </c>
    </row>
    <row r="7" spans="1:12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si="1"/>
        <v>29900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19900</v>
      </c>
    </row>
    <row r="9" spans="1:12" ht="20.100000000000001" customHeight="1" x14ac:dyDescent="0.15">
      <c r="A9" s="5"/>
      <c r="B9" s="5">
        <v>2</v>
      </c>
      <c r="C9" s="5">
        <v>5</v>
      </c>
      <c r="D9" s="35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19890</v>
      </c>
    </row>
    <row r="10" spans="1:12" ht="20.100000000000001" customHeight="1" x14ac:dyDescent="0.15">
      <c r="A10" s="5"/>
      <c r="B10" s="5"/>
      <c r="C10" s="5"/>
      <c r="D10" s="35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19890</v>
      </c>
    </row>
    <row r="11" spans="1:12" ht="20.100000000000001" customHeight="1" x14ac:dyDescent="0.15">
      <c r="A11" s="5"/>
      <c r="B11" s="5"/>
      <c r="C11" s="5"/>
      <c r="D11" s="35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19890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19890</v>
      </c>
    </row>
    <row r="13" spans="1:12" ht="20.100000000000001" customHeight="1" x14ac:dyDescent="0.15">
      <c r="A13" s="5"/>
      <c r="B13" s="5"/>
      <c r="C13" s="5"/>
      <c r="D13" s="32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19890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19890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ref="J15:J21" si="2">IF((K14+H15-I15)&gt;0,"借","贷")</f>
        <v>借</v>
      </c>
      <c r="K15" s="9">
        <f t="shared" ref="K15:K21" si="3">K14+H15-I15</f>
        <v>19890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2"/>
        <v>借</v>
      </c>
      <c r="K16" s="9">
        <f t="shared" si="3"/>
        <v>19890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10"/>
      <c r="I17" s="10"/>
      <c r="J17" s="8" t="str">
        <f t="shared" si="2"/>
        <v>借</v>
      </c>
      <c r="K17" s="9">
        <f t="shared" si="3"/>
        <v>19890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10"/>
      <c r="I18" s="10"/>
      <c r="J18" s="8" t="str">
        <f t="shared" si="2"/>
        <v>借</v>
      </c>
      <c r="K18" s="9">
        <f t="shared" si="3"/>
        <v>19890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2"/>
        <v>借</v>
      </c>
      <c r="K19" s="9">
        <f t="shared" si="3"/>
        <v>19890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2"/>
        <v>借</v>
      </c>
      <c r="K20" s="9">
        <f t="shared" si="3"/>
        <v>19890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2"/>
        <v>借</v>
      </c>
      <c r="K21" s="9">
        <f t="shared" si="3"/>
        <v>19890</v>
      </c>
    </row>
    <row r="22" spans="1:11" ht="20.100000000000001" customHeight="1" x14ac:dyDescent="0.15"/>
    <row r="23" spans="1:11" ht="20.100000000000001" customHeight="1" x14ac:dyDescent="0.15"/>
    <row r="24" spans="1:11" ht="20.100000000000001" customHeight="1" x14ac:dyDescent="0.15"/>
    <row r="25" spans="1:11" ht="20.100000000000001" customHeight="1" x14ac:dyDescent="0.15"/>
    <row r="26" spans="1:11" ht="20.100000000000001" customHeight="1" x14ac:dyDescent="0.15"/>
    <row r="27" spans="1:11" ht="20.100000000000001" customHeight="1" x14ac:dyDescent="0.15"/>
    <row r="28" spans="1:11" ht="20.100000000000001" customHeight="1" x14ac:dyDescent="0.15"/>
    <row r="29" spans="1:11" ht="20.100000000000001" customHeight="1" x14ac:dyDescent="0.15"/>
    <row r="30" spans="1:11" ht="20.100000000000001" customHeight="1" x14ac:dyDescent="0.15"/>
    <row r="31" spans="1:11" ht="20.100000000000001" customHeight="1" x14ac:dyDescent="0.15"/>
    <row r="32" spans="1:11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  <row r="41" ht="20.100000000000001" customHeight="1" x14ac:dyDescent="0.15"/>
    <row r="42" ht="20.100000000000001" customHeight="1" x14ac:dyDescent="0.15"/>
    <row r="43" ht="20.100000000000001" customHeight="1" x14ac:dyDescent="0.15"/>
    <row r="44" ht="20.100000000000001" customHeight="1" x14ac:dyDescent="0.15"/>
    <row r="45" ht="20.100000000000001" customHeight="1" x14ac:dyDescent="0.15"/>
    <row r="46" ht="20.100000000000001" customHeight="1" x14ac:dyDescent="0.15"/>
    <row r="47" ht="20.100000000000001" customHeight="1" x14ac:dyDescent="0.15"/>
    <row r="48" ht="20.100000000000001" customHeight="1" x14ac:dyDescent="0.15"/>
    <row r="49" ht="20.100000000000001" customHeight="1" x14ac:dyDescent="0.15"/>
    <row r="50" ht="20.100000000000001" customHeight="1" x14ac:dyDescent="0.15"/>
    <row r="51" ht="20.100000000000001" customHeight="1" x14ac:dyDescent="0.15"/>
    <row r="52" ht="20.100000000000001" customHeight="1" x14ac:dyDescent="0.15"/>
    <row r="53" ht="20.100000000000001" customHeight="1" x14ac:dyDescent="0.15"/>
    <row r="54" ht="20.100000000000001" customHeight="1" x14ac:dyDescent="0.15"/>
    <row r="55" ht="20.100000000000001" customHeight="1" x14ac:dyDescent="0.15"/>
    <row r="56" ht="20.100000000000001" customHeight="1" x14ac:dyDescent="0.15"/>
    <row r="57" ht="20.100000000000001" customHeight="1" x14ac:dyDescent="0.15"/>
    <row r="58" ht="20.100000000000001" customHeight="1" x14ac:dyDescent="0.15"/>
    <row r="59" ht="20.100000000000001" customHeight="1" x14ac:dyDescent="0.15"/>
    <row r="60" ht="20.100000000000001" customHeight="1" x14ac:dyDescent="0.15"/>
    <row r="61" ht="20.100000000000001" customHeight="1" x14ac:dyDescent="0.15"/>
    <row r="62" ht="20.100000000000001" customHeight="1" x14ac:dyDescent="0.15"/>
    <row r="63" ht="20.100000000000001" customHeight="1" x14ac:dyDescent="0.15"/>
    <row r="64" ht="20.100000000000001" customHeight="1" x14ac:dyDescent="0.15"/>
    <row r="65" ht="20.100000000000001" customHeight="1" x14ac:dyDescent="0.15"/>
    <row r="66" ht="20.100000000000001" customHeight="1" x14ac:dyDescent="0.15"/>
    <row r="67" ht="20.100000000000001" customHeight="1" x14ac:dyDescent="0.15"/>
    <row r="68" ht="20.100000000000001" customHeight="1" x14ac:dyDescent="0.15"/>
    <row r="69" ht="20.100000000000001" customHeight="1" x14ac:dyDescent="0.15"/>
    <row r="70" ht="20.100000000000001" customHeight="1" x14ac:dyDescent="0.15"/>
    <row r="71" ht="20.100000000000001" customHeight="1" x14ac:dyDescent="0.15"/>
    <row r="72" ht="20.100000000000001" customHeight="1" x14ac:dyDescent="0.15"/>
    <row r="73" ht="20.100000000000001" customHeight="1" x14ac:dyDescent="0.15"/>
    <row r="74" ht="20.100000000000001" customHeight="1" x14ac:dyDescent="0.15"/>
    <row r="75" ht="20.100000000000001" customHeight="1" x14ac:dyDescent="0.15"/>
    <row r="76" ht="20.100000000000001" customHeight="1" x14ac:dyDescent="0.15"/>
    <row r="77" ht="20.100000000000001" customHeight="1" x14ac:dyDescent="0.15"/>
    <row r="78" ht="20.100000000000001" customHeight="1" x14ac:dyDescent="0.15"/>
    <row r="79" ht="20.100000000000001" customHeight="1" x14ac:dyDescent="0.15"/>
    <row r="80" ht="20.100000000000001" customHeight="1" x14ac:dyDescent="0.15"/>
    <row r="81" ht="20.100000000000001" customHeight="1" x14ac:dyDescent="0.15"/>
    <row r="82" ht="20.100000000000001" customHeight="1" x14ac:dyDescent="0.15"/>
    <row r="83" ht="20.100000000000001" customHeight="1" x14ac:dyDescent="0.15"/>
    <row r="84" ht="20.100000000000001" customHeight="1" x14ac:dyDescent="0.15"/>
    <row r="85" ht="20.100000000000001" customHeight="1" x14ac:dyDescent="0.15"/>
    <row r="86" ht="20.100000000000001" customHeight="1" x14ac:dyDescent="0.15"/>
    <row r="87" ht="20.100000000000001" customHeight="1" x14ac:dyDescent="0.15"/>
    <row r="88" ht="20.100000000000001" customHeight="1" x14ac:dyDescent="0.15"/>
    <row r="89" ht="20.100000000000001" customHeight="1" x14ac:dyDescent="0.15"/>
    <row r="90" ht="20.100000000000001" customHeight="1" x14ac:dyDescent="0.15"/>
    <row r="91" ht="20.100000000000001" customHeight="1" x14ac:dyDescent="0.15"/>
    <row r="92" ht="20.100000000000001" customHeight="1" x14ac:dyDescent="0.15"/>
    <row r="93" ht="20.100000000000001" customHeight="1" x14ac:dyDescent="0.15"/>
    <row r="94" ht="20.100000000000001" customHeight="1" x14ac:dyDescent="0.15"/>
    <row r="95" ht="20.100000000000001" customHeight="1" x14ac:dyDescent="0.15"/>
    <row r="96" ht="20.100000000000001" customHeight="1" x14ac:dyDescent="0.15"/>
    <row r="97" ht="20.100000000000001" customHeight="1" x14ac:dyDescent="0.15"/>
    <row r="98" ht="20.100000000000001" customHeight="1" x14ac:dyDescent="0.15"/>
    <row r="99" ht="20.100000000000001" customHeight="1" x14ac:dyDescent="0.15"/>
    <row r="100" ht="20.100000000000001" customHeight="1" x14ac:dyDescent="0.15"/>
    <row r="101" ht="20.100000000000001" customHeight="1" x14ac:dyDescent="0.15"/>
    <row r="102" ht="20.100000000000001" customHeight="1" x14ac:dyDescent="0.15"/>
    <row r="103" ht="20.100000000000001" customHeight="1" x14ac:dyDescent="0.15"/>
    <row r="104" ht="20.100000000000001" customHeight="1" x14ac:dyDescent="0.15"/>
    <row r="105" ht="20.100000000000001" customHeight="1" x14ac:dyDescent="0.15"/>
    <row r="106" ht="20.100000000000001" customHeight="1" x14ac:dyDescent="0.15"/>
    <row r="107" ht="20.100000000000001" customHeight="1" x14ac:dyDescent="0.15"/>
    <row r="108" ht="20.100000000000001" customHeight="1" x14ac:dyDescent="0.15"/>
    <row r="109" ht="20.100000000000001" customHeight="1" x14ac:dyDescent="0.15"/>
    <row r="110" ht="20.100000000000001" customHeight="1" x14ac:dyDescent="0.15"/>
    <row r="111" ht="20.100000000000001" customHeight="1" x14ac:dyDescent="0.15"/>
    <row r="112" ht="20.100000000000001" customHeight="1" x14ac:dyDescent="0.15"/>
    <row r="113" ht="20.100000000000001" customHeight="1" x14ac:dyDescent="0.15"/>
    <row r="114" ht="20.100000000000001" customHeight="1" x14ac:dyDescent="0.15"/>
    <row r="115" ht="20.100000000000001" customHeight="1" x14ac:dyDescent="0.15"/>
    <row r="116" ht="20.100000000000001" customHeight="1" x14ac:dyDescent="0.15"/>
    <row r="117" ht="20.100000000000001" customHeight="1" x14ac:dyDescent="0.15"/>
    <row r="118" ht="20.100000000000001" customHeight="1" x14ac:dyDescent="0.15"/>
    <row r="119" ht="20.100000000000001" customHeight="1" x14ac:dyDescent="0.15"/>
    <row r="120" ht="20.100000000000001" customHeight="1" x14ac:dyDescent="0.15"/>
    <row r="121" ht="20.100000000000001" customHeight="1" x14ac:dyDescent="0.15"/>
    <row r="122" ht="20.100000000000001" customHeight="1" x14ac:dyDescent="0.15"/>
    <row r="123" ht="20.100000000000001" customHeight="1" x14ac:dyDescent="0.15"/>
    <row r="124" ht="20.100000000000001" customHeight="1" x14ac:dyDescent="0.15"/>
    <row r="125" ht="20.100000000000001" customHeight="1" x14ac:dyDescent="0.15"/>
    <row r="126" ht="20.100000000000001" customHeight="1" x14ac:dyDescent="0.15"/>
    <row r="127" ht="20.100000000000001" customHeight="1" x14ac:dyDescent="0.15"/>
    <row r="128" ht="20.100000000000001" customHeight="1" x14ac:dyDescent="0.15"/>
    <row r="129" ht="20.100000000000001" customHeight="1" x14ac:dyDescent="0.15"/>
    <row r="130" ht="20.100000000000001" customHeight="1" x14ac:dyDescent="0.15"/>
    <row r="131" ht="20.100000000000001" customHeight="1" x14ac:dyDescent="0.15"/>
    <row r="132" ht="20.100000000000001" customHeight="1" x14ac:dyDescent="0.15"/>
    <row r="133" ht="20.100000000000001" customHeight="1" x14ac:dyDescent="0.15"/>
    <row r="134" ht="20.100000000000001" customHeight="1" x14ac:dyDescent="0.15"/>
    <row r="135" ht="20.100000000000001" customHeight="1" x14ac:dyDescent="0.15"/>
    <row r="136" ht="20.100000000000001" customHeight="1" x14ac:dyDescent="0.15"/>
    <row r="137" ht="20.100000000000001" customHeight="1" x14ac:dyDescent="0.15"/>
    <row r="138" ht="20.100000000000001" customHeight="1" x14ac:dyDescent="0.15"/>
    <row r="139" ht="20.100000000000001" customHeight="1" x14ac:dyDescent="0.15"/>
    <row r="140" ht="20.100000000000001" customHeight="1" x14ac:dyDescent="0.15"/>
    <row r="141" ht="20.100000000000001" customHeight="1" x14ac:dyDescent="0.15"/>
    <row r="142" ht="20.100000000000001" customHeight="1" x14ac:dyDescent="0.15"/>
    <row r="143" ht="20.100000000000001" customHeight="1" x14ac:dyDescent="0.15"/>
    <row r="144" ht="20.100000000000001" customHeight="1" x14ac:dyDescent="0.15"/>
    <row r="145" ht="20.100000000000001" customHeight="1" x14ac:dyDescent="0.15"/>
    <row r="146" ht="20.100000000000001" customHeight="1" x14ac:dyDescent="0.15"/>
    <row r="147" ht="20.100000000000001" customHeight="1" x14ac:dyDescent="0.15"/>
    <row r="148" ht="20.100000000000001" customHeight="1" x14ac:dyDescent="0.15"/>
    <row r="149" ht="20.100000000000001" customHeight="1" x14ac:dyDescent="0.15"/>
    <row r="150" ht="20.100000000000001" customHeight="1" x14ac:dyDescent="0.15"/>
    <row r="151" ht="20.100000000000001" customHeight="1" x14ac:dyDescent="0.15"/>
    <row r="152" ht="20.100000000000001" customHeight="1" x14ac:dyDescent="0.15"/>
    <row r="153" ht="20.100000000000001" customHeight="1" x14ac:dyDescent="0.15"/>
    <row r="154" ht="20.100000000000001" customHeight="1" x14ac:dyDescent="0.15"/>
    <row r="155" ht="20.100000000000001" customHeight="1" x14ac:dyDescent="0.15"/>
    <row r="156" ht="20.100000000000001" customHeight="1" x14ac:dyDescent="0.15"/>
    <row r="157" ht="20.100000000000001" customHeight="1" x14ac:dyDescent="0.15"/>
    <row r="158" ht="20.100000000000001" customHeight="1" x14ac:dyDescent="0.15"/>
    <row r="159" ht="20.100000000000001" customHeight="1" x14ac:dyDescent="0.15"/>
    <row r="160" ht="20.100000000000001" customHeight="1" x14ac:dyDescent="0.15"/>
    <row r="161" ht="20.100000000000001" customHeight="1" x14ac:dyDescent="0.15"/>
    <row r="162" ht="20.100000000000001" customHeight="1" x14ac:dyDescent="0.15"/>
    <row r="163" ht="20.100000000000001" customHeight="1" x14ac:dyDescent="0.15"/>
    <row r="164" ht="20.100000000000001" customHeight="1" x14ac:dyDescent="0.15"/>
    <row r="165" ht="20.100000000000001" customHeight="1" x14ac:dyDescent="0.15"/>
    <row r="166" ht="20.100000000000001" customHeight="1" x14ac:dyDescent="0.15"/>
    <row r="167" ht="20.100000000000001" customHeight="1" x14ac:dyDescent="0.15"/>
    <row r="168" ht="20.100000000000001" customHeight="1" x14ac:dyDescent="0.15"/>
    <row r="169" ht="20.100000000000001" customHeight="1" x14ac:dyDescent="0.15"/>
    <row r="170" ht="20.100000000000001" customHeight="1" x14ac:dyDescent="0.15"/>
    <row r="171" ht="20.100000000000001" customHeight="1" x14ac:dyDescent="0.15"/>
    <row r="172" ht="20.100000000000001" customHeight="1" x14ac:dyDescent="0.15"/>
    <row r="173" ht="20.100000000000001" customHeight="1" x14ac:dyDescent="0.15"/>
    <row r="174" ht="20.100000000000001" customHeight="1" x14ac:dyDescent="0.15"/>
    <row r="175" ht="20.100000000000001" customHeight="1" x14ac:dyDescent="0.15"/>
    <row r="176" ht="20.100000000000001" customHeight="1" x14ac:dyDescent="0.15"/>
    <row r="177" ht="20.100000000000001" customHeight="1" x14ac:dyDescent="0.15"/>
    <row r="178" ht="20.100000000000001" customHeight="1" x14ac:dyDescent="0.15"/>
    <row r="179" ht="20.100000000000001" customHeight="1" x14ac:dyDescent="0.15"/>
    <row r="180" ht="20.100000000000001" customHeight="1" x14ac:dyDescent="0.15"/>
    <row r="181" ht="20.100000000000001" customHeight="1" x14ac:dyDescent="0.15"/>
    <row r="182" ht="20.100000000000001" customHeight="1" x14ac:dyDescent="0.15"/>
    <row r="183" ht="20.100000000000001" customHeight="1" x14ac:dyDescent="0.15"/>
    <row r="184" ht="20.100000000000001" customHeight="1" x14ac:dyDescent="0.15"/>
    <row r="185" ht="20.100000000000001" customHeight="1" x14ac:dyDescent="0.15"/>
    <row r="186" ht="20.100000000000001" customHeight="1" x14ac:dyDescent="0.15"/>
    <row r="187" ht="20.100000000000001" customHeight="1" x14ac:dyDescent="0.15"/>
    <row r="188" ht="20.100000000000001" customHeight="1" x14ac:dyDescent="0.15"/>
    <row r="189" ht="20.100000000000001" customHeight="1" x14ac:dyDescent="0.15"/>
    <row r="190" ht="20.100000000000001" customHeight="1" x14ac:dyDescent="0.15"/>
    <row r="191" ht="20.100000000000001" customHeight="1" x14ac:dyDescent="0.15"/>
    <row r="192" ht="20.100000000000001" customHeight="1" x14ac:dyDescent="0.15"/>
    <row r="193" ht="20.100000000000001" customHeight="1" x14ac:dyDescent="0.15"/>
    <row r="194" ht="20.100000000000001" customHeight="1" x14ac:dyDescent="0.15"/>
    <row r="195" ht="20.100000000000001" customHeight="1" x14ac:dyDescent="0.15"/>
    <row r="196" ht="20.100000000000001" customHeight="1" x14ac:dyDescent="0.15"/>
    <row r="197" ht="20.100000000000001" customHeight="1" x14ac:dyDescent="0.15"/>
    <row r="198" ht="20.100000000000001" customHeight="1" x14ac:dyDescent="0.15"/>
    <row r="199" ht="20.100000000000001" customHeight="1" x14ac:dyDescent="0.15"/>
    <row r="200" ht="20.100000000000001" customHeight="1" x14ac:dyDescent="0.15"/>
    <row r="201" ht="20.100000000000001" customHeight="1" x14ac:dyDescent="0.15"/>
    <row r="202" ht="20.100000000000001" customHeight="1" x14ac:dyDescent="0.15"/>
    <row r="203" ht="20.100000000000001" customHeight="1" x14ac:dyDescent="0.15"/>
    <row r="204" ht="20.100000000000001" customHeight="1" x14ac:dyDescent="0.15"/>
    <row r="205" ht="20.100000000000001" customHeight="1" x14ac:dyDescent="0.15"/>
    <row r="206" ht="20.100000000000001" customHeight="1" x14ac:dyDescent="0.15"/>
    <row r="207" ht="20.100000000000001" customHeight="1" x14ac:dyDescent="0.15"/>
    <row r="208" ht="20.100000000000001" customHeight="1" x14ac:dyDescent="0.15"/>
    <row r="209" ht="20.100000000000001" customHeight="1" x14ac:dyDescent="0.15"/>
    <row r="210" ht="20.100000000000001" customHeight="1" x14ac:dyDescent="0.15"/>
    <row r="211" ht="20.100000000000001" customHeight="1" x14ac:dyDescent="0.15"/>
    <row r="212" ht="20.100000000000001" customHeight="1" x14ac:dyDescent="0.15"/>
    <row r="213" ht="20.100000000000001" customHeight="1" x14ac:dyDescent="0.15"/>
    <row r="214" ht="20.100000000000001" customHeight="1" x14ac:dyDescent="0.15"/>
    <row r="215" ht="20.100000000000001" customHeight="1" x14ac:dyDescent="0.15"/>
    <row r="216" ht="20.100000000000001" customHeight="1" x14ac:dyDescent="0.15"/>
    <row r="217" ht="20.100000000000001" customHeight="1" x14ac:dyDescent="0.15"/>
    <row r="218" ht="20.100000000000001" customHeight="1" x14ac:dyDescent="0.15"/>
    <row r="219" ht="20.100000000000001" customHeight="1" x14ac:dyDescent="0.15"/>
    <row r="220" ht="20.100000000000001" customHeight="1" x14ac:dyDescent="0.15"/>
    <row r="221" ht="20.100000000000001" customHeight="1" x14ac:dyDescent="0.15"/>
    <row r="222" ht="20.100000000000001" customHeight="1" x14ac:dyDescent="0.15"/>
    <row r="223" ht="20.100000000000001" customHeight="1" x14ac:dyDescent="0.15"/>
    <row r="224" ht="20.100000000000001" customHeight="1" x14ac:dyDescent="0.15"/>
    <row r="225" ht="20.100000000000001" customHeight="1" x14ac:dyDescent="0.15"/>
    <row r="226" ht="20.100000000000001" customHeight="1" x14ac:dyDescent="0.15"/>
    <row r="227" ht="20.100000000000001" customHeight="1" x14ac:dyDescent="0.15"/>
    <row r="228" ht="20.100000000000001" customHeight="1" x14ac:dyDescent="0.15"/>
    <row r="229" ht="20.100000000000001" customHeight="1" x14ac:dyDescent="0.15"/>
    <row r="230" ht="20.100000000000001" customHeight="1" x14ac:dyDescent="0.15"/>
    <row r="231" ht="20.100000000000001" customHeight="1" x14ac:dyDescent="0.15"/>
    <row r="232" ht="20.100000000000001" customHeight="1" x14ac:dyDescent="0.15"/>
    <row r="233" ht="20.100000000000001" customHeight="1" x14ac:dyDescent="0.15"/>
    <row r="234" ht="20.100000000000001" customHeight="1" x14ac:dyDescent="0.15"/>
    <row r="235" ht="20.100000000000001" customHeight="1" x14ac:dyDescent="0.15"/>
    <row r="236" ht="20.100000000000001" customHeight="1" x14ac:dyDescent="0.15"/>
    <row r="237" ht="20.100000000000001" customHeight="1" x14ac:dyDescent="0.15"/>
    <row r="238" ht="20.100000000000001" customHeight="1" x14ac:dyDescent="0.15"/>
    <row r="239" ht="20.100000000000001" customHeight="1" x14ac:dyDescent="0.15"/>
    <row r="240" ht="20.100000000000001" customHeight="1" x14ac:dyDescent="0.15"/>
    <row r="241" ht="20.100000000000001" customHeight="1" x14ac:dyDescent="0.15"/>
    <row r="242" ht="20.100000000000001" customHeight="1" x14ac:dyDescent="0.15"/>
    <row r="243" ht="20.100000000000001" customHeight="1" x14ac:dyDescent="0.15"/>
    <row r="244" ht="20.100000000000001" customHeight="1" x14ac:dyDescent="0.15"/>
    <row r="245" ht="20.100000000000001" customHeight="1" x14ac:dyDescent="0.15"/>
    <row r="246" ht="20.100000000000001" customHeight="1" x14ac:dyDescent="0.15"/>
    <row r="247" ht="20.100000000000001" customHeight="1" x14ac:dyDescent="0.15"/>
    <row r="248" ht="20.100000000000001" customHeight="1" x14ac:dyDescent="0.15"/>
    <row r="249" ht="20.100000000000001" customHeight="1" x14ac:dyDescent="0.15"/>
    <row r="250" ht="20.100000000000001" customHeight="1" x14ac:dyDescent="0.15"/>
    <row r="251" ht="20.100000000000001" customHeight="1" x14ac:dyDescent="0.15"/>
    <row r="252" ht="20.100000000000001" customHeight="1" x14ac:dyDescent="0.15"/>
    <row r="253" ht="20.100000000000001" customHeight="1" x14ac:dyDescent="0.15"/>
    <row r="254" ht="20.100000000000001" customHeight="1" x14ac:dyDescent="0.15"/>
    <row r="255" ht="20.100000000000001" customHeight="1" x14ac:dyDescent="0.15"/>
    <row r="256" ht="20.100000000000001" customHeight="1" x14ac:dyDescent="0.15"/>
    <row r="257" ht="20.100000000000001" customHeight="1" x14ac:dyDescent="0.15"/>
    <row r="258" ht="20.100000000000001" customHeight="1" x14ac:dyDescent="0.15"/>
    <row r="259" ht="20.100000000000001" customHeight="1" x14ac:dyDescent="0.15"/>
    <row r="260" ht="20.100000000000001" customHeight="1" x14ac:dyDescent="0.15"/>
    <row r="261" ht="20.100000000000001" customHeight="1" x14ac:dyDescent="0.15"/>
    <row r="262" ht="20.100000000000001" customHeight="1" x14ac:dyDescent="0.15"/>
    <row r="263" ht="20.100000000000001" customHeight="1" x14ac:dyDescent="0.15"/>
    <row r="264" ht="20.100000000000001" customHeight="1" x14ac:dyDescent="0.15"/>
    <row r="265" ht="20.100000000000001" customHeight="1" x14ac:dyDescent="0.15"/>
    <row r="266" ht="20.100000000000001" customHeight="1" x14ac:dyDescent="0.15"/>
    <row r="267" ht="20.100000000000001" customHeight="1" x14ac:dyDescent="0.15"/>
    <row r="268" ht="20.100000000000001" customHeight="1" x14ac:dyDescent="0.15"/>
    <row r="269" ht="20.100000000000001" customHeight="1" x14ac:dyDescent="0.15"/>
    <row r="270" ht="20.100000000000001" customHeight="1" x14ac:dyDescent="0.15"/>
    <row r="271" ht="20.100000000000001" customHeight="1" x14ac:dyDescent="0.15"/>
    <row r="272" ht="20.100000000000001" customHeight="1" x14ac:dyDescent="0.15"/>
    <row r="273" ht="20.100000000000001" customHeight="1" x14ac:dyDescent="0.15"/>
    <row r="274" ht="20.100000000000001" customHeight="1" x14ac:dyDescent="0.15"/>
    <row r="275" ht="20.100000000000001" customHeight="1" x14ac:dyDescent="0.15"/>
    <row r="276" ht="20.100000000000001" customHeight="1" x14ac:dyDescent="0.15"/>
    <row r="277" ht="20.100000000000001" customHeight="1" x14ac:dyDescent="0.15"/>
    <row r="278" ht="20.100000000000001" customHeight="1" x14ac:dyDescent="0.15"/>
    <row r="279" ht="20.100000000000001" customHeight="1" x14ac:dyDescent="0.15"/>
    <row r="280" ht="20.100000000000001" customHeight="1" x14ac:dyDescent="0.15"/>
    <row r="281" ht="20.100000000000001" customHeight="1" x14ac:dyDescent="0.15"/>
    <row r="282" ht="20.100000000000001" customHeight="1" x14ac:dyDescent="0.15"/>
    <row r="283" ht="20.100000000000001" customHeight="1" x14ac:dyDescent="0.15"/>
    <row r="284" ht="20.100000000000001" customHeight="1" x14ac:dyDescent="0.15"/>
    <row r="285" ht="20.100000000000001" customHeight="1" x14ac:dyDescent="0.15"/>
    <row r="286" ht="20.100000000000001" customHeight="1" x14ac:dyDescent="0.15"/>
    <row r="287" ht="20.100000000000001" customHeight="1" x14ac:dyDescent="0.15"/>
    <row r="288" ht="20.100000000000001" customHeight="1" x14ac:dyDescent="0.15"/>
    <row r="289" ht="20.100000000000001" customHeight="1" x14ac:dyDescent="0.15"/>
    <row r="290" ht="20.100000000000001" customHeight="1" x14ac:dyDescent="0.15"/>
    <row r="291" ht="20.100000000000001" customHeight="1" x14ac:dyDescent="0.15"/>
    <row r="292" ht="20.100000000000001" customHeight="1" x14ac:dyDescent="0.15"/>
    <row r="293" ht="20.100000000000001" customHeight="1" x14ac:dyDescent="0.15"/>
    <row r="294" ht="20.100000000000001" customHeight="1" x14ac:dyDescent="0.15"/>
    <row r="295" ht="20.100000000000001" customHeight="1" x14ac:dyDescent="0.15"/>
    <row r="296" ht="20.100000000000001" customHeight="1" x14ac:dyDescent="0.15"/>
    <row r="297" ht="20.100000000000001" customHeight="1" x14ac:dyDescent="0.15"/>
    <row r="298" ht="20.100000000000001" customHeight="1" x14ac:dyDescent="0.15"/>
    <row r="299" ht="20.100000000000001" customHeight="1" x14ac:dyDescent="0.15"/>
    <row r="300" ht="20.100000000000001" customHeight="1" x14ac:dyDescent="0.15"/>
    <row r="301" ht="20.100000000000001" customHeight="1" x14ac:dyDescent="0.15"/>
    <row r="302" ht="20.100000000000001" customHeight="1" x14ac:dyDescent="0.15"/>
    <row r="303" ht="20.100000000000001" customHeight="1" x14ac:dyDescent="0.15"/>
    <row r="304" ht="20.100000000000001" customHeight="1" x14ac:dyDescent="0.15"/>
    <row r="305" ht="20.100000000000001" customHeight="1" x14ac:dyDescent="0.15"/>
    <row r="306" ht="20.100000000000001" customHeight="1" x14ac:dyDescent="0.15"/>
    <row r="307" ht="20.100000000000001" customHeight="1" x14ac:dyDescent="0.15"/>
    <row r="308" ht="20.100000000000001" customHeight="1" x14ac:dyDescent="0.15"/>
    <row r="309" ht="20.100000000000001" customHeight="1" x14ac:dyDescent="0.15"/>
    <row r="310" ht="20.100000000000001" customHeight="1" x14ac:dyDescent="0.15"/>
    <row r="311" ht="20.100000000000001" customHeight="1" x14ac:dyDescent="0.15"/>
    <row r="312" ht="20.100000000000001" customHeight="1" x14ac:dyDescent="0.15"/>
    <row r="313" ht="20.100000000000001" customHeight="1" x14ac:dyDescent="0.15"/>
    <row r="314" ht="20.100000000000001" customHeight="1" x14ac:dyDescent="0.15"/>
    <row r="315" ht="20.100000000000001" customHeight="1" x14ac:dyDescent="0.15"/>
    <row r="316" ht="20.100000000000001" customHeight="1" x14ac:dyDescent="0.15"/>
    <row r="317" ht="20.100000000000001" customHeight="1" x14ac:dyDescent="0.15"/>
    <row r="318" ht="20.100000000000001" customHeight="1" x14ac:dyDescent="0.15"/>
    <row r="319" ht="20.100000000000001" customHeight="1" x14ac:dyDescent="0.15"/>
    <row r="320" ht="20.100000000000001" customHeight="1" x14ac:dyDescent="0.15"/>
    <row r="321" ht="20.100000000000001" customHeight="1" x14ac:dyDescent="0.15"/>
    <row r="322" ht="20.100000000000001" customHeight="1" x14ac:dyDescent="0.15"/>
    <row r="323" ht="20.100000000000001" customHeight="1" x14ac:dyDescent="0.15"/>
    <row r="324" ht="20.100000000000001" customHeight="1" x14ac:dyDescent="0.15"/>
    <row r="325" ht="20.100000000000001" customHeight="1" x14ac:dyDescent="0.15"/>
    <row r="326" ht="20.100000000000001" customHeight="1" x14ac:dyDescent="0.15"/>
    <row r="327" ht="20.100000000000001" customHeight="1" x14ac:dyDescent="0.15"/>
    <row r="328" ht="20.100000000000001" customHeight="1" x14ac:dyDescent="0.15"/>
    <row r="329" ht="20.100000000000001" customHeight="1" x14ac:dyDescent="0.15"/>
    <row r="330" ht="20.100000000000001" customHeight="1" x14ac:dyDescent="0.15"/>
    <row r="331" ht="20.100000000000001" customHeight="1" x14ac:dyDescent="0.15"/>
    <row r="332" ht="20.100000000000001" customHeight="1" x14ac:dyDescent="0.15"/>
    <row r="333" ht="20.100000000000001" customHeight="1" x14ac:dyDescent="0.15"/>
    <row r="334" ht="20.100000000000001" customHeight="1" x14ac:dyDescent="0.15"/>
    <row r="335" ht="20.100000000000001" customHeight="1" x14ac:dyDescent="0.15"/>
    <row r="336" ht="20.100000000000001" customHeight="1" x14ac:dyDescent="0.15"/>
    <row r="337" ht="20.100000000000001" customHeight="1" x14ac:dyDescent="0.15"/>
    <row r="338" ht="20.100000000000001" customHeight="1" x14ac:dyDescent="0.15"/>
    <row r="339" ht="20.100000000000001" customHeight="1" x14ac:dyDescent="0.15"/>
    <row r="340" ht="20.100000000000001" customHeight="1" x14ac:dyDescent="0.15"/>
    <row r="341" ht="20.100000000000001" customHeight="1" x14ac:dyDescent="0.15"/>
    <row r="342" ht="20.100000000000001" customHeight="1" x14ac:dyDescent="0.15"/>
    <row r="343" ht="20.100000000000001" customHeight="1" x14ac:dyDescent="0.15"/>
    <row r="344" ht="20.100000000000001" customHeight="1" x14ac:dyDescent="0.15"/>
    <row r="345" ht="20.100000000000001" customHeight="1" x14ac:dyDescent="0.15"/>
    <row r="346" ht="20.100000000000001" customHeight="1" x14ac:dyDescent="0.15"/>
    <row r="347" ht="20.100000000000001" customHeight="1" x14ac:dyDescent="0.15"/>
    <row r="348" ht="20.100000000000001" customHeight="1" x14ac:dyDescent="0.15"/>
    <row r="349" ht="20.100000000000001" customHeight="1" x14ac:dyDescent="0.15"/>
    <row r="350" ht="20.100000000000001" customHeight="1" x14ac:dyDescent="0.15"/>
    <row r="351" ht="20.100000000000001" customHeight="1" x14ac:dyDescent="0.15"/>
    <row r="352" ht="20.100000000000001" customHeight="1" x14ac:dyDescent="0.15"/>
    <row r="353" ht="20.100000000000001" customHeight="1" x14ac:dyDescent="0.15"/>
    <row r="354" ht="20.100000000000001" customHeight="1" x14ac:dyDescent="0.15"/>
    <row r="355" ht="20.100000000000001" customHeight="1" x14ac:dyDescent="0.15"/>
    <row r="356" ht="20.100000000000001" customHeight="1" x14ac:dyDescent="0.15"/>
    <row r="357" ht="20.100000000000001" customHeight="1" x14ac:dyDescent="0.15"/>
    <row r="358" ht="20.100000000000001" customHeight="1" x14ac:dyDescent="0.15"/>
    <row r="359" ht="20.100000000000001" customHeight="1" x14ac:dyDescent="0.15"/>
    <row r="360" ht="20.100000000000001" customHeight="1" x14ac:dyDescent="0.15"/>
    <row r="361" ht="20.100000000000001" customHeight="1" x14ac:dyDescent="0.15"/>
    <row r="362" ht="20.100000000000001" customHeight="1" x14ac:dyDescent="0.15"/>
    <row r="363" ht="20.100000000000001" customHeight="1" x14ac:dyDescent="0.15"/>
    <row r="364" ht="20.100000000000001" customHeight="1" x14ac:dyDescent="0.15"/>
    <row r="365" ht="20.100000000000001" customHeight="1" x14ac:dyDescent="0.15"/>
    <row r="366" ht="20.100000000000001" customHeight="1" x14ac:dyDescent="0.15"/>
    <row r="367" ht="20.100000000000001" customHeight="1" x14ac:dyDescent="0.15"/>
    <row r="368" ht="20.100000000000001" customHeight="1" x14ac:dyDescent="0.15"/>
    <row r="369" ht="20.100000000000001" customHeight="1" x14ac:dyDescent="0.15"/>
    <row r="370" ht="20.100000000000001" customHeight="1" x14ac:dyDescent="0.15"/>
    <row r="371" ht="20.100000000000001" customHeight="1" x14ac:dyDescent="0.15"/>
    <row r="372" ht="20.100000000000001" customHeight="1" x14ac:dyDescent="0.15"/>
    <row r="373" ht="20.100000000000001" customHeight="1" x14ac:dyDescent="0.15"/>
    <row r="374" ht="20.100000000000001" customHeight="1" x14ac:dyDescent="0.15"/>
    <row r="375" ht="20.100000000000001" customHeight="1" x14ac:dyDescent="0.15"/>
    <row r="376" ht="20.100000000000001" customHeight="1" x14ac:dyDescent="0.15"/>
    <row r="377" ht="20.100000000000001" customHeight="1" x14ac:dyDescent="0.15"/>
    <row r="378" ht="20.100000000000001" customHeight="1" x14ac:dyDescent="0.15"/>
    <row r="379" ht="20.100000000000001" customHeight="1" x14ac:dyDescent="0.15"/>
    <row r="380" ht="20.100000000000001" customHeight="1" x14ac:dyDescent="0.15"/>
    <row r="381" ht="20.100000000000001" customHeight="1" x14ac:dyDescent="0.15"/>
    <row r="382" ht="20.100000000000001" customHeight="1" x14ac:dyDescent="0.15"/>
    <row r="383" ht="20.100000000000001" customHeight="1" x14ac:dyDescent="0.15"/>
    <row r="384" ht="20.100000000000001" customHeight="1" x14ac:dyDescent="0.15"/>
    <row r="385" ht="20.100000000000001" customHeight="1" x14ac:dyDescent="0.15"/>
    <row r="386" ht="20.100000000000001" customHeight="1" x14ac:dyDescent="0.15"/>
    <row r="387" ht="20.100000000000001" customHeight="1" x14ac:dyDescent="0.15"/>
    <row r="388" ht="20.100000000000001" customHeight="1" x14ac:dyDescent="0.15"/>
    <row r="389" ht="20.100000000000001" customHeight="1" x14ac:dyDescent="0.15"/>
    <row r="390" ht="20.100000000000001" customHeight="1" x14ac:dyDescent="0.15"/>
    <row r="391" ht="20.100000000000001" customHeight="1" x14ac:dyDescent="0.15"/>
    <row r="392" ht="20.100000000000001" customHeight="1" x14ac:dyDescent="0.15"/>
    <row r="393" ht="20.100000000000001" customHeight="1" x14ac:dyDescent="0.15"/>
    <row r="394" ht="20.100000000000001" customHeight="1" x14ac:dyDescent="0.15"/>
    <row r="395" ht="20.100000000000001" customHeight="1" x14ac:dyDescent="0.15"/>
    <row r="396" ht="20.100000000000001" customHeight="1" x14ac:dyDescent="0.15"/>
    <row r="397" ht="20.100000000000001" customHeight="1" x14ac:dyDescent="0.15"/>
    <row r="398" ht="20.100000000000001" customHeight="1" x14ac:dyDescent="0.15"/>
    <row r="399" ht="20.100000000000001" customHeight="1" x14ac:dyDescent="0.15"/>
    <row r="400" ht="20.100000000000001" customHeight="1" x14ac:dyDescent="0.15"/>
    <row r="401" ht="20.100000000000001" customHeight="1" x14ac:dyDescent="0.15"/>
    <row r="402" ht="20.100000000000001" customHeight="1" x14ac:dyDescent="0.15"/>
    <row r="403" ht="20.100000000000001" customHeight="1" x14ac:dyDescent="0.15"/>
    <row r="404" ht="20.100000000000001" customHeight="1" x14ac:dyDescent="0.15"/>
    <row r="405" ht="20.100000000000001" customHeight="1" x14ac:dyDescent="0.15"/>
    <row r="406" ht="20.100000000000001" customHeight="1" x14ac:dyDescent="0.15"/>
    <row r="407" ht="20.100000000000001" customHeight="1" x14ac:dyDescent="0.15"/>
    <row r="408" ht="20.100000000000001" customHeight="1" x14ac:dyDescent="0.15"/>
    <row r="409" ht="20.100000000000001" customHeight="1" x14ac:dyDescent="0.15"/>
    <row r="410" ht="20.100000000000001" customHeight="1" x14ac:dyDescent="0.15"/>
    <row r="411" ht="20.100000000000001" customHeight="1" x14ac:dyDescent="0.15"/>
    <row r="412" ht="20.100000000000001" customHeight="1" x14ac:dyDescent="0.15"/>
    <row r="413" ht="20.100000000000001" customHeight="1" x14ac:dyDescent="0.15"/>
    <row r="414" ht="20.100000000000001" customHeight="1" x14ac:dyDescent="0.15"/>
    <row r="415" ht="20.100000000000001" customHeight="1" x14ac:dyDescent="0.15"/>
    <row r="416" ht="20.100000000000001" customHeight="1" x14ac:dyDescent="0.15"/>
    <row r="417" ht="20.100000000000001" customHeight="1" x14ac:dyDescent="0.15"/>
    <row r="418" ht="20.100000000000001" customHeight="1" x14ac:dyDescent="0.15"/>
    <row r="419" ht="20.100000000000001" customHeight="1" x14ac:dyDescent="0.15"/>
    <row r="420" ht="20.100000000000001" customHeight="1" x14ac:dyDescent="0.15"/>
    <row r="421" ht="20.100000000000001" customHeight="1" x14ac:dyDescent="0.15"/>
    <row r="422" ht="20.100000000000001" customHeight="1" x14ac:dyDescent="0.15"/>
    <row r="423" ht="20.100000000000001" customHeight="1" x14ac:dyDescent="0.15"/>
    <row r="424" ht="20.100000000000001" customHeight="1" x14ac:dyDescent="0.15"/>
    <row r="425" ht="20.100000000000001" customHeight="1" x14ac:dyDescent="0.15"/>
    <row r="426" ht="20.100000000000001" customHeight="1" x14ac:dyDescent="0.15"/>
    <row r="427" ht="20.100000000000001" customHeight="1" x14ac:dyDescent="0.15"/>
    <row r="428" ht="20.100000000000001" customHeight="1" x14ac:dyDescent="0.15"/>
    <row r="429" ht="20.100000000000001" customHeight="1" x14ac:dyDescent="0.15"/>
    <row r="430" ht="20.100000000000001" customHeight="1" x14ac:dyDescent="0.15"/>
    <row r="431" ht="20.100000000000001" customHeight="1" x14ac:dyDescent="0.15"/>
    <row r="432" ht="20.100000000000001" customHeight="1" x14ac:dyDescent="0.15"/>
    <row r="433" ht="20.100000000000001" customHeight="1" x14ac:dyDescent="0.15"/>
    <row r="434" ht="20.100000000000001" customHeight="1" x14ac:dyDescent="0.15"/>
    <row r="435" ht="20.100000000000001" customHeight="1" x14ac:dyDescent="0.15"/>
    <row r="436" ht="20.100000000000001" customHeight="1" x14ac:dyDescent="0.15"/>
    <row r="437" ht="20.100000000000001" customHeight="1" x14ac:dyDescent="0.15"/>
    <row r="438" ht="20.100000000000001" customHeight="1" x14ac:dyDescent="0.15"/>
    <row r="439" ht="20.100000000000001" customHeight="1" x14ac:dyDescent="0.15"/>
    <row r="440" ht="20.100000000000001" customHeight="1" x14ac:dyDescent="0.15"/>
    <row r="441" ht="20.100000000000001" customHeight="1" x14ac:dyDescent="0.15"/>
    <row r="442" ht="20.100000000000001" customHeight="1" x14ac:dyDescent="0.15"/>
    <row r="443" ht="20.100000000000001" customHeight="1" x14ac:dyDescent="0.15"/>
    <row r="444" ht="20.100000000000001" customHeight="1" x14ac:dyDescent="0.15"/>
    <row r="445" ht="20.100000000000001" customHeight="1" x14ac:dyDescent="0.15"/>
    <row r="446" ht="20.100000000000001" customHeight="1" x14ac:dyDescent="0.15"/>
    <row r="447" ht="20.100000000000001" customHeight="1" x14ac:dyDescent="0.15"/>
    <row r="448" ht="20.100000000000001" customHeight="1" x14ac:dyDescent="0.15"/>
    <row r="449" ht="20.100000000000001" customHeight="1" x14ac:dyDescent="0.15"/>
    <row r="450" ht="20.100000000000001" customHeight="1" x14ac:dyDescent="0.15"/>
    <row r="451" ht="20.100000000000001" customHeight="1" x14ac:dyDescent="0.15"/>
    <row r="452" ht="20.100000000000001" customHeight="1" x14ac:dyDescent="0.15"/>
    <row r="453" ht="20.100000000000001" customHeight="1" x14ac:dyDescent="0.15"/>
    <row r="454" ht="20.100000000000001" customHeight="1" x14ac:dyDescent="0.15"/>
    <row r="455" ht="20.100000000000001" customHeight="1" x14ac:dyDescent="0.15"/>
    <row r="456" ht="20.100000000000001" customHeight="1" x14ac:dyDescent="0.15"/>
    <row r="457" ht="20.100000000000001" customHeight="1" x14ac:dyDescent="0.15"/>
    <row r="458" ht="20.100000000000001" customHeight="1" x14ac:dyDescent="0.15"/>
    <row r="459" ht="20.100000000000001" customHeight="1" x14ac:dyDescent="0.15"/>
    <row r="460" ht="20.100000000000001" customHeight="1" x14ac:dyDescent="0.15"/>
    <row r="461" ht="20.100000000000001" customHeight="1" x14ac:dyDescent="0.15"/>
    <row r="462" ht="20.100000000000001" customHeight="1" x14ac:dyDescent="0.15"/>
    <row r="463" ht="20.100000000000001" customHeight="1" x14ac:dyDescent="0.15"/>
    <row r="464" ht="20.100000000000001" customHeight="1" x14ac:dyDescent="0.15"/>
    <row r="465" ht="20.100000000000001" customHeight="1" x14ac:dyDescent="0.15"/>
    <row r="466" ht="20.100000000000001" customHeight="1" x14ac:dyDescent="0.15"/>
    <row r="467" ht="20.100000000000001" customHeight="1" x14ac:dyDescent="0.15"/>
    <row r="468" ht="20.100000000000001" customHeight="1" x14ac:dyDescent="0.15"/>
    <row r="469" ht="20.100000000000001" customHeight="1" x14ac:dyDescent="0.15"/>
    <row r="470" ht="20.100000000000001" customHeight="1" x14ac:dyDescent="0.15"/>
    <row r="471" ht="20.100000000000001" customHeight="1" x14ac:dyDescent="0.15"/>
    <row r="472" ht="20.100000000000001" customHeight="1" x14ac:dyDescent="0.15"/>
    <row r="473" ht="20.100000000000001" customHeight="1" x14ac:dyDescent="0.15"/>
    <row r="474" ht="20.100000000000001" customHeight="1" x14ac:dyDescent="0.15"/>
    <row r="475" ht="20.100000000000001" customHeight="1" x14ac:dyDescent="0.15"/>
    <row r="476" ht="20.100000000000001" customHeight="1" x14ac:dyDescent="0.15"/>
    <row r="477" ht="20.100000000000001" customHeight="1" x14ac:dyDescent="0.15"/>
    <row r="478" ht="20.100000000000001" customHeight="1" x14ac:dyDescent="0.15"/>
    <row r="479" ht="20.100000000000001" customHeight="1" x14ac:dyDescent="0.15"/>
    <row r="480" ht="20.100000000000001" customHeight="1" x14ac:dyDescent="0.15"/>
    <row r="481" ht="20.100000000000001" customHeight="1" x14ac:dyDescent="0.15"/>
    <row r="482" ht="20.100000000000001" customHeight="1" x14ac:dyDescent="0.15"/>
    <row r="483" ht="20.100000000000001" customHeight="1" x14ac:dyDescent="0.15"/>
    <row r="484" ht="20.100000000000001" customHeight="1" x14ac:dyDescent="0.15"/>
    <row r="485" ht="20.100000000000001" customHeight="1" x14ac:dyDescent="0.15"/>
    <row r="486" ht="20.100000000000001" customHeight="1" x14ac:dyDescent="0.15"/>
    <row r="487" ht="20.100000000000001" customHeight="1" x14ac:dyDescent="0.15"/>
    <row r="488" ht="20.100000000000001" customHeight="1" x14ac:dyDescent="0.15"/>
    <row r="489" ht="20.100000000000001" customHeight="1" x14ac:dyDescent="0.15"/>
    <row r="490" ht="20.100000000000001" customHeight="1" x14ac:dyDescent="0.15"/>
    <row r="491" ht="20.100000000000001" customHeight="1" x14ac:dyDescent="0.15"/>
    <row r="492" ht="20.100000000000001" customHeight="1" x14ac:dyDescent="0.15"/>
    <row r="493" ht="20.100000000000001" customHeight="1" x14ac:dyDescent="0.15"/>
    <row r="494" ht="20.100000000000001" customHeight="1" x14ac:dyDescent="0.15"/>
    <row r="495" ht="20.100000000000001" customHeight="1" x14ac:dyDescent="0.15"/>
    <row r="496" ht="20.100000000000001" customHeight="1" x14ac:dyDescent="0.15"/>
    <row r="497" ht="20.100000000000001" customHeight="1" x14ac:dyDescent="0.15"/>
    <row r="498" ht="20.100000000000001" customHeight="1" x14ac:dyDescent="0.15"/>
    <row r="499" ht="20.100000000000001" customHeight="1" x14ac:dyDescent="0.15"/>
    <row r="500" ht="20.100000000000001" customHeight="1" x14ac:dyDescent="0.15"/>
    <row r="501" ht="20.100000000000001" customHeight="1" x14ac:dyDescent="0.15"/>
    <row r="502" ht="20.100000000000001" customHeight="1" x14ac:dyDescent="0.15"/>
    <row r="503" ht="20.100000000000001" customHeight="1" x14ac:dyDescent="0.15"/>
    <row r="504" ht="20.100000000000001" customHeight="1" x14ac:dyDescent="0.15"/>
    <row r="505" ht="20.100000000000001" customHeight="1" x14ac:dyDescent="0.15"/>
    <row r="506" ht="20.100000000000001" customHeight="1" x14ac:dyDescent="0.15"/>
  </sheetData>
  <autoFilter ref="A4:M21" xr:uid="{00000000-0009-0000-0000-000003000000}"/>
  <mergeCells count="2">
    <mergeCell ref="A1:K1"/>
    <mergeCell ref="A2:K2"/>
  </mergeCells>
  <phoneticPr fontId="21" type="noConversion"/>
  <dataValidations count="2">
    <dataValidation type="list" allowBlank="1" showInputMessage="1" showErrorMessage="1" sqref="A2:F2 H2:K2 G5:G1048576" xr:uid="{00000000-0002-0000-0300-000000000000}">
      <formula1>#REF!</formula1>
    </dataValidation>
    <dataValidation allowBlank="1" showInputMessage="1" showErrorMessage="1" sqref="G1:G4" xr:uid="{00000000-0002-0000-0300-000001000000}"/>
  </dataValidation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9"/>
  <sheetViews>
    <sheetView workbookViewId="0">
      <selection activeCell="H17" sqref="H17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1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1" ht="20.100000000000001" customHeight="1" x14ac:dyDescent="0.15">
      <c r="A2" s="67" t="s">
        <v>52</v>
      </c>
      <c r="B2" s="67"/>
      <c r="C2" s="67"/>
      <c r="D2" s="67"/>
      <c r="E2" s="67"/>
      <c r="F2" s="67"/>
      <c r="G2" s="67"/>
      <c r="H2" s="69"/>
      <c r="I2" s="69"/>
      <c r="J2" s="69"/>
      <c r="K2" s="67"/>
    </row>
    <row r="3" spans="1:11" ht="20.100000000000001" customHeight="1" x14ac:dyDescent="0.15">
      <c r="A3" s="3"/>
      <c r="B3" s="3"/>
      <c r="C3" s="3"/>
      <c r="D3" s="3"/>
      <c r="E3" s="3"/>
      <c r="F3" s="3"/>
      <c r="G3" s="3"/>
      <c r="H3" s="4">
        <f>SUM(H5:H89523)</f>
        <v>10000</v>
      </c>
      <c r="I3" s="4">
        <f>SUM(I5:I89523)</f>
        <v>10110</v>
      </c>
      <c r="J3" s="4"/>
      <c r="K3" s="3">
        <f>K5+H3-I3</f>
        <v>890</v>
      </c>
    </row>
    <row r="4" spans="1:11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1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</row>
    <row r="6" spans="1:11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17" si="0">IF((K5+H6-I6)&gt;0,"借","贷")</f>
        <v>借</v>
      </c>
      <c r="K6" s="9">
        <f t="shared" ref="K6:K17" si="1">K5+H6-I6</f>
        <v>11000</v>
      </c>
    </row>
    <row r="7" spans="1:11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1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1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1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1" ht="20.100000000000001" customHeight="1" x14ac:dyDescent="0.15">
      <c r="A11" s="5"/>
      <c r="B11" s="5"/>
      <c r="C11" s="5"/>
      <c r="D11" s="49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1" ht="20.100000000000001" customHeight="1" x14ac:dyDescent="0.15">
      <c r="A12" s="5"/>
      <c r="B12" s="5"/>
      <c r="C12" s="5"/>
      <c r="D12" s="49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1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1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1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1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ref="J18:J20" si="2">IF((K17+H18-I18)&gt;0,"借","贷")</f>
        <v>借</v>
      </c>
      <c r="K18" s="9">
        <f t="shared" ref="K18:K20" si="3">K17+H18-I18</f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2"/>
        <v>借</v>
      </c>
      <c r="K19" s="9">
        <f t="shared" si="3"/>
        <v>890</v>
      </c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2"/>
        <v>借</v>
      </c>
      <c r="K20" s="9">
        <f t="shared" si="3"/>
        <v>890</v>
      </c>
    </row>
    <row r="21" spans="1:13" ht="20.100000000000001" customHeight="1" x14ac:dyDescent="0.15"/>
    <row r="22" spans="1:13" ht="20.100000000000001" customHeight="1" x14ac:dyDescent="0.15"/>
    <row r="23" spans="1:13" ht="20.100000000000001" customHeight="1" x14ac:dyDescent="0.15"/>
    <row r="24" spans="1:13" ht="20.100000000000001" customHeight="1" x14ac:dyDescent="0.15"/>
    <row r="25" spans="1:13" ht="20.100000000000001" customHeight="1" x14ac:dyDescent="0.15"/>
    <row r="26" spans="1:13" ht="20.100000000000001" customHeight="1" x14ac:dyDescent="0.15"/>
    <row r="27" spans="1:13" ht="20.100000000000001" customHeight="1" x14ac:dyDescent="0.15"/>
    <row r="28" spans="1:13" ht="20.100000000000001" customHeight="1" x14ac:dyDescent="0.15">
      <c r="M28" s="65"/>
    </row>
    <row r="29" spans="1:13" ht="20.100000000000001" customHeight="1" x14ac:dyDescent="0.15">
      <c r="M29" s="65"/>
    </row>
    <row r="30" spans="1:13" ht="20.100000000000001" customHeight="1" x14ac:dyDescent="0.15">
      <c r="M30" s="65"/>
    </row>
    <row r="31" spans="1:13" ht="20.100000000000001" customHeight="1" x14ac:dyDescent="0.15">
      <c r="M31" s="65"/>
    </row>
    <row r="32" spans="1:13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  <row r="41" ht="20.100000000000001" customHeight="1" x14ac:dyDescent="0.15"/>
    <row r="42" ht="20.100000000000001" customHeight="1" x14ac:dyDescent="0.15"/>
    <row r="43" ht="20.100000000000001" customHeight="1" x14ac:dyDescent="0.15"/>
    <row r="44" ht="20.100000000000001" customHeight="1" x14ac:dyDescent="0.15"/>
    <row r="45" ht="20.100000000000001" customHeight="1" x14ac:dyDescent="0.15"/>
    <row r="46" ht="20.100000000000001" customHeight="1" x14ac:dyDescent="0.15"/>
    <row r="47" ht="20.100000000000001" customHeight="1" x14ac:dyDescent="0.15"/>
    <row r="48" ht="20.100000000000001" customHeight="1" x14ac:dyDescent="0.15"/>
    <row r="49" spans="13:13" ht="20.100000000000001" customHeight="1" x14ac:dyDescent="0.15"/>
    <row r="50" spans="13:13" ht="20.100000000000001" customHeight="1" x14ac:dyDescent="0.15"/>
    <row r="51" spans="13:13" ht="20.100000000000001" customHeight="1" x14ac:dyDescent="0.15"/>
    <row r="52" spans="13:13" ht="20.100000000000001" customHeight="1" x14ac:dyDescent="0.15"/>
    <row r="53" spans="13:13" ht="20.100000000000001" customHeight="1" x14ac:dyDescent="0.15"/>
    <row r="54" spans="13:13" ht="20.100000000000001" customHeight="1" x14ac:dyDescent="0.15"/>
    <row r="55" spans="13:13" ht="20.100000000000001" customHeight="1" x14ac:dyDescent="0.15">
      <c r="M55" s="65"/>
    </row>
    <row r="56" spans="13:13" ht="20.100000000000001" customHeight="1" x14ac:dyDescent="0.15">
      <c r="M56" s="65"/>
    </row>
    <row r="57" spans="13:13" ht="20.100000000000001" customHeight="1" x14ac:dyDescent="0.15">
      <c r="M57" s="65"/>
    </row>
    <row r="58" spans="13:13" ht="20.100000000000001" customHeight="1" x14ac:dyDescent="0.15">
      <c r="M58" s="65"/>
    </row>
    <row r="59" spans="13:13" ht="20.100000000000001" customHeight="1" x14ac:dyDescent="0.15"/>
    <row r="60" spans="13:13" ht="20.100000000000001" customHeight="1" x14ac:dyDescent="0.15"/>
    <row r="61" spans="13:13" ht="20.100000000000001" customHeight="1" x14ac:dyDescent="0.15"/>
    <row r="62" spans="13:13" ht="20.100000000000001" customHeight="1" x14ac:dyDescent="0.15"/>
    <row r="63" spans="13:13" ht="20.100000000000001" customHeight="1" x14ac:dyDescent="0.15"/>
    <row r="64" spans="13:13" ht="20.100000000000001" customHeight="1" x14ac:dyDescent="0.15"/>
    <row r="65" spans="13:13" ht="20.100000000000001" customHeight="1" x14ac:dyDescent="0.15"/>
    <row r="66" spans="13:13" ht="20.100000000000001" customHeight="1" x14ac:dyDescent="0.15"/>
    <row r="67" spans="13:13" ht="20.100000000000001" customHeight="1" x14ac:dyDescent="0.15"/>
    <row r="68" spans="13:13" ht="20.100000000000001" customHeight="1" x14ac:dyDescent="0.15"/>
    <row r="69" spans="13:13" ht="20.100000000000001" customHeight="1" x14ac:dyDescent="0.15">
      <c r="M69" s="65"/>
    </row>
    <row r="70" spans="13:13" ht="20.100000000000001" customHeight="1" x14ac:dyDescent="0.15">
      <c r="M70" s="65"/>
    </row>
    <row r="71" spans="13:13" ht="20.100000000000001" customHeight="1" x14ac:dyDescent="0.15">
      <c r="M71" s="65"/>
    </row>
    <row r="72" spans="13:13" ht="20.100000000000001" customHeight="1" x14ac:dyDescent="0.15"/>
    <row r="73" spans="13:13" ht="20.100000000000001" customHeight="1" x14ac:dyDescent="0.15"/>
    <row r="74" spans="13:13" ht="20.100000000000001" customHeight="1" x14ac:dyDescent="0.15"/>
    <row r="75" spans="13:13" ht="20.100000000000001" customHeight="1" x14ac:dyDescent="0.15"/>
    <row r="76" spans="13:13" ht="20.100000000000001" customHeight="1" x14ac:dyDescent="0.15"/>
    <row r="77" spans="13:13" ht="20.100000000000001" customHeight="1" x14ac:dyDescent="0.15"/>
    <row r="78" spans="13:13" ht="20.100000000000001" customHeight="1" x14ac:dyDescent="0.15"/>
    <row r="79" spans="13:13" ht="20.100000000000001" customHeight="1" x14ac:dyDescent="0.15"/>
    <row r="80" spans="13:13" ht="20.100000000000001" customHeight="1" x14ac:dyDescent="0.15"/>
    <row r="81" ht="20.100000000000001" customHeight="1" x14ac:dyDescent="0.15"/>
    <row r="82" ht="20.100000000000001" customHeight="1" x14ac:dyDescent="0.15"/>
    <row r="83" ht="20.100000000000001" customHeight="1" x14ac:dyDescent="0.15"/>
    <row r="84" ht="20.100000000000001" customHeight="1" x14ac:dyDescent="0.15"/>
    <row r="85" ht="20.100000000000001" customHeight="1" x14ac:dyDescent="0.15"/>
    <row r="86" ht="20.100000000000001" customHeight="1" x14ac:dyDescent="0.15"/>
    <row r="87" ht="20.100000000000001" customHeight="1" x14ac:dyDescent="0.15"/>
    <row r="88" ht="20.100000000000001" customHeight="1" x14ac:dyDescent="0.15"/>
    <row r="89" ht="20.100000000000001" customHeight="1" x14ac:dyDescent="0.15"/>
    <row r="90" ht="20.100000000000001" customHeight="1" x14ac:dyDescent="0.15"/>
    <row r="91" ht="20.100000000000001" customHeight="1" x14ac:dyDescent="0.15"/>
    <row r="92" ht="20.100000000000001" customHeight="1" x14ac:dyDescent="0.15"/>
    <row r="93" ht="20.100000000000001" customHeight="1" x14ac:dyDescent="0.15"/>
    <row r="94" ht="20.100000000000001" customHeight="1" x14ac:dyDescent="0.15"/>
    <row r="95" ht="20.100000000000001" customHeight="1" x14ac:dyDescent="0.15"/>
    <row r="96" ht="20.100000000000001" customHeight="1" x14ac:dyDescent="0.15"/>
    <row r="97" ht="20.100000000000001" customHeight="1" x14ac:dyDescent="0.15"/>
    <row r="98" ht="20.100000000000001" customHeight="1" x14ac:dyDescent="0.15"/>
    <row r="99" ht="20.100000000000001" customHeight="1" x14ac:dyDescent="0.15"/>
    <row r="100" ht="20.100000000000001" customHeight="1" x14ac:dyDescent="0.15"/>
    <row r="101" ht="20.100000000000001" customHeight="1" x14ac:dyDescent="0.15"/>
    <row r="102" ht="20.100000000000001" customHeight="1" x14ac:dyDescent="0.15"/>
    <row r="103" ht="20.100000000000001" customHeight="1" x14ac:dyDescent="0.15"/>
    <row r="104" ht="20.100000000000001" customHeight="1" x14ac:dyDescent="0.15"/>
    <row r="105" ht="20.100000000000001" customHeight="1" x14ac:dyDescent="0.15"/>
    <row r="106" ht="20.100000000000001" customHeight="1" x14ac:dyDescent="0.15"/>
    <row r="107" ht="20.100000000000001" customHeight="1" x14ac:dyDescent="0.15"/>
    <row r="108" ht="20.100000000000001" customHeight="1" x14ac:dyDescent="0.15"/>
    <row r="109" ht="20.100000000000001" customHeight="1" x14ac:dyDescent="0.15"/>
    <row r="110" ht="20.100000000000001" customHeight="1" x14ac:dyDescent="0.15"/>
    <row r="111" ht="20.100000000000001" customHeight="1" x14ac:dyDescent="0.15"/>
    <row r="112" ht="20.100000000000001" customHeight="1" x14ac:dyDescent="0.15"/>
    <row r="113" ht="20.100000000000001" customHeight="1" x14ac:dyDescent="0.15"/>
    <row r="114" ht="20.100000000000001" customHeight="1" x14ac:dyDescent="0.15"/>
    <row r="115" ht="20.100000000000001" customHeight="1" x14ac:dyDescent="0.15"/>
    <row r="116" ht="20.100000000000001" customHeight="1" x14ac:dyDescent="0.15"/>
    <row r="117" ht="20.100000000000001" customHeight="1" x14ac:dyDescent="0.15"/>
    <row r="118" ht="20.100000000000001" customHeight="1" x14ac:dyDescent="0.15"/>
    <row r="119" ht="20.100000000000001" customHeight="1" x14ac:dyDescent="0.15"/>
    <row r="120" ht="20.100000000000001" customHeight="1" x14ac:dyDescent="0.15"/>
    <row r="121" ht="20.100000000000001" customHeight="1" x14ac:dyDescent="0.15"/>
    <row r="122" ht="20.100000000000001" customHeight="1" x14ac:dyDescent="0.15"/>
    <row r="123" ht="20.100000000000001" customHeight="1" x14ac:dyDescent="0.15"/>
    <row r="124" ht="20.100000000000001" customHeight="1" x14ac:dyDescent="0.15"/>
    <row r="125" ht="20.100000000000001" customHeight="1" x14ac:dyDescent="0.15"/>
    <row r="126" ht="20.100000000000001" customHeight="1" x14ac:dyDescent="0.15"/>
    <row r="127" ht="20.100000000000001" customHeight="1" x14ac:dyDescent="0.15"/>
    <row r="128" ht="20.100000000000001" customHeight="1" x14ac:dyDescent="0.15"/>
    <row r="129" ht="20.100000000000001" customHeight="1" x14ac:dyDescent="0.15"/>
    <row r="130" ht="20.100000000000001" customHeight="1" x14ac:dyDescent="0.15"/>
    <row r="131" ht="20.100000000000001" customHeight="1" x14ac:dyDescent="0.15"/>
    <row r="132" ht="20.100000000000001" customHeight="1" x14ac:dyDescent="0.15"/>
    <row r="133" ht="20.100000000000001" customHeight="1" x14ac:dyDescent="0.15"/>
    <row r="134" ht="20.100000000000001" customHeight="1" x14ac:dyDescent="0.15"/>
    <row r="135" ht="20.100000000000001" customHeight="1" x14ac:dyDescent="0.15"/>
    <row r="136" ht="20.100000000000001" customHeight="1" x14ac:dyDescent="0.15"/>
    <row r="137" ht="20.100000000000001" customHeight="1" x14ac:dyDescent="0.15"/>
    <row r="138" ht="20.100000000000001" customHeight="1" x14ac:dyDescent="0.15"/>
    <row r="139" ht="20.100000000000001" customHeight="1" x14ac:dyDescent="0.15"/>
    <row r="140" ht="20.100000000000001" customHeight="1" x14ac:dyDescent="0.15"/>
    <row r="141" ht="20.100000000000001" customHeight="1" x14ac:dyDescent="0.15"/>
    <row r="142" ht="20.100000000000001" customHeight="1" x14ac:dyDescent="0.15"/>
    <row r="143" ht="20.100000000000001" customHeight="1" x14ac:dyDescent="0.15"/>
    <row r="144" ht="20.100000000000001" customHeight="1" x14ac:dyDescent="0.15"/>
    <row r="145" ht="20.100000000000001" customHeight="1" x14ac:dyDescent="0.15"/>
    <row r="146" ht="20.100000000000001" customHeight="1" x14ac:dyDescent="0.15"/>
    <row r="147" ht="20.100000000000001" customHeight="1" x14ac:dyDescent="0.15"/>
    <row r="148" ht="20.100000000000001" customHeight="1" x14ac:dyDescent="0.15"/>
    <row r="149" ht="20.100000000000001" customHeight="1" x14ac:dyDescent="0.15"/>
    <row r="150" ht="20.100000000000001" customHeight="1" x14ac:dyDescent="0.15"/>
    <row r="151" ht="20.100000000000001" customHeight="1" x14ac:dyDescent="0.15"/>
    <row r="152" ht="20.100000000000001" customHeight="1" x14ac:dyDescent="0.15"/>
    <row r="153" ht="20.100000000000001" customHeight="1" x14ac:dyDescent="0.15"/>
    <row r="154" ht="20.100000000000001" customHeight="1" x14ac:dyDescent="0.15"/>
    <row r="155" ht="20.100000000000001" customHeight="1" x14ac:dyDescent="0.15"/>
    <row r="156" ht="20.100000000000001" customHeight="1" x14ac:dyDescent="0.15"/>
    <row r="157" ht="20.100000000000001" customHeight="1" x14ac:dyDescent="0.15"/>
    <row r="158" ht="20.100000000000001" customHeight="1" x14ac:dyDescent="0.15"/>
    <row r="159" ht="20.100000000000001" customHeight="1" x14ac:dyDescent="0.15"/>
    <row r="160" ht="20.100000000000001" customHeight="1" x14ac:dyDescent="0.15"/>
    <row r="161" ht="20.100000000000001" customHeight="1" x14ac:dyDescent="0.15"/>
    <row r="162" ht="20.100000000000001" customHeight="1" x14ac:dyDescent="0.15"/>
    <row r="163" ht="20.100000000000001" customHeight="1" x14ac:dyDescent="0.15"/>
    <row r="164" ht="20.100000000000001" customHeight="1" x14ac:dyDescent="0.15"/>
    <row r="165" ht="20.100000000000001" customHeight="1" x14ac:dyDescent="0.15"/>
    <row r="166" ht="20.100000000000001" customHeight="1" x14ac:dyDescent="0.15"/>
    <row r="167" ht="20.100000000000001" customHeight="1" x14ac:dyDescent="0.15"/>
    <row r="168" ht="20.100000000000001" customHeight="1" x14ac:dyDescent="0.15"/>
    <row r="169" ht="20.100000000000001" customHeight="1" x14ac:dyDescent="0.15"/>
    <row r="170" ht="20.100000000000001" customHeight="1" x14ac:dyDescent="0.15"/>
    <row r="171" ht="20.100000000000001" customHeight="1" x14ac:dyDescent="0.15"/>
    <row r="172" ht="20.100000000000001" customHeight="1" x14ac:dyDescent="0.15"/>
    <row r="173" ht="20.100000000000001" customHeight="1" x14ac:dyDescent="0.15"/>
    <row r="174" ht="20.100000000000001" customHeight="1" x14ac:dyDescent="0.15"/>
    <row r="175" ht="20.100000000000001" customHeight="1" x14ac:dyDescent="0.15"/>
    <row r="176" ht="20.100000000000001" customHeight="1" x14ac:dyDescent="0.15"/>
    <row r="177" ht="20.100000000000001" customHeight="1" x14ac:dyDescent="0.15"/>
    <row r="178" ht="20.100000000000001" customHeight="1" x14ac:dyDescent="0.15"/>
    <row r="179" ht="20.100000000000001" customHeight="1" x14ac:dyDescent="0.15"/>
    <row r="180" ht="20.100000000000001" customHeight="1" x14ac:dyDescent="0.15"/>
    <row r="181" ht="20.100000000000001" customHeight="1" x14ac:dyDescent="0.15"/>
    <row r="182" ht="20.100000000000001" customHeight="1" x14ac:dyDescent="0.15"/>
    <row r="183" ht="20.100000000000001" customHeight="1" x14ac:dyDescent="0.15"/>
    <row r="184" ht="20.100000000000001" customHeight="1" x14ac:dyDescent="0.15"/>
    <row r="185" ht="20.100000000000001" customHeight="1" x14ac:dyDescent="0.15"/>
    <row r="186" ht="20.100000000000001" customHeight="1" x14ac:dyDescent="0.15"/>
    <row r="187" ht="20.100000000000001" customHeight="1" x14ac:dyDescent="0.15"/>
    <row r="188" ht="20.100000000000001" customHeight="1" x14ac:dyDescent="0.15"/>
    <row r="189" ht="20.100000000000001" customHeight="1" x14ac:dyDescent="0.15"/>
    <row r="190" ht="20.100000000000001" customHeight="1" x14ac:dyDescent="0.15"/>
    <row r="191" ht="20.100000000000001" customHeight="1" x14ac:dyDescent="0.15"/>
    <row r="192" ht="20.100000000000001" customHeight="1" x14ac:dyDescent="0.15"/>
    <row r="193" ht="20.100000000000001" customHeight="1" x14ac:dyDescent="0.15"/>
    <row r="194" ht="20.100000000000001" customHeight="1" x14ac:dyDescent="0.15"/>
    <row r="195" ht="20.100000000000001" customHeight="1" x14ac:dyDescent="0.15"/>
    <row r="196" ht="20.100000000000001" customHeight="1" x14ac:dyDescent="0.15"/>
    <row r="197" ht="20.100000000000001" customHeight="1" x14ac:dyDescent="0.15"/>
    <row r="198" ht="20.100000000000001" customHeight="1" x14ac:dyDescent="0.15"/>
    <row r="199" ht="20.100000000000001" customHeight="1" x14ac:dyDescent="0.15"/>
    <row r="200" ht="20.100000000000001" customHeight="1" x14ac:dyDescent="0.15"/>
    <row r="201" ht="20.100000000000001" customHeight="1" x14ac:dyDescent="0.15"/>
    <row r="202" ht="20.100000000000001" customHeight="1" x14ac:dyDescent="0.15"/>
    <row r="203" ht="20.100000000000001" customHeight="1" x14ac:dyDescent="0.15"/>
    <row r="204" ht="20.100000000000001" customHeight="1" x14ac:dyDescent="0.15"/>
    <row r="205" ht="20.100000000000001" customHeight="1" x14ac:dyDescent="0.15"/>
    <row r="206" ht="20.100000000000001" customHeight="1" x14ac:dyDescent="0.15"/>
    <row r="207" ht="20.100000000000001" customHeight="1" x14ac:dyDescent="0.15"/>
    <row r="208" ht="20.100000000000001" customHeight="1" x14ac:dyDescent="0.15"/>
    <row r="209" ht="20.100000000000001" customHeight="1" x14ac:dyDescent="0.15"/>
    <row r="210" ht="20.100000000000001" customHeight="1" x14ac:dyDescent="0.15"/>
    <row r="211" ht="20.100000000000001" customHeight="1" x14ac:dyDescent="0.15"/>
    <row r="212" ht="20.100000000000001" customHeight="1" x14ac:dyDescent="0.15"/>
    <row r="213" ht="20.100000000000001" customHeight="1" x14ac:dyDescent="0.15"/>
    <row r="214" ht="20.100000000000001" customHeight="1" x14ac:dyDescent="0.15"/>
    <row r="215" ht="20.100000000000001" customHeight="1" x14ac:dyDescent="0.15"/>
    <row r="216" ht="20.100000000000001" customHeight="1" x14ac:dyDescent="0.15"/>
    <row r="217" ht="20.100000000000001" customHeight="1" x14ac:dyDescent="0.15"/>
    <row r="218" ht="20.100000000000001" customHeight="1" x14ac:dyDescent="0.15"/>
    <row r="219" ht="20.100000000000001" customHeight="1" x14ac:dyDescent="0.15"/>
    <row r="220" ht="20.100000000000001" customHeight="1" x14ac:dyDescent="0.15"/>
    <row r="221" ht="20.100000000000001" customHeight="1" x14ac:dyDescent="0.15"/>
    <row r="222" ht="20.100000000000001" customHeight="1" x14ac:dyDescent="0.15"/>
    <row r="223" ht="20.100000000000001" customHeight="1" x14ac:dyDescent="0.15"/>
    <row r="224" ht="20.100000000000001" customHeight="1" x14ac:dyDescent="0.15"/>
    <row r="225" ht="20.100000000000001" customHeight="1" x14ac:dyDescent="0.15"/>
    <row r="226" ht="20.100000000000001" customHeight="1" x14ac:dyDescent="0.15"/>
    <row r="227" ht="20.100000000000001" customHeight="1" x14ac:dyDescent="0.15"/>
    <row r="228" ht="20.100000000000001" customHeight="1" x14ac:dyDescent="0.15"/>
    <row r="229" ht="20.100000000000001" customHeight="1" x14ac:dyDescent="0.15"/>
    <row r="230" ht="20.100000000000001" customHeight="1" x14ac:dyDescent="0.15"/>
    <row r="231" ht="20.100000000000001" customHeight="1" x14ac:dyDescent="0.15"/>
    <row r="232" ht="20.100000000000001" customHeight="1" x14ac:dyDescent="0.15"/>
    <row r="233" ht="20.100000000000001" customHeight="1" x14ac:dyDescent="0.15"/>
    <row r="234" ht="20.100000000000001" customHeight="1" x14ac:dyDescent="0.15"/>
    <row r="235" ht="20.100000000000001" customHeight="1" x14ac:dyDescent="0.15"/>
    <row r="236" ht="20.100000000000001" customHeight="1" x14ac:dyDescent="0.15"/>
    <row r="237" ht="20.100000000000001" customHeight="1" x14ac:dyDescent="0.15"/>
    <row r="238" ht="20.100000000000001" customHeight="1" x14ac:dyDescent="0.15"/>
    <row r="239" ht="20.100000000000001" customHeight="1" x14ac:dyDescent="0.15"/>
    <row r="240" ht="20.100000000000001" customHeight="1" x14ac:dyDescent="0.15"/>
    <row r="241" ht="20.100000000000001" customHeight="1" x14ac:dyDescent="0.15"/>
    <row r="242" ht="20.100000000000001" customHeight="1" x14ac:dyDescent="0.15"/>
    <row r="243" ht="20.100000000000001" customHeight="1" x14ac:dyDescent="0.15"/>
    <row r="244" ht="20.100000000000001" customHeight="1" x14ac:dyDescent="0.15"/>
    <row r="245" ht="20.100000000000001" customHeight="1" x14ac:dyDescent="0.15"/>
    <row r="246" ht="20.100000000000001" customHeight="1" x14ac:dyDescent="0.15"/>
    <row r="247" ht="20.100000000000001" customHeight="1" x14ac:dyDescent="0.15"/>
    <row r="248" ht="20.100000000000001" customHeight="1" x14ac:dyDescent="0.15"/>
    <row r="249" ht="20.100000000000001" customHeight="1" x14ac:dyDescent="0.15"/>
    <row r="250" ht="20.100000000000001" customHeight="1" x14ac:dyDescent="0.15"/>
    <row r="251" ht="20.100000000000001" customHeight="1" x14ac:dyDescent="0.15"/>
    <row r="252" ht="20.100000000000001" customHeight="1" x14ac:dyDescent="0.15"/>
    <row r="253" ht="20.100000000000001" customHeight="1" x14ac:dyDescent="0.15"/>
    <row r="254" ht="20.100000000000001" customHeight="1" x14ac:dyDescent="0.15"/>
    <row r="255" ht="20.100000000000001" customHeight="1" x14ac:dyDescent="0.15"/>
    <row r="256" ht="20.100000000000001" customHeight="1" x14ac:dyDescent="0.15"/>
    <row r="257" ht="20.100000000000001" customHeight="1" x14ac:dyDescent="0.15"/>
    <row r="258" ht="20.100000000000001" customHeight="1" x14ac:dyDescent="0.15"/>
    <row r="259" ht="20.100000000000001" customHeight="1" x14ac:dyDescent="0.15"/>
    <row r="260" ht="20.100000000000001" customHeight="1" x14ac:dyDescent="0.15"/>
    <row r="261" ht="20.100000000000001" customHeight="1" x14ac:dyDescent="0.15"/>
    <row r="262" ht="20.100000000000001" customHeight="1" x14ac:dyDescent="0.15"/>
    <row r="263" ht="20.100000000000001" customHeight="1" x14ac:dyDescent="0.15"/>
    <row r="264" ht="20.100000000000001" customHeight="1" x14ac:dyDescent="0.15"/>
    <row r="265" ht="20.100000000000001" customHeight="1" x14ac:dyDescent="0.15"/>
    <row r="266" ht="20.100000000000001" customHeight="1" x14ac:dyDescent="0.15"/>
    <row r="267" ht="20.100000000000001" customHeight="1" x14ac:dyDescent="0.15"/>
    <row r="268" ht="20.100000000000001" customHeight="1" x14ac:dyDescent="0.15"/>
    <row r="269" ht="20.100000000000001" customHeight="1" x14ac:dyDescent="0.15"/>
    <row r="270" ht="20.100000000000001" customHeight="1" x14ac:dyDescent="0.15"/>
    <row r="271" ht="20.100000000000001" customHeight="1" x14ac:dyDescent="0.15"/>
    <row r="272" ht="20.100000000000001" customHeight="1" x14ac:dyDescent="0.15"/>
    <row r="273" ht="20.100000000000001" customHeight="1" x14ac:dyDescent="0.15"/>
    <row r="274" ht="20.100000000000001" customHeight="1" x14ac:dyDescent="0.15"/>
    <row r="275" ht="20.100000000000001" customHeight="1" x14ac:dyDescent="0.15"/>
    <row r="276" ht="20.100000000000001" customHeight="1" x14ac:dyDescent="0.15"/>
    <row r="277" ht="20.100000000000001" customHeight="1" x14ac:dyDescent="0.15"/>
    <row r="278" ht="20.100000000000001" customHeight="1" x14ac:dyDescent="0.15"/>
    <row r="279" ht="20.100000000000001" customHeight="1" x14ac:dyDescent="0.15"/>
    <row r="280" ht="20.100000000000001" customHeight="1" x14ac:dyDescent="0.15"/>
    <row r="281" ht="20.100000000000001" customHeight="1" x14ac:dyDescent="0.15"/>
    <row r="282" ht="20.100000000000001" customHeight="1" x14ac:dyDescent="0.15"/>
    <row r="283" ht="20.100000000000001" customHeight="1" x14ac:dyDescent="0.15"/>
    <row r="284" ht="20.100000000000001" customHeight="1" x14ac:dyDescent="0.15"/>
    <row r="285" ht="20.100000000000001" customHeight="1" x14ac:dyDescent="0.15"/>
    <row r="286" ht="20.100000000000001" customHeight="1" x14ac:dyDescent="0.15"/>
    <row r="287" ht="20.100000000000001" customHeight="1" x14ac:dyDescent="0.15"/>
    <row r="288" ht="20.100000000000001" customHeight="1" x14ac:dyDescent="0.15"/>
    <row r="289" ht="20.100000000000001" customHeight="1" x14ac:dyDescent="0.15"/>
    <row r="290" ht="20.100000000000001" customHeight="1" x14ac:dyDescent="0.15"/>
    <row r="291" ht="20.100000000000001" customHeight="1" x14ac:dyDescent="0.15"/>
    <row r="292" ht="20.100000000000001" customHeight="1" x14ac:dyDescent="0.15"/>
    <row r="293" ht="20.100000000000001" customHeight="1" x14ac:dyDescent="0.15"/>
    <row r="294" ht="20.100000000000001" customHeight="1" x14ac:dyDescent="0.15"/>
    <row r="295" ht="20.100000000000001" customHeight="1" x14ac:dyDescent="0.15"/>
    <row r="296" ht="20.100000000000001" customHeight="1" x14ac:dyDescent="0.15"/>
    <row r="297" ht="20.100000000000001" customHeight="1" x14ac:dyDescent="0.15"/>
    <row r="298" ht="20.100000000000001" customHeight="1" x14ac:dyDescent="0.15"/>
    <row r="299" ht="20.100000000000001" customHeight="1" x14ac:dyDescent="0.15"/>
    <row r="300" ht="20.100000000000001" customHeight="1" x14ac:dyDescent="0.15"/>
    <row r="301" ht="20.100000000000001" customHeight="1" x14ac:dyDescent="0.15"/>
    <row r="302" ht="20.100000000000001" customHeight="1" x14ac:dyDescent="0.15"/>
    <row r="303" ht="20.100000000000001" customHeight="1" x14ac:dyDescent="0.15"/>
    <row r="304" ht="20.100000000000001" customHeight="1" x14ac:dyDescent="0.15"/>
    <row r="305" ht="20.100000000000001" customHeight="1" x14ac:dyDescent="0.15"/>
    <row r="306" ht="20.100000000000001" customHeight="1" x14ac:dyDescent="0.15"/>
    <row r="307" ht="20.100000000000001" customHeight="1" x14ac:dyDescent="0.15"/>
    <row r="308" ht="20.100000000000001" customHeight="1" x14ac:dyDescent="0.15"/>
    <row r="309" ht="20.100000000000001" customHeight="1" x14ac:dyDescent="0.15"/>
    <row r="310" ht="20.100000000000001" customHeight="1" x14ac:dyDescent="0.15"/>
    <row r="311" ht="20.100000000000001" customHeight="1" x14ac:dyDescent="0.15"/>
    <row r="312" ht="20.100000000000001" customHeight="1" x14ac:dyDescent="0.15"/>
    <row r="313" ht="20.100000000000001" customHeight="1" x14ac:dyDescent="0.15"/>
    <row r="314" ht="20.100000000000001" customHeight="1" x14ac:dyDescent="0.15"/>
    <row r="315" ht="20.100000000000001" customHeight="1" x14ac:dyDescent="0.15"/>
    <row r="316" ht="20.100000000000001" customHeight="1" x14ac:dyDescent="0.15"/>
    <row r="317" ht="20.100000000000001" customHeight="1" x14ac:dyDescent="0.15"/>
    <row r="318" ht="20.100000000000001" customHeight="1" x14ac:dyDescent="0.15"/>
    <row r="319" ht="20.100000000000001" customHeight="1" x14ac:dyDescent="0.15"/>
    <row r="320" ht="20.100000000000001" customHeight="1" x14ac:dyDescent="0.15"/>
    <row r="321" ht="20.100000000000001" customHeight="1" x14ac:dyDescent="0.15"/>
    <row r="322" ht="20.100000000000001" customHeight="1" x14ac:dyDescent="0.15"/>
    <row r="323" ht="20.100000000000001" customHeight="1" x14ac:dyDescent="0.15"/>
    <row r="324" ht="20.100000000000001" customHeight="1" x14ac:dyDescent="0.15"/>
    <row r="325" ht="20.100000000000001" customHeight="1" x14ac:dyDescent="0.15"/>
    <row r="326" ht="20.100000000000001" customHeight="1" x14ac:dyDescent="0.15"/>
    <row r="327" ht="20.100000000000001" customHeight="1" x14ac:dyDescent="0.15"/>
    <row r="328" ht="20.100000000000001" customHeight="1" x14ac:dyDescent="0.15"/>
    <row r="329" ht="20.100000000000001" customHeight="1" x14ac:dyDescent="0.15"/>
    <row r="330" ht="20.100000000000001" customHeight="1" x14ac:dyDescent="0.15"/>
    <row r="331" ht="20.100000000000001" customHeight="1" x14ac:dyDescent="0.15"/>
    <row r="332" ht="20.100000000000001" customHeight="1" x14ac:dyDescent="0.15"/>
    <row r="333" ht="20.100000000000001" customHeight="1" x14ac:dyDescent="0.15"/>
    <row r="334" ht="20.100000000000001" customHeight="1" x14ac:dyDescent="0.15"/>
    <row r="335" ht="20.100000000000001" customHeight="1" x14ac:dyDescent="0.15"/>
    <row r="336" ht="20.100000000000001" customHeight="1" x14ac:dyDescent="0.15"/>
    <row r="337" ht="20.100000000000001" customHeight="1" x14ac:dyDescent="0.15"/>
    <row r="338" ht="20.100000000000001" customHeight="1" x14ac:dyDescent="0.15"/>
    <row r="339" ht="20.100000000000001" customHeight="1" x14ac:dyDescent="0.15"/>
    <row r="340" ht="20.100000000000001" customHeight="1" x14ac:dyDescent="0.15"/>
    <row r="341" ht="20.100000000000001" customHeight="1" x14ac:dyDescent="0.15"/>
    <row r="342" ht="20.100000000000001" customHeight="1" x14ac:dyDescent="0.15"/>
    <row r="343" ht="20.100000000000001" customHeight="1" x14ac:dyDescent="0.15"/>
    <row r="344" ht="20.100000000000001" customHeight="1" x14ac:dyDescent="0.15"/>
    <row r="345" ht="20.100000000000001" customHeight="1" x14ac:dyDescent="0.15"/>
    <row r="346" ht="20.100000000000001" customHeight="1" x14ac:dyDescent="0.15"/>
    <row r="347" ht="20.100000000000001" customHeight="1" x14ac:dyDescent="0.15"/>
    <row r="348" ht="20.100000000000001" customHeight="1" x14ac:dyDescent="0.15"/>
    <row r="349" ht="20.100000000000001" customHeight="1" x14ac:dyDescent="0.15"/>
    <row r="350" ht="20.100000000000001" customHeight="1" x14ac:dyDescent="0.15"/>
    <row r="351" ht="20.100000000000001" customHeight="1" x14ac:dyDescent="0.15"/>
    <row r="352" ht="20.100000000000001" customHeight="1" x14ac:dyDescent="0.15"/>
    <row r="353" ht="20.100000000000001" customHeight="1" x14ac:dyDescent="0.15"/>
    <row r="354" ht="20.100000000000001" customHeight="1" x14ac:dyDescent="0.15"/>
    <row r="355" ht="20.100000000000001" customHeight="1" x14ac:dyDescent="0.15"/>
    <row r="356" ht="20.100000000000001" customHeight="1" x14ac:dyDescent="0.15"/>
    <row r="357" ht="20.100000000000001" customHeight="1" x14ac:dyDescent="0.15"/>
    <row r="358" ht="20.100000000000001" customHeight="1" x14ac:dyDescent="0.15"/>
    <row r="359" ht="20.100000000000001" customHeight="1" x14ac:dyDescent="0.15"/>
    <row r="360" ht="20.100000000000001" customHeight="1" x14ac:dyDescent="0.15"/>
    <row r="361" ht="20.100000000000001" customHeight="1" x14ac:dyDescent="0.15"/>
    <row r="362" ht="20.100000000000001" customHeight="1" x14ac:dyDescent="0.15"/>
    <row r="363" ht="20.100000000000001" customHeight="1" x14ac:dyDescent="0.15"/>
    <row r="364" ht="20.100000000000001" customHeight="1" x14ac:dyDescent="0.15"/>
    <row r="365" ht="20.100000000000001" customHeight="1" x14ac:dyDescent="0.15"/>
    <row r="366" ht="20.100000000000001" customHeight="1" x14ac:dyDescent="0.15"/>
    <row r="367" ht="20.100000000000001" customHeight="1" x14ac:dyDescent="0.15"/>
    <row r="368" ht="20.100000000000001" customHeight="1" x14ac:dyDescent="0.15"/>
    <row r="369" ht="20.100000000000001" customHeight="1" x14ac:dyDescent="0.15"/>
    <row r="370" ht="20.100000000000001" customHeight="1" x14ac:dyDescent="0.15"/>
    <row r="371" ht="20.100000000000001" customHeight="1" x14ac:dyDescent="0.15"/>
    <row r="372" ht="20.100000000000001" customHeight="1" x14ac:dyDescent="0.15"/>
    <row r="373" ht="20.100000000000001" customHeight="1" x14ac:dyDescent="0.15"/>
    <row r="374" ht="20.100000000000001" customHeight="1" x14ac:dyDescent="0.15"/>
    <row r="375" ht="20.100000000000001" customHeight="1" x14ac:dyDescent="0.15"/>
    <row r="376" ht="20.100000000000001" customHeight="1" x14ac:dyDescent="0.15"/>
    <row r="377" ht="20.100000000000001" customHeight="1" x14ac:dyDescent="0.15"/>
    <row r="378" ht="20.100000000000001" customHeight="1" x14ac:dyDescent="0.15"/>
    <row r="379" ht="20.100000000000001" customHeight="1" x14ac:dyDescent="0.15"/>
    <row r="380" ht="20.100000000000001" customHeight="1" x14ac:dyDescent="0.15"/>
    <row r="381" ht="20.100000000000001" customHeight="1" x14ac:dyDescent="0.15"/>
    <row r="382" ht="20.100000000000001" customHeight="1" x14ac:dyDescent="0.15"/>
    <row r="383" ht="20.100000000000001" customHeight="1" x14ac:dyDescent="0.15"/>
    <row r="384" ht="20.100000000000001" customHeight="1" x14ac:dyDescent="0.15"/>
    <row r="385" ht="20.100000000000001" customHeight="1" x14ac:dyDescent="0.15"/>
    <row r="386" ht="20.100000000000001" customHeight="1" x14ac:dyDescent="0.15"/>
    <row r="387" ht="20.100000000000001" customHeight="1" x14ac:dyDescent="0.15"/>
    <row r="388" ht="20.100000000000001" customHeight="1" x14ac:dyDescent="0.15"/>
    <row r="389" ht="20.100000000000001" customHeight="1" x14ac:dyDescent="0.15"/>
    <row r="390" ht="20.100000000000001" customHeight="1" x14ac:dyDescent="0.15"/>
    <row r="391" ht="20.100000000000001" customHeight="1" x14ac:dyDescent="0.15"/>
    <row r="392" ht="20.100000000000001" customHeight="1" x14ac:dyDescent="0.15"/>
    <row r="393" ht="20.100000000000001" customHeight="1" x14ac:dyDescent="0.15"/>
    <row r="394" ht="20.100000000000001" customHeight="1" x14ac:dyDescent="0.15"/>
    <row r="395" ht="20.100000000000001" customHeight="1" x14ac:dyDescent="0.15"/>
    <row r="396" ht="20.100000000000001" customHeight="1" x14ac:dyDescent="0.15"/>
    <row r="397" ht="20.100000000000001" customHeight="1" x14ac:dyDescent="0.15"/>
    <row r="398" ht="20.100000000000001" customHeight="1" x14ac:dyDescent="0.15"/>
    <row r="399" ht="20.100000000000001" customHeight="1" x14ac:dyDescent="0.15"/>
    <row r="400" ht="20.100000000000001" customHeight="1" x14ac:dyDescent="0.15"/>
    <row r="401" ht="20.100000000000001" customHeight="1" x14ac:dyDescent="0.15"/>
    <row r="402" ht="20.100000000000001" customHeight="1" x14ac:dyDescent="0.15"/>
    <row r="403" ht="20.100000000000001" customHeight="1" x14ac:dyDescent="0.15"/>
    <row r="404" ht="20.100000000000001" customHeight="1" x14ac:dyDescent="0.15"/>
    <row r="405" ht="20.100000000000001" customHeight="1" x14ac:dyDescent="0.15"/>
    <row r="406" ht="20.100000000000001" customHeight="1" x14ac:dyDescent="0.15"/>
    <row r="407" ht="20.100000000000001" customHeight="1" x14ac:dyDescent="0.15"/>
    <row r="408" ht="20.100000000000001" customHeight="1" x14ac:dyDescent="0.15"/>
    <row r="409" ht="20.100000000000001" customHeight="1" x14ac:dyDescent="0.15"/>
    <row r="410" ht="20.100000000000001" customHeight="1" x14ac:dyDescent="0.15"/>
    <row r="411" ht="20.100000000000001" customHeight="1" x14ac:dyDescent="0.15"/>
    <row r="412" ht="20.100000000000001" customHeight="1" x14ac:dyDescent="0.15"/>
    <row r="413" ht="20.100000000000001" customHeight="1" x14ac:dyDescent="0.15"/>
    <row r="414" ht="20.100000000000001" customHeight="1" x14ac:dyDescent="0.15"/>
    <row r="415" ht="20.100000000000001" customHeight="1" x14ac:dyDescent="0.15"/>
    <row r="416" ht="20.100000000000001" customHeight="1" x14ac:dyDescent="0.15"/>
    <row r="417" ht="20.100000000000001" customHeight="1" x14ac:dyDescent="0.15"/>
    <row r="418" ht="20.100000000000001" customHeight="1" x14ac:dyDescent="0.15"/>
    <row r="419" ht="20.100000000000001" customHeight="1" x14ac:dyDescent="0.15"/>
    <row r="420" ht="20.100000000000001" customHeight="1" x14ac:dyDescent="0.15"/>
    <row r="421" ht="20.100000000000001" customHeight="1" x14ac:dyDescent="0.15"/>
    <row r="422" ht="20.100000000000001" customHeight="1" x14ac:dyDescent="0.15"/>
    <row r="423" ht="20.100000000000001" customHeight="1" x14ac:dyDescent="0.15"/>
    <row r="424" ht="20.100000000000001" customHeight="1" x14ac:dyDescent="0.15"/>
    <row r="425" ht="20.100000000000001" customHeight="1" x14ac:dyDescent="0.15"/>
    <row r="426" ht="20.100000000000001" customHeight="1" x14ac:dyDescent="0.15"/>
    <row r="427" ht="20.100000000000001" customHeight="1" x14ac:dyDescent="0.15"/>
    <row r="428" ht="20.100000000000001" customHeight="1" x14ac:dyDescent="0.15"/>
    <row r="429" ht="20.100000000000001" customHeight="1" x14ac:dyDescent="0.15"/>
    <row r="430" ht="20.100000000000001" customHeight="1" x14ac:dyDescent="0.15"/>
    <row r="431" ht="20.100000000000001" customHeight="1" x14ac:dyDescent="0.15"/>
    <row r="432" ht="20.100000000000001" customHeight="1" x14ac:dyDescent="0.15"/>
    <row r="433" ht="20.100000000000001" customHeight="1" x14ac:dyDescent="0.15"/>
    <row r="434" ht="20.100000000000001" customHeight="1" x14ac:dyDescent="0.15"/>
    <row r="435" ht="20.100000000000001" customHeight="1" x14ac:dyDescent="0.15"/>
    <row r="436" ht="20.100000000000001" customHeight="1" x14ac:dyDescent="0.15"/>
    <row r="437" ht="20.100000000000001" customHeight="1" x14ac:dyDescent="0.15"/>
    <row r="438" ht="20.100000000000001" customHeight="1" x14ac:dyDescent="0.15"/>
    <row r="439" ht="20.100000000000001" customHeight="1" x14ac:dyDescent="0.15"/>
    <row r="440" ht="20.100000000000001" customHeight="1" x14ac:dyDescent="0.15"/>
    <row r="441" ht="20.100000000000001" customHeight="1" x14ac:dyDescent="0.15"/>
    <row r="442" ht="20.100000000000001" customHeight="1" x14ac:dyDescent="0.15"/>
    <row r="443" ht="20.100000000000001" customHeight="1" x14ac:dyDescent="0.15"/>
    <row r="444" ht="20.100000000000001" customHeight="1" x14ac:dyDescent="0.15"/>
    <row r="445" ht="20.100000000000001" customHeight="1" x14ac:dyDescent="0.15"/>
    <row r="446" ht="20.100000000000001" customHeight="1" x14ac:dyDescent="0.15"/>
    <row r="447" ht="20.100000000000001" customHeight="1" x14ac:dyDescent="0.15"/>
    <row r="448" ht="20.100000000000001" customHeight="1" x14ac:dyDescent="0.15"/>
    <row r="449" ht="20.100000000000001" customHeight="1" x14ac:dyDescent="0.15"/>
    <row r="450" ht="20.100000000000001" customHeight="1" x14ac:dyDescent="0.15"/>
    <row r="451" ht="20.100000000000001" customHeight="1" x14ac:dyDescent="0.15"/>
    <row r="452" ht="20.100000000000001" customHeight="1" x14ac:dyDescent="0.15"/>
    <row r="453" ht="20.100000000000001" customHeight="1" x14ac:dyDescent="0.15"/>
    <row r="454" ht="20.100000000000001" customHeight="1" x14ac:dyDescent="0.15"/>
    <row r="455" ht="20.100000000000001" customHeight="1" x14ac:dyDescent="0.15"/>
    <row r="456" ht="20.100000000000001" customHeight="1" x14ac:dyDescent="0.15"/>
    <row r="457" ht="20.100000000000001" customHeight="1" x14ac:dyDescent="0.15"/>
    <row r="458" ht="20.100000000000001" customHeight="1" x14ac:dyDescent="0.15"/>
    <row r="459" ht="20.100000000000001" customHeight="1" x14ac:dyDescent="0.15"/>
    <row r="460" ht="20.100000000000001" customHeight="1" x14ac:dyDescent="0.15"/>
    <row r="461" ht="20.100000000000001" customHeight="1" x14ac:dyDescent="0.15"/>
    <row r="462" ht="20.100000000000001" customHeight="1" x14ac:dyDescent="0.15"/>
    <row r="463" ht="20.100000000000001" customHeight="1" x14ac:dyDescent="0.15"/>
    <row r="464" ht="20.100000000000001" customHeight="1" x14ac:dyDescent="0.15"/>
    <row r="465" ht="20.100000000000001" customHeight="1" x14ac:dyDescent="0.15"/>
    <row r="466" ht="20.100000000000001" customHeight="1" x14ac:dyDescent="0.15"/>
    <row r="467" ht="20.100000000000001" customHeight="1" x14ac:dyDescent="0.15"/>
    <row r="468" ht="20.100000000000001" customHeight="1" x14ac:dyDescent="0.15"/>
    <row r="469" ht="20.100000000000001" customHeight="1" x14ac:dyDescent="0.15"/>
    <row r="470" ht="20.100000000000001" customHeight="1" x14ac:dyDescent="0.15"/>
    <row r="471" ht="20.100000000000001" customHeight="1" x14ac:dyDescent="0.15"/>
    <row r="472" ht="20.100000000000001" customHeight="1" x14ac:dyDescent="0.15"/>
    <row r="473" ht="20.100000000000001" customHeight="1" x14ac:dyDescent="0.15"/>
    <row r="474" ht="20.100000000000001" customHeight="1" x14ac:dyDescent="0.15"/>
    <row r="475" ht="20.100000000000001" customHeight="1" x14ac:dyDescent="0.15"/>
    <row r="476" ht="20.100000000000001" customHeight="1" x14ac:dyDescent="0.15"/>
    <row r="477" ht="20.100000000000001" customHeight="1" x14ac:dyDescent="0.15"/>
    <row r="478" ht="20.100000000000001" customHeight="1" x14ac:dyDescent="0.15"/>
    <row r="479" ht="20.100000000000001" customHeight="1" x14ac:dyDescent="0.15"/>
    <row r="480" ht="20.100000000000001" customHeight="1" x14ac:dyDescent="0.15"/>
    <row r="481" ht="20.100000000000001" customHeight="1" x14ac:dyDescent="0.15"/>
    <row r="482" ht="20.100000000000001" customHeight="1" x14ac:dyDescent="0.15"/>
    <row r="483" ht="20.100000000000001" customHeight="1" x14ac:dyDescent="0.15"/>
    <row r="484" ht="20.100000000000001" customHeight="1" x14ac:dyDescent="0.15"/>
    <row r="485" ht="20.100000000000001" customHeight="1" x14ac:dyDescent="0.15"/>
    <row r="486" ht="20.100000000000001" customHeight="1" x14ac:dyDescent="0.15"/>
    <row r="487" ht="20.100000000000001" customHeight="1" x14ac:dyDescent="0.15"/>
    <row r="488" ht="20.100000000000001" customHeight="1" x14ac:dyDescent="0.15"/>
    <row r="489" ht="20.100000000000001" customHeight="1" x14ac:dyDescent="0.15"/>
    <row r="490" ht="20.100000000000001" customHeight="1" x14ac:dyDescent="0.15"/>
    <row r="491" ht="20.100000000000001" customHeight="1" x14ac:dyDescent="0.15"/>
    <row r="492" ht="20.100000000000001" customHeight="1" x14ac:dyDescent="0.15"/>
    <row r="493" ht="20.100000000000001" customHeight="1" x14ac:dyDescent="0.15"/>
    <row r="494" ht="20.100000000000001" customHeight="1" x14ac:dyDescent="0.15"/>
    <row r="495" ht="20.100000000000001" customHeight="1" x14ac:dyDescent="0.15"/>
    <row r="496" ht="20.100000000000001" customHeight="1" x14ac:dyDescent="0.15"/>
    <row r="497" ht="20.100000000000001" customHeight="1" x14ac:dyDescent="0.15"/>
    <row r="498" ht="20.100000000000001" customHeight="1" x14ac:dyDescent="0.15"/>
    <row r="499" ht="20.100000000000001" customHeight="1" x14ac:dyDescent="0.15"/>
  </sheetData>
  <autoFilter ref="A4:M499" xr:uid="{00000000-0009-0000-0000-000004000000}"/>
  <mergeCells count="5">
    <mergeCell ref="A1:K1"/>
    <mergeCell ref="A2:K2"/>
    <mergeCell ref="M28:M31"/>
    <mergeCell ref="M55:M58"/>
    <mergeCell ref="M69:M71"/>
  </mergeCells>
  <phoneticPr fontId="21" type="noConversion"/>
  <dataValidations count="2">
    <dataValidation allowBlank="1" showInputMessage="1" showErrorMessage="1" sqref="G1 A2:XFD2 G3:G4" xr:uid="{00000000-0002-0000-0400-000000000000}"/>
    <dataValidation type="list" allowBlank="1" showInputMessage="1" showErrorMessage="1" sqref="G5:G1048576" xr:uid="{00000000-0002-0000-0400-000001000000}">
      <formula1>#REF!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98"/>
  <sheetViews>
    <sheetView tabSelected="1" workbookViewId="0">
      <selection activeCell="E24" sqref="E2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53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SUM(H5:H89030)</f>
        <v>10000</v>
      </c>
      <c r="I3" s="4">
        <f>SUM(I5:I89030)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22" si="0">IF((K5+H6-I6)&gt;0,"借","贷")</f>
        <v>借</v>
      </c>
      <c r="K6" s="9">
        <f t="shared" ref="K6:K22" si="1">K5+H6-I6</f>
        <v>11000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/>
    <row r="24" spans="1:13" ht="20.100000000000001" customHeight="1" x14ac:dyDescent="0.15"/>
    <row r="25" spans="1:13" ht="20.100000000000001" customHeight="1" x14ac:dyDescent="0.15"/>
    <row r="26" spans="1:13" ht="20.100000000000001" customHeight="1" x14ac:dyDescent="0.15"/>
    <row r="27" spans="1:13" ht="20.100000000000001" customHeight="1" x14ac:dyDescent="0.15">
      <c r="M27" s="65"/>
    </row>
    <row r="28" spans="1:13" ht="20.100000000000001" customHeight="1" x14ac:dyDescent="0.15">
      <c r="M28" s="65"/>
    </row>
    <row r="29" spans="1:13" ht="20.100000000000001" customHeight="1" x14ac:dyDescent="0.15">
      <c r="M29" s="65"/>
    </row>
    <row r="30" spans="1:13" ht="20.100000000000001" customHeight="1" x14ac:dyDescent="0.15">
      <c r="M30" s="65"/>
    </row>
    <row r="31" spans="1:13" ht="20.100000000000001" customHeight="1" x14ac:dyDescent="0.15"/>
    <row r="32" spans="1:13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  <row r="41" ht="20.100000000000001" customHeight="1" x14ac:dyDescent="0.15"/>
    <row r="42" ht="20.100000000000001" customHeight="1" x14ac:dyDescent="0.15"/>
    <row r="43" ht="20.100000000000001" customHeight="1" x14ac:dyDescent="0.15"/>
    <row r="44" ht="20.100000000000001" customHeight="1" x14ac:dyDescent="0.15"/>
    <row r="45" ht="20.100000000000001" customHeight="1" x14ac:dyDescent="0.15"/>
    <row r="46" ht="20.100000000000001" customHeight="1" x14ac:dyDescent="0.15"/>
    <row r="47" ht="20.100000000000001" customHeight="1" x14ac:dyDescent="0.15"/>
    <row r="48" ht="20.100000000000001" customHeight="1" x14ac:dyDescent="0.15"/>
    <row r="49" spans="13:13" ht="20.100000000000001" customHeight="1" x14ac:dyDescent="0.15"/>
    <row r="50" spans="13:13" ht="20.100000000000001" customHeight="1" x14ac:dyDescent="0.15"/>
    <row r="51" spans="13:13" ht="20.100000000000001" customHeight="1" x14ac:dyDescent="0.15"/>
    <row r="52" spans="13:13" ht="20.100000000000001" customHeight="1" x14ac:dyDescent="0.15"/>
    <row r="53" spans="13:13" ht="20.100000000000001" customHeight="1" x14ac:dyDescent="0.15"/>
    <row r="54" spans="13:13" ht="20.100000000000001" customHeight="1" x14ac:dyDescent="0.15">
      <c r="M54" s="65"/>
    </row>
    <row r="55" spans="13:13" ht="20.100000000000001" customHeight="1" x14ac:dyDescent="0.15">
      <c r="M55" s="65"/>
    </row>
    <row r="56" spans="13:13" ht="20.100000000000001" customHeight="1" x14ac:dyDescent="0.15">
      <c r="M56" s="65"/>
    </row>
    <row r="57" spans="13:13" ht="20.100000000000001" customHeight="1" x14ac:dyDescent="0.15">
      <c r="M57" s="65"/>
    </row>
    <row r="58" spans="13:13" ht="20.100000000000001" customHeight="1" x14ac:dyDescent="0.15"/>
    <row r="59" spans="13:13" ht="20.100000000000001" customHeight="1" x14ac:dyDescent="0.15"/>
    <row r="60" spans="13:13" ht="20.100000000000001" customHeight="1" x14ac:dyDescent="0.15"/>
    <row r="61" spans="13:13" ht="20.100000000000001" customHeight="1" x14ac:dyDescent="0.15"/>
    <row r="62" spans="13:13" ht="20.100000000000001" customHeight="1" x14ac:dyDescent="0.15"/>
    <row r="63" spans="13:13" ht="20.100000000000001" customHeight="1" x14ac:dyDescent="0.15"/>
    <row r="64" spans="13:13" ht="20.100000000000001" customHeight="1" x14ac:dyDescent="0.15"/>
    <row r="65" spans="13:13" ht="20.100000000000001" customHeight="1" x14ac:dyDescent="0.15"/>
    <row r="66" spans="13:13" ht="20.100000000000001" customHeight="1" x14ac:dyDescent="0.15"/>
    <row r="67" spans="13:13" ht="20.100000000000001" customHeight="1" x14ac:dyDescent="0.15"/>
    <row r="68" spans="13:13" ht="20.100000000000001" customHeight="1" x14ac:dyDescent="0.15">
      <c r="M68" s="65"/>
    </row>
    <row r="69" spans="13:13" ht="20.100000000000001" customHeight="1" x14ac:dyDescent="0.15">
      <c r="M69" s="65"/>
    </row>
    <row r="70" spans="13:13" ht="20.100000000000001" customHeight="1" x14ac:dyDescent="0.15">
      <c r="M70" s="65"/>
    </row>
    <row r="71" spans="13:13" ht="20.100000000000001" customHeight="1" x14ac:dyDescent="0.15"/>
    <row r="72" spans="13:13" ht="20.100000000000001" customHeight="1" x14ac:dyDescent="0.15"/>
    <row r="73" spans="13:13" ht="20.100000000000001" customHeight="1" x14ac:dyDescent="0.15"/>
    <row r="74" spans="13:13" ht="20.100000000000001" customHeight="1" x14ac:dyDescent="0.15"/>
    <row r="75" spans="13:13" ht="20.100000000000001" customHeight="1" x14ac:dyDescent="0.15"/>
    <row r="76" spans="13:13" ht="20.100000000000001" customHeight="1" x14ac:dyDescent="0.15"/>
    <row r="77" spans="13:13" ht="20.100000000000001" customHeight="1" x14ac:dyDescent="0.15"/>
    <row r="78" spans="13:13" ht="20.100000000000001" customHeight="1" x14ac:dyDescent="0.15"/>
    <row r="79" spans="13:13" ht="20.100000000000001" customHeight="1" x14ac:dyDescent="0.15"/>
    <row r="80" spans="13:13" ht="20.100000000000001" customHeight="1" x14ac:dyDescent="0.15"/>
    <row r="81" ht="20.100000000000001" customHeight="1" x14ac:dyDescent="0.15"/>
    <row r="82" ht="20.100000000000001" customHeight="1" x14ac:dyDescent="0.15"/>
    <row r="83" ht="20.100000000000001" customHeight="1" x14ac:dyDescent="0.15"/>
    <row r="84" ht="20.100000000000001" customHeight="1" x14ac:dyDescent="0.15"/>
    <row r="85" ht="20.100000000000001" customHeight="1" x14ac:dyDescent="0.15"/>
    <row r="86" ht="20.100000000000001" customHeight="1" x14ac:dyDescent="0.15"/>
    <row r="87" ht="20.100000000000001" customHeight="1" x14ac:dyDescent="0.15"/>
    <row r="88" ht="20.100000000000001" customHeight="1" x14ac:dyDescent="0.15"/>
    <row r="89" ht="20.100000000000001" customHeight="1" x14ac:dyDescent="0.15"/>
    <row r="90" ht="20.100000000000001" customHeight="1" x14ac:dyDescent="0.15"/>
    <row r="91" ht="20.100000000000001" customHeight="1" x14ac:dyDescent="0.15"/>
    <row r="92" ht="20.100000000000001" customHeight="1" x14ac:dyDescent="0.15"/>
    <row r="93" ht="20.100000000000001" customHeight="1" x14ac:dyDescent="0.15"/>
    <row r="94" ht="20.100000000000001" customHeight="1" x14ac:dyDescent="0.15"/>
    <row r="95" ht="20.100000000000001" customHeight="1" x14ac:dyDescent="0.15"/>
    <row r="96" ht="20.100000000000001" customHeight="1" x14ac:dyDescent="0.15"/>
    <row r="97" ht="20.100000000000001" customHeight="1" x14ac:dyDescent="0.15"/>
    <row r="98" ht="20.100000000000001" customHeight="1" x14ac:dyDescent="0.15"/>
    <row r="99" ht="20.100000000000001" customHeight="1" x14ac:dyDescent="0.15"/>
    <row r="100" ht="20.100000000000001" customHeight="1" x14ac:dyDescent="0.15"/>
    <row r="101" ht="20.100000000000001" customHeight="1" x14ac:dyDescent="0.15"/>
    <row r="102" ht="20.100000000000001" customHeight="1" x14ac:dyDescent="0.15"/>
    <row r="103" ht="20.100000000000001" customHeight="1" x14ac:dyDescent="0.15"/>
    <row r="104" ht="20.100000000000001" customHeight="1" x14ac:dyDescent="0.15"/>
    <row r="105" ht="20.100000000000001" customHeight="1" x14ac:dyDescent="0.15"/>
    <row r="106" ht="20.100000000000001" customHeight="1" x14ac:dyDescent="0.15"/>
    <row r="107" ht="20.100000000000001" customHeight="1" x14ac:dyDescent="0.15"/>
    <row r="108" ht="20.100000000000001" customHeight="1" x14ac:dyDescent="0.15"/>
    <row r="109" ht="20.100000000000001" customHeight="1" x14ac:dyDescent="0.15"/>
    <row r="110" ht="20.100000000000001" customHeight="1" x14ac:dyDescent="0.15"/>
    <row r="111" ht="20.100000000000001" customHeight="1" x14ac:dyDescent="0.15"/>
    <row r="112" ht="20.100000000000001" customHeight="1" x14ac:dyDescent="0.15"/>
    <row r="113" ht="20.100000000000001" customHeight="1" x14ac:dyDescent="0.15"/>
    <row r="114" ht="20.100000000000001" customHeight="1" x14ac:dyDescent="0.15"/>
    <row r="115" ht="20.100000000000001" customHeight="1" x14ac:dyDescent="0.15"/>
    <row r="116" ht="20.100000000000001" customHeight="1" x14ac:dyDescent="0.15"/>
    <row r="117" ht="20.100000000000001" customHeight="1" x14ac:dyDescent="0.15"/>
    <row r="118" ht="20.100000000000001" customHeight="1" x14ac:dyDescent="0.15"/>
    <row r="119" ht="20.100000000000001" customHeight="1" x14ac:dyDescent="0.15"/>
    <row r="120" ht="20.100000000000001" customHeight="1" x14ac:dyDescent="0.15"/>
    <row r="121" ht="20.100000000000001" customHeight="1" x14ac:dyDescent="0.15"/>
    <row r="122" ht="20.100000000000001" customHeight="1" x14ac:dyDescent="0.15"/>
    <row r="123" ht="20.100000000000001" customHeight="1" x14ac:dyDescent="0.15"/>
    <row r="124" ht="20.100000000000001" customHeight="1" x14ac:dyDescent="0.15"/>
    <row r="125" ht="20.100000000000001" customHeight="1" x14ac:dyDescent="0.15"/>
    <row r="126" ht="20.100000000000001" customHeight="1" x14ac:dyDescent="0.15"/>
    <row r="127" ht="20.100000000000001" customHeight="1" x14ac:dyDescent="0.15"/>
    <row r="128" ht="20.100000000000001" customHeight="1" x14ac:dyDescent="0.15"/>
    <row r="129" ht="20.100000000000001" customHeight="1" x14ac:dyDescent="0.15"/>
    <row r="130" ht="20.100000000000001" customHeight="1" x14ac:dyDescent="0.15"/>
    <row r="131" ht="20.100000000000001" customHeight="1" x14ac:dyDescent="0.15"/>
    <row r="132" ht="20.100000000000001" customHeight="1" x14ac:dyDescent="0.15"/>
    <row r="133" ht="20.100000000000001" customHeight="1" x14ac:dyDescent="0.15"/>
    <row r="134" ht="20.100000000000001" customHeight="1" x14ac:dyDescent="0.15"/>
    <row r="135" ht="20.100000000000001" customHeight="1" x14ac:dyDescent="0.15"/>
    <row r="136" ht="20.100000000000001" customHeight="1" x14ac:dyDescent="0.15"/>
    <row r="137" ht="20.100000000000001" customHeight="1" x14ac:dyDescent="0.15"/>
    <row r="138" ht="20.100000000000001" customHeight="1" x14ac:dyDescent="0.15"/>
    <row r="139" ht="20.100000000000001" customHeight="1" x14ac:dyDescent="0.15"/>
    <row r="140" ht="20.100000000000001" customHeight="1" x14ac:dyDescent="0.15"/>
    <row r="141" ht="20.100000000000001" customHeight="1" x14ac:dyDescent="0.15"/>
    <row r="142" ht="20.100000000000001" customHeight="1" x14ac:dyDescent="0.15"/>
    <row r="143" ht="20.100000000000001" customHeight="1" x14ac:dyDescent="0.15"/>
    <row r="144" ht="20.100000000000001" customHeight="1" x14ac:dyDescent="0.15"/>
    <row r="145" ht="20.100000000000001" customHeight="1" x14ac:dyDescent="0.15"/>
    <row r="146" ht="20.100000000000001" customHeight="1" x14ac:dyDescent="0.15"/>
    <row r="147" ht="20.100000000000001" customHeight="1" x14ac:dyDescent="0.15"/>
    <row r="148" ht="20.100000000000001" customHeight="1" x14ac:dyDescent="0.15"/>
    <row r="149" ht="20.100000000000001" customHeight="1" x14ac:dyDescent="0.15"/>
    <row r="150" ht="20.100000000000001" customHeight="1" x14ac:dyDescent="0.15"/>
    <row r="151" ht="20.100000000000001" customHeight="1" x14ac:dyDescent="0.15"/>
    <row r="152" ht="20.100000000000001" customHeight="1" x14ac:dyDescent="0.15"/>
    <row r="153" ht="20.100000000000001" customHeight="1" x14ac:dyDescent="0.15"/>
    <row r="154" ht="20.100000000000001" customHeight="1" x14ac:dyDescent="0.15"/>
    <row r="155" ht="20.100000000000001" customHeight="1" x14ac:dyDescent="0.15"/>
    <row r="156" ht="20.100000000000001" customHeight="1" x14ac:dyDescent="0.15"/>
    <row r="157" ht="20.100000000000001" customHeight="1" x14ac:dyDescent="0.15"/>
    <row r="158" ht="20.100000000000001" customHeight="1" x14ac:dyDescent="0.15"/>
    <row r="159" ht="20.100000000000001" customHeight="1" x14ac:dyDescent="0.15"/>
    <row r="160" ht="20.100000000000001" customHeight="1" x14ac:dyDescent="0.15"/>
    <row r="161" ht="20.100000000000001" customHeight="1" x14ac:dyDescent="0.15"/>
    <row r="162" ht="20.100000000000001" customHeight="1" x14ac:dyDescent="0.15"/>
    <row r="163" ht="20.100000000000001" customHeight="1" x14ac:dyDescent="0.15"/>
    <row r="164" ht="20.100000000000001" customHeight="1" x14ac:dyDescent="0.15"/>
    <row r="165" ht="20.100000000000001" customHeight="1" x14ac:dyDescent="0.15"/>
    <row r="166" ht="20.100000000000001" customHeight="1" x14ac:dyDescent="0.15"/>
    <row r="167" ht="20.100000000000001" customHeight="1" x14ac:dyDescent="0.15"/>
    <row r="168" ht="20.100000000000001" customHeight="1" x14ac:dyDescent="0.15"/>
    <row r="169" ht="20.100000000000001" customHeight="1" x14ac:dyDescent="0.15"/>
    <row r="170" ht="20.100000000000001" customHeight="1" x14ac:dyDescent="0.15"/>
    <row r="171" ht="20.100000000000001" customHeight="1" x14ac:dyDescent="0.15"/>
    <row r="172" ht="20.100000000000001" customHeight="1" x14ac:dyDescent="0.15"/>
    <row r="173" ht="20.100000000000001" customHeight="1" x14ac:dyDescent="0.15"/>
    <row r="174" ht="20.100000000000001" customHeight="1" x14ac:dyDescent="0.15"/>
    <row r="175" ht="20.100000000000001" customHeight="1" x14ac:dyDescent="0.15"/>
    <row r="176" ht="20.100000000000001" customHeight="1" x14ac:dyDescent="0.15"/>
    <row r="177" ht="20.100000000000001" customHeight="1" x14ac:dyDescent="0.15"/>
    <row r="178" ht="20.100000000000001" customHeight="1" x14ac:dyDescent="0.15"/>
    <row r="179" ht="20.100000000000001" customHeight="1" x14ac:dyDescent="0.15"/>
    <row r="180" ht="20.100000000000001" customHeight="1" x14ac:dyDescent="0.15"/>
    <row r="181" ht="20.100000000000001" customHeight="1" x14ac:dyDescent="0.15"/>
    <row r="182" ht="20.100000000000001" customHeight="1" x14ac:dyDescent="0.15"/>
    <row r="183" ht="20.100000000000001" customHeight="1" x14ac:dyDescent="0.15"/>
    <row r="184" ht="20.100000000000001" customHeight="1" x14ac:dyDescent="0.15"/>
    <row r="185" ht="20.100000000000001" customHeight="1" x14ac:dyDescent="0.15"/>
    <row r="186" ht="20.100000000000001" customHeight="1" x14ac:dyDescent="0.15"/>
    <row r="187" ht="20.100000000000001" customHeight="1" x14ac:dyDescent="0.15"/>
    <row r="188" ht="20.100000000000001" customHeight="1" x14ac:dyDescent="0.15"/>
    <row r="189" ht="20.100000000000001" customHeight="1" x14ac:dyDescent="0.15"/>
    <row r="190" ht="20.100000000000001" customHeight="1" x14ac:dyDescent="0.15"/>
    <row r="191" ht="20.100000000000001" customHeight="1" x14ac:dyDescent="0.15"/>
    <row r="192" ht="20.100000000000001" customHeight="1" x14ac:dyDescent="0.15"/>
    <row r="193" ht="20.100000000000001" customHeight="1" x14ac:dyDescent="0.15"/>
    <row r="194" ht="20.100000000000001" customHeight="1" x14ac:dyDescent="0.15"/>
    <row r="195" ht="20.100000000000001" customHeight="1" x14ac:dyDescent="0.15"/>
    <row r="196" ht="20.100000000000001" customHeight="1" x14ac:dyDescent="0.15"/>
    <row r="197" ht="20.100000000000001" customHeight="1" x14ac:dyDescent="0.15"/>
    <row r="198" ht="20.100000000000001" customHeight="1" x14ac:dyDescent="0.15"/>
    <row r="199" ht="20.100000000000001" customHeight="1" x14ac:dyDescent="0.15"/>
    <row r="200" ht="20.100000000000001" customHeight="1" x14ac:dyDescent="0.15"/>
    <row r="201" ht="20.100000000000001" customHeight="1" x14ac:dyDescent="0.15"/>
    <row r="202" ht="20.100000000000001" customHeight="1" x14ac:dyDescent="0.15"/>
    <row r="203" ht="20.100000000000001" customHeight="1" x14ac:dyDescent="0.15"/>
    <row r="204" ht="20.100000000000001" customHeight="1" x14ac:dyDescent="0.15"/>
    <row r="205" ht="20.100000000000001" customHeight="1" x14ac:dyDescent="0.15"/>
    <row r="206" ht="20.100000000000001" customHeight="1" x14ac:dyDescent="0.15"/>
    <row r="207" ht="20.100000000000001" customHeight="1" x14ac:dyDescent="0.15"/>
    <row r="208" ht="20.100000000000001" customHeight="1" x14ac:dyDescent="0.15"/>
    <row r="209" ht="20.100000000000001" customHeight="1" x14ac:dyDescent="0.15"/>
    <row r="210" ht="20.100000000000001" customHeight="1" x14ac:dyDescent="0.15"/>
    <row r="211" ht="20.100000000000001" customHeight="1" x14ac:dyDescent="0.15"/>
    <row r="212" ht="20.100000000000001" customHeight="1" x14ac:dyDescent="0.15"/>
    <row r="213" ht="20.100000000000001" customHeight="1" x14ac:dyDescent="0.15"/>
    <row r="214" ht="20.100000000000001" customHeight="1" x14ac:dyDescent="0.15"/>
    <row r="215" ht="20.100000000000001" customHeight="1" x14ac:dyDescent="0.15"/>
    <row r="216" ht="20.100000000000001" customHeight="1" x14ac:dyDescent="0.15"/>
    <row r="217" ht="20.100000000000001" customHeight="1" x14ac:dyDescent="0.15"/>
    <row r="218" ht="20.100000000000001" customHeight="1" x14ac:dyDescent="0.15"/>
    <row r="219" ht="20.100000000000001" customHeight="1" x14ac:dyDescent="0.15"/>
    <row r="220" ht="20.100000000000001" customHeight="1" x14ac:dyDescent="0.15"/>
    <row r="221" ht="20.100000000000001" customHeight="1" x14ac:dyDescent="0.15"/>
    <row r="222" ht="20.100000000000001" customHeight="1" x14ac:dyDescent="0.15"/>
    <row r="223" ht="20.100000000000001" customHeight="1" x14ac:dyDescent="0.15"/>
    <row r="224" ht="20.100000000000001" customHeight="1" x14ac:dyDescent="0.15"/>
    <row r="225" ht="20.100000000000001" customHeight="1" x14ac:dyDescent="0.15"/>
    <row r="226" ht="20.100000000000001" customHeight="1" x14ac:dyDescent="0.15"/>
    <row r="227" ht="20.100000000000001" customHeight="1" x14ac:dyDescent="0.15"/>
    <row r="228" ht="20.100000000000001" customHeight="1" x14ac:dyDescent="0.15"/>
    <row r="229" ht="20.100000000000001" customHeight="1" x14ac:dyDescent="0.15"/>
    <row r="230" ht="20.100000000000001" customHeight="1" x14ac:dyDescent="0.15"/>
    <row r="231" ht="20.100000000000001" customHeight="1" x14ac:dyDescent="0.15"/>
    <row r="232" ht="20.100000000000001" customHeight="1" x14ac:dyDescent="0.15"/>
    <row r="233" ht="20.100000000000001" customHeight="1" x14ac:dyDescent="0.15"/>
    <row r="234" ht="20.100000000000001" customHeight="1" x14ac:dyDescent="0.15"/>
    <row r="235" ht="20.100000000000001" customHeight="1" x14ac:dyDescent="0.15"/>
    <row r="236" ht="20.100000000000001" customHeight="1" x14ac:dyDescent="0.15"/>
    <row r="237" ht="20.100000000000001" customHeight="1" x14ac:dyDescent="0.15"/>
    <row r="238" ht="20.100000000000001" customHeight="1" x14ac:dyDescent="0.15"/>
    <row r="239" ht="20.100000000000001" customHeight="1" x14ac:dyDescent="0.15"/>
    <row r="240" ht="20.100000000000001" customHeight="1" x14ac:dyDescent="0.15"/>
    <row r="241" ht="20.100000000000001" customHeight="1" x14ac:dyDescent="0.15"/>
    <row r="242" ht="20.100000000000001" customHeight="1" x14ac:dyDescent="0.15"/>
    <row r="243" ht="20.100000000000001" customHeight="1" x14ac:dyDescent="0.15"/>
    <row r="244" ht="20.100000000000001" customHeight="1" x14ac:dyDescent="0.15"/>
    <row r="245" ht="20.100000000000001" customHeight="1" x14ac:dyDescent="0.15"/>
    <row r="246" ht="20.100000000000001" customHeight="1" x14ac:dyDescent="0.15"/>
    <row r="247" ht="20.100000000000001" customHeight="1" x14ac:dyDescent="0.15"/>
    <row r="248" ht="20.100000000000001" customHeight="1" x14ac:dyDescent="0.15"/>
    <row r="249" ht="20.100000000000001" customHeight="1" x14ac:dyDescent="0.15"/>
    <row r="250" ht="20.100000000000001" customHeight="1" x14ac:dyDescent="0.15"/>
    <row r="251" ht="20.100000000000001" customHeight="1" x14ac:dyDescent="0.15"/>
    <row r="252" ht="20.100000000000001" customHeight="1" x14ac:dyDescent="0.15"/>
    <row r="253" ht="20.100000000000001" customHeight="1" x14ac:dyDescent="0.15"/>
    <row r="254" ht="20.100000000000001" customHeight="1" x14ac:dyDescent="0.15"/>
    <row r="255" ht="20.100000000000001" customHeight="1" x14ac:dyDescent="0.15"/>
    <row r="256" ht="20.100000000000001" customHeight="1" x14ac:dyDescent="0.15"/>
    <row r="257" ht="20.100000000000001" customHeight="1" x14ac:dyDescent="0.15"/>
    <row r="258" ht="20.100000000000001" customHeight="1" x14ac:dyDescent="0.15"/>
    <row r="259" ht="20.100000000000001" customHeight="1" x14ac:dyDescent="0.15"/>
    <row r="260" ht="20.100000000000001" customHeight="1" x14ac:dyDescent="0.15"/>
    <row r="261" ht="20.100000000000001" customHeight="1" x14ac:dyDescent="0.15"/>
    <row r="262" ht="20.100000000000001" customHeight="1" x14ac:dyDescent="0.15"/>
    <row r="263" ht="20.100000000000001" customHeight="1" x14ac:dyDescent="0.15"/>
    <row r="264" ht="20.100000000000001" customHeight="1" x14ac:dyDescent="0.15"/>
    <row r="265" ht="20.100000000000001" customHeight="1" x14ac:dyDescent="0.15"/>
    <row r="266" ht="20.100000000000001" customHeight="1" x14ac:dyDescent="0.15"/>
    <row r="267" ht="20.100000000000001" customHeight="1" x14ac:dyDescent="0.15"/>
    <row r="268" ht="20.100000000000001" customHeight="1" x14ac:dyDescent="0.15"/>
    <row r="269" ht="20.100000000000001" customHeight="1" x14ac:dyDescent="0.15"/>
    <row r="270" ht="20.100000000000001" customHeight="1" x14ac:dyDescent="0.15"/>
    <row r="271" ht="20.100000000000001" customHeight="1" x14ac:dyDescent="0.15"/>
    <row r="272" ht="20.100000000000001" customHeight="1" x14ac:dyDescent="0.15"/>
    <row r="273" ht="20.100000000000001" customHeight="1" x14ac:dyDescent="0.15"/>
    <row r="274" ht="20.100000000000001" customHeight="1" x14ac:dyDescent="0.15"/>
    <row r="275" ht="20.100000000000001" customHeight="1" x14ac:dyDescent="0.15"/>
    <row r="276" ht="20.100000000000001" customHeight="1" x14ac:dyDescent="0.15"/>
    <row r="277" ht="20.100000000000001" customHeight="1" x14ac:dyDescent="0.15"/>
    <row r="278" ht="20.100000000000001" customHeight="1" x14ac:dyDescent="0.15"/>
    <row r="279" ht="20.100000000000001" customHeight="1" x14ac:dyDescent="0.15"/>
    <row r="280" ht="20.100000000000001" customHeight="1" x14ac:dyDescent="0.15"/>
    <row r="281" ht="20.100000000000001" customHeight="1" x14ac:dyDescent="0.15"/>
    <row r="282" ht="20.100000000000001" customHeight="1" x14ac:dyDescent="0.15"/>
    <row r="283" ht="20.100000000000001" customHeight="1" x14ac:dyDescent="0.15"/>
    <row r="284" ht="20.100000000000001" customHeight="1" x14ac:dyDescent="0.15"/>
    <row r="285" ht="20.100000000000001" customHeight="1" x14ac:dyDescent="0.15"/>
    <row r="286" ht="20.100000000000001" customHeight="1" x14ac:dyDescent="0.15"/>
    <row r="287" ht="20.100000000000001" customHeight="1" x14ac:dyDescent="0.15"/>
    <row r="288" ht="20.100000000000001" customHeight="1" x14ac:dyDescent="0.15"/>
    <row r="289" ht="20.100000000000001" customHeight="1" x14ac:dyDescent="0.15"/>
    <row r="290" ht="20.100000000000001" customHeight="1" x14ac:dyDescent="0.15"/>
    <row r="291" ht="20.100000000000001" customHeight="1" x14ac:dyDescent="0.15"/>
    <row r="292" ht="20.100000000000001" customHeight="1" x14ac:dyDescent="0.15"/>
    <row r="293" ht="20.100000000000001" customHeight="1" x14ac:dyDescent="0.15"/>
    <row r="294" ht="20.100000000000001" customHeight="1" x14ac:dyDescent="0.15"/>
    <row r="295" ht="20.100000000000001" customHeight="1" x14ac:dyDescent="0.15"/>
    <row r="296" ht="20.100000000000001" customHeight="1" x14ac:dyDescent="0.15"/>
    <row r="297" ht="20.100000000000001" customHeight="1" x14ac:dyDescent="0.15"/>
    <row r="298" ht="20.100000000000001" customHeight="1" x14ac:dyDescent="0.15"/>
    <row r="299" ht="20.100000000000001" customHeight="1" x14ac:dyDescent="0.15"/>
    <row r="300" ht="20.100000000000001" customHeight="1" x14ac:dyDescent="0.15"/>
    <row r="301" ht="20.100000000000001" customHeight="1" x14ac:dyDescent="0.15"/>
    <row r="302" ht="20.100000000000001" customHeight="1" x14ac:dyDescent="0.15"/>
    <row r="303" ht="20.100000000000001" customHeight="1" x14ac:dyDescent="0.15"/>
    <row r="304" ht="20.100000000000001" customHeight="1" x14ac:dyDescent="0.15"/>
    <row r="305" ht="20.100000000000001" customHeight="1" x14ac:dyDescent="0.15"/>
    <row r="306" ht="20.100000000000001" customHeight="1" x14ac:dyDescent="0.15"/>
    <row r="307" ht="20.100000000000001" customHeight="1" x14ac:dyDescent="0.15"/>
    <row r="308" ht="20.100000000000001" customHeight="1" x14ac:dyDescent="0.15"/>
    <row r="309" ht="20.100000000000001" customHeight="1" x14ac:dyDescent="0.15"/>
    <row r="310" ht="20.100000000000001" customHeight="1" x14ac:dyDescent="0.15"/>
    <row r="311" ht="20.100000000000001" customHeight="1" x14ac:dyDescent="0.15"/>
    <row r="312" ht="20.100000000000001" customHeight="1" x14ac:dyDescent="0.15"/>
    <row r="313" ht="20.100000000000001" customHeight="1" x14ac:dyDescent="0.15"/>
    <row r="314" ht="20.100000000000001" customHeight="1" x14ac:dyDescent="0.15"/>
    <row r="315" ht="20.100000000000001" customHeight="1" x14ac:dyDescent="0.15"/>
    <row r="316" ht="20.100000000000001" customHeight="1" x14ac:dyDescent="0.15"/>
    <row r="317" ht="20.100000000000001" customHeight="1" x14ac:dyDescent="0.15"/>
    <row r="318" ht="20.100000000000001" customHeight="1" x14ac:dyDescent="0.15"/>
    <row r="319" ht="20.100000000000001" customHeight="1" x14ac:dyDescent="0.15"/>
    <row r="320" ht="20.100000000000001" customHeight="1" x14ac:dyDescent="0.15"/>
    <row r="321" ht="20.100000000000001" customHeight="1" x14ac:dyDescent="0.15"/>
    <row r="322" ht="20.100000000000001" customHeight="1" x14ac:dyDescent="0.15"/>
    <row r="323" ht="20.100000000000001" customHeight="1" x14ac:dyDescent="0.15"/>
    <row r="324" ht="20.100000000000001" customHeight="1" x14ac:dyDescent="0.15"/>
    <row r="325" ht="20.100000000000001" customHeight="1" x14ac:dyDescent="0.15"/>
    <row r="326" ht="20.100000000000001" customHeight="1" x14ac:dyDescent="0.15"/>
    <row r="327" ht="20.100000000000001" customHeight="1" x14ac:dyDescent="0.15"/>
    <row r="328" ht="20.100000000000001" customHeight="1" x14ac:dyDescent="0.15"/>
    <row r="329" ht="20.100000000000001" customHeight="1" x14ac:dyDescent="0.15"/>
    <row r="330" ht="20.100000000000001" customHeight="1" x14ac:dyDescent="0.15"/>
    <row r="331" ht="20.100000000000001" customHeight="1" x14ac:dyDescent="0.15"/>
    <row r="332" ht="20.100000000000001" customHeight="1" x14ac:dyDescent="0.15"/>
    <row r="333" ht="20.100000000000001" customHeight="1" x14ac:dyDescent="0.15"/>
    <row r="334" ht="20.100000000000001" customHeight="1" x14ac:dyDescent="0.15"/>
    <row r="335" ht="20.100000000000001" customHeight="1" x14ac:dyDescent="0.15"/>
    <row r="336" ht="20.100000000000001" customHeight="1" x14ac:dyDescent="0.15"/>
    <row r="337" ht="20.100000000000001" customHeight="1" x14ac:dyDescent="0.15"/>
    <row r="338" ht="20.100000000000001" customHeight="1" x14ac:dyDescent="0.15"/>
    <row r="339" ht="20.100000000000001" customHeight="1" x14ac:dyDescent="0.15"/>
    <row r="340" ht="20.100000000000001" customHeight="1" x14ac:dyDescent="0.15"/>
    <row r="341" ht="20.100000000000001" customHeight="1" x14ac:dyDescent="0.15"/>
    <row r="342" ht="20.100000000000001" customHeight="1" x14ac:dyDescent="0.15"/>
    <row r="343" ht="20.100000000000001" customHeight="1" x14ac:dyDescent="0.15"/>
    <row r="344" ht="20.100000000000001" customHeight="1" x14ac:dyDescent="0.15"/>
    <row r="345" ht="20.100000000000001" customHeight="1" x14ac:dyDescent="0.15"/>
    <row r="346" ht="20.100000000000001" customHeight="1" x14ac:dyDescent="0.15"/>
    <row r="347" ht="20.100000000000001" customHeight="1" x14ac:dyDescent="0.15"/>
    <row r="348" ht="20.100000000000001" customHeight="1" x14ac:dyDescent="0.15"/>
    <row r="349" ht="20.100000000000001" customHeight="1" x14ac:dyDescent="0.15"/>
    <row r="350" ht="20.100000000000001" customHeight="1" x14ac:dyDescent="0.15"/>
    <row r="351" ht="20.100000000000001" customHeight="1" x14ac:dyDescent="0.15"/>
    <row r="352" ht="20.100000000000001" customHeight="1" x14ac:dyDescent="0.15"/>
    <row r="353" ht="20.100000000000001" customHeight="1" x14ac:dyDescent="0.15"/>
    <row r="354" ht="20.100000000000001" customHeight="1" x14ac:dyDescent="0.15"/>
    <row r="355" ht="20.100000000000001" customHeight="1" x14ac:dyDescent="0.15"/>
    <row r="356" ht="20.100000000000001" customHeight="1" x14ac:dyDescent="0.15"/>
    <row r="357" ht="20.100000000000001" customHeight="1" x14ac:dyDescent="0.15"/>
    <row r="358" ht="20.100000000000001" customHeight="1" x14ac:dyDescent="0.15"/>
    <row r="359" ht="20.100000000000001" customHeight="1" x14ac:dyDescent="0.15"/>
    <row r="360" ht="20.100000000000001" customHeight="1" x14ac:dyDescent="0.15"/>
    <row r="361" ht="20.100000000000001" customHeight="1" x14ac:dyDescent="0.15"/>
    <row r="362" ht="20.100000000000001" customHeight="1" x14ac:dyDescent="0.15"/>
    <row r="363" ht="20.100000000000001" customHeight="1" x14ac:dyDescent="0.15"/>
    <row r="364" ht="20.100000000000001" customHeight="1" x14ac:dyDescent="0.15"/>
    <row r="365" ht="20.100000000000001" customHeight="1" x14ac:dyDescent="0.15"/>
    <row r="366" ht="20.100000000000001" customHeight="1" x14ac:dyDescent="0.15"/>
    <row r="367" ht="20.100000000000001" customHeight="1" x14ac:dyDescent="0.15"/>
    <row r="368" ht="20.100000000000001" customHeight="1" x14ac:dyDescent="0.15"/>
    <row r="369" ht="20.100000000000001" customHeight="1" x14ac:dyDescent="0.15"/>
    <row r="370" ht="20.100000000000001" customHeight="1" x14ac:dyDescent="0.15"/>
    <row r="371" ht="20.100000000000001" customHeight="1" x14ac:dyDescent="0.15"/>
    <row r="372" ht="20.100000000000001" customHeight="1" x14ac:dyDescent="0.15"/>
    <row r="373" ht="20.100000000000001" customHeight="1" x14ac:dyDescent="0.15"/>
    <row r="374" ht="20.100000000000001" customHeight="1" x14ac:dyDescent="0.15"/>
    <row r="375" ht="20.100000000000001" customHeight="1" x14ac:dyDescent="0.15"/>
    <row r="376" ht="20.100000000000001" customHeight="1" x14ac:dyDescent="0.15"/>
    <row r="377" ht="20.100000000000001" customHeight="1" x14ac:dyDescent="0.15"/>
    <row r="378" ht="20.100000000000001" customHeight="1" x14ac:dyDescent="0.15"/>
    <row r="379" ht="20.100000000000001" customHeight="1" x14ac:dyDescent="0.15"/>
    <row r="380" ht="20.100000000000001" customHeight="1" x14ac:dyDescent="0.15"/>
    <row r="381" ht="20.100000000000001" customHeight="1" x14ac:dyDescent="0.15"/>
    <row r="382" ht="20.100000000000001" customHeight="1" x14ac:dyDescent="0.15"/>
    <row r="383" ht="20.100000000000001" customHeight="1" x14ac:dyDescent="0.15"/>
    <row r="384" ht="20.100000000000001" customHeight="1" x14ac:dyDescent="0.15"/>
    <row r="385" ht="20.100000000000001" customHeight="1" x14ac:dyDescent="0.15"/>
    <row r="386" ht="20.100000000000001" customHeight="1" x14ac:dyDescent="0.15"/>
    <row r="387" ht="20.100000000000001" customHeight="1" x14ac:dyDescent="0.15"/>
    <row r="388" ht="20.100000000000001" customHeight="1" x14ac:dyDescent="0.15"/>
    <row r="389" ht="20.100000000000001" customHeight="1" x14ac:dyDescent="0.15"/>
    <row r="390" ht="20.100000000000001" customHeight="1" x14ac:dyDescent="0.15"/>
    <row r="391" ht="20.100000000000001" customHeight="1" x14ac:dyDescent="0.15"/>
    <row r="392" ht="20.100000000000001" customHeight="1" x14ac:dyDescent="0.15"/>
    <row r="393" ht="20.100000000000001" customHeight="1" x14ac:dyDescent="0.15"/>
    <row r="394" ht="20.100000000000001" customHeight="1" x14ac:dyDescent="0.15"/>
    <row r="395" ht="20.100000000000001" customHeight="1" x14ac:dyDescent="0.15"/>
    <row r="396" ht="20.100000000000001" customHeight="1" x14ac:dyDescent="0.15"/>
    <row r="397" ht="20.100000000000001" customHeight="1" x14ac:dyDescent="0.15"/>
    <row r="398" ht="20.100000000000001" customHeight="1" x14ac:dyDescent="0.15"/>
    <row r="399" ht="20.100000000000001" customHeight="1" x14ac:dyDescent="0.15"/>
    <row r="400" ht="20.100000000000001" customHeight="1" x14ac:dyDescent="0.15"/>
    <row r="401" ht="20.100000000000001" customHeight="1" x14ac:dyDescent="0.15"/>
    <row r="402" ht="20.100000000000001" customHeight="1" x14ac:dyDescent="0.15"/>
    <row r="403" ht="20.100000000000001" customHeight="1" x14ac:dyDescent="0.15"/>
    <row r="404" ht="20.100000000000001" customHeight="1" x14ac:dyDescent="0.15"/>
    <row r="405" ht="20.100000000000001" customHeight="1" x14ac:dyDescent="0.15"/>
    <row r="406" ht="20.100000000000001" customHeight="1" x14ac:dyDescent="0.15"/>
    <row r="407" ht="20.100000000000001" customHeight="1" x14ac:dyDescent="0.15"/>
    <row r="408" ht="20.100000000000001" customHeight="1" x14ac:dyDescent="0.15"/>
    <row r="409" ht="20.100000000000001" customHeight="1" x14ac:dyDescent="0.15"/>
    <row r="410" ht="20.100000000000001" customHeight="1" x14ac:dyDescent="0.15"/>
    <row r="411" ht="20.100000000000001" customHeight="1" x14ac:dyDescent="0.15"/>
    <row r="412" ht="20.100000000000001" customHeight="1" x14ac:dyDescent="0.15"/>
    <row r="413" ht="20.100000000000001" customHeight="1" x14ac:dyDescent="0.15"/>
    <row r="414" ht="20.100000000000001" customHeight="1" x14ac:dyDescent="0.15"/>
    <row r="415" ht="20.100000000000001" customHeight="1" x14ac:dyDescent="0.15"/>
    <row r="416" ht="20.100000000000001" customHeight="1" x14ac:dyDescent="0.15"/>
    <row r="417" ht="20.100000000000001" customHeight="1" x14ac:dyDescent="0.15"/>
    <row r="418" ht="20.100000000000001" customHeight="1" x14ac:dyDescent="0.15"/>
    <row r="419" ht="20.100000000000001" customHeight="1" x14ac:dyDescent="0.15"/>
    <row r="420" ht="20.100000000000001" customHeight="1" x14ac:dyDescent="0.15"/>
    <row r="421" ht="20.100000000000001" customHeight="1" x14ac:dyDescent="0.15"/>
    <row r="422" ht="20.100000000000001" customHeight="1" x14ac:dyDescent="0.15"/>
    <row r="423" ht="20.100000000000001" customHeight="1" x14ac:dyDescent="0.15"/>
    <row r="424" ht="20.100000000000001" customHeight="1" x14ac:dyDescent="0.15"/>
    <row r="425" ht="20.100000000000001" customHeight="1" x14ac:dyDescent="0.15"/>
    <row r="426" ht="20.100000000000001" customHeight="1" x14ac:dyDescent="0.15"/>
    <row r="427" ht="20.100000000000001" customHeight="1" x14ac:dyDescent="0.15"/>
    <row r="428" ht="20.100000000000001" customHeight="1" x14ac:dyDescent="0.15"/>
    <row r="429" ht="20.100000000000001" customHeight="1" x14ac:dyDescent="0.15"/>
    <row r="430" ht="20.100000000000001" customHeight="1" x14ac:dyDescent="0.15"/>
    <row r="431" ht="20.100000000000001" customHeight="1" x14ac:dyDescent="0.15"/>
    <row r="432" ht="20.100000000000001" customHeight="1" x14ac:dyDescent="0.15"/>
    <row r="433" ht="20.100000000000001" customHeight="1" x14ac:dyDescent="0.15"/>
    <row r="434" ht="20.100000000000001" customHeight="1" x14ac:dyDescent="0.15"/>
    <row r="435" ht="20.100000000000001" customHeight="1" x14ac:dyDescent="0.15"/>
    <row r="436" ht="20.100000000000001" customHeight="1" x14ac:dyDescent="0.15"/>
    <row r="437" ht="20.100000000000001" customHeight="1" x14ac:dyDescent="0.15"/>
    <row r="438" ht="20.100000000000001" customHeight="1" x14ac:dyDescent="0.15"/>
    <row r="439" ht="20.100000000000001" customHeight="1" x14ac:dyDescent="0.15"/>
    <row r="440" ht="20.100000000000001" customHeight="1" x14ac:dyDescent="0.15"/>
    <row r="441" ht="20.100000000000001" customHeight="1" x14ac:dyDescent="0.15"/>
    <row r="442" ht="20.100000000000001" customHeight="1" x14ac:dyDescent="0.15"/>
    <row r="443" ht="20.100000000000001" customHeight="1" x14ac:dyDescent="0.15"/>
    <row r="444" ht="20.100000000000001" customHeight="1" x14ac:dyDescent="0.15"/>
    <row r="445" ht="20.100000000000001" customHeight="1" x14ac:dyDescent="0.15"/>
    <row r="446" ht="20.100000000000001" customHeight="1" x14ac:dyDescent="0.15"/>
    <row r="447" ht="20.100000000000001" customHeight="1" x14ac:dyDescent="0.15"/>
    <row r="448" ht="20.100000000000001" customHeight="1" x14ac:dyDescent="0.15"/>
    <row r="449" ht="20.100000000000001" customHeight="1" x14ac:dyDescent="0.15"/>
    <row r="450" ht="20.100000000000001" customHeight="1" x14ac:dyDescent="0.15"/>
    <row r="451" ht="20.100000000000001" customHeight="1" x14ac:dyDescent="0.15"/>
    <row r="452" ht="20.100000000000001" customHeight="1" x14ac:dyDescent="0.15"/>
    <row r="453" ht="20.100000000000001" customHeight="1" x14ac:dyDescent="0.15"/>
    <row r="454" ht="20.100000000000001" customHeight="1" x14ac:dyDescent="0.15"/>
    <row r="455" ht="20.100000000000001" customHeight="1" x14ac:dyDescent="0.15"/>
    <row r="456" ht="20.100000000000001" customHeight="1" x14ac:dyDescent="0.15"/>
    <row r="457" ht="20.100000000000001" customHeight="1" x14ac:dyDescent="0.15"/>
    <row r="458" ht="20.100000000000001" customHeight="1" x14ac:dyDescent="0.15"/>
    <row r="459" ht="20.100000000000001" customHeight="1" x14ac:dyDescent="0.15"/>
    <row r="460" ht="20.100000000000001" customHeight="1" x14ac:dyDescent="0.15"/>
    <row r="461" ht="20.100000000000001" customHeight="1" x14ac:dyDescent="0.15"/>
    <row r="462" ht="20.100000000000001" customHeight="1" x14ac:dyDescent="0.15"/>
    <row r="463" ht="20.100000000000001" customHeight="1" x14ac:dyDescent="0.15"/>
    <row r="464" ht="20.100000000000001" customHeight="1" x14ac:dyDescent="0.15"/>
    <row r="465" ht="20.100000000000001" customHeight="1" x14ac:dyDescent="0.15"/>
    <row r="466" ht="20.100000000000001" customHeight="1" x14ac:dyDescent="0.15"/>
    <row r="467" ht="20.100000000000001" customHeight="1" x14ac:dyDescent="0.15"/>
    <row r="468" ht="20.100000000000001" customHeight="1" x14ac:dyDescent="0.15"/>
    <row r="469" ht="20.100000000000001" customHeight="1" x14ac:dyDescent="0.15"/>
    <row r="470" ht="20.100000000000001" customHeight="1" x14ac:dyDescent="0.15"/>
    <row r="471" ht="20.100000000000001" customHeight="1" x14ac:dyDescent="0.15"/>
    <row r="472" ht="20.100000000000001" customHeight="1" x14ac:dyDescent="0.15"/>
    <row r="473" ht="20.100000000000001" customHeight="1" x14ac:dyDescent="0.15"/>
    <row r="474" ht="20.100000000000001" customHeight="1" x14ac:dyDescent="0.15"/>
    <row r="475" ht="20.100000000000001" customHeight="1" x14ac:dyDescent="0.15"/>
    <row r="476" ht="20.100000000000001" customHeight="1" x14ac:dyDescent="0.15"/>
    <row r="477" ht="20.100000000000001" customHeight="1" x14ac:dyDescent="0.15"/>
    <row r="478" ht="20.100000000000001" customHeight="1" x14ac:dyDescent="0.15"/>
    <row r="479" ht="20.100000000000001" customHeight="1" x14ac:dyDescent="0.15"/>
    <row r="480" ht="20.100000000000001" customHeight="1" x14ac:dyDescent="0.15"/>
    <row r="481" ht="20.100000000000001" customHeight="1" x14ac:dyDescent="0.15"/>
    <row r="482" ht="20.100000000000001" customHeight="1" x14ac:dyDescent="0.15"/>
    <row r="483" ht="20.100000000000001" customHeight="1" x14ac:dyDescent="0.15"/>
    <row r="484" ht="20.100000000000001" customHeight="1" x14ac:dyDescent="0.15"/>
    <row r="485" ht="20.100000000000001" customHeight="1" x14ac:dyDescent="0.15"/>
    <row r="486" ht="20.100000000000001" customHeight="1" x14ac:dyDescent="0.15"/>
    <row r="487" ht="20.100000000000001" customHeight="1" x14ac:dyDescent="0.15"/>
    <row r="488" ht="20.100000000000001" customHeight="1" x14ac:dyDescent="0.15"/>
    <row r="489" ht="20.100000000000001" customHeight="1" x14ac:dyDescent="0.15"/>
    <row r="490" ht="20.100000000000001" customHeight="1" x14ac:dyDescent="0.15"/>
    <row r="491" ht="20.100000000000001" customHeight="1" x14ac:dyDescent="0.15"/>
    <row r="492" ht="20.100000000000001" customHeight="1" x14ac:dyDescent="0.15"/>
    <row r="493" ht="20.100000000000001" customHeight="1" x14ac:dyDescent="0.15"/>
    <row r="494" ht="20.100000000000001" customHeight="1" x14ac:dyDescent="0.15"/>
    <row r="495" ht="20.100000000000001" customHeight="1" x14ac:dyDescent="0.15"/>
    <row r="496" ht="20.100000000000001" customHeight="1" x14ac:dyDescent="0.15"/>
    <row r="497" ht="20.100000000000001" customHeight="1" x14ac:dyDescent="0.15"/>
    <row r="498" ht="20.100000000000001" customHeight="1" x14ac:dyDescent="0.15"/>
  </sheetData>
  <mergeCells count="5">
    <mergeCell ref="M68:M70"/>
    <mergeCell ref="A1:K1"/>
    <mergeCell ref="A2:K2"/>
    <mergeCell ref="M27:M30"/>
    <mergeCell ref="M54:M57"/>
  </mergeCells>
  <phoneticPr fontId="21" type="noConversion"/>
  <dataValidations count="2">
    <dataValidation allowBlank="1" showInputMessage="1" showErrorMessage="1" sqref="G1 A2:XFD2 G3:G4" xr:uid="{00000000-0002-0000-0500-000000000000}"/>
    <dataValidation type="list" allowBlank="1" showInputMessage="1" showErrorMessage="1" sqref="G5:G1048576" xr:uid="{00000000-0002-0000-0500-000001000000}">
      <formula1>#REF!</formula1>
    </dataValidation>
  </dataValidation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9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54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40000</v>
      </c>
      <c r="I3" s="4">
        <f>SUM(I5:I90001)</f>
        <v>40000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55</v>
      </c>
      <c r="E5" s="7"/>
      <c r="F5" s="7" t="s">
        <v>56</v>
      </c>
      <c r="G5" s="7" t="s">
        <v>57</v>
      </c>
      <c r="H5" s="8">
        <v>40000</v>
      </c>
      <c r="I5" s="8"/>
      <c r="J5" s="8" t="s">
        <v>39</v>
      </c>
      <c r="K5" s="9">
        <f>H5-I5</f>
        <v>40000</v>
      </c>
      <c r="L5" t="s">
        <v>57</v>
      </c>
    </row>
    <row r="6" spans="1:12" ht="20.100000000000001" customHeight="1" x14ac:dyDescent="0.15">
      <c r="A6" s="5"/>
      <c r="B6" s="5">
        <v>5</v>
      </c>
      <c r="C6" s="5">
        <v>12</v>
      </c>
      <c r="D6" s="10" t="s">
        <v>58</v>
      </c>
      <c r="E6" s="10"/>
      <c r="F6" s="10" t="s">
        <v>56</v>
      </c>
      <c r="G6" s="10" t="s">
        <v>57</v>
      </c>
      <c r="H6" s="8"/>
      <c r="I6" s="8">
        <v>40000</v>
      </c>
      <c r="J6" s="8" t="str">
        <f t="shared" ref="J6:J69" si="0">IF((K5+H6-I6)&gt;0,"借","贷")</f>
        <v>贷</v>
      </c>
      <c r="K6" s="9">
        <f t="shared" ref="K6:K69" si="1">K5+H6-I6</f>
        <v>0</v>
      </c>
      <c r="L6" t="s">
        <v>57</v>
      </c>
    </row>
    <row r="7" spans="1:12" ht="20.100000000000001" customHeight="1" x14ac:dyDescent="0.15">
      <c r="A7" s="5"/>
      <c r="B7" s="5"/>
      <c r="C7" s="5"/>
      <c r="D7" s="31"/>
      <c r="E7" s="10"/>
      <c r="F7" s="10"/>
      <c r="G7" s="7"/>
      <c r="H7" s="8"/>
      <c r="I7" s="8"/>
      <c r="J7" s="8" t="str">
        <f t="shared" si="0"/>
        <v>贷</v>
      </c>
      <c r="K7" s="9">
        <f t="shared" si="1"/>
        <v>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贷</v>
      </c>
      <c r="K8" s="9">
        <f t="shared" si="1"/>
        <v>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贷</v>
      </c>
      <c r="K9" s="9">
        <f t="shared" si="1"/>
        <v>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贷</v>
      </c>
      <c r="K10" s="9">
        <f t="shared" si="1"/>
        <v>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贷</v>
      </c>
      <c r="K11" s="9">
        <f t="shared" si="1"/>
        <v>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贷</v>
      </c>
      <c r="K12" s="9">
        <f t="shared" si="1"/>
        <v>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贷</v>
      </c>
      <c r="K13" s="9">
        <f t="shared" si="1"/>
        <v>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贷</v>
      </c>
      <c r="K14" s="9">
        <f t="shared" si="1"/>
        <v>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贷</v>
      </c>
      <c r="K15" s="9">
        <f t="shared" si="1"/>
        <v>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贷</v>
      </c>
      <c r="K16" s="9">
        <f t="shared" si="1"/>
        <v>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贷</v>
      </c>
      <c r="K17" s="9">
        <f t="shared" si="1"/>
        <v>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贷</v>
      </c>
      <c r="K18" s="9">
        <f t="shared" si="1"/>
        <v>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贷</v>
      </c>
      <c r="K19" s="9">
        <f t="shared" si="1"/>
        <v>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贷</v>
      </c>
      <c r="K20" s="9">
        <f t="shared" si="1"/>
        <v>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贷</v>
      </c>
      <c r="K21" s="9">
        <f t="shared" si="1"/>
        <v>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贷</v>
      </c>
      <c r="K22" s="9">
        <f t="shared" si="1"/>
        <v>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贷</v>
      </c>
      <c r="K23" s="9">
        <f t="shared" si="1"/>
        <v>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贷</v>
      </c>
      <c r="K24" s="9">
        <f t="shared" si="1"/>
        <v>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贷</v>
      </c>
      <c r="K25" s="9">
        <f t="shared" si="1"/>
        <v>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贷</v>
      </c>
      <c r="K26" s="9">
        <f t="shared" si="1"/>
        <v>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贷</v>
      </c>
      <c r="K27" s="9">
        <f t="shared" si="1"/>
        <v>0</v>
      </c>
      <c r="L27" s="65"/>
      <c r="M27" s="65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贷</v>
      </c>
      <c r="K28" s="9">
        <f t="shared" si="1"/>
        <v>0</v>
      </c>
      <c r="L28" s="65"/>
      <c r="M28" s="65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贷</v>
      </c>
      <c r="K29" s="9">
        <f t="shared" si="1"/>
        <v>0</v>
      </c>
      <c r="L29" s="65"/>
      <c r="M29" s="65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贷</v>
      </c>
      <c r="K30" s="9">
        <f t="shared" si="1"/>
        <v>0</v>
      </c>
      <c r="L30" s="65"/>
      <c r="M30" s="65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贷</v>
      </c>
      <c r="K31" s="9">
        <f t="shared" si="1"/>
        <v>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贷</v>
      </c>
      <c r="K32" s="9">
        <f t="shared" si="1"/>
        <v>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贷</v>
      </c>
      <c r="K33" s="9">
        <f t="shared" si="1"/>
        <v>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贷</v>
      </c>
      <c r="K34" s="9">
        <f t="shared" si="1"/>
        <v>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贷</v>
      </c>
      <c r="K35" s="9">
        <f t="shared" si="1"/>
        <v>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贷</v>
      </c>
      <c r="K36" s="9">
        <f t="shared" si="1"/>
        <v>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贷</v>
      </c>
      <c r="K37" s="9">
        <f t="shared" si="1"/>
        <v>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贷</v>
      </c>
      <c r="K38" s="9">
        <f t="shared" si="1"/>
        <v>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贷</v>
      </c>
      <c r="K39" s="9">
        <f t="shared" si="1"/>
        <v>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贷</v>
      </c>
      <c r="K40" s="9">
        <f t="shared" si="1"/>
        <v>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贷</v>
      </c>
      <c r="K41" s="9">
        <f t="shared" si="1"/>
        <v>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贷</v>
      </c>
      <c r="K42" s="9">
        <f t="shared" si="1"/>
        <v>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贷</v>
      </c>
      <c r="K43" s="9">
        <f t="shared" si="1"/>
        <v>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贷</v>
      </c>
      <c r="K44" s="9">
        <f t="shared" si="1"/>
        <v>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贷</v>
      </c>
      <c r="K45" s="9">
        <f t="shared" si="1"/>
        <v>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贷</v>
      </c>
      <c r="K46" s="9">
        <f t="shared" si="1"/>
        <v>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贷</v>
      </c>
      <c r="K47" s="9">
        <f t="shared" si="1"/>
        <v>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贷</v>
      </c>
      <c r="K48" s="9">
        <f t="shared" si="1"/>
        <v>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贷</v>
      </c>
      <c r="K49" s="9">
        <f t="shared" si="1"/>
        <v>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贷</v>
      </c>
      <c r="K50" s="9">
        <f t="shared" si="1"/>
        <v>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贷</v>
      </c>
      <c r="K51" s="9">
        <f t="shared" si="1"/>
        <v>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贷</v>
      </c>
      <c r="K52" s="9">
        <f t="shared" si="1"/>
        <v>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贷</v>
      </c>
      <c r="K53" s="9">
        <f t="shared" si="1"/>
        <v>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贷</v>
      </c>
      <c r="K54" s="9">
        <f t="shared" si="1"/>
        <v>0</v>
      </c>
      <c r="M54" s="65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贷</v>
      </c>
      <c r="K55" s="9">
        <f t="shared" si="1"/>
        <v>0</v>
      </c>
      <c r="M55" s="65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贷</v>
      </c>
      <c r="K56" s="9">
        <f t="shared" si="1"/>
        <v>0</v>
      </c>
      <c r="M56" s="65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贷</v>
      </c>
      <c r="K57" s="9">
        <f t="shared" si="1"/>
        <v>0</v>
      </c>
      <c r="M57" s="65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贷</v>
      </c>
      <c r="K58" s="9">
        <f t="shared" si="1"/>
        <v>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贷</v>
      </c>
      <c r="K59" s="9">
        <f t="shared" si="1"/>
        <v>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贷</v>
      </c>
      <c r="K60" s="9">
        <f t="shared" si="1"/>
        <v>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贷</v>
      </c>
      <c r="K61" s="9">
        <f t="shared" si="1"/>
        <v>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贷</v>
      </c>
      <c r="K62" s="9">
        <f t="shared" si="1"/>
        <v>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贷</v>
      </c>
      <c r="K63" s="9">
        <f t="shared" si="1"/>
        <v>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贷</v>
      </c>
      <c r="K64" s="9">
        <f t="shared" si="1"/>
        <v>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贷</v>
      </c>
      <c r="K65" s="9">
        <f t="shared" si="1"/>
        <v>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贷</v>
      </c>
      <c r="K66" s="9">
        <f t="shared" si="1"/>
        <v>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贷</v>
      </c>
      <c r="K67" s="9">
        <f t="shared" si="1"/>
        <v>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贷</v>
      </c>
      <c r="K68" s="9">
        <f t="shared" si="1"/>
        <v>0</v>
      </c>
      <c r="M68" s="65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贷</v>
      </c>
      <c r="K69" s="9">
        <f t="shared" si="1"/>
        <v>0</v>
      </c>
      <c r="M69" s="65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贷</v>
      </c>
      <c r="K70" s="9">
        <f t="shared" ref="K70:K133" si="3">K69+H70-I70</f>
        <v>0</v>
      </c>
      <c r="M70" s="65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贷</v>
      </c>
      <c r="K71" s="9">
        <f t="shared" si="3"/>
        <v>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贷</v>
      </c>
      <c r="K72" s="9">
        <f t="shared" si="3"/>
        <v>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贷</v>
      </c>
      <c r="K73" s="9">
        <f t="shared" si="3"/>
        <v>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贷</v>
      </c>
      <c r="K74" s="9">
        <f t="shared" si="3"/>
        <v>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贷</v>
      </c>
      <c r="K75" s="9">
        <f t="shared" si="3"/>
        <v>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贷</v>
      </c>
      <c r="K76" s="9">
        <f t="shared" si="3"/>
        <v>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贷</v>
      </c>
      <c r="K77" s="9">
        <f t="shared" si="3"/>
        <v>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贷</v>
      </c>
      <c r="K78" s="9">
        <f t="shared" si="3"/>
        <v>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贷</v>
      </c>
      <c r="K79" s="9">
        <f t="shared" si="3"/>
        <v>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贷</v>
      </c>
      <c r="K80" s="9">
        <f t="shared" si="3"/>
        <v>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贷</v>
      </c>
      <c r="K81" s="9">
        <f t="shared" si="3"/>
        <v>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贷</v>
      </c>
      <c r="K82" s="9">
        <f t="shared" si="3"/>
        <v>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贷</v>
      </c>
      <c r="K83" s="9">
        <f t="shared" si="3"/>
        <v>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贷</v>
      </c>
      <c r="K84" s="9">
        <f t="shared" si="3"/>
        <v>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贷</v>
      </c>
      <c r="K85" s="9">
        <f t="shared" si="3"/>
        <v>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贷</v>
      </c>
      <c r="K86" s="9">
        <f t="shared" si="3"/>
        <v>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贷</v>
      </c>
      <c r="K87" s="9">
        <f t="shared" si="3"/>
        <v>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贷</v>
      </c>
      <c r="K88" s="9">
        <f t="shared" si="3"/>
        <v>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贷</v>
      </c>
      <c r="K89" s="9">
        <f t="shared" si="3"/>
        <v>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贷</v>
      </c>
      <c r="K90" s="9">
        <f t="shared" si="3"/>
        <v>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贷</v>
      </c>
      <c r="K91" s="9">
        <f t="shared" si="3"/>
        <v>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贷</v>
      </c>
      <c r="K92" s="9">
        <f t="shared" si="3"/>
        <v>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贷</v>
      </c>
      <c r="K93" s="9">
        <f t="shared" si="3"/>
        <v>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贷</v>
      </c>
      <c r="K94" s="9">
        <f t="shared" si="3"/>
        <v>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贷</v>
      </c>
      <c r="K95" s="9">
        <f t="shared" si="3"/>
        <v>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贷</v>
      </c>
      <c r="K96" s="9">
        <f t="shared" si="3"/>
        <v>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贷</v>
      </c>
      <c r="K97" s="9">
        <f t="shared" si="3"/>
        <v>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贷</v>
      </c>
      <c r="K98" s="9">
        <f t="shared" si="3"/>
        <v>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贷</v>
      </c>
      <c r="K99" s="9">
        <f t="shared" si="3"/>
        <v>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贷</v>
      </c>
      <c r="K100" s="9">
        <f t="shared" si="3"/>
        <v>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贷</v>
      </c>
      <c r="K101" s="9">
        <f t="shared" si="3"/>
        <v>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贷</v>
      </c>
      <c r="K102" s="9">
        <f t="shared" si="3"/>
        <v>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贷</v>
      </c>
      <c r="K103" s="9">
        <f t="shared" si="3"/>
        <v>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贷</v>
      </c>
      <c r="K104" s="9">
        <f t="shared" si="3"/>
        <v>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贷</v>
      </c>
      <c r="K105" s="9">
        <f t="shared" si="3"/>
        <v>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贷</v>
      </c>
      <c r="K106" s="9">
        <f t="shared" si="3"/>
        <v>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贷</v>
      </c>
      <c r="K107" s="9">
        <f t="shared" si="3"/>
        <v>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贷</v>
      </c>
      <c r="K108" s="9">
        <f t="shared" si="3"/>
        <v>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贷</v>
      </c>
      <c r="K109" s="9">
        <f t="shared" si="3"/>
        <v>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贷</v>
      </c>
      <c r="K110" s="9">
        <f t="shared" si="3"/>
        <v>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贷</v>
      </c>
      <c r="K111" s="9">
        <f t="shared" si="3"/>
        <v>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贷</v>
      </c>
      <c r="K112" s="9">
        <f t="shared" si="3"/>
        <v>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贷</v>
      </c>
      <c r="K113" s="9">
        <f t="shared" si="3"/>
        <v>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贷</v>
      </c>
      <c r="K114" s="9">
        <f t="shared" si="3"/>
        <v>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贷</v>
      </c>
      <c r="K115" s="9">
        <f t="shared" si="3"/>
        <v>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贷</v>
      </c>
      <c r="K116" s="9">
        <f t="shared" si="3"/>
        <v>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贷</v>
      </c>
      <c r="K117" s="9">
        <f t="shared" si="3"/>
        <v>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贷</v>
      </c>
      <c r="K118" s="9">
        <f t="shared" si="3"/>
        <v>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贷</v>
      </c>
      <c r="K119" s="9">
        <f t="shared" si="3"/>
        <v>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贷</v>
      </c>
      <c r="K120" s="9">
        <f t="shared" si="3"/>
        <v>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贷</v>
      </c>
      <c r="K121" s="9">
        <f t="shared" si="3"/>
        <v>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贷</v>
      </c>
      <c r="K122" s="9">
        <f t="shared" si="3"/>
        <v>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贷</v>
      </c>
      <c r="K123" s="9">
        <f t="shared" si="3"/>
        <v>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贷</v>
      </c>
      <c r="K124" s="9">
        <f t="shared" si="3"/>
        <v>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贷</v>
      </c>
      <c r="K125" s="9">
        <f t="shared" si="3"/>
        <v>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贷</v>
      </c>
      <c r="K126" s="9">
        <f t="shared" si="3"/>
        <v>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贷</v>
      </c>
      <c r="K127" s="9">
        <f t="shared" si="3"/>
        <v>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贷</v>
      </c>
      <c r="K128" s="9">
        <f t="shared" si="3"/>
        <v>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贷</v>
      </c>
      <c r="K129" s="9">
        <f t="shared" si="3"/>
        <v>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贷</v>
      </c>
      <c r="K130" s="9">
        <f t="shared" si="3"/>
        <v>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贷</v>
      </c>
      <c r="K131" s="9">
        <f t="shared" si="3"/>
        <v>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贷</v>
      </c>
      <c r="K132" s="9">
        <f t="shared" si="3"/>
        <v>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贷</v>
      </c>
      <c r="K133" s="9">
        <f t="shared" si="3"/>
        <v>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贷</v>
      </c>
      <c r="K134" s="9">
        <f t="shared" ref="K134:K197" si="5">K133+H134-I134</f>
        <v>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贷</v>
      </c>
      <c r="K135" s="9">
        <f t="shared" si="5"/>
        <v>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贷</v>
      </c>
      <c r="K136" s="9">
        <f t="shared" si="5"/>
        <v>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贷</v>
      </c>
      <c r="K137" s="9">
        <f t="shared" si="5"/>
        <v>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贷</v>
      </c>
      <c r="K138" s="9">
        <f t="shared" si="5"/>
        <v>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贷</v>
      </c>
      <c r="K139" s="9">
        <f t="shared" si="5"/>
        <v>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贷</v>
      </c>
      <c r="K140" s="9">
        <f t="shared" si="5"/>
        <v>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贷</v>
      </c>
      <c r="K141" s="9">
        <f t="shared" si="5"/>
        <v>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贷</v>
      </c>
      <c r="K142" s="9">
        <f t="shared" si="5"/>
        <v>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贷</v>
      </c>
      <c r="K143" s="9">
        <f t="shared" si="5"/>
        <v>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贷</v>
      </c>
      <c r="K144" s="9">
        <f t="shared" si="5"/>
        <v>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贷</v>
      </c>
      <c r="K145" s="9">
        <f t="shared" si="5"/>
        <v>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贷</v>
      </c>
      <c r="K146" s="9">
        <f t="shared" si="5"/>
        <v>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贷</v>
      </c>
      <c r="K147" s="9">
        <f t="shared" si="5"/>
        <v>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贷</v>
      </c>
      <c r="K148" s="9">
        <f t="shared" si="5"/>
        <v>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贷</v>
      </c>
      <c r="K149" s="9">
        <f t="shared" si="5"/>
        <v>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贷</v>
      </c>
      <c r="K150" s="9">
        <f t="shared" si="5"/>
        <v>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贷</v>
      </c>
      <c r="K151" s="9">
        <f t="shared" si="5"/>
        <v>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贷</v>
      </c>
      <c r="K152" s="9">
        <f t="shared" si="5"/>
        <v>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贷</v>
      </c>
      <c r="K153" s="9">
        <f t="shared" si="5"/>
        <v>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贷</v>
      </c>
      <c r="K154" s="9">
        <f t="shared" si="5"/>
        <v>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贷</v>
      </c>
      <c r="K155" s="9">
        <f t="shared" si="5"/>
        <v>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贷</v>
      </c>
      <c r="K156" s="9">
        <f t="shared" si="5"/>
        <v>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贷</v>
      </c>
      <c r="K157" s="9">
        <f t="shared" si="5"/>
        <v>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贷</v>
      </c>
      <c r="K158" s="9">
        <f t="shared" si="5"/>
        <v>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贷</v>
      </c>
      <c r="K159" s="9">
        <f t="shared" si="5"/>
        <v>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贷</v>
      </c>
      <c r="K160" s="9">
        <f t="shared" si="5"/>
        <v>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贷</v>
      </c>
      <c r="K161" s="9">
        <f t="shared" si="5"/>
        <v>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贷</v>
      </c>
      <c r="K162" s="9">
        <f t="shared" si="5"/>
        <v>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贷</v>
      </c>
      <c r="K163" s="9">
        <f t="shared" si="5"/>
        <v>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贷</v>
      </c>
      <c r="K164" s="9">
        <f t="shared" si="5"/>
        <v>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贷</v>
      </c>
      <c r="K165" s="9">
        <f t="shared" si="5"/>
        <v>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贷</v>
      </c>
      <c r="K166" s="9">
        <f t="shared" si="5"/>
        <v>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贷</v>
      </c>
      <c r="K167" s="9">
        <f t="shared" si="5"/>
        <v>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贷</v>
      </c>
      <c r="K168" s="9">
        <f t="shared" si="5"/>
        <v>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贷</v>
      </c>
      <c r="K169" s="9">
        <f t="shared" si="5"/>
        <v>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贷</v>
      </c>
      <c r="K170" s="9">
        <f t="shared" si="5"/>
        <v>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贷</v>
      </c>
      <c r="K171" s="9">
        <f t="shared" si="5"/>
        <v>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贷</v>
      </c>
      <c r="K172" s="9">
        <f t="shared" si="5"/>
        <v>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贷</v>
      </c>
      <c r="K173" s="9">
        <f t="shared" si="5"/>
        <v>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贷</v>
      </c>
      <c r="K174" s="9">
        <f t="shared" si="5"/>
        <v>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贷</v>
      </c>
      <c r="K175" s="9">
        <f t="shared" si="5"/>
        <v>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贷</v>
      </c>
      <c r="K176" s="9">
        <f t="shared" si="5"/>
        <v>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贷</v>
      </c>
      <c r="K177" s="9">
        <f t="shared" si="5"/>
        <v>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贷</v>
      </c>
      <c r="K178" s="9">
        <f t="shared" si="5"/>
        <v>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贷</v>
      </c>
      <c r="K179" s="9">
        <f t="shared" si="5"/>
        <v>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贷</v>
      </c>
      <c r="K180" s="9">
        <f t="shared" si="5"/>
        <v>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贷</v>
      </c>
      <c r="K181" s="9">
        <f t="shared" si="5"/>
        <v>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贷</v>
      </c>
      <c r="K182" s="9">
        <f t="shared" si="5"/>
        <v>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贷</v>
      </c>
      <c r="K183" s="9">
        <f t="shared" si="5"/>
        <v>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贷</v>
      </c>
      <c r="K184" s="9">
        <f t="shared" si="5"/>
        <v>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贷</v>
      </c>
      <c r="K185" s="9">
        <f t="shared" si="5"/>
        <v>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贷</v>
      </c>
      <c r="K186" s="9">
        <f t="shared" si="5"/>
        <v>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贷</v>
      </c>
      <c r="K187" s="9">
        <f t="shared" si="5"/>
        <v>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贷</v>
      </c>
      <c r="K188" s="9">
        <f t="shared" si="5"/>
        <v>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贷</v>
      </c>
      <c r="K189" s="9">
        <f t="shared" si="5"/>
        <v>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贷</v>
      </c>
      <c r="K190" s="9">
        <f t="shared" si="5"/>
        <v>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贷</v>
      </c>
      <c r="K191" s="9">
        <f t="shared" si="5"/>
        <v>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贷</v>
      </c>
      <c r="K192" s="9">
        <f t="shared" si="5"/>
        <v>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贷</v>
      </c>
      <c r="K193" s="9">
        <f t="shared" si="5"/>
        <v>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贷</v>
      </c>
      <c r="K194" s="9">
        <f t="shared" si="5"/>
        <v>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贷</v>
      </c>
      <c r="K195" s="9">
        <f t="shared" si="5"/>
        <v>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贷</v>
      </c>
      <c r="K196" s="9">
        <f t="shared" si="5"/>
        <v>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贷</v>
      </c>
      <c r="K197" s="9">
        <f t="shared" si="5"/>
        <v>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贷</v>
      </c>
      <c r="K198" s="9">
        <f t="shared" ref="K198:K261" si="7">K197+H198-I198</f>
        <v>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贷</v>
      </c>
      <c r="K199" s="9">
        <f t="shared" si="7"/>
        <v>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贷</v>
      </c>
      <c r="K200" s="9">
        <f t="shared" si="7"/>
        <v>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贷</v>
      </c>
      <c r="K201" s="9">
        <f t="shared" si="7"/>
        <v>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贷</v>
      </c>
      <c r="K202" s="9">
        <f t="shared" si="7"/>
        <v>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贷</v>
      </c>
      <c r="K203" s="9">
        <f t="shared" si="7"/>
        <v>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贷</v>
      </c>
      <c r="K204" s="9">
        <f t="shared" si="7"/>
        <v>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贷</v>
      </c>
      <c r="K205" s="9">
        <f t="shared" si="7"/>
        <v>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贷</v>
      </c>
      <c r="K206" s="9">
        <f t="shared" si="7"/>
        <v>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贷</v>
      </c>
      <c r="K207" s="9">
        <f t="shared" si="7"/>
        <v>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贷</v>
      </c>
      <c r="K208" s="9">
        <f t="shared" si="7"/>
        <v>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贷</v>
      </c>
      <c r="K209" s="9">
        <f t="shared" si="7"/>
        <v>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贷</v>
      </c>
      <c r="K210" s="9">
        <f t="shared" si="7"/>
        <v>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贷</v>
      </c>
      <c r="K211" s="9">
        <f t="shared" si="7"/>
        <v>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贷</v>
      </c>
      <c r="K212" s="9">
        <f t="shared" si="7"/>
        <v>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贷</v>
      </c>
      <c r="K213" s="9">
        <f t="shared" si="7"/>
        <v>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贷</v>
      </c>
      <c r="K214" s="9">
        <f t="shared" si="7"/>
        <v>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贷</v>
      </c>
      <c r="K215" s="9">
        <f t="shared" si="7"/>
        <v>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贷</v>
      </c>
      <c r="K216" s="9">
        <f t="shared" si="7"/>
        <v>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贷</v>
      </c>
      <c r="K217" s="9">
        <f t="shared" si="7"/>
        <v>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贷</v>
      </c>
      <c r="K218" s="9">
        <f t="shared" si="7"/>
        <v>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贷</v>
      </c>
      <c r="K219" s="9">
        <f t="shared" si="7"/>
        <v>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贷</v>
      </c>
      <c r="K220" s="9">
        <f t="shared" si="7"/>
        <v>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贷</v>
      </c>
      <c r="K221" s="9">
        <f t="shared" si="7"/>
        <v>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贷</v>
      </c>
      <c r="K222" s="9">
        <f t="shared" si="7"/>
        <v>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贷</v>
      </c>
      <c r="K223" s="9">
        <f t="shared" si="7"/>
        <v>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贷</v>
      </c>
      <c r="K224" s="9">
        <f t="shared" si="7"/>
        <v>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贷</v>
      </c>
      <c r="K225" s="9">
        <f t="shared" si="7"/>
        <v>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贷</v>
      </c>
      <c r="K226" s="9">
        <f t="shared" si="7"/>
        <v>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贷</v>
      </c>
      <c r="K227" s="9">
        <f t="shared" si="7"/>
        <v>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贷</v>
      </c>
      <c r="K228" s="9">
        <f t="shared" si="7"/>
        <v>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贷</v>
      </c>
      <c r="K229" s="9">
        <f t="shared" si="7"/>
        <v>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贷</v>
      </c>
      <c r="K230" s="9">
        <f t="shared" si="7"/>
        <v>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贷</v>
      </c>
      <c r="K231" s="9">
        <f t="shared" si="7"/>
        <v>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贷</v>
      </c>
      <c r="K232" s="9">
        <f t="shared" si="7"/>
        <v>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贷</v>
      </c>
      <c r="K233" s="9">
        <f t="shared" si="7"/>
        <v>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贷</v>
      </c>
      <c r="K234" s="9">
        <f t="shared" si="7"/>
        <v>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贷</v>
      </c>
      <c r="K235" s="9">
        <f t="shared" si="7"/>
        <v>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贷</v>
      </c>
      <c r="K236" s="9">
        <f t="shared" si="7"/>
        <v>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贷</v>
      </c>
      <c r="K237" s="9">
        <f t="shared" si="7"/>
        <v>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贷</v>
      </c>
      <c r="K238" s="9">
        <f t="shared" si="7"/>
        <v>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贷</v>
      </c>
      <c r="K239" s="9">
        <f t="shared" si="7"/>
        <v>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贷</v>
      </c>
      <c r="K240" s="9">
        <f t="shared" si="7"/>
        <v>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贷</v>
      </c>
      <c r="K241" s="9">
        <f t="shared" si="7"/>
        <v>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贷</v>
      </c>
      <c r="K242" s="9">
        <f t="shared" si="7"/>
        <v>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贷</v>
      </c>
      <c r="K243" s="9">
        <f t="shared" si="7"/>
        <v>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贷</v>
      </c>
      <c r="K244" s="9">
        <f t="shared" si="7"/>
        <v>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贷</v>
      </c>
      <c r="K245" s="9">
        <f t="shared" si="7"/>
        <v>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贷</v>
      </c>
      <c r="K246" s="9">
        <f t="shared" si="7"/>
        <v>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贷</v>
      </c>
      <c r="K247" s="9">
        <f t="shared" si="7"/>
        <v>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贷</v>
      </c>
      <c r="K248" s="9">
        <f t="shared" si="7"/>
        <v>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贷</v>
      </c>
      <c r="K249" s="9">
        <f t="shared" si="7"/>
        <v>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贷</v>
      </c>
      <c r="K250" s="9">
        <f t="shared" si="7"/>
        <v>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贷</v>
      </c>
      <c r="K251" s="9">
        <f t="shared" si="7"/>
        <v>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贷</v>
      </c>
      <c r="K252" s="9">
        <f t="shared" si="7"/>
        <v>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贷</v>
      </c>
      <c r="K253" s="9">
        <f t="shared" si="7"/>
        <v>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贷</v>
      </c>
      <c r="K254" s="9">
        <f t="shared" si="7"/>
        <v>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贷</v>
      </c>
      <c r="K255" s="9">
        <f t="shared" si="7"/>
        <v>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贷</v>
      </c>
      <c r="K256" s="9">
        <f t="shared" si="7"/>
        <v>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贷</v>
      </c>
      <c r="K257" s="9">
        <f t="shared" si="7"/>
        <v>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贷</v>
      </c>
      <c r="K258" s="9">
        <f t="shared" si="7"/>
        <v>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贷</v>
      </c>
      <c r="K259" s="9">
        <f t="shared" si="7"/>
        <v>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贷</v>
      </c>
      <c r="K260" s="9">
        <f t="shared" si="7"/>
        <v>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贷</v>
      </c>
      <c r="K261" s="9">
        <f t="shared" si="7"/>
        <v>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贷</v>
      </c>
      <c r="K262" s="9">
        <f t="shared" ref="K262:K325" si="9">K261+H262-I262</f>
        <v>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贷</v>
      </c>
      <c r="K263" s="9">
        <f t="shared" si="9"/>
        <v>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贷</v>
      </c>
      <c r="K264" s="9">
        <f t="shared" si="9"/>
        <v>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贷</v>
      </c>
      <c r="K265" s="9">
        <f t="shared" si="9"/>
        <v>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贷</v>
      </c>
      <c r="K266" s="9">
        <f t="shared" si="9"/>
        <v>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贷</v>
      </c>
      <c r="K267" s="9">
        <f t="shared" si="9"/>
        <v>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贷</v>
      </c>
      <c r="K268" s="9">
        <f t="shared" si="9"/>
        <v>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贷</v>
      </c>
      <c r="K269" s="9">
        <f t="shared" si="9"/>
        <v>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贷</v>
      </c>
      <c r="K270" s="9">
        <f t="shared" si="9"/>
        <v>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贷</v>
      </c>
      <c r="K271" s="9">
        <f t="shared" si="9"/>
        <v>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贷</v>
      </c>
      <c r="K272" s="9">
        <f t="shared" si="9"/>
        <v>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贷</v>
      </c>
      <c r="K273" s="9">
        <f t="shared" si="9"/>
        <v>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贷</v>
      </c>
      <c r="K274" s="9">
        <f t="shared" si="9"/>
        <v>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贷</v>
      </c>
      <c r="K275" s="9">
        <f t="shared" si="9"/>
        <v>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贷</v>
      </c>
      <c r="K276" s="9">
        <f t="shared" si="9"/>
        <v>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贷</v>
      </c>
      <c r="K277" s="9">
        <f t="shared" si="9"/>
        <v>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贷</v>
      </c>
      <c r="K278" s="9">
        <f t="shared" si="9"/>
        <v>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贷</v>
      </c>
      <c r="K279" s="9">
        <f t="shared" si="9"/>
        <v>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贷</v>
      </c>
      <c r="K280" s="9">
        <f t="shared" si="9"/>
        <v>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贷</v>
      </c>
      <c r="K281" s="9">
        <f t="shared" si="9"/>
        <v>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贷</v>
      </c>
      <c r="K282" s="9">
        <f t="shared" si="9"/>
        <v>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贷</v>
      </c>
      <c r="K283" s="9">
        <f t="shared" si="9"/>
        <v>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贷</v>
      </c>
      <c r="K284" s="9">
        <f t="shared" si="9"/>
        <v>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贷</v>
      </c>
      <c r="K285" s="9">
        <f t="shared" si="9"/>
        <v>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贷</v>
      </c>
      <c r="K286" s="9">
        <f t="shared" si="9"/>
        <v>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贷</v>
      </c>
      <c r="K287" s="9">
        <f t="shared" si="9"/>
        <v>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贷</v>
      </c>
      <c r="K288" s="9">
        <f t="shared" si="9"/>
        <v>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贷</v>
      </c>
      <c r="K289" s="9">
        <f t="shared" si="9"/>
        <v>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贷</v>
      </c>
      <c r="K290" s="9">
        <f t="shared" si="9"/>
        <v>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贷</v>
      </c>
      <c r="K291" s="9">
        <f t="shared" si="9"/>
        <v>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贷</v>
      </c>
      <c r="K292" s="9">
        <f t="shared" si="9"/>
        <v>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贷</v>
      </c>
      <c r="K293" s="9">
        <f t="shared" si="9"/>
        <v>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贷</v>
      </c>
      <c r="K294" s="9">
        <f t="shared" si="9"/>
        <v>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贷</v>
      </c>
      <c r="K295" s="9">
        <f t="shared" si="9"/>
        <v>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贷</v>
      </c>
      <c r="K296" s="9">
        <f t="shared" si="9"/>
        <v>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贷</v>
      </c>
      <c r="K297" s="9">
        <f t="shared" si="9"/>
        <v>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贷</v>
      </c>
      <c r="K298" s="9">
        <f t="shared" si="9"/>
        <v>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贷</v>
      </c>
      <c r="K299" s="9">
        <f t="shared" si="9"/>
        <v>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贷</v>
      </c>
      <c r="K300" s="9">
        <f t="shared" si="9"/>
        <v>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贷</v>
      </c>
      <c r="K301" s="9">
        <f t="shared" si="9"/>
        <v>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贷</v>
      </c>
      <c r="K302" s="9">
        <f t="shared" si="9"/>
        <v>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贷</v>
      </c>
      <c r="K303" s="9">
        <f t="shared" si="9"/>
        <v>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贷</v>
      </c>
      <c r="K304" s="9">
        <f t="shared" si="9"/>
        <v>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贷</v>
      </c>
      <c r="K305" s="9">
        <f t="shared" si="9"/>
        <v>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贷</v>
      </c>
      <c r="K306" s="9">
        <f t="shared" si="9"/>
        <v>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贷</v>
      </c>
      <c r="K307" s="9">
        <f t="shared" si="9"/>
        <v>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贷</v>
      </c>
      <c r="K308" s="9">
        <f t="shared" si="9"/>
        <v>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贷</v>
      </c>
      <c r="K309" s="9">
        <f t="shared" si="9"/>
        <v>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贷</v>
      </c>
      <c r="K310" s="9">
        <f t="shared" si="9"/>
        <v>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贷</v>
      </c>
      <c r="K311" s="9">
        <f t="shared" si="9"/>
        <v>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贷</v>
      </c>
      <c r="K312" s="9">
        <f t="shared" si="9"/>
        <v>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贷</v>
      </c>
      <c r="K313" s="9">
        <f t="shared" si="9"/>
        <v>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贷</v>
      </c>
      <c r="K314" s="9">
        <f t="shared" si="9"/>
        <v>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贷</v>
      </c>
      <c r="K315" s="9">
        <f t="shared" si="9"/>
        <v>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贷</v>
      </c>
      <c r="K316" s="9">
        <f t="shared" si="9"/>
        <v>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贷</v>
      </c>
      <c r="K317" s="9">
        <f t="shared" si="9"/>
        <v>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贷</v>
      </c>
      <c r="K318" s="9">
        <f t="shared" si="9"/>
        <v>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贷</v>
      </c>
      <c r="K319" s="9">
        <f t="shared" si="9"/>
        <v>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贷</v>
      </c>
      <c r="K320" s="9">
        <f t="shared" si="9"/>
        <v>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贷</v>
      </c>
      <c r="K321" s="9">
        <f t="shared" si="9"/>
        <v>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贷</v>
      </c>
      <c r="K322" s="9">
        <f t="shared" si="9"/>
        <v>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贷</v>
      </c>
      <c r="K323" s="9">
        <f t="shared" si="9"/>
        <v>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贷</v>
      </c>
      <c r="K324" s="9">
        <f t="shared" si="9"/>
        <v>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贷</v>
      </c>
      <c r="K325" s="9">
        <f t="shared" si="9"/>
        <v>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贷</v>
      </c>
      <c r="K326" s="9">
        <f t="shared" ref="K326:K389" si="11">K325+H326-I326</f>
        <v>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贷</v>
      </c>
      <c r="K327" s="9">
        <f t="shared" si="11"/>
        <v>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贷</v>
      </c>
      <c r="K328" s="9">
        <f t="shared" si="11"/>
        <v>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贷</v>
      </c>
      <c r="K329" s="9">
        <f t="shared" si="11"/>
        <v>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贷</v>
      </c>
      <c r="K330" s="9">
        <f t="shared" si="11"/>
        <v>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贷</v>
      </c>
      <c r="K331" s="9">
        <f t="shared" si="11"/>
        <v>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贷</v>
      </c>
      <c r="K332" s="9">
        <f t="shared" si="11"/>
        <v>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贷</v>
      </c>
      <c r="K333" s="9">
        <f t="shared" si="11"/>
        <v>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贷</v>
      </c>
      <c r="K334" s="9">
        <f t="shared" si="11"/>
        <v>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贷</v>
      </c>
      <c r="K335" s="9">
        <f t="shared" si="11"/>
        <v>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贷</v>
      </c>
      <c r="K336" s="9">
        <f t="shared" si="11"/>
        <v>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贷</v>
      </c>
      <c r="K337" s="9">
        <f t="shared" si="11"/>
        <v>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贷</v>
      </c>
      <c r="K338" s="9">
        <f t="shared" si="11"/>
        <v>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贷</v>
      </c>
      <c r="K339" s="9">
        <f t="shared" si="11"/>
        <v>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贷</v>
      </c>
      <c r="K340" s="9">
        <f t="shared" si="11"/>
        <v>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贷</v>
      </c>
      <c r="K341" s="9">
        <f t="shared" si="11"/>
        <v>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贷</v>
      </c>
      <c r="K342" s="9">
        <f t="shared" si="11"/>
        <v>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贷</v>
      </c>
      <c r="K343" s="9">
        <f t="shared" si="11"/>
        <v>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贷</v>
      </c>
      <c r="K344" s="9">
        <f t="shared" si="11"/>
        <v>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贷</v>
      </c>
      <c r="K345" s="9">
        <f t="shared" si="11"/>
        <v>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贷</v>
      </c>
      <c r="K346" s="9">
        <f t="shared" si="11"/>
        <v>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贷</v>
      </c>
      <c r="K347" s="9">
        <f t="shared" si="11"/>
        <v>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贷</v>
      </c>
      <c r="K348" s="9">
        <f t="shared" si="11"/>
        <v>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贷</v>
      </c>
      <c r="K349" s="9">
        <f t="shared" si="11"/>
        <v>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贷</v>
      </c>
      <c r="K350" s="9">
        <f t="shared" si="11"/>
        <v>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贷</v>
      </c>
      <c r="K351" s="9">
        <f t="shared" si="11"/>
        <v>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贷</v>
      </c>
      <c r="K352" s="9">
        <f t="shared" si="11"/>
        <v>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贷</v>
      </c>
      <c r="K353" s="9">
        <f t="shared" si="11"/>
        <v>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贷</v>
      </c>
      <c r="K354" s="9">
        <f t="shared" si="11"/>
        <v>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贷</v>
      </c>
      <c r="K355" s="9">
        <f t="shared" si="11"/>
        <v>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贷</v>
      </c>
      <c r="K356" s="9">
        <f t="shared" si="11"/>
        <v>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贷</v>
      </c>
      <c r="K357" s="9">
        <f t="shared" si="11"/>
        <v>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贷</v>
      </c>
      <c r="K358" s="9">
        <f t="shared" si="11"/>
        <v>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贷</v>
      </c>
      <c r="K359" s="9">
        <f t="shared" si="11"/>
        <v>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贷</v>
      </c>
      <c r="K360" s="9">
        <f t="shared" si="11"/>
        <v>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贷</v>
      </c>
      <c r="K361" s="9">
        <f t="shared" si="11"/>
        <v>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贷</v>
      </c>
      <c r="K362" s="9">
        <f t="shared" si="11"/>
        <v>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贷</v>
      </c>
      <c r="K363" s="9">
        <f t="shared" si="11"/>
        <v>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贷</v>
      </c>
      <c r="K364" s="9">
        <f t="shared" si="11"/>
        <v>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贷</v>
      </c>
      <c r="K365" s="9">
        <f t="shared" si="11"/>
        <v>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贷</v>
      </c>
      <c r="K366" s="9">
        <f t="shared" si="11"/>
        <v>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贷</v>
      </c>
      <c r="K367" s="9">
        <f t="shared" si="11"/>
        <v>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贷</v>
      </c>
      <c r="K368" s="9">
        <f t="shared" si="11"/>
        <v>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贷</v>
      </c>
      <c r="K369" s="9">
        <f t="shared" si="11"/>
        <v>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贷</v>
      </c>
      <c r="K370" s="9">
        <f t="shared" si="11"/>
        <v>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贷</v>
      </c>
      <c r="K371" s="9">
        <f t="shared" si="11"/>
        <v>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贷</v>
      </c>
      <c r="K372" s="9">
        <f t="shared" si="11"/>
        <v>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贷</v>
      </c>
      <c r="K373" s="9">
        <f t="shared" si="11"/>
        <v>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贷</v>
      </c>
      <c r="K374" s="9">
        <f t="shared" si="11"/>
        <v>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贷</v>
      </c>
      <c r="K375" s="9">
        <f t="shared" si="11"/>
        <v>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贷</v>
      </c>
      <c r="K376" s="9">
        <f t="shared" si="11"/>
        <v>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贷</v>
      </c>
      <c r="K377" s="9">
        <f t="shared" si="11"/>
        <v>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贷</v>
      </c>
      <c r="K378" s="9">
        <f t="shared" si="11"/>
        <v>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贷</v>
      </c>
      <c r="K379" s="9">
        <f t="shared" si="11"/>
        <v>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贷</v>
      </c>
      <c r="K380" s="9">
        <f t="shared" si="11"/>
        <v>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贷</v>
      </c>
      <c r="K381" s="9">
        <f t="shared" si="11"/>
        <v>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贷</v>
      </c>
      <c r="K382" s="9">
        <f t="shared" si="11"/>
        <v>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贷</v>
      </c>
      <c r="K383" s="9">
        <f t="shared" si="11"/>
        <v>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贷</v>
      </c>
      <c r="K384" s="9">
        <f t="shared" si="11"/>
        <v>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贷</v>
      </c>
      <c r="K385" s="9">
        <f t="shared" si="11"/>
        <v>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贷</v>
      </c>
      <c r="K386" s="9">
        <f t="shared" si="11"/>
        <v>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贷</v>
      </c>
      <c r="K387" s="9">
        <f t="shared" si="11"/>
        <v>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贷</v>
      </c>
      <c r="K388" s="9">
        <f t="shared" si="11"/>
        <v>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贷</v>
      </c>
      <c r="K389" s="9">
        <f t="shared" si="11"/>
        <v>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贷</v>
      </c>
      <c r="K390" s="9">
        <f t="shared" ref="K390:K453" si="13">K389+H390-I390</f>
        <v>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贷</v>
      </c>
      <c r="K391" s="9">
        <f t="shared" si="13"/>
        <v>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贷</v>
      </c>
      <c r="K392" s="9">
        <f t="shared" si="13"/>
        <v>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贷</v>
      </c>
      <c r="K393" s="9">
        <f t="shared" si="13"/>
        <v>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贷</v>
      </c>
      <c r="K394" s="9">
        <f t="shared" si="13"/>
        <v>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贷</v>
      </c>
      <c r="K395" s="9">
        <f t="shared" si="13"/>
        <v>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贷</v>
      </c>
      <c r="K396" s="9">
        <f t="shared" si="13"/>
        <v>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贷</v>
      </c>
      <c r="K397" s="9">
        <f t="shared" si="13"/>
        <v>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贷</v>
      </c>
      <c r="K398" s="9">
        <f t="shared" si="13"/>
        <v>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贷</v>
      </c>
      <c r="K399" s="9">
        <f t="shared" si="13"/>
        <v>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贷</v>
      </c>
      <c r="K400" s="9">
        <f t="shared" si="13"/>
        <v>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贷</v>
      </c>
      <c r="K401" s="9">
        <f t="shared" si="13"/>
        <v>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贷</v>
      </c>
      <c r="K402" s="9">
        <f t="shared" si="13"/>
        <v>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贷</v>
      </c>
      <c r="K403" s="9">
        <f t="shared" si="13"/>
        <v>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贷</v>
      </c>
      <c r="K404" s="9">
        <f t="shared" si="13"/>
        <v>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贷</v>
      </c>
      <c r="K405" s="9">
        <f t="shared" si="13"/>
        <v>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贷</v>
      </c>
      <c r="K406" s="9">
        <f t="shared" si="13"/>
        <v>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贷</v>
      </c>
      <c r="K407" s="9">
        <f t="shared" si="13"/>
        <v>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贷</v>
      </c>
      <c r="K408" s="9">
        <f t="shared" si="13"/>
        <v>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贷</v>
      </c>
      <c r="K409" s="9">
        <f t="shared" si="13"/>
        <v>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贷</v>
      </c>
      <c r="K410" s="9">
        <f t="shared" si="13"/>
        <v>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贷</v>
      </c>
      <c r="K411" s="9">
        <f t="shared" si="13"/>
        <v>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贷</v>
      </c>
      <c r="K412" s="9">
        <f t="shared" si="13"/>
        <v>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贷</v>
      </c>
      <c r="K413" s="9">
        <f t="shared" si="13"/>
        <v>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贷</v>
      </c>
      <c r="K414" s="9">
        <f t="shared" si="13"/>
        <v>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贷</v>
      </c>
      <c r="K415" s="9">
        <f t="shared" si="13"/>
        <v>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贷</v>
      </c>
      <c r="K416" s="9">
        <f t="shared" si="13"/>
        <v>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贷</v>
      </c>
      <c r="K417" s="9">
        <f t="shared" si="13"/>
        <v>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贷</v>
      </c>
      <c r="K418" s="9">
        <f t="shared" si="13"/>
        <v>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贷</v>
      </c>
      <c r="K419" s="9">
        <f t="shared" si="13"/>
        <v>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贷</v>
      </c>
      <c r="K420" s="9">
        <f t="shared" si="13"/>
        <v>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贷</v>
      </c>
      <c r="K421" s="9">
        <f t="shared" si="13"/>
        <v>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贷</v>
      </c>
      <c r="K422" s="9">
        <f t="shared" si="13"/>
        <v>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贷</v>
      </c>
      <c r="K423" s="9">
        <f t="shared" si="13"/>
        <v>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贷</v>
      </c>
      <c r="K424" s="9">
        <f t="shared" si="13"/>
        <v>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贷</v>
      </c>
      <c r="K425" s="9">
        <f t="shared" si="13"/>
        <v>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贷</v>
      </c>
      <c r="K426" s="9">
        <f t="shared" si="13"/>
        <v>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贷</v>
      </c>
      <c r="K427" s="9">
        <f t="shared" si="13"/>
        <v>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贷</v>
      </c>
      <c r="K428" s="9">
        <f t="shared" si="13"/>
        <v>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贷</v>
      </c>
      <c r="K429" s="9">
        <f t="shared" si="13"/>
        <v>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贷</v>
      </c>
      <c r="K430" s="9">
        <f t="shared" si="13"/>
        <v>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贷</v>
      </c>
      <c r="K431" s="9">
        <f t="shared" si="13"/>
        <v>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贷</v>
      </c>
      <c r="K432" s="9">
        <f t="shared" si="13"/>
        <v>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贷</v>
      </c>
      <c r="K433" s="9">
        <f t="shared" si="13"/>
        <v>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贷</v>
      </c>
      <c r="K434" s="9">
        <f t="shared" si="13"/>
        <v>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贷</v>
      </c>
      <c r="K435" s="9">
        <f t="shared" si="13"/>
        <v>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贷</v>
      </c>
      <c r="K436" s="9">
        <f t="shared" si="13"/>
        <v>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贷</v>
      </c>
      <c r="K437" s="9">
        <f t="shared" si="13"/>
        <v>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贷</v>
      </c>
      <c r="K438" s="9">
        <f t="shared" si="13"/>
        <v>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贷</v>
      </c>
      <c r="K439" s="9">
        <f t="shared" si="13"/>
        <v>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贷</v>
      </c>
      <c r="K440" s="9">
        <f t="shared" si="13"/>
        <v>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贷</v>
      </c>
      <c r="K441" s="9">
        <f t="shared" si="13"/>
        <v>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贷</v>
      </c>
      <c r="K442" s="9">
        <f t="shared" si="13"/>
        <v>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贷</v>
      </c>
      <c r="K443" s="9">
        <f t="shared" si="13"/>
        <v>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贷</v>
      </c>
      <c r="K444" s="9">
        <f t="shared" si="13"/>
        <v>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贷</v>
      </c>
      <c r="K445" s="9">
        <f t="shared" si="13"/>
        <v>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贷</v>
      </c>
      <c r="K446" s="9">
        <f t="shared" si="13"/>
        <v>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贷</v>
      </c>
      <c r="K447" s="9">
        <f t="shared" si="13"/>
        <v>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贷</v>
      </c>
      <c r="K448" s="9">
        <f t="shared" si="13"/>
        <v>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贷</v>
      </c>
      <c r="K449" s="9">
        <f t="shared" si="13"/>
        <v>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贷</v>
      </c>
      <c r="K450" s="9">
        <f t="shared" si="13"/>
        <v>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贷</v>
      </c>
      <c r="K451" s="9">
        <f t="shared" si="13"/>
        <v>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贷</v>
      </c>
      <c r="K452" s="9">
        <f t="shared" si="13"/>
        <v>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贷</v>
      </c>
      <c r="K453" s="9">
        <f t="shared" si="13"/>
        <v>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贷</v>
      </c>
      <c r="K454" s="9">
        <f t="shared" ref="K454:K498" si="15">K453+H454-I454</f>
        <v>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贷</v>
      </c>
      <c r="K455" s="9">
        <f t="shared" si="15"/>
        <v>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贷</v>
      </c>
      <c r="K456" s="9">
        <f t="shared" si="15"/>
        <v>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贷</v>
      </c>
      <c r="K457" s="9">
        <f t="shared" si="15"/>
        <v>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贷</v>
      </c>
      <c r="K458" s="9">
        <f t="shared" si="15"/>
        <v>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贷</v>
      </c>
      <c r="K459" s="9">
        <f t="shared" si="15"/>
        <v>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贷</v>
      </c>
      <c r="K460" s="9">
        <f t="shared" si="15"/>
        <v>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贷</v>
      </c>
      <c r="K461" s="9">
        <f t="shared" si="15"/>
        <v>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贷</v>
      </c>
      <c r="K462" s="9">
        <f t="shared" si="15"/>
        <v>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贷</v>
      </c>
      <c r="K463" s="9">
        <f t="shared" si="15"/>
        <v>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贷</v>
      </c>
      <c r="K464" s="9">
        <f t="shared" si="15"/>
        <v>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贷</v>
      </c>
      <c r="K465" s="9">
        <f t="shared" si="15"/>
        <v>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贷</v>
      </c>
      <c r="K466" s="9">
        <f t="shared" si="15"/>
        <v>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贷</v>
      </c>
      <c r="K467" s="9">
        <f t="shared" si="15"/>
        <v>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贷</v>
      </c>
      <c r="K468" s="9">
        <f t="shared" si="15"/>
        <v>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贷</v>
      </c>
      <c r="K469" s="9">
        <f t="shared" si="15"/>
        <v>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贷</v>
      </c>
      <c r="K470" s="9">
        <f t="shared" si="15"/>
        <v>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贷</v>
      </c>
      <c r="K471" s="9">
        <f t="shared" si="15"/>
        <v>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贷</v>
      </c>
      <c r="K472" s="9">
        <f t="shared" si="15"/>
        <v>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贷</v>
      </c>
      <c r="K473" s="9">
        <f t="shared" si="15"/>
        <v>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贷</v>
      </c>
      <c r="K474" s="9">
        <f t="shared" si="15"/>
        <v>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贷</v>
      </c>
      <c r="K475" s="9">
        <f t="shared" si="15"/>
        <v>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贷</v>
      </c>
      <c r="K476" s="9">
        <f t="shared" si="15"/>
        <v>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贷</v>
      </c>
      <c r="K477" s="9">
        <f t="shared" si="15"/>
        <v>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贷</v>
      </c>
      <c r="K478" s="9">
        <f t="shared" si="15"/>
        <v>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贷</v>
      </c>
      <c r="K479" s="9">
        <f t="shared" si="15"/>
        <v>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贷</v>
      </c>
      <c r="K480" s="9">
        <f t="shared" si="15"/>
        <v>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贷</v>
      </c>
      <c r="K481" s="9">
        <f t="shared" si="15"/>
        <v>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贷</v>
      </c>
      <c r="K482" s="9">
        <f t="shared" si="15"/>
        <v>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贷</v>
      </c>
      <c r="K483" s="9">
        <f t="shared" si="15"/>
        <v>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贷</v>
      </c>
      <c r="K484" s="9">
        <f t="shared" si="15"/>
        <v>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贷</v>
      </c>
      <c r="K485" s="9">
        <f t="shared" si="15"/>
        <v>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贷</v>
      </c>
      <c r="K486" s="9">
        <f t="shared" si="15"/>
        <v>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贷</v>
      </c>
      <c r="K487" s="9">
        <f t="shared" si="15"/>
        <v>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贷</v>
      </c>
      <c r="K488" s="9">
        <f t="shared" si="15"/>
        <v>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贷</v>
      </c>
      <c r="K489" s="9">
        <f t="shared" si="15"/>
        <v>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贷</v>
      </c>
      <c r="K490" s="9">
        <f t="shared" si="15"/>
        <v>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贷</v>
      </c>
      <c r="K491" s="9">
        <f t="shared" si="15"/>
        <v>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贷</v>
      </c>
      <c r="K492" s="9">
        <f t="shared" si="15"/>
        <v>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贷</v>
      </c>
      <c r="K493" s="9">
        <f t="shared" si="15"/>
        <v>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贷</v>
      </c>
      <c r="K494" s="9">
        <f t="shared" si="15"/>
        <v>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贷</v>
      </c>
      <c r="K495" s="9">
        <f t="shared" si="15"/>
        <v>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贷</v>
      </c>
      <c r="K496" s="9">
        <f t="shared" si="15"/>
        <v>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贷</v>
      </c>
      <c r="K497" s="9">
        <f t="shared" si="15"/>
        <v>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贷</v>
      </c>
      <c r="K498" s="9">
        <f t="shared" si="15"/>
        <v>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1" type="noConversion"/>
  <dataValidations count="2">
    <dataValidation allowBlank="1" showInputMessage="1" showErrorMessage="1" sqref="G1 A2:XFD2 G3:G4 L72:L73" xr:uid="{00000000-0002-0000-0600-000000000000}"/>
    <dataValidation type="list" allowBlank="1" showInputMessage="1" showErrorMessage="1" sqref="G5:G1048576" xr:uid="{00000000-0002-0000-0600-000001000000}">
      <formula1>#REF!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98"/>
  <sheetViews>
    <sheetView topLeftCell="B1"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59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65"/>
      <c r="M27" s="65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65"/>
      <c r="M28" s="65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65"/>
      <c r="M29" s="65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65"/>
      <c r="M30" s="65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65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65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65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65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65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65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65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1" type="noConversion"/>
  <dataValidations count="2">
    <dataValidation allowBlank="1" showInputMessage="1" showErrorMessage="1" sqref="G1 A2:XFD2 G3:G4 L72:L73" xr:uid="{00000000-0002-0000-0700-000000000000}"/>
    <dataValidation type="list" allowBlank="1" showInputMessage="1" showErrorMessage="1" sqref="G5:G1048576" xr:uid="{00000000-0002-0000-0700-000001000000}">
      <formula1>#REF!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16"/>
  <sheetViews>
    <sheetView workbookViewId="0">
      <selection activeCell="E18" sqref="E18"/>
    </sheetView>
  </sheetViews>
  <sheetFormatPr defaultColWidth="9" defaultRowHeight="20.100000000000001" customHeight="1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3.1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  <c r="L1" s="2"/>
    </row>
    <row r="2" spans="1:13" ht="20.100000000000001" customHeight="1" x14ac:dyDescent="0.15">
      <c r="B2" t="s">
        <v>60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SUM(H5:H190019)</f>
        <v>10000</v>
      </c>
      <c r="I3" s="4">
        <f>SUM(I5:I190019)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7" t="s">
        <v>40</v>
      </c>
      <c r="E6" s="7"/>
      <c r="F6" s="7" t="s">
        <v>41</v>
      </c>
      <c r="G6" s="7" t="s">
        <v>42</v>
      </c>
      <c r="H6" s="8">
        <v>10000</v>
      </c>
      <c r="I6" s="8"/>
      <c r="J6" s="8" t="str">
        <f t="shared" ref="J6:J15" si="0">IF((K5+H6-I6)&gt;0,"借","贷")</f>
        <v>借</v>
      </c>
      <c r="K6" s="9">
        <f t="shared" ref="K6:K15" si="1">K5+H6-I6</f>
        <v>11000</v>
      </c>
      <c r="L6" s="28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7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  <c r="L7" s="28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10"/>
      <c r="E11" s="10"/>
      <c r="F11" s="7"/>
      <c r="G11" s="7"/>
      <c r="H11" s="8"/>
      <c r="I11" s="8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7"/>
      <c r="G12" s="7"/>
      <c r="H12" s="8"/>
      <c r="I12" s="8"/>
      <c r="J12" s="8" t="str">
        <f t="shared" si="0"/>
        <v>借</v>
      </c>
      <c r="K12" s="9">
        <f t="shared" si="1"/>
        <v>890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7"/>
      <c r="G13" s="7"/>
      <c r="H13" s="8"/>
      <c r="I13" s="8"/>
      <c r="J13" s="8" t="str">
        <f t="shared" si="0"/>
        <v>借</v>
      </c>
      <c r="K13" s="9">
        <f t="shared" si="1"/>
        <v>890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10"/>
      <c r="J15" s="8" t="str">
        <f t="shared" si="0"/>
        <v>借</v>
      </c>
      <c r="K15" s="9">
        <f t="shared" si="1"/>
        <v>890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10"/>
      <c r="J16" s="8" t="str">
        <f t="shared" ref="J16:J70" si="2">IF((K15+H16-I16)&gt;0,"借","贷")</f>
        <v>借</v>
      </c>
      <c r="K16" s="9">
        <f t="shared" ref="K16:K70" si="3">K15+H16-I16</f>
        <v>890</v>
      </c>
      <c r="L16" s="28"/>
    </row>
    <row r="17" spans="1:12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10"/>
      <c r="J17" s="8" t="str">
        <f t="shared" si="2"/>
        <v>借</v>
      </c>
      <c r="K17" s="9">
        <f t="shared" si="3"/>
        <v>890</v>
      </c>
      <c r="L17" s="28"/>
    </row>
    <row r="18" spans="1:12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10"/>
      <c r="J18" s="8" t="str">
        <f t="shared" si="2"/>
        <v>借</v>
      </c>
      <c r="K18" s="9">
        <f t="shared" si="3"/>
        <v>890</v>
      </c>
      <c r="L18" s="28"/>
    </row>
    <row r="19" spans="1:12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10"/>
      <c r="J19" s="8" t="str">
        <f t="shared" si="2"/>
        <v>借</v>
      </c>
      <c r="K19" s="9">
        <f t="shared" si="3"/>
        <v>890</v>
      </c>
      <c r="L19" s="28"/>
    </row>
    <row r="20" spans="1:12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10"/>
      <c r="J20" s="8" t="str">
        <f t="shared" si="2"/>
        <v>借</v>
      </c>
      <c r="K20" s="9">
        <f t="shared" si="3"/>
        <v>890</v>
      </c>
      <c r="L20" s="28"/>
    </row>
    <row r="21" spans="1:12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10"/>
      <c r="J21" s="8" t="str">
        <f t="shared" si="2"/>
        <v>借</v>
      </c>
      <c r="K21" s="9">
        <f t="shared" si="3"/>
        <v>890</v>
      </c>
      <c r="L21" s="28"/>
    </row>
    <row r="22" spans="1:12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10"/>
      <c r="J22" s="8" t="str">
        <f t="shared" si="2"/>
        <v>借</v>
      </c>
      <c r="K22" s="9">
        <f t="shared" si="3"/>
        <v>890</v>
      </c>
      <c r="L22" s="28"/>
    </row>
    <row r="23" spans="1:12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10"/>
      <c r="J23" s="8" t="str">
        <f t="shared" si="2"/>
        <v>借</v>
      </c>
      <c r="K23" s="9">
        <f t="shared" si="3"/>
        <v>890</v>
      </c>
      <c r="L23" s="28"/>
    </row>
    <row r="24" spans="1:12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10"/>
      <c r="J24" s="8" t="str">
        <f t="shared" si="2"/>
        <v>借</v>
      </c>
      <c r="K24" s="9">
        <f t="shared" si="3"/>
        <v>890</v>
      </c>
      <c r="L24" s="28"/>
    </row>
    <row r="25" spans="1:12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36"/>
      <c r="J25" s="8" t="str">
        <f t="shared" si="2"/>
        <v>借</v>
      </c>
      <c r="K25" s="9">
        <f t="shared" si="3"/>
        <v>890</v>
      </c>
      <c r="L25" s="28"/>
    </row>
    <row r="26" spans="1:12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36"/>
      <c r="J26" s="8" t="str">
        <f t="shared" si="2"/>
        <v>借</v>
      </c>
      <c r="K26" s="9">
        <f t="shared" si="3"/>
        <v>890</v>
      </c>
      <c r="L26" s="28"/>
    </row>
    <row r="27" spans="1:12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36"/>
      <c r="J27" s="8" t="str">
        <f t="shared" si="2"/>
        <v>借</v>
      </c>
      <c r="K27" s="9">
        <f t="shared" si="3"/>
        <v>890</v>
      </c>
      <c r="L27" s="28"/>
    </row>
    <row r="28" spans="1:12" ht="20.100000000000001" customHeight="1" x14ac:dyDescent="0.15">
      <c r="A28" s="5"/>
      <c r="B28" s="5"/>
      <c r="C28" s="5"/>
      <c r="D28" s="10"/>
      <c r="E28" s="11"/>
      <c r="F28" s="10"/>
      <c r="G28" s="10"/>
      <c r="H28" s="8"/>
      <c r="I28" s="36"/>
      <c r="J28" s="8" t="str">
        <f t="shared" si="2"/>
        <v>借</v>
      </c>
      <c r="K28" s="9">
        <f t="shared" si="3"/>
        <v>890</v>
      </c>
      <c r="L28" s="28"/>
    </row>
    <row r="29" spans="1:12" ht="20.100000000000001" customHeight="1" x14ac:dyDescent="0.15">
      <c r="A29" s="5"/>
      <c r="B29" s="5"/>
      <c r="C29" s="5"/>
      <c r="D29" s="10"/>
      <c r="E29" s="11"/>
      <c r="F29" s="10"/>
      <c r="G29" s="10"/>
      <c r="H29" s="8"/>
      <c r="I29" s="8"/>
      <c r="J29" s="8" t="str">
        <f t="shared" si="2"/>
        <v>借</v>
      </c>
      <c r="K29" s="9">
        <f t="shared" si="3"/>
        <v>890</v>
      </c>
      <c r="L29" s="28"/>
    </row>
    <row r="30" spans="1:12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890</v>
      </c>
      <c r="L30" s="28"/>
    </row>
    <row r="31" spans="1:12" ht="20.100000000000001" customHeight="1" x14ac:dyDescent="0.15">
      <c r="A31" s="5"/>
      <c r="B31" s="5"/>
      <c r="C31" s="5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890</v>
      </c>
      <c r="L31" s="28"/>
    </row>
    <row r="32" spans="1:12" ht="20.100000000000001" customHeight="1" x14ac:dyDescent="0.15">
      <c r="A32" s="5"/>
      <c r="B32" s="5"/>
      <c r="C32" s="5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890</v>
      </c>
      <c r="L32" s="28"/>
    </row>
    <row r="33" spans="1:12" ht="20.100000000000001" customHeight="1" x14ac:dyDescent="0.15">
      <c r="A33" s="5"/>
      <c r="B33" s="5"/>
      <c r="C33" s="5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890</v>
      </c>
      <c r="L33" s="28"/>
    </row>
    <row r="34" spans="1:12" ht="20.100000000000001" customHeight="1" x14ac:dyDescent="0.15">
      <c r="A34" s="5"/>
      <c r="B34" s="5"/>
      <c r="C34" s="5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890</v>
      </c>
      <c r="L34" s="28"/>
    </row>
    <row r="35" spans="1:12" ht="20.100000000000001" customHeight="1" x14ac:dyDescent="0.15">
      <c r="A35" s="5"/>
      <c r="B35" s="5"/>
      <c r="C35" s="5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890</v>
      </c>
      <c r="L35" s="28"/>
    </row>
    <row r="36" spans="1:12" ht="20.100000000000001" customHeight="1" x14ac:dyDescent="0.15">
      <c r="A36" s="5"/>
      <c r="B36" s="5"/>
      <c r="C36" s="5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890</v>
      </c>
      <c r="L36" s="28"/>
    </row>
    <row r="37" spans="1:12" ht="20.100000000000001" customHeight="1" x14ac:dyDescent="0.15">
      <c r="A37" s="5"/>
      <c r="B37" s="5"/>
      <c r="C37" s="5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890</v>
      </c>
      <c r="L37" s="28"/>
    </row>
    <row r="38" spans="1:12" ht="20.100000000000001" customHeight="1" x14ac:dyDescent="0.15">
      <c r="A38" s="5"/>
      <c r="B38" s="5"/>
      <c r="C38" s="5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890</v>
      </c>
      <c r="L38" s="28"/>
    </row>
    <row r="39" spans="1:12" ht="20.100000000000001" customHeight="1" x14ac:dyDescent="0.15">
      <c r="A39" s="5"/>
      <c r="B39" s="5"/>
      <c r="C39" s="5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890</v>
      </c>
      <c r="L39" s="28"/>
    </row>
    <row r="40" spans="1:12" ht="20.100000000000001" customHeight="1" x14ac:dyDescent="0.15">
      <c r="A40" s="5"/>
      <c r="B40" s="5"/>
      <c r="C40" s="5"/>
      <c r="D40" s="10"/>
      <c r="E40" s="10"/>
      <c r="F40" s="10"/>
      <c r="G40" s="10"/>
      <c r="H40" s="8"/>
      <c r="I40" s="36"/>
      <c r="J40" s="8" t="str">
        <f t="shared" si="2"/>
        <v>借</v>
      </c>
      <c r="K40" s="9">
        <f t="shared" si="3"/>
        <v>890</v>
      </c>
      <c r="L40" s="28"/>
    </row>
    <row r="41" spans="1:12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36"/>
      <c r="J41" s="8" t="str">
        <f t="shared" si="2"/>
        <v>借</v>
      </c>
      <c r="K41" s="9">
        <f t="shared" si="3"/>
        <v>890</v>
      </c>
      <c r="L41" s="28"/>
    </row>
    <row r="42" spans="1:12" ht="20.100000000000001" customHeight="1" x14ac:dyDescent="0.15">
      <c r="A42" s="5"/>
      <c r="B42" s="5"/>
      <c r="C42" s="10"/>
      <c r="D42" s="10"/>
      <c r="E42" s="10"/>
      <c r="F42" s="10"/>
      <c r="G42" s="10"/>
      <c r="H42" s="36"/>
      <c r="I42" s="36"/>
      <c r="J42" s="8" t="str">
        <f t="shared" si="2"/>
        <v>借</v>
      </c>
      <c r="K42" s="9">
        <f t="shared" si="3"/>
        <v>890</v>
      </c>
      <c r="L42" s="28"/>
    </row>
    <row r="43" spans="1:12" ht="20.100000000000001" customHeight="1" x14ac:dyDescent="0.15">
      <c r="A43" s="5"/>
      <c r="B43" s="5"/>
      <c r="C43" s="10"/>
      <c r="D43" s="10"/>
      <c r="E43" s="10"/>
      <c r="F43" s="10"/>
      <c r="G43" s="10"/>
      <c r="H43" s="36"/>
      <c r="I43" s="36"/>
      <c r="J43" s="8" t="str">
        <f t="shared" si="2"/>
        <v>借</v>
      </c>
      <c r="K43" s="9">
        <f t="shared" si="3"/>
        <v>890</v>
      </c>
      <c r="L43" s="28"/>
    </row>
    <row r="44" spans="1:12" ht="20.100000000000001" customHeight="1" x14ac:dyDescent="0.15">
      <c r="A44" s="5"/>
      <c r="B44" s="5"/>
      <c r="C44" s="10"/>
      <c r="D44" s="10"/>
      <c r="E44" s="10"/>
      <c r="F44" s="10"/>
      <c r="G44" s="10"/>
      <c r="H44" s="36"/>
      <c r="I44" s="36"/>
      <c r="J44" s="8" t="str">
        <f t="shared" si="2"/>
        <v>借</v>
      </c>
      <c r="K44" s="9">
        <f t="shared" si="3"/>
        <v>890</v>
      </c>
      <c r="L44" s="28"/>
    </row>
    <row r="45" spans="1:12" ht="20.100000000000001" customHeight="1" x14ac:dyDescent="0.15">
      <c r="A45" s="5"/>
      <c r="B45" s="5"/>
      <c r="C45" s="10"/>
      <c r="D45" s="10"/>
      <c r="E45" s="10"/>
      <c r="F45" s="10"/>
      <c r="G45" s="10"/>
      <c r="H45" s="36"/>
      <c r="I45" s="36"/>
      <c r="J45" s="8" t="str">
        <f t="shared" si="2"/>
        <v>借</v>
      </c>
      <c r="K45" s="9">
        <f t="shared" si="3"/>
        <v>890</v>
      </c>
      <c r="L45" s="28"/>
    </row>
    <row r="46" spans="1:12" ht="20.100000000000001" customHeight="1" x14ac:dyDescent="0.15">
      <c r="A46" s="5"/>
      <c r="B46" s="5"/>
      <c r="C46" s="10"/>
      <c r="D46" s="10"/>
      <c r="E46" s="10"/>
      <c r="F46" s="10"/>
      <c r="G46" s="10"/>
      <c r="H46" s="36"/>
      <c r="I46" s="36"/>
      <c r="J46" s="8" t="str">
        <f t="shared" si="2"/>
        <v>借</v>
      </c>
      <c r="K46" s="9">
        <f t="shared" si="3"/>
        <v>890</v>
      </c>
      <c r="L46" s="28"/>
    </row>
    <row r="47" spans="1:12" ht="20.100000000000001" customHeight="1" x14ac:dyDescent="0.15">
      <c r="A47" s="5"/>
      <c r="B47" s="5"/>
      <c r="C47" s="10"/>
      <c r="D47" s="10"/>
      <c r="E47" s="10"/>
      <c r="F47" s="10"/>
      <c r="G47" s="10"/>
      <c r="H47" s="36"/>
      <c r="I47" s="36"/>
      <c r="J47" s="8" t="str">
        <f t="shared" si="2"/>
        <v>借</v>
      </c>
      <c r="K47" s="9">
        <f t="shared" si="3"/>
        <v>890</v>
      </c>
      <c r="L47" s="28"/>
    </row>
    <row r="48" spans="1:12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890</v>
      </c>
      <c r="L48" s="28"/>
    </row>
    <row r="49" spans="1:12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890</v>
      </c>
      <c r="L49" s="28"/>
    </row>
    <row r="50" spans="1:12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890</v>
      </c>
      <c r="L50" s="28"/>
    </row>
    <row r="51" spans="1:12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890</v>
      </c>
      <c r="L51" s="28"/>
    </row>
    <row r="52" spans="1:12" ht="20.100000000000001" customHeight="1" x14ac:dyDescent="0.15">
      <c r="A52" s="5"/>
      <c r="B52" s="5"/>
      <c r="C52" s="10"/>
      <c r="D52" s="48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890</v>
      </c>
      <c r="L52" s="28"/>
    </row>
    <row r="53" spans="1:12" ht="20.100000000000001" customHeight="1" x14ac:dyDescent="0.15">
      <c r="A53" s="5"/>
      <c r="B53" s="5"/>
      <c r="C53" s="10"/>
      <c r="D53" s="48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890</v>
      </c>
      <c r="L53" s="28"/>
    </row>
    <row r="54" spans="1:12" ht="20.100000000000001" customHeight="1" x14ac:dyDescent="0.15">
      <c r="A54" s="5"/>
      <c r="B54" s="5"/>
      <c r="C54" s="10"/>
      <c r="D54" s="49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890</v>
      </c>
      <c r="L54" s="28"/>
    </row>
    <row r="55" spans="1:12" ht="20.100000000000001" customHeight="1" x14ac:dyDescent="0.15">
      <c r="A55" s="5"/>
      <c r="B55" s="5"/>
      <c r="C55" s="10"/>
      <c r="D55" s="49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890</v>
      </c>
      <c r="L55" s="28"/>
    </row>
    <row r="56" spans="1:12" ht="20.100000000000001" customHeight="1" x14ac:dyDescent="0.15">
      <c r="A56" s="10"/>
      <c r="B56" s="5"/>
      <c r="C56" s="10"/>
      <c r="D56" s="49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890</v>
      </c>
      <c r="L56" s="28"/>
    </row>
    <row r="57" spans="1:12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890</v>
      </c>
      <c r="L57" s="28"/>
    </row>
    <row r="58" spans="1:12" ht="20.100000000000001" customHeight="1" x14ac:dyDescent="0.15">
      <c r="A58" s="10"/>
      <c r="B58" s="5"/>
      <c r="C58" s="10"/>
      <c r="D58" s="35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890</v>
      </c>
      <c r="L58" s="28"/>
    </row>
    <row r="59" spans="1:12" ht="20.100000000000001" customHeight="1" x14ac:dyDescent="0.15">
      <c r="A59" s="10"/>
      <c r="B59" s="5"/>
      <c r="C59" s="10"/>
      <c r="D59" s="35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890</v>
      </c>
      <c r="L59" s="28"/>
    </row>
    <row r="60" spans="1:12" ht="20.100000000000001" customHeight="1" x14ac:dyDescent="0.15">
      <c r="A60" s="10"/>
      <c r="B60" s="5"/>
      <c r="C60" s="10"/>
      <c r="D60" s="35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890</v>
      </c>
      <c r="L60" s="28"/>
    </row>
    <row r="61" spans="1:12" ht="20.100000000000001" customHeight="1" x14ac:dyDescent="0.15">
      <c r="A61" s="10"/>
      <c r="B61" s="5"/>
      <c r="C61" s="10"/>
      <c r="D61" s="35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890</v>
      </c>
      <c r="L61" s="28"/>
    </row>
    <row r="62" spans="1:12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890</v>
      </c>
      <c r="L62" s="28"/>
    </row>
    <row r="63" spans="1:12" ht="20.100000000000001" customHeight="1" x14ac:dyDescent="0.15">
      <c r="A63" s="10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890</v>
      </c>
      <c r="L63" s="28"/>
    </row>
    <row r="64" spans="1:12" ht="20.100000000000001" customHeight="1" x14ac:dyDescent="0.15">
      <c r="A64" s="10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890</v>
      </c>
      <c r="L64" s="28"/>
    </row>
    <row r="65" spans="1:12" ht="20.100000000000001" customHeight="1" x14ac:dyDescent="0.15">
      <c r="A65" s="5"/>
      <c r="B65" s="5"/>
      <c r="C65" s="10"/>
      <c r="D65" s="11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890</v>
      </c>
      <c r="L65" s="28"/>
    </row>
    <row r="66" spans="1:12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890</v>
      </c>
      <c r="L66" s="28"/>
    </row>
    <row r="67" spans="1:12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890</v>
      </c>
      <c r="L67" s="28"/>
    </row>
    <row r="68" spans="1:12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890</v>
      </c>
      <c r="L68" s="28"/>
    </row>
    <row r="69" spans="1:12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890</v>
      </c>
      <c r="L69" s="28"/>
    </row>
    <row r="70" spans="1:12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si="2"/>
        <v>借</v>
      </c>
      <c r="K70" s="9">
        <f t="shared" si="3"/>
        <v>890</v>
      </c>
      <c r="L70" s="28"/>
    </row>
    <row r="71" spans="1:12" ht="20.100000000000001" customHeight="1" x14ac:dyDescent="0.15">
      <c r="A71" s="10"/>
      <c r="B71" s="5"/>
      <c r="C71" s="10"/>
      <c r="D71" s="10"/>
      <c r="E71" s="10"/>
      <c r="F71" s="10"/>
      <c r="G71" s="10"/>
      <c r="H71" s="8"/>
      <c r="I71" s="15"/>
      <c r="J71" s="8" t="str">
        <f t="shared" ref="J71:J134" si="4">IF((K70+H71-I71)&gt;0,"借","贷")</f>
        <v>借</v>
      </c>
      <c r="K71" s="9">
        <f t="shared" ref="K71:K134" si="5">K70+H71-I71</f>
        <v>890</v>
      </c>
      <c r="L71" s="28"/>
    </row>
    <row r="72" spans="1:12" ht="20.100000000000001" customHeight="1" x14ac:dyDescent="0.15">
      <c r="A72" s="10"/>
      <c r="B72" s="5"/>
      <c r="C72" s="10"/>
      <c r="D72" s="10"/>
      <c r="E72" s="10"/>
      <c r="F72" s="10"/>
      <c r="G72" s="10"/>
      <c r="H72" s="8"/>
      <c r="I72" s="8"/>
      <c r="J72" s="8" t="str">
        <f t="shared" si="4"/>
        <v>借</v>
      </c>
      <c r="K72" s="9">
        <f t="shared" si="5"/>
        <v>890</v>
      </c>
      <c r="L72" s="28"/>
    </row>
    <row r="73" spans="1:12" ht="20.100000000000001" customHeight="1" x14ac:dyDescent="0.15">
      <c r="A73" s="5"/>
      <c r="B73" s="5"/>
      <c r="C73" s="10"/>
      <c r="D73" s="13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890</v>
      </c>
      <c r="L73" s="28"/>
    </row>
    <row r="74" spans="1:12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890</v>
      </c>
      <c r="L74" s="28"/>
    </row>
    <row r="75" spans="1:12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890</v>
      </c>
      <c r="L75" s="28"/>
    </row>
    <row r="76" spans="1:12" ht="20.100000000000001" customHeight="1" x14ac:dyDescent="0.15">
      <c r="A76" s="5"/>
      <c r="B76" s="5"/>
      <c r="C76" s="10"/>
      <c r="D76" s="35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890</v>
      </c>
      <c r="L76" s="28"/>
    </row>
    <row r="77" spans="1:12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890</v>
      </c>
      <c r="L77" s="28"/>
    </row>
    <row r="78" spans="1:12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890</v>
      </c>
      <c r="L78" s="28"/>
    </row>
    <row r="79" spans="1:12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8"/>
      <c r="J79" s="8" t="str">
        <f t="shared" si="4"/>
        <v>借</v>
      </c>
      <c r="K79" s="9">
        <f t="shared" si="5"/>
        <v>890</v>
      </c>
      <c r="L79" s="28"/>
    </row>
    <row r="80" spans="1:12" ht="20.100000000000001" customHeight="1" x14ac:dyDescent="0.15">
      <c r="A80" s="5"/>
      <c r="B80" s="5"/>
      <c r="C80" s="10"/>
      <c r="D80" s="11"/>
      <c r="E80" s="10"/>
      <c r="F80" s="10"/>
      <c r="G80" s="10"/>
      <c r="H80" s="8"/>
      <c r="I80" s="8"/>
      <c r="J80" s="8" t="str">
        <f t="shared" si="4"/>
        <v>借</v>
      </c>
      <c r="K80" s="9">
        <f t="shared" si="5"/>
        <v>890</v>
      </c>
      <c r="L80" s="28"/>
    </row>
    <row r="81" spans="1:12" ht="20.100000000000001" customHeight="1" x14ac:dyDescent="0.15">
      <c r="A81" s="10"/>
      <c r="B81" s="5"/>
      <c r="C81" s="10"/>
      <c r="D81" s="49"/>
      <c r="E81" s="10"/>
      <c r="F81" s="10"/>
      <c r="G81" s="10"/>
      <c r="H81" s="8"/>
      <c r="I81" s="8"/>
      <c r="J81" s="8" t="str">
        <f t="shared" si="4"/>
        <v>借</v>
      </c>
      <c r="K81" s="9">
        <f t="shared" si="5"/>
        <v>890</v>
      </c>
      <c r="L81" s="28"/>
    </row>
    <row r="82" spans="1:12" ht="20.100000000000001" customHeight="1" x14ac:dyDescent="0.15">
      <c r="A82" s="10"/>
      <c r="B82" s="5"/>
      <c r="C82" s="5"/>
      <c r="D82" s="35"/>
      <c r="E82" s="10"/>
      <c r="F82" s="10"/>
      <c r="G82" s="10"/>
      <c r="H82" s="8"/>
      <c r="I82" s="8"/>
      <c r="J82" s="8" t="str">
        <f t="shared" si="4"/>
        <v>借</v>
      </c>
      <c r="K82" s="9">
        <f t="shared" si="5"/>
        <v>890</v>
      </c>
      <c r="L82" s="28"/>
    </row>
    <row r="83" spans="1:12" ht="20.100000000000001" customHeight="1" x14ac:dyDescent="0.15">
      <c r="A83" s="5"/>
      <c r="B83" s="5"/>
      <c r="C83" s="5"/>
      <c r="D83" s="35"/>
      <c r="E83" s="10"/>
      <c r="F83" s="10"/>
      <c r="G83" s="10"/>
      <c r="H83" s="8"/>
      <c r="I83" s="15"/>
      <c r="J83" s="8" t="str">
        <f t="shared" si="4"/>
        <v>借</v>
      </c>
      <c r="K83" s="9">
        <f t="shared" si="5"/>
        <v>890</v>
      </c>
      <c r="L83" s="28"/>
    </row>
    <row r="84" spans="1:12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15"/>
      <c r="J84" s="8" t="str">
        <f t="shared" si="4"/>
        <v>借</v>
      </c>
      <c r="K84" s="9">
        <f t="shared" si="5"/>
        <v>890</v>
      </c>
      <c r="L84" s="28"/>
    </row>
    <row r="85" spans="1:12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15"/>
      <c r="J85" s="8" t="str">
        <f t="shared" si="4"/>
        <v>借</v>
      </c>
      <c r="K85" s="9">
        <f t="shared" si="5"/>
        <v>890</v>
      </c>
      <c r="L85" s="28"/>
    </row>
    <row r="86" spans="1:12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15"/>
      <c r="J86" s="8" t="str">
        <f t="shared" si="4"/>
        <v>借</v>
      </c>
      <c r="K86" s="9">
        <f t="shared" si="5"/>
        <v>890</v>
      </c>
      <c r="L86" s="28"/>
    </row>
    <row r="87" spans="1:12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15"/>
      <c r="J87" s="8" t="str">
        <f t="shared" si="4"/>
        <v>借</v>
      </c>
      <c r="K87" s="9">
        <f t="shared" si="5"/>
        <v>890</v>
      </c>
      <c r="L87" s="28"/>
    </row>
    <row r="88" spans="1:12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15"/>
      <c r="J88" s="8" t="str">
        <f t="shared" si="4"/>
        <v>借</v>
      </c>
      <c r="K88" s="9">
        <f t="shared" si="5"/>
        <v>890</v>
      </c>
      <c r="L88" s="28"/>
    </row>
    <row r="89" spans="1:12" ht="20.100000000000001" customHeight="1" x14ac:dyDescent="0.15">
      <c r="A89" s="5"/>
      <c r="B89" s="5"/>
      <c r="C89" s="5"/>
      <c r="D89" s="12"/>
      <c r="E89" s="10"/>
      <c r="F89" s="10"/>
      <c r="G89" s="10"/>
      <c r="H89" s="8"/>
      <c r="I89" s="15"/>
      <c r="J89" s="8" t="str">
        <f t="shared" si="4"/>
        <v>借</v>
      </c>
      <c r="K89" s="9">
        <f t="shared" si="5"/>
        <v>890</v>
      </c>
      <c r="L89" s="28"/>
    </row>
    <row r="90" spans="1:12" ht="20.100000000000001" customHeight="1" x14ac:dyDescent="0.15">
      <c r="A90" s="10"/>
      <c r="B90" s="5"/>
      <c r="C90" s="5"/>
      <c r="D90" s="12"/>
      <c r="E90" s="10"/>
      <c r="F90" s="10"/>
      <c r="G90" s="10"/>
      <c r="H90" s="8"/>
      <c r="I90" s="15"/>
      <c r="J90" s="8" t="str">
        <f t="shared" si="4"/>
        <v>借</v>
      </c>
      <c r="K90" s="9">
        <f t="shared" si="5"/>
        <v>890</v>
      </c>
      <c r="L90" s="28"/>
    </row>
    <row r="91" spans="1:12" ht="20.100000000000001" customHeight="1" x14ac:dyDescent="0.15">
      <c r="A91" s="10"/>
      <c r="B91" s="5"/>
      <c r="C91" s="5"/>
      <c r="D91" s="10"/>
      <c r="E91" s="10"/>
      <c r="F91" s="10"/>
      <c r="G91" s="10"/>
      <c r="H91" s="8"/>
      <c r="I91" s="15"/>
      <c r="J91" s="8" t="str">
        <f t="shared" si="4"/>
        <v>借</v>
      </c>
      <c r="K91" s="9">
        <f t="shared" si="5"/>
        <v>890</v>
      </c>
      <c r="L91" s="28"/>
    </row>
    <row r="92" spans="1:12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15"/>
      <c r="J92" s="8" t="str">
        <f t="shared" si="4"/>
        <v>借</v>
      </c>
      <c r="K92" s="9">
        <f t="shared" si="5"/>
        <v>890</v>
      </c>
      <c r="L92" s="28"/>
    </row>
    <row r="93" spans="1:12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15"/>
      <c r="J93" s="8" t="str">
        <f t="shared" si="4"/>
        <v>借</v>
      </c>
      <c r="K93" s="9">
        <f t="shared" si="5"/>
        <v>890</v>
      </c>
      <c r="L93" s="28"/>
    </row>
    <row r="94" spans="1:12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4"/>
        <v>借</v>
      </c>
      <c r="K94" s="9">
        <f t="shared" si="5"/>
        <v>890</v>
      </c>
      <c r="L94" s="28"/>
    </row>
    <row r="95" spans="1:12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15"/>
      <c r="J95" s="8" t="str">
        <f t="shared" si="4"/>
        <v>借</v>
      </c>
      <c r="K95" s="9">
        <f t="shared" si="5"/>
        <v>890</v>
      </c>
      <c r="L95" s="28"/>
    </row>
    <row r="96" spans="1:12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15"/>
      <c r="J96" s="8" t="str">
        <f t="shared" si="4"/>
        <v>借</v>
      </c>
      <c r="K96" s="9">
        <f t="shared" si="5"/>
        <v>890</v>
      </c>
      <c r="L96" s="28"/>
    </row>
    <row r="97" spans="1:12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15"/>
      <c r="J97" s="8" t="str">
        <f t="shared" si="4"/>
        <v>借</v>
      </c>
      <c r="K97" s="9">
        <f t="shared" si="5"/>
        <v>890</v>
      </c>
      <c r="L97" s="28"/>
    </row>
    <row r="98" spans="1:12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15"/>
      <c r="J98" s="8" t="str">
        <f t="shared" si="4"/>
        <v>借</v>
      </c>
      <c r="K98" s="9">
        <f t="shared" si="5"/>
        <v>890</v>
      </c>
      <c r="L98" s="28"/>
    </row>
    <row r="99" spans="1:12" ht="20.100000000000001" customHeight="1" x14ac:dyDescent="0.15">
      <c r="A99" s="10"/>
      <c r="B99" s="5"/>
      <c r="C99" s="5"/>
      <c r="D99" s="10"/>
      <c r="E99" s="10"/>
      <c r="F99" s="10"/>
      <c r="G99" s="10"/>
      <c r="H99" s="8"/>
      <c r="I99" s="15"/>
      <c r="J99" s="8" t="str">
        <f t="shared" si="4"/>
        <v>借</v>
      </c>
      <c r="K99" s="9">
        <f t="shared" si="5"/>
        <v>890</v>
      </c>
      <c r="L99" s="28"/>
    </row>
    <row r="100" spans="1:12" ht="20.100000000000001" customHeight="1" x14ac:dyDescent="0.15">
      <c r="A100" s="10"/>
      <c r="B100" s="5"/>
      <c r="C100" s="5"/>
      <c r="D100" s="10"/>
      <c r="E100" s="10"/>
      <c r="F100" s="10"/>
      <c r="G100" s="10"/>
      <c r="H100" s="8"/>
      <c r="I100" s="51"/>
      <c r="J100" s="8" t="str">
        <f t="shared" si="4"/>
        <v>借</v>
      </c>
      <c r="K100" s="9">
        <f t="shared" si="5"/>
        <v>890</v>
      </c>
      <c r="L100" s="28"/>
    </row>
    <row r="101" spans="1:12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15"/>
      <c r="J101" s="8" t="str">
        <f t="shared" si="4"/>
        <v>借</v>
      </c>
      <c r="K101" s="9">
        <f t="shared" si="5"/>
        <v>890</v>
      </c>
      <c r="L101" s="28"/>
    </row>
    <row r="102" spans="1:12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890</v>
      </c>
      <c r="L102" s="28"/>
    </row>
    <row r="103" spans="1:12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890</v>
      </c>
      <c r="L103" s="28"/>
    </row>
    <row r="104" spans="1:12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890</v>
      </c>
      <c r="L104" s="28"/>
    </row>
    <row r="105" spans="1:12" ht="20.100000000000001" customHeight="1" x14ac:dyDescent="0.15">
      <c r="A105" s="5"/>
      <c r="B105" s="5"/>
      <c r="C105" s="5"/>
      <c r="D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890</v>
      </c>
      <c r="L105" s="28"/>
    </row>
    <row r="106" spans="1:12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890</v>
      </c>
      <c r="L106" s="28"/>
    </row>
    <row r="107" spans="1:12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4"/>
        <v>借</v>
      </c>
      <c r="K107" s="9">
        <f t="shared" si="5"/>
        <v>890</v>
      </c>
      <c r="L107" s="28"/>
    </row>
    <row r="108" spans="1:12" ht="20.100000000000001" customHeight="1" x14ac:dyDescent="0.15">
      <c r="A108" s="10"/>
      <c r="B108" s="5"/>
      <c r="C108" s="5"/>
      <c r="D108" s="10"/>
      <c r="E108" s="10"/>
      <c r="F108" s="10"/>
      <c r="G108" s="10"/>
      <c r="H108" s="8"/>
      <c r="I108" s="15"/>
      <c r="J108" s="8" t="str">
        <f t="shared" si="4"/>
        <v>借</v>
      </c>
      <c r="K108" s="9">
        <f t="shared" si="5"/>
        <v>890</v>
      </c>
      <c r="L108" s="28"/>
    </row>
    <row r="109" spans="1:12" ht="20.100000000000001" customHeight="1" x14ac:dyDescent="0.15">
      <c r="A109" s="10"/>
      <c r="B109" s="5"/>
      <c r="C109" s="5"/>
      <c r="D109" s="10"/>
      <c r="E109" s="16"/>
      <c r="F109" s="10"/>
      <c r="G109" s="10"/>
      <c r="H109" s="8"/>
      <c r="I109" s="8"/>
      <c r="J109" s="8" t="str">
        <f t="shared" si="4"/>
        <v>借</v>
      </c>
      <c r="K109" s="9">
        <f t="shared" si="5"/>
        <v>890</v>
      </c>
      <c r="L109" s="28"/>
    </row>
    <row r="110" spans="1:12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4"/>
        <v>借</v>
      </c>
      <c r="K110" s="9">
        <f t="shared" si="5"/>
        <v>890</v>
      </c>
      <c r="L110" s="28"/>
    </row>
    <row r="111" spans="1:12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4"/>
        <v>借</v>
      </c>
      <c r="K111" s="9">
        <f t="shared" si="5"/>
        <v>890</v>
      </c>
      <c r="L111" s="28"/>
    </row>
    <row r="112" spans="1:12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890</v>
      </c>
      <c r="L112" s="28"/>
    </row>
    <row r="113" spans="1:12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890</v>
      </c>
      <c r="L113" s="28"/>
    </row>
    <row r="114" spans="1:12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890</v>
      </c>
      <c r="L114" s="28"/>
    </row>
    <row r="115" spans="1:12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890</v>
      </c>
      <c r="L115" s="28"/>
    </row>
    <row r="116" spans="1:12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890</v>
      </c>
      <c r="L116" s="28"/>
    </row>
    <row r="117" spans="1:12" ht="20.100000000000001" customHeight="1" x14ac:dyDescent="0.15">
      <c r="A117" s="10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890</v>
      </c>
      <c r="L117" s="28"/>
    </row>
    <row r="118" spans="1:12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890</v>
      </c>
      <c r="L118" s="28"/>
    </row>
    <row r="119" spans="1:12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890</v>
      </c>
      <c r="L119" s="28"/>
    </row>
    <row r="120" spans="1:12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890</v>
      </c>
      <c r="L120" s="28"/>
    </row>
    <row r="121" spans="1:12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890</v>
      </c>
      <c r="L121" s="28"/>
    </row>
    <row r="122" spans="1:12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890</v>
      </c>
      <c r="L122" s="28"/>
    </row>
    <row r="123" spans="1:12" ht="20.100000000000001" customHeight="1" x14ac:dyDescent="0.15">
      <c r="A123" s="5"/>
      <c r="B123" s="5"/>
      <c r="C123" s="5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890</v>
      </c>
      <c r="L123" s="28"/>
    </row>
    <row r="124" spans="1:12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4"/>
        <v>借</v>
      </c>
      <c r="K124" s="9">
        <f t="shared" si="5"/>
        <v>890</v>
      </c>
      <c r="L124" s="28"/>
    </row>
    <row r="125" spans="1:12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4"/>
        <v>借</v>
      </c>
      <c r="K125" s="9">
        <f t="shared" si="5"/>
        <v>890</v>
      </c>
      <c r="L125" s="28"/>
    </row>
    <row r="126" spans="1:12" ht="20.100000000000001" customHeight="1" x14ac:dyDescent="0.15">
      <c r="A126" s="10"/>
      <c r="B126" s="5"/>
      <c r="C126" s="5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890</v>
      </c>
      <c r="L126" s="28"/>
    </row>
    <row r="127" spans="1:12" ht="20.100000000000001" customHeight="1" x14ac:dyDescent="0.15">
      <c r="A127" s="10"/>
      <c r="B127" s="5"/>
      <c r="C127" s="5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890</v>
      </c>
      <c r="L127" s="28"/>
    </row>
    <row r="128" spans="1:12" ht="20.100000000000001" customHeight="1" x14ac:dyDescent="0.15">
      <c r="A128" s="5"/>
      <c r="B128" s="5"/>
      <c r="C128" s="5"/>
      <c r="D128" s="10"/>
      <c r="F128" s="10"/>
      <c r="G128" s="10"/>
      <c r="H128" s="8"/>
      <c r="I128" s="8"/>
      <c r="J128" s="8" t="str">
        <f t="shared" si="4"/>
        <v>借</v>
      </c>
      <c r="K128" s="9">
        <f t="shared" si="5"/>
        <v>890</v>
      </c>
      <c r="L128" s="28"/>
    </row>
    <row r="129" spans="1:12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5"/>
        <v>890</v>
      </c>
      <c r="L129" s="28"/>
    </row>
    <row r="130" spans="1:12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5"/>
        <v>890</v>
      </c>
      <c r="L130" s="28"/>
    </row>
    <row r="131" spans="1:12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4"/>
        <v>借</v>
      </c>
      <c r="K131" s="9">
        <f t="shared" si="5"/>
        <v>890</v>
      </c>
      <c r="L131" s="28"/>
    </row>
    <row r="132" spans="1:12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4"/>
        <v>借</v>
      </c>
      <c r="K132" s="9">
        <f t="shared" si="5"/>
        <v>890</v>
      </c>
      <c r="L132" s="28"/>
    </row>
    <row r="133" spans="1:12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4"/>
        <v>借</v>
      </c>
      <c r="K133" s="9">
        <f t="shared" si="5"/>
        <v>890</v>
      </c>
      <c r="L133" s="28"/>
    </row>
    <row r="134" spans="1:12" ht="20.100000000000001" customHeight="1" x14ac:dyDescent="0.15">
      <c r="A134" s="10"/>
      <c r="B134" s="5"/>
      <c r="C134" s="5"/>
      <c r="D134" s="10"/>
      <c r="E134" s="16"/>
      <c r="F134" s="10"/>
      <c r="G134" s="10"/>
      <c r="H134" s="8"/>
      <c r="I134" s="8"/>
      <c r="J134" s="8" t="str">
        <f t="shared" si="4"/>
        <v>借</v>
      </c>
      <c r="K134" s="9">
        <f t="shared" si="5"/>
        <v>890</v>
      </c>
      <c r="L134" s="28"/>
    </row>
    <row r="135" spans="1:12" ht="20.100000000000001" customHeight="1" x14ac:dyDescent="0.15">
      <c r="A135" s="10"/>
      <c r="B135" s="5"/>
      <c r="C135" s="5"/>
      <c r="D135" s="10"/>
      <c r="E135" s="16"/>
      <c r="F135" s="10"/>
      <c r="G135" s="10"/>
      <c r="H135" s="8"/>
      <c r="I135" s="8"/>
      <c r="J135" s="8" t="str">
        <f t="shared" ref="J135:J198" si="6">IF((K134+H135-I135)&gt;0,"借","贷")</f>
        <v>借</v>
      </c>
      <c r="K135" s="9">
        <f>K134+H135-I135</f>
        <v>890</v>
      </c>
      <c r="L135" s="28"/>
    </row>
    <row r="136" spans="1:12" ht="20.100000000000001" customHeight="1" x14ac:dyDescent="0.15">
      <c r="A136" s="5"/>
      <c r="B136" s="5"/>
      <c r="C136" s="5"/>
      <c r="D136" s="16"/>
      <c r="E136" s="16"/>
      <c r="F136" s="10"/>
      <c r="G136" s="10"/>
      <c r="H136" s="8"/>
      <c r="I136" s="8"/>
      <c r="J136" s="8" t="str">
        <f t="shared" si="6"/>
        <v>借</v>
      </c>
      <c r="K136" s="9">
        <f t="shared" ref="K136:K177" si="7">K135+H136-I136</f>
        <v>890</v>
      </c>
      <c r="L136" s="28"/>
    </row>
    <row r="137" spans="1:12" ht="20.100000000000001" customHeight="1" x14ac:dyDescent="0.15">
      <c r="A137" s="5"/>
      <c r="B137" s="5"/>
      <c r="C137" s="5"/>
      <c r="D137" s="16"/>
      <c r="E137" s="16"/>
      <c r="F137" s="10"/>
      <c r="G137" s="10"/>
      <c r="H137" s="8"/>
      <c r="I137" s="8"/>
      <c r="J137" s="8" t="str">
        <f t="shared" si="6"/>
        <v>借</v>
      </c>
      <c r="K137" s="9">
        <f t="shared" si="7"/>
        <v>890</v>
      </c>
      <c r="L137" s="28"/>
    </row>
    <row r="138" spans="1:12" ht="20.100000000000001" customHeight="1" x14ac:dyDescent="0.15">
      <c r="A138" s="5"/>
      <c r="B138" s="5"/>
      <c r="C138" s="5"/>
      <c r="D138" s="10"/>
      <c r="E138" s="16"/>
      <c r="F138" s="10"/>
      <c r="G138" s="10"/>
      <c r="H138" s="8"/>
      <c r="I138" s="8"/>
      <c r="J138" s="8" t="str">
        <f t="shared" si="6"/>
        <v>借</v>
      </c>
      <c r="K138" s="9">
        <f t="shared" si="7"/>
        <v>890</v>
      </c>
      <c r="L138" s="28"/>
    </row>
    <row r="139" spans="1:12" ht="20.100000000000001" customHeight="1" x14ac:dyDescent="0.15">
      <c r="A139" s="5"/>
      <c r="B139" s="5"/>
      <c r="C139" s="5"/>
      <c r="D139" s="10"/>
      <c r="E139" s="16"/>
      <c r="F139" s="10"/>
      <c r="G139" s="10"/>
      <c r="H139" s="8"/>
      <c r="I139" s="8"/>
      <c r="J139" s="8" t="str">
        <f t="shared" si="6"/>
        <v>借</v>
      </c>
      <c r="K139" s="9">
        <f t="shared" si="7"/>
        <v>890</v>
      </c>
      <c r="L139" s="28"/>
    </row>
    <row r="140" spans="1:12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890</v>
      </c>
      <c r="L140" s="28"/>
    </row>
    <row r="141" spans="1:12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890</v>
      </c>
      <c r="L141" s="28"/>
    </row>
    <row r="142" spans="1:12" ht="20.100000000000001" customHeight="1" x14ac:dyDescent="0.15">
      <c r="A142" s="10"/>
      <c r="B142" s="5"/>
      <c r="C142" s="5"/>
      <c r="D142" s="32"/>
      <c r="E142" s="10"/>
      <c r="F142" s="10"/>
      <c r="G142" s="10"/>
      <c r="H142" s="8"/>
      <c r="I142" s="8"/>
      <c r="J142" s="8" t="str">
        <f t="shared" si="6"/>
        <v>借</v>
      </c>
      <c r="K142" s="9">
        <f t="shared" si="7"/>
        <v>890</v>
      </c>
      <c r="L142" s="28"/>
    </row>
    <row r="143" spans="1:12" ht="20.100000000000001" customHeight="1" x14ac:dyDescent="0.15">
      <c r="A143" s="10"/>
      <c r="B143" s="5"/>
      <c r="C143" s="5"/>
      <c r="D143" s="10"/>
      <c r="E143" s="10"/>
      <c r="F143" s="10"/>
      <c r="G143" s="10"/>
      <c r="H143" s="8"/>
      <c r="I143" s="8"/>
      <c r="J143" s="8" t="str">
        <f t="shared" si="6"/>
        <v>借</v>
      </c>
      <c r="K143" s="9">
        <f t="shared" si="7"/>
        <v>890</v>
      </c>
      <c r="L143" s="28"/>
    </row>
    <row r="144" spans="1:12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6"/>
        <v>借</v>
      </c>
      <c r="K144" s="9">
        <f t="shared" si="7"/>
        <v>890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6"/>
        <v>借</v>
      </c>
      <c r="K145" s="9">
        <f t="shared" si="7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6"/>
        <v>借</v>
      </c>
      <c r="K146" s="9">
        <f t="shared" si="7"/>
        <v>890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6"/>
        <v>借</v>
      </c>
      <c r="K147" s="9">
        <f t="shared" si="7"/>
        <v>890</v>
      </c>
      <c r="L147" s="28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6"/>
        <v>借</v>
      </c>
      <c r="K148" s="9">
        <f t="shared" si="7"/>
        <v>890</v>
      </c>
      <c r="L148" s="28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6"/>
        <v>借</v>
      </c>
      <c r="K149" s="9">
        <f t="shared" si="7"/>
        <v>890</v>
      </c>
      <c r="L149" s="28"/>
    </row>
    <row r="150" spans="1:13" ht="20.100000000000001" customHeight="1" x14ac:dyDescent="0.15">
      <c r="A150" s="5"/>
      <c r="B150" s="5"/>
      <c r="C150" s="5"/>
      <c r="D150" s="48"/>
      <c r="E150" s="10"/>
      <c r="F150" s="10"/>
      <c r="G150" s="10"/>
      <c r="H150" s="8"/>
      <c r="I150" s="8"/>
      <c r="J150" s="8" t="str">
        <f t="shared" si="6"/>
        <v>借</v>
      </c>
      <c r="K150" s="9">
        <f t="shared" si="7"/>
        <v>890</v>
      </c>
      <c r="L150" s="28"/>
    </row>
    <row r="151" spans="1:13" ht="20.100000000000001" customHeight="1" x14ac:dyDescent="0.15">
      <c r="A151" s="5"/>
      <c r="B151" s="5"/>
      <c r="C151" s="5"/>
      <c r="D151" s="48"/>
      <c r="E151" s="10"/>
      <c r="F151" s="10"/>
      <c r="G151" s="10"/>
      <c r="H151" s="8"/>
      <c r="I151" s="8"/>
      <c r="J151" s="8" t="str">
        <f t="shared" si="6"/>
        <v>借</v>
      </c>
      <c r="K151" s="9">
        <f t="shared" si="7"/>
        <v>890</v>
      </c>
      <c r="L151" s="28"/>
    </row>
    <row r="152" spans="1:13" ht="20.100000000000001" customHeight="1" x14ac:dyDescent="0.15">
      <c r="A152" s="10"/>
      <c r="B152" s="5"/>
      <c r="C152" s="5"/>
      <c r="D152" s="48"/>
      <c r="E152" s="10"/>
      <c r="F152" s="10"/>
      <c r="G152" s="10"/>
      <c r="H152" s="8"/>
      <c r="I152" s="8"/>
      <c r="J152" s="8" t="str">
        <f t="shared" si="6"/>
        <v>借</v>
      </c>
      <c r="K152" s="9">
        <f t="shared" si="7"/>
        <v>890</v>
      </c>
      <c r="L152" s="28"/>
    </row>
    <row r="153" spans="1:13" ht="20.100000000000001" customHeight="1" x14ac:dyDescent="0.15">
      <c r="A153" s="10"/>
      <c r="B153" s="5"/>
      <c r="C153" s="5"/>
      <c r="D153" s="10"/>
      <c r="E153" s="10"/>
      <c r="F153" s="10"/>
      <c r="G153" s="10"/>
      <c r="H153" s="8"/>
      <c r="I153" s="8"/>
      <c r="J153" s="8" t="str">
        <f t="shared" si="6"/>
        <v>借</v>
      </c>
      <c r="K153" s="9">
        <f t="shared" si="7"/>
        <v>890</v>
      </c>
      <c r="L153" s="28"/>
    </row>
    <row r="154" spans="1:13" ht="20.100000000000001" customHeight="1" x14ac:dyDescent="0.15">
      <c r="A154" s="10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890</v>
      </c>
      <c r="L154" s="28"/>
      <c r="M154" s="65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890</v>
      </c>
      <c r="L155" s="28"/>
      <c r="M155" s="65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890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890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890</v>
      </c>
      <c r="L159" s="28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890</v>
      </c>
      <c r="L160" s="28"/>
    </row>
    <row r="161" spans="1:12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890</v>
      </c>
      <c r="L161" s="28"/>
    </row>
    <row r="162" spans="1:12" ht="20.100000000000001" customHeight="1" x14ac:dyDescent="0.15">
      <c r="A162" s="5"/>
      <c r="B162" s="5"/>
      <c r="C162" s="5"/>
      <c r="D162" s="10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890</v>
      </c>
      <c r="L162" s="28"/>
    </row>
    <row r="163" spans="1:12" ht="20.100000000000001" customHeight="1" x14ac:dyDescent="0.15">
      <c r="A163" s="5"/>
      <c r="B163" s="5"/>
      <c r="C163" s="5"/>
      <c r="D163" s="10"/>
      <c r="E163" s="10"/>
      <c r="F163" s="10"/>
      <c r="G163" s="10"/>
      <c r="H163" s="8"/>
      <c r="I163" s="8"/>
      <c r="J163" s="8" t="str">
        <f t="shared" si="6"/>
        <v>借</v>
      </c>
      <c r="K163" s="9">
        <f t="shared" si="7"/>
        <v>890</v>
      </c>
      <c r="L163" s="28"/>
    </row>
    <row r="164" spans="1:12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6"/>
        <v>借</v>
      </c>
      <c r="K164" s="9">
        <f t="shared" si="7"/>
        <v>890</v>
      </c>
      <c r="L164" s="28"/>
    </row>
    <row r="165" spans="1:12" ht="20.100000000000001" customHeight="1" x14ac:dyDescent="0.15">
      <c r="A165" s="10"/>
      <c r="B165" s="5"/>
      <c r="C165" s="5"/>
      <c r="D165" s="10"/>
      <c r="E165" s="18"/>
      <c r="F165" s="10"/>
      <c r="G165" s="10"/>
      <c r="H165" s="8"/>
      <c r="I165" s="8"/>
      <c r="J165" s="8" t="str">
        <f t="shared" si="6"/>
        <v>借</v>
      </c>
      <c r="K165" s="9">
        <f t="shared" si="7"/>
        <v>890</v>
      </c>
      <c r="L165" s="28"/>
    </row>
    <row r="166" spans="1:12" ht="20.100000000000001" customHeight="1" x14ac:dyDescent="0.15">
      <c r="A166" s="10"/>
      <c r="B166" s="5"/>
      <c r="C166" s="5"/>
      <c r="D166" s="10"/>
      <c r="E166" s="10"/>
      <c r="F166" s="10"/>
      <c r="G166" s="10"/>
      <c r="H166" s="8"/>
      <c r="I166" s="8"/>
      <c r="J166" s="8" t="str">
        <f t="shared" si="6"/>
        <v>借</v>
      </c>
      <c r="K166" s="9">
        <f t="shared" si="7"/>
        <v>890</v>
      </c>
      <c r="L166" s="28"/>
    </row>
    <row r="167" spans="1:12" ht="20.100000000000001" customHeight="1" x14ac:dyDescent="0.15">
      <c r="A167" s="10"/>
      <c r="B167" s="5"/>
      <c r="C167" s="5"/>
      <c r="D167" s="10"/>
      <c r="E167" s="10"/>
      <c r="F167" s="10"/>
      <c r="G167" s="10"/>
      <c r="H167" s="8"/>
      <c r="I167" s="8"/>
      <c r="J167" s="8" t="str">
        <f t="shared" si="6"/>
        <v>借</v>
      </c>
      <c r="K167" s="9">
        <f t="shared" si="7"/>
        <v>890</v>
      </c>
      <c r="L167" s="28"/>
    </row>
    <row r="168" spans="1:12" ht="20.100000000000001" customHeight="1" x14ac:dyDescent="0.15">
      <c r="A168" s="10"/>
      <c r="B168" s="5"/>
      <c r="C168" s="5"/>
      <c r="D168" s="10"/>
      <c r="E168" s="10"/>
      <c r="F168" s="10"/>
      <c r="G168" s="10"/>
      <c r="H168" s="8"/>
      <c r="I168" s="8"/>
      <c r="J168" s="8" t="str">
        <f t="shared" si="6"/>
        <v>借</v>
      </c>
      <c r="K168" s="9">
        <f t="shared" si="7"/>
        <v>890</v>
      </c>
      <c r="L168" s="28"/>
    </row>
    <row r="169" spans="1:12" ht="20.100000000000001" customHeight="1" x14ac:dyDescent="0.15">
      <c r="A169" s="10"/>
      <c r="B169" s="5"/>
      <c r="C169" s="5"/>
      <c r="D169" s="10"/>
      <c r="E169" s="10"/>
      <c r="F169" s="10"/>
      <c r="G169" s="10"/>
      <c r="H169" s="8"/>
      <c r="I169" s="8"/>
      <c r="J169" s="8" t="str">
        <f t="shared" si="6"/>
        <v>借</v>
      </c>
      <c r="K169" s="9">
        <f t="shared" si="7"/>
        <v>890</v>
      </c>
      <c r="L169" s="28"/>
    </row>
    <row r="170" spans="1:12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6"/>
        <v>借</v>
      </c>
      <c r="K170" s="9">
        <f t="shared" si="7"/>
        <v>890</v>
      </c>
      <c r="L170" s="28"/>
    </row>
    <row r="171" spans="1:12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6"/>
        <v>借</v>
      </c>
      <c r="K171" s="9">
        <f t="shared" si="7"/>
        <v>890</v>
      </c>
      <c r="L171" s="28"/>
    </row>
    <row r="172" spans="1:12" ht="20.100000000000001" customHeight="1" x14ac:dyDescent="0.15">
      <c r="A172" s="10"/>
      <c r="B172" s="5"/>
      <c r="C172" s="10"/>
      <c r="D172" s="35"/>
      <c r="E172" s="10"/>
      <c r="F172" s="10"/>
      <c r="G172" s="10"/>
      <c r="H172" s="8"/>
      <c r="I172" s="8"/>
      <c r="J172" s="8" t="str">
        <f t="shared" si="6"/>
        <v>借</v>
      </c>
      <c r="K172" s="9">
        <f t="shared" si="7"/>
        <v>890</v>
      </c>
      <c r="L172" s="28"/>
    </row>
    <row r="173" spans="1:12" ht="20.100000000000001" customHeight="1" x14ac:dyDescent="0.15">
      <c r="A173" s="10"/>
      <c r="B173" s="5"/>
      <c r="C173" s="10"/>
      <c r="D173" s="49"/>
      <c r="E173" s="10"/>
      <c r="F173" s="10"/>
      <c r="G173" s="10"/>
      <c r="H173" s="8"/>
      <c r="I173" s="8"/>
      <c r="J173" s="8" t="str">
        <f t="shared" si="6"/>
        <v>借</v>
      </c>
      <c r="K173" s="9">
        <f t="shared" si="7"/>
        <v>890</v>
      </c>
      <c r="L173" s="28"/>
    </row>
    <row r="174" spans="1:12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6"/>
        <v>借</v>
      </c>
      <c r="K174" s="9">
        <f t="shared" si="7"/>
        <v>890</v>
      </c>
      <c r="L174" s="28"/>
    </row>
    <row r="175" spans="1:12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6"/>
        <v>借</v>
      </c>
      <c r="K175" s="9">
        <f t="shared" si="7"/>
        <v>890</v>
      </c>
      <c r="L175" s="28"/>
    </row>
    <row r="176" spans="1:12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6"/>
        <v>借</v>
      </c>
      <c r="K176" s="9">
        <f t="shared" si="7"/>
        <v>890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6"/>
        <v>借</v>
      </c>
      <c r="K177" s="9">
        <f t="shared" si="7"/>
        <v>890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6"/>
        <v>借</v>
      </c>
      <c r="K178" s="9">
        <f t="shared" ref="K178:K229" si="8">_xlfn.IFS(J177="借",K177+H178-I178,J177="贷",H178-I178-K177)</f>
        <v>890</v>
      </c>
      <c r="L178" s="28"/>
    </row>
    <row r="179" spans="1:13" ht="20.100000000000001" customHeight="1" x14ac:dyDescent="0.15">
      <c r="A179" s="10"/>
      <c r="B179" s="10"/>
      <c r="C179" s="10"/>
      <c r="D179" s="10"/>
      <c r="E179" s="10"/>
      <c r="F179" s="10"/>
      <c r="G179" s="10"/>
      <c r="H179" s="8"/>
      <c r="I179" s="8"/>
      <c r="J179" s="8" t="str">
        <f t="shared" si="6"/>
        <v>借</v>
      </c>
      <c r="K179" s="9">
        <f t="shared" si="8"/>
        <v>890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6"/>
        <v>借</v>
      </c>
      <c r="K180" s="9">
        <f t="shared" si="8"/>
        <v>890</v>
      </c>
      <c r="L180" s="28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6"/>
        <v>借</v>
      </c>
      <c r="K181" s="9">
        <f t="shared" si="8"/>
        <v>890</v>
      </c>
      <c r="L181" s="28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6"/>
        <v>借</v>
      </c>
      <c r="K182" s="9">
        <f t="shared" si="8"/>
        <v>890</v>
      </c>
      <c r="L182" s="28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6"/>
        <v>借</v>
      </c>
      <c r="K183" s="9">
        <f t="shared" si="8"/>
        <v>890</v>
      </c>
      <c r="L183" s="28"/>
      <c r="M183" s="65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6"/>
        <v>借</v>
      </c>
      <c r="K184" s="9">
        <f t="shared" si="8"/>
        <v>890</v>
      </c>
      <c r="L184" s="28"/>
      <c r="M184" s="65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6"/>
        <v>借</v>
      </c>
      <c r="K185" s="9">
        <f t="shared" si="8"/>
        <v>890</v>
      </c>
      <c r="L185" s="28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6"/>
        <v>借</v>
      </c>
      <c r="K186" s="9">
        <f t="shared" si="8"/>
        <v>890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8"/>
        <v>890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8"/>
        <v>890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8"/>
        <v>890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8"/>
        <v>890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6"/>
        <v>借</v>
      </c>
      <c r="K191" s="9">
        <f t="shared" si="8"/>
        <v>890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8"/>
        <v>890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8"/>
        <v>890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8"/>
        <v>890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8"/>
        <v>890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8"/>
        <v>890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8"/>
        <v>890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8"/>
        <v>890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29" si="9">IF((K198+H199-I199)&gt;0,"借","贷")</f>
        <v>借</v>
      </c>
      <c r="K199" s="9">
        <f t="shared" si="8"/>
        <v>890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9"/>
        <v>借</v>
      </c>
      <c r="K200" s="9">
        <f t="shared" si="8"/>
        <v>890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9"/>
        <v>借</v>
      </c>
      <c r="K201" s="9">
        <f t="shared" si="8"/>
        <v>890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9"/>
        <v>借</v>
      </c>
      <c r="K202" s="9">
        <f t="shared" si="8"/>
        <v>890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9"/>
        <v>借</v>
      </c>
      <c r="K203" s="9">
        <f t="shared" si="8"/>
        <v>890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9"/>
        <v>借</v>
      </c>
      <c r="K204" s="9">
        <f t="shared" si="8"/>
        <v>890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9"/>
        <v>借</v>
      </c>
      <c r="K205" s="9">
        <f t="shared" si="8"/>
        <v>890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9"/>
        <v>借</v>
      </c>
      <c r="K206" s="9">
        <f t="shared" si="8"/>
        <v>890</v>
      </c>
      <c r="L206" s="28"/>
    </row>
    <row r="207" spans="1:12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9"/>
        <v>借</v>
      </c>
      <c r="K207" s="9">
        <f t="shared" si="8"/>
        <v>890</v>
      </c>
      <c r="L207" s="28"/>
    </row>
    <row r="208" spans="1:12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9"/>
        <v>借</v>
      </c>
      <c r="K208" s="9">
        <f t="shared" si="8"/>
        <v>890</v>
      </c>
      <c r="L208" s="28"/>
    </row>
    <row r="209" spans="1:13" ht="20.100000000000001" customHeight="1" x14ac:dyDescent="0.15">
      <c r="A209" s="10"/>
      <c r="B209" s="5"/>
      <c r="C209" s="10"/>
      <c r="D209" s="35"/>
      <c r="E209" s="10"/>
      <c r="F209" s="10"/>
      <c r="G209" s="10"/>
      <c r="H209" s="8"/>
      <c r="I209" s="8"/>
      <c r="J209" s="8" t="str">
        <f t="shared" si="9"/>
        <v>借</v>
      </c>
      <c r="K209" s="9">
        <f t="shared" si="8"/>
        <v>890</v>
      </c>
      <c r="L209" s="28"/>
    </row>
    <row r="210" spans="1:13" ht="20.100000000000001" customHeight="1" x14ac:dyDescent="0.15">
      <c r="A210" s="10"/>
      <c r="B210" s="5"/>
      <c r="C210" s="10"/>
      <c r="D210" s="49"/>
      <c r="E210" s="10"/>
      <c r="F210" s="10"/>
      <c r="G210" s="10"/>
      <c r="H210" s="8"/>
      <c r="I210" s="8"/>
      <c r="J210" s="8" t="str">
        <f t="shared" si="9"/>
        <v>借</v>
      </c>
      <c r="K210" s="9">
        <f t="shared" si="8"/>
        <v>890</v>
      </c>
      <c r="L210" s="28"/>
    </row>
    <row r="211" spans="1:13" ht="20.100000000000001" customHeight="1" x14ac:dyDescent="0.15">
      <c r="A211" s="10"/>
      <c r="B211" s="5"/>
      <c r="C211" s="10"/>
      <c r="D211" s="49"/>
      <c r="E211" s="10"/>
      <c r="F211" s="10"/>
      <c r="G211" s="10"/>
      <c r="H211" s="8"/>
      <c r="I211" s="8"/>
      <c r="J211" s="8" t="str">
        <f t="shared" si="9"/>
        <v>借</v>
      </c>
      <c r="K211" s="9">
        <f t="shared" si="8"/>
        <v>890</v>
      </c>
      <c r="L211" s="28"/>
    </row>
    <row r="212" spans="1:13" ht="20.100000000000001" customHeight="1" x14ac:dyDescent="0.15">
      <c r="A212" s="10"/>
      <c r="B212" s="5"/>
      <c r="C212" s="10"/>
      <c r="D212" s="49"/>
      <c r="E212" s="10"/>
      <c r="F212" s="10"/>
      <c r="G212" s="10"/>
      <c r="H212" s="8"/>
      <c r="I212" s="8"/>
      <c r="J212" s="8" t="str">
        <f t="shared" si="9"/>
        <v>借</v>
      </c>
      <c r="K212" s="9">
        <f t="shared" si="8"/>
        <v>890</v>
      </c>
      <c r="L212" s="28"/>
    </row>
    <row r="213" spans="1:13" ht="20.100000000000001" customHeight="1" x14ac:dyDescent="0.15">
      <c r="A213" s="10"/>
      <c r="B213" s="5"/>
      <c r="C213" s="10"/>
      <c r="D213" s="35"/>
      <c r="E213" s="10"/>
      <c r="F213" s="10"/>
      <c r="G213" s="10"/>
      <c r="H213" s="8"/>
      <c r="I213" s="8"/>
      <c r="J213" s="8" t="str">
        <f t="shared" si="9"/>
        <v>借</v>
      </c>
      <c r="K213" s="9">
        <f t="shared" si="8"/>
        <v>890</v>
      </c>
      <c r="L213" s="28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9"/>
        <v>借</v>
      </c>
      <c r="K214" s="9">
        <f t="shared" si="8"/>
        <v>890</v>
      </c>
      <c r="L214" s="28"/>
    </row>
    <row r="215" spans="1:13" ht="20.100000000000001" customHeight="1" x14ac:dyDescent="0.15">
      <c r="A215" s="10"/>
      <c r="B215" s="5"/>
      <c r="C215" s="10"/>
      <c r="D215" s="35"/>
      <c r="E215" s="10"/>
      <c r="F215" s="10"/>
      <c r="G215" s="10"/>
      <c r="H215" s="8"/>
      <c r="I215" s="8"/>
      <c r="J215" s="8" t="str">
        <f t="shared" si="9"/>
        <v>借</v>
      </c>
      <c r="K215" s="9">
        <f t="shared" si="8"/>
        <v>890</v>
      </c>
      <c r="L215" s="28"/>
    </row>
    <row r="216" spans="1:13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9"/>
        <v>借</v>
      </c>
      <c r="K216" s="9">
        <f t="shared" si="8"/>
        <v>890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9"/>
        <v>借</v>
      </c>
      <c r="K217" s="9">
        <f t="shared" si="8"/>
        <v>890</v>
      </c>
      <c r="L217" s="28"/>
    </row>
    <row r="218" spans="1:13" ht="20.100000000000001" customHeight="1" x14ac:dyDescent="0.15">
      <c r="A218" s="10"/>
      <c r="B218" s="5"/>
      <c r="C218" s="10"/>
      <c r="D218" s="32"/>
      <c r="E218" s="10"/>
      <c r="F218" s="10"/>
      <c r="G218" s="10"/>
      <c r="H218" s="8"/>
      <c r="I218" s="8"/>
      <c r="J218" s="8" t="str">
        <f t="shared" si="9"/>
        <v>借</v>
      </c>
      <c r="K218" s="9">
        <f t="shared" si="8"/>
        <v>890</v>
      </c>
      <c r="L218" s="28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9"/>
        <v>借</v>
      </c>
      <c r="K219" s="9">
        <f t="shared" si="8"/>
        <v>890</v>
      </c>
      <c r="L219" s="28"/>
      <c r="M219" s="65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9"/>
        <v>借</v>
      </c>
      <c r="K220" s="9">
        <f t="shared" si="8"/>
        <v>890</v>
      </c>
      <c r="L220" s="28"/>
      <c r="M220" s="65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9"/>
        <v>借</v>
      </c>
      <c r="K221" s="9">
        <f t="shared" si="8"/>
        <v>890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9"/>
        <v>借</v>
      </c>
      <c r="K222" s="9">
        <f t="shared" si="8"/>
        <v>890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9"/>
        <v>借</v>
      </c>
      <c r="K223" s="9">
        <f t="shared" si="8"/>
        <v>890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9"/>
        <v>借</v>
      </c>
      <c r="K224" s="9">
        <f t="shared" si="8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9"/>
        <v>借</v>
      </c>
      <c r="K225" s="9">
        <f t="shared" si="8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9"/>
        <v>借</v>
      </c>
      <c r="K226" s="9">
        <f t="shared" si="8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9"/>
        <v>借</v>
      </c>
      <c r="K227" s="9">
        <f t="shared" si="8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9"/>
        <v>借</v>
      </c>
      <c r="K228" s="9">
        <f t="shared" si="8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9"/>
        <v>借</v>
      </c>
      <c r="K229" s="9">
        <f t="shared" si="8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ref="J230:J242" si="10">IF((K229+H230-I230)&gt;0,"借","贷")</f>
        <v>借</v>
      </c>
      <c r="K230" s="9">
        <f t="shared" ref="K230:K249" si="11">_xlfn.IFS(J229="借",K229+H230-I230,J229="贷",H230-I230-K229)</f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0"/>
        <v>借</v>
      </c>
      <c r="K231" s="9">
        <f t="shared" si="11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0"/>
        <v>借</v>
      </c>
      <c r="K232" s="9">
        <f t="shared" si="11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0"/>
        <v>借</v>
      </c>
      <c r="K233" s="9">
        <f t="shared" si="11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0"/>
        <v>借</v>
      </c>
      <c r="K234" s="9">
        <f t="shared" si="11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0"/>
        <v>借</v>
      </c>
      <c r="K235" s="9">
        <f t="shared" si="11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0"/>
        <v>借</v>
      </c>
      <c r="K236" s="9">
        <f t="shared" si="11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0"/>
        <v>借</v>
      </c>
      <c r="K237" s="9">
        <f t="shared" si="11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0"/>
        <v>借</v>
      </c>
      <c r="K238" s="9">
        <f t="shared" si="11"/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0"/>
        <v>借</v>
      </c>
      <c r="K239" s="9">
        <f t="shared" si="11"/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0"/>
        <v>借</v>
      </c>
      <c r="K240" s="9">
        <f t="shared" si="11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0"/>
        <v>借</v>
      </c>
      <c r="K241" s="9">
        <f t="shared" si="11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0"/>
        <v>借</v>
      </c>
      <c r="K242" s="9">
        <f t="shared" si="11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ref="J243:J263" si="12">IF((K242+H243-I243)&gt;0,"借","贷")</f>
        <v>借</v>
      </c>
      <c r="K243" s="21">
        <f t="shared" si="11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2"/>
        <v>借</v>
      </c>
      <c r="K244" s="9">
        <f t="shared" si="11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12"/>
        <v>借</v>
      </c>
      <c r="K245" s="9">
        <f t="shared" si="11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12"/>
        <v>借</v>
      </c>
      <c r="K246" s="9">
        <f t="shared" si="11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2"/>
        <v>借</v>
      </c>
      <c r="K247" s="21">
        <f t="shared" si="11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2"/>
        <v>借</v>
      </c>
      <c r="K248" s="9">
        <f t="shared" si="11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2"/>
        <v>借</v>
      </c>
      <c r="K249" s="9">
        <f t="shared" si="11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2"/>
        <v>借</v>
      </c>
      <c r="K250" s="9">
        <f t="shared" ref="K250:K263" si="13">_xlfn.IFS(J249="借",K249+H250-I250,J249="贷",H250-I250-K249)</f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2"/>
        <v>借</v>
      </c>
      <c r="K251" s="9">
        <f t="shared" si="13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38"/>
      <c r="I252" s="8"/>
      <c r="J252" s="8" t="str">
        <f t="shared" si="12"/>
        <v>借</v>
      </c>
      <c r="K252" s="9">
        <f t="shared" si="13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2"/>
        <v>借</v>
      </c>
      <c r="K253" s="9">
        <f t="shared" si="13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2"/>
        <v>借</v>
      </c>
      <c r="K254" s="9">
        <f t="shared" si="13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23" t="str">
        <f t="shared" si="12"/>
        <v>借</v>
      </c>
      <c r="K255" s="9">
        <f t="shared" si="13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23" t="str">
        <f t="shared" si="12"/>
        <v>借</v>
      </c>
      <c r="K256" s="9">
        <f t="shared" si="13"/>
        <v>890</v>
      </c>
      <c r="L256" s="28"/>
    </row>
    <row r="257" spans="1:13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23" t="str">
        <f t="shared" si="12"/>
        <v>借</v>
      </c>
      <c r="K257" s="9">
        <f t="shared" si="13"/>
        <v>890</v>
      </c>
      <c r="L257" s="28"/>
    </row>
    <row r="258" spans="1:13" ht="20.100000000000001" customHeight="1" x14ac:dyDescent="0.15">
      <c r="A258" s="10"/>
      <c r="B258" s="5"/>
      <c r="C258" s="10"/>
      <c r="D258" s="35"/>
      <c r="E258" s="10"/>
      <c r="F258" s="10"/>
      <c r="G258" s="10"/>
      <c r="H258" s="8"/>
      <c r="I258" s="8"/>
      <c r="J258" s="23" t="str">
        <f t="shared" si="12"/>
        <v>借</v>
      </c>
      <c r="K258" s="9">
        <f t="shared" si="13"/>
        <v>890</v>
      </c>
      <c r="L258" s="28"/>
    </row>
    <row r="259" spans="1:13" ht="20.100000000000001" customHeight="1" x14ac:dyDescent="0.15">
      <c r="A259" s="10"/>
      <c r="B259" s="5"/>
      <c r="C259" s="10"/>
      <c r="D259" s="35"/>
      <c r="E259" s="10"/>
      <c r="F259" s="10"/>
      <c r="G259" s="10"/>
      <c r="H259" s="8"/>
      <c r="I259" s="8"/>
      <c r="J259" s="23" t="str">
        <f t="shared" si="12"/>
        <v>借</v>
      </c>
      <c r="K259" s="9">
        <f t="shared" si="13"/>
        <v>890</v>
      </c>
      <c r="L259" s="28"/>
    </row>
    <row r="260" spans="1:13" ht="20.100000000000001" customHeight="1" x14ac:dyDescent="0.15">
      <c r="A260" s="10"/>
      <c r="B260" s="5"/>
      <c r="C260" s="10"/>
      <c r="D260" s="35"/>
      <c r="E260" s="10"/>
      <c r="F260" s="10"/>
      <c r="G260" s="10"/>
      <c r="H260" s="8"/>
      <c r="I260" s="8"/>
      <c r="J260" s="23" t="str">
        <f t="shared" si="12"/>
        <v>借</v>
      </c>
      <c r="K260" s="9">
        <f t="shared" si="13"/>
        <v>890</v>
      </c>
      <c r="L260" s="28"/>
    </row>
    <row r="261" spans="1:13" ht="20.100000000000001" customHeight="1" x14ac:dyDescent="0.15">
      <c r="A261" s="10"/>
      <c r="B261" s="5"/>
      <c r="C261" s="10"/>
      <c r="D261" s="35"/>
      <c r="E261" s="10"/>
      <c r="F261" s="10"/>
      <c r="G261" s="10"/>
      <c r="H261" s="8"/>
      <c r="I261" s="8"/>
      <c r="J261" s="8" t="str">
        <f t="shared" si="12"/>
        <v>借</v>
      </c>
      <c r="K261" s="9">
        <f t="shared" si="13"/>
        <v>890</v>
      </c>
      <c r="L261" s="28"/>
    </row>
    <row r="262" spans="1:13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2"/>
        <v>借</v>
      </c>
      <c r="K262" s="9">
        <f t="shared" si="13"/>
        <v>890</v>
      </c>
      <c r="L262" s="28"/>
    </row>
    <row r="263" spans="1:13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2"/>
        <v>借</v>
      </c>
      <c r="K263" s="9">
        <f t="shared" si="13"/>
        <v>890</v>
      </c>
      <c r="L263" s="28"/>
    </row>
    <row r="264" spans="1:13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284" si="14">IF((K263+H264-I264)&gt;0,"借","贷")</f>
        <v>借</v>
      </c>
      <c r="K264" s="9">
        <f t="shared" ref="K264:K303" si="15">_xlfn.IFS(J263="借",K263+H264-I264,J263="贷",H264-I264-K263)</f>
        <v>890</v>
      </c>
      <c r="L264" s="28"/>
      <c r="M264" s="65"/>
    </row>
    <row r="265" spans="1:13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4"/>
        <v>借</v>
      </c>
      <c r="K265" s="9">
        <f t="shared" si="15"/>
        <v>890</v>
      </c>
      <c r="L265" s="28"/>
      <c r="M265" s="65"/>
    </row>
    <row r="266" spans="1:13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4"/>
        <v>借</v>
      </c>
      <c r="K266" s="9">
        <f t="shared" si="15"/>
        <v>890</v>
      </c>
      <c r="L266" s="28"/>
    </row>
    <row r="267" spans="1:13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4"/>
        <v>借</v>
      </c>
      <c r="K267" s="9">
        <f t="shared" si="15"/>
        <v>890</v>
      </c>
      <c r="L267" s="28"/>
    </row>
    <row r="268" spans="1:13" ht="20.100000000000001" customHeight="1" x14ac:dyDescent="0.15">
      <c r="A268" s="10"/>
      <c r="B268" s="5"/>
      <c r="C268" s="10"/>
      <c r="D268" s="13"/>
      <c r="E268" s="10"/>
      <c r="F268" s="10"/>
      <c r="G268" s="10"/>
      <c r="H268" s="8"/>
      <c r="I268" s="8"/>
      <c r="J268" s="8" t="str">
        <f t="shared" si="14"/>
        <v>借</v>
      </c>
      <c r="K268" s="9">
        <f t="shared" si="15"/>
        <v>890</v>
      </c>
      <c r="L268" s="28"/>
    </row>
    <row r="269" spans="1:13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4"/>
        <v>借</v>
      </c>
      <c r="K269" s="9">
        <f t="shared" si="15"/>
        <v>890</v>
      </c>
      <c r="L269" s="28"/>
    </row>
    <row r="270" spans="1:13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4"/>
        <v>借</v>
      </c>
      <c r="K270" s="9">
        <f t="shared" si="15"/>
        <v>890</v>
      </c>
      <c r="L270" s="28"/>
    </row>
    <row r="271" spans="1:13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4"/>
        <v>借</v>
      </c>
      <c r="K271" s="9">
        <f t="shared" si="15"/>
        <v>890</v>
      </c>
      <c r="L271" s="28"/>
    </row>
    <row r="272" spans="1:13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4"/>
        <v>借</v>
      </c>
      <c r="K272" s="9">
        <f t="shared" si="15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4"/>
        <v>借</v>
      </c>
      <c r="K273" s="9">
        <f t="shared" si="15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4"/>
        <v>借</v>
      </c>
      <c r="K274" s="9">
        <f t="shared" si="15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10"/>
      <c r="J275" s="8" t="str">
        <f t="shared" si="14"/>
        <v>借</v>
      </c>
      <c r="K275" s="9">
        <f t="shared" si="15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10"/>
      <c r="J276" s="8" t="str">
        <f t="shared" si="14"/>
        <v>借</v>
      </c>
      <c r="K276" s="9">
        <f t="shared" si="15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4"/>
        <v>借</v>
      </c>
      <c r="K277" s="9">
        <f t="shared" si="15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4"/>
        <v>借</v>
      </c>
      <c r="K278" s="9">
        <f t="shared" si="15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4"/>
        <v>借</v>
      </c>
      <c r="K279" s="9">
        <f t="shared" si="15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4"/>
        <v>借</v>
      </c>
      <c r="K280" s="9">
        <f t="shared" si="15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4"/>
        <v>借</v>
      </c>
      <c r="K281" s="9">
        <f t="shared" si="15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4"/>
        <v>借</v>
      </c>
      <c r="K282" s="9">
        <f t="shared" si="15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4"/>
        <v>借</v>
      </c>
      <c r="K283" s="9">
        <f t="shared" si="15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4"/>
        <v>借</v>
      </c>
      <c r="K284" s="9">
        <f t="shared" si="15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ref="J285:J302" si="16">IF((K284+H285-I285)&gt;0,"借","贷")</f>
        <v>借</v>
      </c>
      <c r="K285" s="9">
        <f t="shared" si="15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6"/>
        <v>借</v>
      </c>
      <c r="K286" s="9">
        <f t="shared" si="15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6"/>
        <v>借</v>
      </c>
      <c r="K287" s="9">
        <f t="shared" si="15"/>
        <v>890</v>
      </c>
      <c r="L287" s="28"/>
    </row>
    <row r="288" spans="1:12" ht="20.100000000000001" customHeight="1" x14ac:dyDescent="0.15">
      <c r="A288" s="10"/>
      <c r="B288" s="5"/>
      <c r="C288" s="10"/>
      <c r="D288" s="35"/>
      <c r="E288" s="10"/>
      <c r="F288" s="10"/>
      <c r="G288" s="10"/>
      <c r="H288" s="8"/>
      <c r="I288" s="8"/>
      <c r="J288" s="8" t="str">
        <f t="shared" si="16"/>
        <v>借</v>
      </c>
      <c r="K288" s="9">
        <f t="shared" si="15"/>
        <v>890</v>
      </c>
      <c r="L288" s="28"/>
    </row>
    <row r="289" spans="1:12" ht="20.100000000000001" customHeight="1" x14ac:dyDescent="0.15">
      <c r="A289" s="10"/>
      <c r="B289" s="5"/>
      <c r="C289" s="10"/>
      <c r="D289" s="35"/>
      <c r="E289" s="10"/>
      <c r="F289" s="10"/>
      <c r="G289" s="10"/>
      <c r="H289" s="8"/>
      <c r="I289" s="8"/>
      <c r="J289" s="8" t="str">
        <f t="shared" si="16"/>
        <v>借</v>
      </c>
      <c r="K289" s="9">
        <f t="shared" si="15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6"/>
        <v>借</v>
      </c>
      <c r="K290" s="9">
        <f t="shared" si="15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6"/>
        <v>借</v>
      </c>
      <c r="K291" s="9">
        <f t="shared" si="15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6"/>
        <v>借</v>
      </c>
      <c r="K292" s="9">
        <f t="shared" si="15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6"/>
        <v>借</v>
      </c>
      <c r="K293" s="9">
        <f t="shared" si="15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6"/>
        <v>借</v>
      </c>
      <c r="K294" s="9">
        <f t="shared" si="15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6"/>
        <v>借</v>
      </c>
      <c r="K295" s="9">
        <f t="shared" si="15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6"/>
        <v>借</v>
      </c>
      <c r="K296" s="9">
        <f t="shared" si="15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6"/>
        <v>借</v>
      </c>
      <c r="K297" s="9">
        <f t="shared" si="15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6"/>
        <v>借</v>
      </c>
      <c r="K298" s="9">
        <f t="shared" si="15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6"/>
        <v>借</v>
      </c>
      <c r="K299" s="9">
        <f t="shared" si="15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6"/>
        <v>借</v>
      </c>
      <c r="K300" s="9">
        <f t="shared" si="15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6"/>
        <v>借</v>
      </c>
      <c r="K301" s="9">
        <f t="shared" si="15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6"/>
        <v>借</v>
      </c>
      <c r="K302" s="9">
        <f t="shared" si="15"/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ref="J303:J351" si="17">IF((K302+H303-I303)&gt;0,"借","贷")</f>
        <v>借</v>
      </c>
      <c r="K303" s="9">
        <f t="shared" si="15"/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7"/>
        <v>借</v>
      </c>
      <c r="K304" s="9">
        <f t="shared" ref="K304:K311" si="18">_xlfn.IFS(J303="借",K303+H304-I304,J303="贷",H304-I304-K303)</f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7"/>
        <v>借</v>
      </c>
      <c r="K305" s="9">
        <f t="shared" si="18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7"/>
        <v>借</v>
      </c>
      <c r="K306" s="9">
        <f t="shared" si="18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7"/>
        <v>借</v>
      </c>
      <c r="K307" s="9">
        <f t="shared" si="18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7"/>
        <v>借</v>
      </c>
      <c r="K308" s="9">
        <f t="shared" si="18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7"/>
        <v>借</v>
      </c>
      <c r="K309" s="9">
        <f t="shared" si="18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7"/>
        <v>借</v>
      </c>
      <c r="K310" s="9">
        <f t="shared" si="18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7"/>
        <v>借</v>
      </c>
      <c r="K311" s="9">
        <f t="shared" si="18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7"/>
        <v>借</v>
      </c>
      <c r="K312" s="9">
        <f t="shared" ref="K312:K351" si="19">_xlfn.IFS(J311="借",K311+H312-I312,J311="贷",H312-I312-K311)</f>
        <v>890</v>
      </c>
      <c r="L312" s="28"/>
    </row>
    <row r="313" spans="1:12" ht="20.100000000000001" customHeight="1" x14ac:dyDescent="0.15">
      <c r="A313" s="10"/>
      <c r="B313" s="5"/>
      <c r="C313" s="10"/>
      <c r="E313" s="10"/>
      <c r="F313" s="10"/>
      <c r="G313" s="10"/>
      <c r="H313" s="8"/>
      <c r="I313" s="8"/>
      <c r="J313" s="8" t="str">
        <f t="shared" si="17"/>
        <v>借</v>
      </c>
      <c r="K313" s="9">
        <f t="shared" si="19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7"/>
        <v>借</v>
      </c>
      <c r="K314" s="9">
        <f t="shared" si="19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7"/>
        <v>借</v>
      </c>
      <c r="K315" s="9">
        <f t="shared" si="19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7"/>
        <v>借</v>
      </c>
      <c r="K316" s="9">
        <f t="shared" si="19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7"/>
        <v>借</v>
      </c>
      <c r="K317" s="9">
        <f t="shared" si="19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7"/>
        <v>借</v>
      </c>
      <c r="K318" s="9">
        <f t="shared" si="19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7"/>
        <v>借</v>
      </c>
      <c r="K319" s="9">
        <f t="shared" si="19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7"/>
        <v>借</v>
      </c>
      <c r="K320" s="9">
        <f t="shared" si="19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7"/>
        <v>借</v>
      </c>
      <c r="K321" s="9">
        <f t="shared" si="19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7"/>
        <v>借</v>
      </c>
      <c r="K322" s="9">
        <f t="shared" si="19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7"/>
        <v>借</v>
      </c>
      <c r="K323" s="9">
        <f t="shared" si="19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7"/>
        <v>借</v>
      </c>
      <c r="K324" s="9">
        <f t="shared" si="19"/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7"/>
        <v>借</v>
      </c>
      <c r="K325" s="9">
        <f t="shared" si="19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7"/>
        <v>借</v>
      </c>
      <c r="K326" s="9">
        <f t="shared" si="19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7"/>
        <v>借</v>
      </c>
      <c r="K327" s="9">
        <f t="shared" si="19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7"/>
        <v>借</v>
      </c>
      <c r="K328" s="9">
        <f t="shared" si="19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7"/>
        <v>借</v>
      </c>
      <c r="K329" s="9">
        <f t="shared" si="19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7"/>
        <v>借</v>
      </c>
      <c r="K330" s="9">
        <f t="shared" si="19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7"/>
        <v>借</v>
      </c>
      <c r="K331" s="9">
        <f t="shared" si="19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7"/>
        <v>借</v>
      </c>
      <c r="K332" s="9">
        <f t="shared" si="19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7"/>
        <v>借</v>
      </c>
      <c r="K333" s="9">
        <f t="shared" si="19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7"/>
        <v>借</v>
      </c>
      <c r="K334" s="9">
        <f t="shared" si="19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7"/>
        <v>借</v>
      </c>
      <c r="K335" s="9">
        <f t="shared" si="19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7"/>
        <v>借</v>
      </c>
      <c r="K336" s="9">
        <f t="shared" si="19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7"/>
        <v>借</v>
      </c>
      <c r="K337" s="9">
        <f t="shared" si="19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7"/>
        <v>借</v>
      </c>
      <c r="K338" s="9">
        <f t="shared" si="19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7"/>
        <v>借</v>
      </c>
      <c r="K339" s="9">
        <f t="shared" si="19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7"/>
        <v>借</v>
      </c>
      <c r="K340" s="9">
        <f t="shared" si="19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7"/>
        <v>借</v>
      </c>
      <c r="K341" s="9">
        <f t="shared" si="19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7"/>
        <v>借</v>
      </c>
      <c r="K342" s="9">
        <f t="shared" si="19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7"/>
        <v>借</v>
      </c>
      <c r="K343" s="9">
        <f t="shared" si="19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7"/>
        <v>借</v>
      </c>
      <c r="K344" s="9">
        <f t="shared" si="19"/>
        <v>890</v>
      </c>
      <c r="L344" s="28"/>
    </row>
    <row r="345" spans="1:12" ht="20.100000000000001" customHeight="1" x14ac:dyDescent="0.15">
      <c r="A345" s="10"/>
      <c r="B345" s="5"/>
      <c r="C345" s="10"/>
      <c r="D345" s="32"/>
      <c r="E345" s="10"/>
      <c r="F345" s="10"/>
      <c r="G345" s="10"/>
      <c r="H345" s="8"/>
      <c r="I345" s="8"/>
      <c r="J345" s="8" t="str">
        <f t="shared" si="17"/>
        <v>借</v>
      </c>
      <c r="K345" s="9">
        <f t="shared" si="19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7"/>
        <v>借</v>
      </c>
      <c r="K346" s="9">
        <f t="shared" si="19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7"/>
        <v>借</v>
      </c>
      <c r="K347" s="9">
        <f t="shared" si="19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7"/>
        <v>借</v>
      </c>
      <c r="K348" s="9">
        <f t="shared" si="19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7"/>
        <v>借</v>
      </c>
      <c r="K349" s="9">
        <f t="shared" si="19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7"/>
        <v>借</v>
      </c>
      <c r="K350" s="9">
        <f t="shared" si="19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7"/>
        <v>借</v>
      </c>
      <c r="K351" s="9">
        <f t="shared" si="19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ref="J352:J360" si="20">IF((K351+H352-I352)&gt;0,"借","贷")</f>
        <v>借</v>
      </c>
      <c r="K352" s="9">
        <f t="shared" ref="K352:K360" si="21">_xlfn.IFS(J351="借",K351+H352-I352,J351="贷",H352-I352-K351)</f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20"/>
        <v>借</v>
      </c>
      <c r="K353" s="9">
        <f t="shared" si="21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20"/>
        <v>借</v>
      </c>
      <c r="K354" s="9">
        <f t="shared" si="21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20"/>
        <v>借</v>
      </c>
      <c r="K355" s="9">
        <f t="shared" si="21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20"/>
        <v>借</v>
      </c>
      <c r="K356" s="9">
        <f t="shared" si="21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20"/>
        <v>借</v>
      </c>
      <c r="K357" s="9">
        <f t="shared" si="21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20"/>
        <v>借</v>
      </c>
      <c r="K358" s="9">
        <f t="shared" si="21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F359" s="10"/>
      <c r="G359" s="10"/>
      <c r="H359" s="8"/>
      <c r="I359" s="8"/>
      <c r="J359" s="8" t="str">
        <f t="shared" si="20"/>
        <v>借</v>
      </c>
      <c r="K359" s="9">
        <f t="shared" si="21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20"/>
        <v>借</v>
      </c>
      <c r="K360" s="9">
        <f t="shared" si="21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ref="J361:J366" si="22">IF((K360+H361-I361)&gt;0,"借","贷")</f>
        <v>借</v>
      </c>
      <c r="K361" s="9">
        <f t="shared" ref="K361:K383" si="23">_xlfn.IFS(J360="借",K360+H361-I361,J360="贷",H361-I361-K360)</f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22"/>
        <v>借</v>
      </c>
      <c r="K362" s="9">
        <f t="shared" si="23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22"/>
        <v>借</v>
      </c>
      <c r="K363" s="9">
        <f t="shared" si="23"/>
        <v>890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22"/>
        <v>借</v>
      </c>
      <c r="K364" s="9">
        <f t="shared" si="23"/>
        <v>890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22"/>
        <v>借</v>
      </c>
      <c r="K365" s="9">
        <f t="shared" si="23"/>
        <v>890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22"/>
        <v>借</v>
      </c>
      <c r="K366" s="9">
        <f t="shared" si="23"/>
        <v>890</v>
      </c>
      <c r="L366" s="28"/>
    </row>
    <row r="367" spans="1:12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ref="J367:J404" si="24">IF((K366+H367-I367)&gt;0,"借","贷")</f>
        <v>借</v>
      </c>
      <c r="K367" s="9">
        <f t="shared" si="23"/>
        <v>890</v>
      </c>
      <c r="L367" s="28"/>
    </row>
    <row r="368" spans="1:12" ht="20.100000000000001" customHeight="1" x14ac:dyDescent="0.15">
      <c r="A368" s="10"/>
      <c r="B368" s="5"/>
      <c r="C368" s="10"/>
      <c r="D368" s="10"/>
      <c r="E368" s="10"/>
      <c r="F368" s="10"/>
      <c r="G368" s="10"/>
      <c r="H368" s="8"/>
      <c r="I368" s="8"/>
      <c r="J368" s="8" t="str">
        <f t="shared" si="24"/>
        <v>借</v>
      </c>
      <c r="K368" s="9">
        <f t="shared" si="23"/>
        <v>890</v>
      </c>
      <c r="L368" s="28"/>
    </row>
    <row r="369" spans="1:12" ht="20.100000000000001" customHeight="1" x14ac:dyDescent="0.15">
      <c r="A369" s="10"/>
      <c r="B369" s="5"/>
      <c r="C369" s="10"/>
      <c r="D369" s="10"/>
      <c r="E369" s="10"/>
      <c r="F369" s="10"/>
      <c r="G369" s="10"/>
      <c r="H369" s="8"/>
      <c r="I369" s="8"/>
      <c r="J369" s="8" t="str">
        <f t="shared" si="24"/>
        <v>借</v>
      </c>
      <c r="K369" s="9">
        <f t="shared" si="23"/>
        <v>890</v>
      </c>
      <c r="L369" s="28"/>
    </row>
    <row r="370" spans="1:12" ht="20.100000000000001" customHeight="1" x14ac:dyDescent="0.15">
      <c r="A370" s="10"/>
      <c r="B370" s="5"/>
      <c r="C370" s="10"/>
      <c r="D370" s="10"/>
      <c r="E370" s="10"/>
      <c r="F370" s="10"/>
      <c r="G370" s="10"/>
      <c r="H370" s="8"/>
      <c r="I370" s="8"/>
      <c r="J370" s="8" t="str">
        <f t="shared" si="24"/>
        <v>借</v>
      </c>
      <c r="K370" s="9">
        <f t="shared" si="23"/>
        <v>890</v>
      </c>
      <c r="L370" s="28"/>
    </row>
    <row r="371" spans="1:12" ht="20.100000000000001" customHeight="1" x14ac:dyDescent="0.15">
      <c r="A371" s="10"/>
      <c r="B371" s="5"/>
      <c r="C371" s="10"/>
      <c r="D371" s="10"/>
      <c r="E371" s="10"/>
      <c r="F371" s="10"/>
      <c r="G371" s="10"/>
      <c r="H371" s="8"/>
      <c r="I371" s="8"/>
      <c r="J371" s="8" t="str">
        <f t="shared" si="24"/>
        <v>借</v>
      </c>
      <c r="K371" s="9">
        <f t="shared" si="23"/>
        <v>890</v>
      </c>
      <c r="L371" s="28"/>
    </row>
    <row r="372" spans="1:12" ht="20.100000000000001" customHeight="1" x14ac:dyDescent="0.15">
      <c r="A372" s="10"/>
      <c r="B372" s="5"/>
      <c r="C372" s="10"/>
      <c r="D372" s="10"/>
      <c r="E372" s="10"/>
      <c r="F372" s="10"/>
      <c r="G372" s="10"/>
      <c r="H372" s="8"/>
      <c r="I372" s="8"/>
      <c r="J372" s="8" t="str">
        <f t="shared" si="24"/>
        <v>借</v>
      </c>
      <c r="K372" s="9">
        <f t="shared" si="23"/>
        <v>890</v>
      </c>
      <c r="L372" s="28"/>
    </row>
    <row r="373" spans="1:12" ht="20.100000000000001" customHeight="1" x14ac:dyDescent="0.15">
      <c r="A373" s="10"/>
      <c r="B373" s="5"/>
      <c r="C373" s="10"/>
      <c r="D373" s="10"/>
      <c r="E373" s="10"/>
      <c r="F373" s="10"/>
      <c r="G373" s="10"/>
      <c r="H373" s="8"/>
      <c r="I373" s="8"/>
      <c r="J373" s="8" t="str">
        <f t="shared" si="24"/>
        <v>借</v>
      </c>
      <c r="K373" s="9">
        <f t="shared" si="23"/>
        <v>890</v>
      </c>
      <c r="L373" s="28"/>
    </row>
    <row r="374" spans="1:12" ht="20.100000000000001" customHeight="1" x14ac:dyDescent="0.15">
      <c r="A374" s="10"/>
      <c r="B374" s="5"/>
      <c r="C374" s="10"/>
      <c r="D374" s="10"/>
      <c r="E374" s="10"/>
      <c r="F374" s="10"/>
      <c r="G374" s="10"/>
      <c r="H374" s="8"/>
      <c r="I374" s="8"/>
      <c r="J374" s="8" t="str">
        <f t="shared" si="24"/>
        <v>借</v>
      </c>
      <c r="K374" s="9">
        <f t="shared" si="23"/>
        <v>890</v>
      </c>
      <c r="L374" s="28"/>
    </row>
    <row r="375" spans="1:12" ht="20.100000000000001" customHeight="1" x14ac:dyDescent="0.15">
      <c r="A375" s="10"/>
      <c r="B375" s="5"/>
      <c r="C375" s="10"/>
      <c r="D375" s="10"/>
      <c r="E375" s="10"/>
      <c r="F375" s="10"/>
      <c r="G375" s="10"/>
      <c r="H375" s="8"/>
      <c r="I375" s="8"/>
      <c r="J375" s="8" t="str">
        <f t="shared" si="24"/>
        <v>借</v>
      </c>
      <c r="K375" s="9">
        <f t="shared" si="23"/>
        <v>890</v>
      </c>
      <c r="L375" s="28"/>
    </row>
    <row r="376" spans="1:12" ht="20.100000000000001" customHeight="1" x14ac:dyDescent="0.15">
      <c r="A376" s="10"/>
      <c r="B376" s="5"/>
      <c r="C376" s="10"/>
      <c r="D376" s="10"/>
      <c r="E376" s="10"/>
      <c r="F376" s="10"/>
      <c r="G376" s="10"/>
      <c r="H376" s="8"/>
      <c r="I376" s="8"/>
      <c r="J376" s="8" t="str">
        <f t="shared" si="24"/>
        <v>借</v>
      </c>
      <c r="K376" s="9">
        <f t="shared" si="23"/>
        <v>890</v>
      </c>
      <c r="L376" s="28"/>
    </row>
    <row r="377" spans="1:12" ht="20.100000000000001" customHeight="1" x14ac:dyDescent="0.15">
      <c r="A377" s="10"/>
      <c r="B377" s="5"/>
      <c r="C377" s="10"/>
      <c r="D377" s="10"/>
      <c r="E377" s="10"/>
      <c r="F377" s="10"/>
      <c r="G377" s="10"/>
      <c r="H377" s="8"/>
      <c r="I377" s="8"/>
      <c r="J377" s="8" t="str">
        <f t="shared" si="24"/>
        <v>借</v>
      </c>
      <c r="K377" s="9">
        <f t="shared" si="23"/>
        <v>890</v>
      </c>
      <c r="L377" s="28"/>
    </row>
    <row r="378" spans="1:12" ht="20.100000000000001" customHeight="1" x14ac:dyDescent="0.15">
      <c r="A378" s="10"/>
      <c r="B378" s="5"/>
      <c r="C378" s="10"/>
      <c r="D378" s="10"/>
      <c r="E378" s="10"/>
      <c r="F378" s="10"/>
      <c r="G378" s="10"/>
      <c r="H378" s="8"/>
      <c r="I378" s="8"/>
      <c r="J378" s="8" t="str">
        <f t="shared" si="24"/>
        <v>借</v>
      </c>
      <c r="K378" s="9">
        <f t="shared" si="23"/>
        <v>890</v>
      </c>
      <c r="L378" s="28"/>
    </row>
    <row r="379" spans="1:12" ht="20.100000000000001" customHeight="1" x14ac:dyDescent="0.15">
      <c r="A379" s="10"/>
      <c r="B379" s="5"/>
      <c r="C379" s="10"/>
      <c r="D379" s="10"/>
      <c r="E379" s="10"/>
      <c r="F379" s="10"/>
      <c r="G379" s="10"/>
      <c r="H379" s="8"/>
      <c r="I379" s="8"/>
      <c r="J379" s="8" t="str">
        <f t="shared" si="24"/>
        <v>借</v>
      </c>
      <c r="K379" s="9">
        <f t="shared" si="23"/>
        <v>890</v>
      </c>
      <c r="L379" s="28"/>
    </row>
    <row r="380" spans="1:12" ht="20.100000000000001" customHeight="1" x14ac:dyDescent="0.15">
      <c r="A380" s="10"/>
      <c r="B380" s="5"/>
      <c r="C380" s="10"/>
      <c r="D380" s="10"/>
      <c r="E380" s="10"/>
      <c r="F380" s="10"/>
      <c r="G380" s="10"/>
      <c r="H380" s="8"/>
      <c r="I380" s="8"/>
      <c r="J380" s="8" t="str">
        <f t="shared" si="24"/>
        <v>借</v>
      </c>
      <c r="K380" s="9">
        <f t="shared" si="23"/>
        <v>890</v>
      </c>
      <c r="L380" s="28"/>
    </row>
    <row r="381" spans="1:12" ht="20.100000000000001" customHeight="1" x14ac:dyDescent="0.15">
      <c r="A381" s="10"/>
      <c r="B381" s="5"/>
      <c r="C381" s="10"/>
      <c r="D381" s="10"/>
      <c r="E381" s="10"/>
      <c r="F381" s="10"/>
      <c r="G381" s="10"/>
      <c r="H381" s="8"/>
      <c r="I381" s="8"/>
      <c r="J381" s="8" t="str">
        <f t="shared" si="24"/>
        <v>借</v>
      </c>
      <c r="K381" s="9">
        <f t="shared" si="23"/>
        <v>890</v>
      </c>
      <c r="L381" s="28"/>
    </row>
    <row r="382" spans="1:12" ht="20.100000000000001" customHeight="1" x14ac:dyDescent="0.15">
      <c r="A382" s="10"/>
      <c r="B382" s="5"/>
      <c r="C382" s="10"/>
      <c r="D382" s="10"/>
      <c r="E382" s="10"/>
      <c r="F382" s="10"/>
      <c r="G382" s="10"/>
      <c r="H382" s="8"/>
      <c r="I382" s="8"/>
      <c r="J382" s="8" t="str">
        <f t="shared" si="24"/>
        <v>借</v>
      </c>
      <c r="K382" s="9">
        <f t="shared" si="23"/>
        <v>890</v>
      </c>
      <c r="L382" s="28"/>
    </row>
    <row r="383" spans="1:12" ht="20.100000000000001" customHeight="1" x14ac:dyDescent="0.15">
      <c r="A383" s="10"/>
      <c r="B383" s="5"/>
      <c r="C383" s="10"/>
      <c r="D383" s="10"/>
      <c r="E383" s="10"/>
      <c r="F383" s="10"/>
      <c r="G383" s="10"/>
      <c r="H383" s="8"/>
      <c r="I383" s="8"/>
      <c r="J383" s="8" t="str">
        <f t="shared" si="24"/>
        <v>借</v>
      </c>
      <c r="K383" s="9">
        <f t="shared" si="23"/>
        <v>890</v>
      </c>
      <c r="L383" s="28"/>
    </row>
    <row r="384" spans="1:12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24"/>
        <v>借</v>
      </c>
      <c r="K384" s="9">
        <f t="shared" ref="K384:K447" si="25">_xlfn.IFS(J383="借",K383+H384-I384,J383="贷",H384-I384-K383)</f>
        <v>890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24"/>
        <v>借</v>
      </c>
      <c r="K385" s="9">
        <f t="shared" si="25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24"/>
        <v>借</v>
      </c>
      <c r="K386" s="9">
        <f t="shared" si="25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24"/>
        <v>借</v>
      </c>
      <c r="K387" s="9">
        <f t="shared" si="25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24"/>
        <v>借</v>
      </c>
      <c r="K388" s="9">
        <f t="shared" si="25"/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24"/>
        <v>借</v>
      </c>
      <c r="K389" s="9">
        <f t="shared" si="25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24"/>
        <v>借</v>
      </c>
      <c r="K390" s="9">
        <f t="shared" si="25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24"/>
        <v>借</v>
      </c>
      <c r="K391" s="9">
        <f t="shared" si="25"/>
        <v>890</v>
      </c>
      <c r="L391" s="28"/>
    </row>
    <row r="392" spans="2:12" ht="20.100000000000001" customHeight="1" x14ac:dyDescent="0.15">
      <c r="B392" s="5"/>
      <c r="C392" s="7"/>
      <c r="D392" s="10"/>
      <c r="E392" s="10"/>
      <c r="F392" s="10"/>
      <c r="G392" s="10"/>
      <c r="H392" s="8"/>
      <c r="I392" s="8"/>
      <c r="J392" s="8" t="str">
        <f t="shared" si="24"/>
        <v>借</v>
      </c>
      <c r="K392" s="9">
        <f t="shared" si="25"/>
        <v>890</v>
      </c>
      <c r="L392" s="28"/>
    </row>
    <row r="393" spans="2:12" ht="20.100000000000001" customHeight="1" x14ac:dyDescent="0.15">
      <c r="B393" s="5"/>
      <c r="C393" s="7"/>
      <c r="D393" s="10"/>
      <c r="E393" s="10"/>
      <c r="F393" s="10"/>
      <c r="G393" s="10"/>
      <c r="H393" s="8"/>
      <c r="I393" s="8"/>
      <c r="J393" s="8" t="str">
        <f t="shared" si="24"/>
        <v>借</v>
      </c>
      <c r="K393" s="9">
        <f t="shared" si="25"/>
        <v>890</v>
      </c>
      <c r="L393" s="28"/>
    </row>
    <row r="394" spans="2:12" ht="20.100000000000001" customHeight="1" x14ac:dyDescent="0.15">
      <c r="B394" s="5"/>
      <c r="C394" s="7"/>
      <c r="D394" s="10"/>
      <c r="E394" s="10"/>
      <c r="F394" s="10"/>
      <c r="G394" s="10"/>
      <c r="H394" s="8"/>
      <c r="I394" s="8"/>
      <c r="J394" s="8" t="str">
        <f t="shared" si="24"/>
        <v>借</v>
      </c>
      <c r="K394" s="9">
        <f t="shared" si="25"/>
        <v>890</v>
      </c>
      <c r="L394" s="28"/>
    </row>
    <row r="395" spans="2:12" ht="20.100000000000001" customHeight="1" x14ac:dyDescent="0.15">
      <c r="B395" s="5"/>
      <c r="C395" s="7"/>
      <c r="D395" s="10"/>
      <c r="E395" s="10"/>
      <c r="F395" s="10"/>
      <c r="G395" s="10"/>
      <c r="H395" s="8"/>
      <c r="I395" s="8"/>
      <c r="J395" s="8" t="str">
        <f t="shared" si="24"/>
        <v>借</v>
      </c>
      <c r="K395" s="9">
        <f t="shared" si="25"/>
        <v>890</v>
      </c>
      <c r="L395" s="28"/>
    </row>
    <row r="396" spans="2:12" ht="20.100000000000001" customHeight="1" x14ac:dyDescent="0.15">
      <c r="B396" s="5"/>
      <c r="C396" s="7"/>
      <c r="D396" s="10"/>
      <c r="E396" s="10"/>
      <c r="F396" s="10"/>
      <c r="G396" s="10"/>
      <c r="H396" s="8"/>
      <c r="I396" s="8"/>
      <c r="J396" s="8" t="str">
        <f t="shared" si="24"/>
        <v>借</v>
      </c>
      <c r="K396" s="9">
        <f t="shared" si="25"/>
        <v>890</v>
      </c>
      <c r="L396" s="28"/>
    </row>
    <row r="397" spans="2:12" ht="20.100000000000001" customHeight="1" x14ac:dyDescent="0.15">
      <c r="B397" s="5"/>
      <c r="C397" s="7"/>
      <c r="D397" s="10"/>
      <c r="E397" s="10"/>
      <c r="F397" s="10"/>
      <c r="G397" s="10"/>
      <c r="H397" s="8"/>
      <c r="I397" s="8"/>
      <c r="J397" s="8" t="str">
        <f t="shared" si="24"/>
        <v>借</v>
      </c>
      <c r="K397" s="9">
        <f t="shared" si="25"/>
        <v>890</v>
      </c>
      <c r="L397" s="28"/>
    </row>
    <row r="398" spans="2:12" ht="20.100000000000001" customHeight="1" x14ac:dyDescent="0.15">
      <c r="B398" s="5"/>
      <c r="C398" s="7"/>
      <c r="D398" s="10"/>
      <c r="E398" s="10"/>
      <c r="F398" s="10"/>
      <c r="G398" s="10"/>
      <c r="H398" s="8"/>
      <c r="I398" s="8"/>
      <c r="J398" s="8" t="str">
        <f t="shared" si="24"/>
        <v>借</v>
      </c>
      <c r="K398" s="9">
        <f t="shared" si="25"/>
        <v>890</v>
      </c>
      <c r="L398" s="28"/>
    </row>
    <row r="399" spans="2:12" ht="20.100000000000001" customHeight="1" x14ac:dyDescent="0.15">
      <c r="B399" s="5"/>
      <c r="C399" s="7"/>
      <c r="D399" s="10"/>
      <c r="E399" s="10"/>
      <c r="F399" s="10"/>
      <c r="G399" s="10"/>
      <c r="H399" s="8"/>
      <c r="I399" s="8"/>
      <c r="J399" s="8" t="str">
        <f t="shared" si="24"/>
        <v>借</v>
      </c>
      <c r="K399" s="9">
        <f t="shared" si="25"/>
        <v>890</v>
      </c>
      <c r="L399" s="28"/>
    </row>
    <row r="400" spans="2:12" ht="20.100000000000001" customHeight="1" x14ac:dyDescent="0.15">
      <c r="B400" s="5"/>
      <c r="C400" s="7"/>
      <c r="D400" s="10"/>
      <c r="E400" s="10"/>
      <c r="F400" s="10"/>
      <c r="G400" s="10"/>
      <c r="H400" s="8"/>
      <c r="I400" s="8"/>
      <c r="J400" s="8" t="str">
        <f t="shared" si="24"/>
        <v>借</v>
      </c>
      <c r="K400" s="9">
        <f t="shared" si="25"/>
        <v>890</v>
      </c>
      <c r="L400" s="28"/>
    </row>
    <row r="401" spans="2:12" ht="20.100000000000001" customHeight="1" x14ac:dyDescent="0.15">
      <c r="B401" s="5"/>
      <c r="C401" s="7"/>
      <c r="D401" s="10"/>
      <c r="E401" s="10"/>
      <c r="F401" s="10"/>
      <c r="G401" s="10"/>
      <c r="H401" s="8"/>
      <c r="I401" s="8"/>
      <c r="J401" s="8" t="str">
        <f t="shared" si="24"/>
        <v>借</v>
      </c>
      <c r="K401" s="9">
        <f t="shared" si="25"/>
        <v>890</v>
      </c>
      <c r="L401" s="28"/>
    </row>
    <row r="402" spans="2:12" ht="20.100000000000001" customHeight="1" x14ac:dyDescent="0.15">
      <c r="B402" s="5"/>
      <c r="C402" s="7"/>
      <c r="D402" s="10"/>
      <c r="E402" s="10"/>
      <c r="F402" s="10"/>
      <c r="G402" s="10"/>
      <c r="H402" s="8"/>
      <c r="I402" s="8"/>
      <c r="J402" s="8" t="str">
        <f t="shared" si="24"/>
        <v>借</v>
      </c>
      <c r="K402" s="9">
        <f t="shared" si="25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24"/>
        <v>借</v>
      </c>
      <c r="K403" s="9">
        <f t="shared" si="25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24"/>
        <v>借</v>
      </c>
      <c r="K404" s="9">
        <f t="shared" si="25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ref="J405:J468" si="26">IF((K404+H405-I405)&gt;0,"借","贷")</f>
        <v>借</v>
      </c>
      <c r="K405" s="9">
        <f t="shared" si="25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26"/>
        <v>借</v>
      </c>
      <c r="K406" s="9">
        <f t="shared" si="25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26"/>
        <v>借</v>
      </c>
      <c r="K407" s="9">
        <f t="shared" si="25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26"/>
        <v>借</v>
      </c>
      <c r="K408" s="9">
        <f t="shared" si="25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26"/>
        <v>借</v>
      </c>
      <c r="K409" s="9">
        <f t="shared" si="25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26"/>
        <v>借</v>
      </c>
      <c r="K410" s="9">
        <f t="shared" si="25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26"/>
        <v>借</v>
      </c>
      <c r="K411" s="9">
        <f t="shared" si="25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26"/>
        <v>借</v>
      </c>
      <c r="K412" s="9">
        <f t="shared" si="25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26"/>
        <v>借</v>
      </c>
      <c r="K413" s="9">
        <f t="shared" si="25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26"/>
        <v>借</v>
      </c>
      <c r="K414" s="9">
        <f t="shared" si="25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26"/>
        <v>借</v>
      </c>
      <c r="K415" s="9">
        <f t="shared" si="25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26"/>
        <v>借</v>
      </c>
      <c r="K416" s="9">
        <f t="shared" si="25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26"/>
        <v>借</v>
      </c>
      <c r="K417" s="9">
        <f t="shared" si="25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26"/>
        <v>借</v>
      </c>
      <c r="K418" s="9">
        <f t="shared" si="25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26"/>
        <v>借</v>
      </c>
      <c r="K419" s="9">
        <f t="shared" si="25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26"/>
        <v>借</v>
      </c>
      <c r="K420" s="9">
        <f t="shared" si="25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26"/>
        <v>借</v>
      </c>
      <c r="K421" s="9">
        <f t="shared" si="25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26"/>
        <v>借</v>
      </c>
      <c r="K422" s="9">
        <f t="shared" si="25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26"/>
        <v>借</v>
      </c>
      <c r="K423" s="9">
        <f t="shared" si="25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26"/>
        <v>借</v>
      </c>
      <c r="K424" s="9">
        <f t="shared" si="25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26"/>
        <v>借</v>
      </c>
      <c r="K425" s="9">
        <f t="shared" si="25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26"/>
        <v>借</v>
      </c>
      <c r="K426" s="9">
        <f t="shared" si="25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26"/>
        <v>借</v>
      </c>
      <c r="K427" s="9">
        <f t="shared" si="25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26"/>
        <v>借</v>
      </c>
      <c r="K428" s="9">
        <f t="shared" si="25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26"/>
        <v>借</v>
      </c>
      <c r="K429" s="9">
        <f t="shared" si="25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26"/>
        <v>借</v>
      </c>
      <c r="K430" s="9">
        <f t="shared" si="25"/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26"/>
        <v>借</v>
      </c>
      <c r="K431" s="9">
        <f t="shared" si="25"/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26"/>
        <v>借</v>
      </c>
      <c r="K432" s="9">
        <f t="shared" si="25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26"/>
        <v>借</v>
      </c>
      <c r="K433" s="9">
        <f t="shared" si="25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26"/>
        <v>借</v>
      </c>
      <c r="K434" s="9">
        <f t="shared" si="25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26"/>
        <v>借</v>
      </c>
      <c r="K435" s="9">
        <f t="shared" si="25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26"/>
        <v>借</v>
      </c>
      <c r="K436" s="9">
        <f t="shared" si="25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26"/>
        <v>借</v>
      </c>
      <c r="K437" s="9">
        <f t="shared" si="25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26"/>
        <v>借</v>
      </c>
      <c r="K438" s="9">
        <f t="shared" si="25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26"/>
        <v>借</v>
      </c>
      <c r="K439" s="9">
        <f t="shared" si="25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26"/>
        <v>借</v>
      </c>
      <c r="K440" s="9">
        <f t="shared" si="25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26"/>
        <v>借</v>
      </c>
      <c r="K441" s="9">
        <f t="shared" si="25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26"/>
        <v>借</v>
      </c>
      <c r="K442" s="9">
        <f t="shared" si="25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26"/>
        <v>借</v>
      </c>
      <c r="K443" s="9">
        <f t="shared" si="25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26"/>
        <v>借</v>
      </c>
      <c r="K444" s="9">
        <f t="shared" si="25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26"/>
        <v>借</v>
      </c>
      <c r="K445" s="9">
        <f t="shared" si="25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26"/>
        <v>借</v>
      </c>
      <c r="K446" s="9">
        <f t="shared" si="25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26"/>
        <v>借</v>
      </c>
      <c r="K447" s="9">
        <f t="shared" si="25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26"/>
        <v>借</v>
      </c>
      <c r="K448" s="9">
        <f t="shared" ref="K448:K511" si="27">_xlfn.IFS(J447="借",K447+H448-I448,J447="贷",H448-I448-K447)</f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26"/>
        <v>借</v>
      </c>
      <c r="K449" s="9">
        <f t="shared" si="27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26"/>
        <v>借</v>
      </c>
      <c r="K450" s="9">
        <f t="shared" si="27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26"/>
        <v>借</v>
      </c>
      <c r="K451" s="9">
        <f t="shared" si="27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26"/>
        <v>借</v>
      </c>
      <c r="K452" s="9">
        <f t="shared" si="27"/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26"/>
        <v>借</v>
      </c>
      <c r="K453" s="9">
        <f t="shared" si="27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26"/>
        <v>借</v>
      </c>
      <c r="K454" s="9">
        <f t="shared" si="27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26"/>
        <v>借</v>
      </c>
      <c r="K455" s="9">
        <f t="shared" si="27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26"/>
        <v>借</v>
      </c>
      <c r="K456" s="9">
        <f t="shared" si="27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26"/>
        <v>借</v>
      </c>
      <c r="K457" s="9">
        <f t="shared" si="27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6"/>
        <v>借</v>
      </c>
      <c r="K458" s="9">
        <f t="shared" si="27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6"/>
        <v>借</v>
      </c>
      <c r="K459" s="9">
        <f t="shared" si="27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6"/>
        <v>借</v>
      </c>
      <c r="K460" s="9">
        <f t="shared" si="27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6"/>
        <v>借</v>
      </c>
      <c r="K461" s="9">
        <f t="shared" si="27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6"/>
        <v>借</v>
      </c>
      <c r="K462" s="9">
        <f t="shared" si="27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26"/>
        <v>借</v>
      </c>
      <c r="K463" s="9">
        <f t="shared" si="27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6"/>
        <v>借</v>
      </c>
      <c r="K464" s="9">
        <f t="shared" si="27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6"/>
        <v>借</v>
      </c>
      <c r="K465" s="9">
        <f t="shared" si="27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6"/>
        <v>借</v>
      </c>
      <c r="K466" s="9">
        <f t="shared" si="27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6"/>
        <v>借</v>
      </c>
      <c r="K467" s="9">
        <f t="shared" si="27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6"/>
        <v>借</v>
      </c>
      <c r="K468" s="9">
        <f t="shared" si="27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ref="J469:J516" si="28">IF((K468+H469-I469)&gt;0,"借","贷")</f>
        <v>借</v>
      </c>
      <c r="K469" s="9">
        <f t="shared" si="27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8"/>
        <v>借</v>
      </c>
      <c r="K470" s="9">
        <f t="shared" si="27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8"/>
        <v>借</v>
      </c>
      <c r="K471" s="9">
        <f t="shared" si="27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8"/>
        <v>借</v>
      </c>
      <c r="K472" s="9">
        <f t="shared" si="27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8"/>
        <v>借</v>
      </c>
      <c r="K473" s="9">
        <f t="shared" si="27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8"/>
        <v>借</v>
      </c>
      <c r="K474" s="9">
        <f t="shared" si="27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8"/>
        <v>借</v>
      </c>
      <c r="K475" s="9">
        <f t="shared" si="27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8"/>
        <v>借</v>
      </c>
      <c r="K476" s="9">
        <f t="shared" si="27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8"/>
        <v>借</v>
      </c>
      <c r="K477" s="9">
        <f t="shared" si="27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8"/>
        <v>借</v>
      </c>
      <c r="K478" s="9">
        <f t="shared" si="27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8"/>
        <v>借</v>
      </c>
      <c r="K479" s="9">
        <f t="shared" si="27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8"/>
        <v>借</v>
      </c>
      <c r="K480" s="9">
        <f t="shared" si="27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8"/>
        <v>借</v>
      </c>
      <c r="K481" s="9">
        <f t="shared" si="27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8"/>
        <v>借</v>
      </c>
      <c r="K482" s="9">
        <f t="shared" si="27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8"/>
        <v>借</v>
      </c>
      <c r="K483" s="9">
        <f t="shared" si="27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8"/>
        <v>借</v>
      </c>
      <c r="K484" s="9">
        <f t="shared" si="27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8"/>
        <v>借</v>
      </c>
      <c r="K485" s="9">
        <f t="shared" si="27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8"/>
        <v>借</v>
      </c>
      <c r="K486" s="9">
        <f t="shared" si="27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8"/>
        <v>借</v>
      </c>
      <c r="K487" s="9">
        <f t="shared" si="27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8"/>
        <v>借</v>
      </c>
      <c r="K488" s="9">
        <f t="shared" si="27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8"/>
        <v>借</v>
      </c>
      <c r="K489" s="9">
        <f t="shared" si="27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8"/>
        <v>借</v>
      </c>
      <c r="K490" s="9">
        <f t="shared" si="27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8"/>
        <v>借</v>
      </c>
      <c r="K491" s="9">
        <f t="shared" si="27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8"/>
        <v>借</v>
      </c>
      <c r="K492" s="9">
        <f t="shared" si="27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8"/>
        <v>借</v>
      </c>
      <c r="K493" s="9">
        <f t="shared" si="27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8"/>
        <v>借</v>
      </c>
      <c r="K494" s="9">
        <f t="shared" si="27"/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8"/>
        <v>借</v>
      </c>
      <c r="K495" s="9">
        <f t="shared" si="27"/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8"/>
        <v>借</v>
      </c>
      <c r="K496" s="9">
        <f t="shared" si="27"/>
        <v>890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8"/>
        <v>借</v>
      </c>
      <c r="K497" s="9">
        <f t="shared" si="27"/>
        <v>890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8"/>
        <v>借</v>
      </c>
      <c r="K498" s="9">
        <f t="shared" si="27"/>
        <v>890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8"/>
        <v>借</v>
      </c>
      <c r="K499" s="9">
        <f t="shared" si="27"/>
        <v>890</v>
      </c>
      <c r="L499" s="28"/>
    </row>
    <row r="500" spans="2:12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28"/>
        <v>借</v>
      </c>
      <c r="K500" s="9">
        <f t="shared" si="27"/>
        <v>890</v>
      </c>
      <c r="L500" s="28"/>
    </row>
    <row r="501" spans="2:12" ht="20.100000000000001" customHeight="1" x14ac:dyDescent="0.15">
      <c r="B501" s="5"/>
      <c r="C501" s="10"/>
      <c r="D501" s="10"/>
      <c r="E501" s="10"/>
      <c r="F501" s="10"/>
      <c r="G501" s="10"/>
      <c r="H501" s="8"/>
      <c r="I501" s="8"/>
      <c r="J501" s="8" t="str">
        <f t="shared" si="28"/>
        <v>借</v>
      </c>
      <c r="K501" s="9">
        <f t="shared" si="27"/>
        <v>890</v>
      </c>
      <c r="L501" s="28"/>
    </row>
    <row r="502" spans="2:12" ht="20.100000000000001" customHeight="1" x14ac:dyDescent="0.15">
      <c r="B502" s="5"/>
      <c r="C502" s="10"/>
      <c r="D502" s="10"/>
      <c r="E502" s="10"/>
      <c r="F502" s="10"/>
      <c r="G502" s="10"/>
      <c r="H502" s="8"/>
      <c r="I502" s="8"/>
      <c r="J502" s="8" t="str">
        <f t="shared" si="28"/>
        <v>借</v>
      </c>
      <c r="K502" s="9">
        <f t="shared" si="27"/>
        <v>890</v>
      </c>
      <c r="L502" s="28"/>
    </row>
    <row r="503" spans="2:12" ht="20.100000000000001" customHeight="1" x14ac:dyDescent="0.15">
      <c r="B503" s="5"/>
      <c r="C503" s="10"/>
      <c r="D503" s="10"/>
      <c r="E503" s="10"/>
      <c r="F503" s="10"/>
      <c r="G503" s="10"/>
      <c r="H503" s="8"/>
      <c r="I503" s="8"/>
      <c r="J503" s="8" t="str">
        <f t="shared" si="28"/>
        <v>借</v>
      </c>
      <c r="K503" s="9">
        <f t="shared" si="27"/>
        <v>890</v>
      </c>
      <c r="L503" s="28"/>
    </row>
    <row r="504" spans="2:12" ht="20.100000000000001" customHeight="1" x14ac:dyDescent="0.15">
      <c r="B504" s="5"/>
      <c r="C504" s="10"/>
      <c r="D504" s="10"/>
      <c r="E504" s="10"/>
      <c r="F504" s="10"/>
      <c r="G504" s="10"/>
      <c r="H504" s="8"/>
      <c r="I504" s="8"/>
      <c r="J504" s="8" t="str">
        <f t="shared" si="28"/>
        <v>借</v>
      </c>
      <c r="K504" s="9">
        <f t="shared" si="27"/>
        <v>890</v>
      </c>
      <c r="L504" s="28"/>
    </row>
    <row r="505" spans="2:12" ht="20.100000000000001" customHeight="1" x14ac:dyDescent="0.15">
      <c r="B505" s="5"/>
      <c r="C505" s="10"/>
      <c r="D505" s="10"/>
      <c r="E505" s="10"/>
      <c r="F505" s="10"/>
      <c r="G505" s="10"/>
      <c r="H505" s="8"/>
      <c r="I505" s="8"/>
      <c r="J505" s="8" t="str">
        <f t="shared" si="28"/>
        <v>借</v>
      </c>
      <c r="K505" s="9">
        <f t="shared" si="27"/>
        <v>890</v>
      </c>
      <c r="L505" s="28"/>
    </row>
    <row r="506" spans="2:12" ht="20.100000000000001" customHeight="1" x14ac:dyDescent="0.15">
      <c r="B506" s="5"/>
      <c r="C506" s="10"/>
      <c r="D506" s="10"/>
      <c r="E506" s="10"/>
      <c r="F506" s="10"/>
      <c r="G506" s="10"/>
      <c r="H506" s="8"/>
      <c r="I506" s="8"/>
      <c r="J506" s="8" t="str">
        <f t="shared" si="28"/>
        <v>借</v>
      </c>
      <c r="K506" s="9">
        <f t="shared" si="27"/>
        <v>890</v>
      </c>
      <c r="L506" s="28"/>
    </row>
    <row r="507" spans="2:12" ht="20.100000000000001" customHeight="1" x14ac:dyDescent="0.15">
      <c r="B507" s="5"/>
      <c r="C507" s="10"/>
      <c r="D507" s="10"/>
      <c r="E507" s="10"/>
      <c r="F507" s="10"/>
      <c r="G507" s="10"/>
      <c r="H507" s="8"/>
      <c r="I507" s="8"/>
      <c r="J507" s="8" t="str">
        <f t="shared" si="28"/>
        <v>借</v>
      </c>
      <c r="K507" s="9">
        <f t="shared" si="27"/>
        <v>890</v>
      </c>
      <c r="L507" s="28"/>
    </row>
    <row r="508" spans="2:12" ht="20.100000000000001" customHeight="1" x14ac:dyDescent="0.15">
      <c r="B508" s="5"/>
      <c r="C508" s="10"/>
      <c r="D508" s="10"/>
      <c r="E508" s="10"/>
      <c r="F508" s="10"/>
      <c r="G508" s="10"/>
      <c r="H508" s="8"/>
      <c r="I508" s="8"/>
      <c r="J508" s="8" t="str">
        <f t="shared" si="28"/>
        <v>借</v>
      </c>
      <c r="K508" s="9">
        <f t="shared" si="27"/>
        <v>890</v>
      </c>
      <c r="L508" s="28"/>
    </row>
    <row r="509" spans="2:12" ht="20.100000000000001" customHeight="1" x14ac:dyDescent="0.15">
      <c r="B509" s="5"/>
      <c r="C509" s="10"/>
      <c r="D509" s="10"/>
      <c r="E509" s="10"/>
      <c r="F509" s="10"/>
      <c r="G509" s="10"/>
      <c r="H509" s="8"/>
      <c r="I509" s="8"/>
      <c r="J509" s="8" t="str">
        <f t="shared" si="28"/>
        <v>借</v>
      </c>
      <c r="K509" s="9">
        <f t="shared" si="27"/>
        <v>890</v>
      </c>
      <c r="L509" s="28"/>
    </row>
    <row r="510" spans="2:12" ht="20.100000000000001" customHeight="1" x14ac:dyDescent="0.15">
      <c r="B510" s="5"/>
      <c r="C510" s="10"/>
      <c r="D510" s="10"/>
      <c r="E510" s="10"/>
      <c r="F510" s="10"/>
      <c r="G510" s="10"/>
      <c r="H510" s="8"/>
      <c r="I510" s="8"/>
      <c r="J510" s="8" t="str">
        <f t="shared" si="28"/>
        <v>借</v>
      </c>
      <c r="K510" s="9">
        <f t="shared" si="27"/>
        <v>890</v>
      </c>
      <c r="L510" s="28"/>
    </row>
    <row r="511" spans="2:12" ht="20.100000000000001" customHeight="1" x14ac:dyDescent="0.15">
      <c r="B511" s="5"/>
      <c r="C511" s="10"/>
      <c r="D511" s="10"/>
      <c r="E511" s="10"/>
      <c r="F511" s="10"/>
      <c r="G511" s="10"/>
      <c r="H511" s="8"/>
      <c r="I511" s="8"/>
      <c r="J511" s="8" t="str">
        <f t="shared" si="28"/>
        <v>借</v>
      </c>
      <c r="K511" s="9">
        <f t="shared" si="27"/>
        <v>890</v>
      </c>
      <c r="L511" s="28"/>
    </row>
    <row r="512" spans="2:12" ht="20.100000000000001" customHeight="1" x14ac:dyDescent="0.15">
      <c r="B512" s="5"/>
      <c r="C512" s="10"/>
      <c r="D512" s="10"/>
      <c r="E512" s="10"/>
      <c r="F512" s="10"/>
      <c r="G512" s="10"/>
      <c r="H512" s="8"/>
      <c r="I512" s="8"/>
      <c r="J512" s="8" t="str">
        <f t="shared" si="28"/>
        <v>借</v>
      </c>
      <c r="K512" s="9">
        <f t="shared" ref="K512:K516" si="29">_xlfn.IFS(J511="借",K511+H512-I512,J511="贷",H512-I512-K511)</f>
        <v>890</v>
      </c>
      <c r="L512" s="28"/>
    </row>
    <row r="513" spans="2:12" ht="20.100000000000001" customHeight="1" x14ac:dyDescent="0.15">
      <c r="B513" s="5"/>
      <c r="C513" s="10"/>
      <c r="D513" s="10"/>
      <c r="E513" s="10"/>
      <c r="F513" s="10"/>
      <c r="G513" s="10"/>
      <c r="H513" s="8"/>
      <c r="I513" s="8"/>
      <c r="J513" s="8" t="str">
        <f t="shared" si="28"/>
        <v>借</v>
      </c>
      <c r="K513" s="9">
        <f t="shared" si="29"/>
        <v>890</v>
      </c>
      <c r="L513" s="28"/>
    </row>
    <row r="514" spans="2:12" ht="20.100000000000001" customHeight="1" x14ac:dyDescent="0.15">
      <c r="B514" s="5"/>
      <c r="C514" s="10"/>
      <c r="D514" s="10"/>
      <c r="E514" s="10"/>
      <c r="F514" s="10"/>
      <c r="G514" s="10"/>
      <c r="H514" s="8"/>
      <c r="I514" s="8"/>
      <c r="J514" s="8" t="str">
        <f t="shared" si="28"/>
        <v>借</v>
      </c>
      <c r="K514" s="9">
        <f t="shared" si="29"/>
        <v>890</v>
      </c>
      <c r="L514" s="28"/>
    </row>
    <row r="515" spans="2:12" ht="20.100000000000001" customHeight="1" x14ac:dyDescent="0.15">
      <c r="B515" s="5"/>
      <c r="C515" s="10"/>
      <c r="D515" s="10"/>
      <c r="E515" s="10"/>
      <c r="F515" s="10"/>
      <c r="G515" s="10"/>
      <c r="H515" s="8"/>
      <c r="I515" s="8"/>
      <c r="J515" s="8" t="str">
        <f t="shared" si="28"/>
        <v>借</v>
      </c>
      <c r="K515" s="9">
        <f t="shared" si="29"/>
        <v>890</v>
      </c>
      <c r="L515" s="28"/>
    </row>
    <row r="516" spans="2:12" ht="20.100000000000001" customHeight="1" x14ac:dyDescent="0.15">
      <c r="B516" s="5"/>
      <c r="C516" s="10"/>
      <c r="D516" s="10"/>
      <c r="F516" s="10"/>
      <c r="G516" s="10"/>
      <c r="H516" s="8"/>
      <c r="I516" s="8"/>
      <c r="J516" s="8" t="str">
        <f t="shared" si="28"/>
        <v>借</v>
      </c>
      <c r="K516" s="9">
        <f t="shared" si="29"/>
        <v>890</v>
      </c>
      <c r="L516" s="28"/>
    </row>
  </sheetData>
  <autoFilter ref="A4:M516" xr:uid="{00000000-0009-0000-0000-000008000000}"/>
  <mergeCells count="5">
    <mergeCell ref="A1:K1"/>
    <mergeCell ref="M154:M155"/>
    <mergeCell ref="M183:M184"/>
    <mergeCell ref="M219:M220"/>
    <mergeCell ref="M264:M265"/>
  </mergeCells>
  <phoneticPr fontId="21" type="noConversion"/>
  <dataValidations count="1">
    <dataValidation type="list" allowBlank="1" showInputMessage="1" showErrorMessage="1" sqref="G5:G1048576 A1:L1" xr:uid="{00000000-0002-0000-0800-000000000000}">
      <formula1>#REF!</formula1>
    </dataValidation>
  </dataValidations>
  <pageMargins left="0.75" right="0.75" top="1" bottom="1" header="0.5" footer="0.5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98"/>
  <sheetViews>
    <sheetView topLeftCell="D1" workbookViewId="0">
      <selection activeCell="E26" sqref="E2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  <c r="L1" s="2"/>
    </row>
    <row r="2" spans="1:13" ht="20.100000000000001" customHeight="1" x14ac:dyDescent="0.15">
      <c r="B2" t="s">
        <v>62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SUM(H5:H190001)</f>
        <v>0</v>
      </c>
      <c r="I3" s="4">
        <f>SUM(I5:I190001)</f>
        <v>0</v>
      </c>
      <c r="J3" s="4"/>
      <c r="K3" s="3">
        <f>H3-I3</f>
        <v>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/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f>H5-I5</f>
        <v>0</v>
      </c>
      <c r="L5" s="28"/>
    </row>
    <row r="6" spans="1:13" ht="20.100000000000001" customHeight="1" x14ac:dyDescent="0.15">
      <c r="A6" s="5"/>
      <c r="B6" s="5"/>
      <c r="C6" s="5"/>
      <c r="D6" s="10"/>
      <c r="E6" s="10"/>
      <c r="F6" s="7"/>
      <c r="G6" s="7"/>
      <c r="H6" s="8"/>
      <c r="I6" s="8"/>
      <c r="J6" s="8" t="str">
        <f t="shared" ref="J6:J69" si="0">IF((K5+H6-I6)&gt;0,"借","贷")</f>
        <v>贷</v>
      </c>
      <c r="K6" s="9">
        <f t="shared" ref="K6:K69" si="1">K5+H6-I6</f>
        <v>0</v>
      </c>
      <c r="L6" s="28"/>
    </row>
    <row r="7" spans="1:13" ht="20.100000000000001" customHeight="1" x14ac:dyDescent="0.15">
      <c r="A7" s="5"/>
      <c r="B7" s="5"/>
      <c r="C7" s="5"/>
      <c r="D7" s="10"/>
      <c r="E7" s="10"/>
      <c r="F7" s="7"/>
      <c r="G7" s="7"/>
      <c r="H7" s="8"/>
      <c r="I7" s="8"/>
      <c r="J7" s="8" t="str">
        <f t="shared" si="0"/>
        <v>贷</v>
      </c>
      <c r="K7" s="9">
        <f t="shared" si="1"/>
        <v>0</v>
      </c>
      <c r="L7" s="28"/>
    </row>
    <row r="8" spans="1:13" ht="20.100000000000001" customHeight="1" x14ac:dyDescent="0.15">
      <c r="A8" s="5"/>
      <c r="B8" s="5"/>
      <c r="C8" s="5"/>
      <c r="D8" s="10"/>
      <c r="E8" s="10"/>
      <c r="F8" s="7"/>
      <c r="G8" s="7"/>
      <c r="H8" s="8"/>
      <c r="I8" s="8"/>
      <c r="J8" s="8" t="str">
        <f t="shared" si="0"/>
        <v>贷</v>
      </c>
      <c r="K8" s="9">
        <f t="shared" si="1"/>
        <v>0</v>
      </c>
      <c r="L8" s="28"/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贷</v>
      </c>
      <c r="K9" s="9">
        <f t="shared" si="1"/>
        <v>0</v>
      </c>
      <c r="L9" s="28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贷</v>
      </c>
      <c r="K10" s="9">
        <f t="shared" si="1"/>
        <v>0</v>
      </c>
      <c r="L10" s="28"/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贷</v>
      </c>
      <c r="K11" s="9">
        <f t="shared" si="1"/>
        <v>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贷</v>
      </c>
      <c r="K12" s="9">
        <f t="shared" si="1"/>
        <v>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贷</v>
      </c>
      <c r="K13" s="9">
        <f t="shared" si="1"/>
        <v>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贷</v>
      </c>
      <c r="K14" s="9">
        <f t="shared" si="1"/>
        <v>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贷</v>
      </c>
      <c r="K15" s="9">
        <f t="shared" si="1"/>
        <v>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贷</v>
      </c>
      <c r="K16" s="9">
        <f t="shared" si="1"/>
        <v>0</v>
      </c>
      <c r="L16" s="28"/>
    </row>
    <row r="17" spans="1:12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贷</v>
      </c>
      <c r="K17" s="9">
        <f t="shared" si="1"/>
        <v>0</v>
      </c>
      <c r="L17" s="28"/>
    </row>
    <row r="18" spans="1:12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贷</v>
      </c>
      <c r="K18" s="9">
        <f t="shared" si="1"/>
        <v>0</v>
      </c>
      <c r="L18" s="28"/>
    </row>
    <row r="19" spans="1:12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贷</v>
      </c>
      <c r="K19" s="9">
        <f t="shared" si="1"/>
        <v>0</v>
      </c>
      <c r="L19" s="28"/>
    </row>
    <row r="20" spans="1:12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贷</v>
      </c>
      <c r="K20" s="9">
        <f t="shared" si="1"/>
        <v>0</v>
      </c>
      <c r="L20" s="28"/>
    </row>
    <row r="21" spans="1:12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贷</v>
      </c>
      <c r="K21" s="9">
        <f t="shared" si="1"/>
        <v>0</v>
      </c>
      <c r="L21" s="28"/>
    </row>
    <row r="22" spans="1:12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14"/>
      <c r="J22" s="8" t="str">
        <f t="shared" si="0"/>
        <v>贷</v>
      </c>
      <c r="K22" s="9">
        <f t="shared" si="1"/>
        <v>0</v>
      </c>
      <c r="L22" s="28"/>
    </row>
    <row r="23" spans="1:12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14"/>
      <c r="J23" s="8" t="str">
        <f t="shared" si="0"/>
        <v>贷</v>
      </c>
      <c r="K23" s="9">
        <f t="shared" si="1"/>
        <v>0</v>
      </c>
      <c r="L23" s="28"/>
    </row>
    <row r="24" spans="1:12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14"/>
      <c r="J24" s="8" t="str">
        <f t="shared" si="0"/>
        <v>贷</v>
      </c>
      <c r="K24" s="9">
        <f t="shared" si="1"/>
        <v>0</v>
      </c>
      <c r="L24" s="28"/>
    </row>
    <row r="25" spans="1:12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14"/>
      <c r="J25" s="8" t="str">
        <f t="shared" si="0"/>
        <v>贷</v>
      </c>
      <c r="K25" s="9">
        <f t="shared" si="1"/>
        <v>0</v>
      </c>
      <c r="L25" s="28"/>
    </row>
    <row r="26" spans="1:12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贷</v>
      </c>
      <c r="K26" s="9">
        <f t="shared" si="1"/>
        <v>0</v>
      </c>
      <c r="L26" s="28"/>
    </row>
    <row r="27" spans="1:12" ht="20.100000000000001" customHeight="1" x14ac:dyDescent="0.15">
      <c r="A27" s="5"/>
      <c r="B27" s="5"/>
      <c r="C27" s="5"/>
      <c r="D27" s="10"/>
      <c r="E27" s="11"/>
      <c r="F27" s="10"/>
      <c r="G27" s="10"/>
      <c r="H27" s="8"/>
      <c r="I27" s="8"/>
      <c r="J27" s="8" t="str">
        <f t="shared" si="0"/>
        <v>贷</v>
      </c>
      <c r="K27" s="9">
        <f t="shared" si="1"/>
        <v>0</v>
      </c>
      <c r="L27" s="28"/>
    </row>
    <row r="28" spans="1:12" ht="20.100000000000001" customHeight="1" x14ac:dyDescent="0.15">
      <c r="A28" s="5"/>
      <c r="B28" s="5"/>
      <c r="C28" s="5"/>
      <c r="D28" s="10"/>
      <c r="E28" s="11"/>
      <c r="F28" s="10"/>
      <c r="G28" s="10"/>
      <c r="H28" s="8"/>
      <c r="I28" s="8"/>
      <c r="J28" s="8" t="str">
        <f t="shared" si="0"/>
        <v>贷</v>
      </c>
      <c r="K28" s="9">
        <f t="shared" si="1"/>
        <v>0</v>
      </c>
      <c r="L28" s="28"/>
    </row>
    <row r="29" spans="1:12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贷</v>
      </c>
      <c r="K29" s="9">
        <f t="shared" si="1"/>
        <v>0</v>
      </c>
      <c r="L29" s="28"/>
    </row>
    <row r="30" spans="1:12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0"/>
        <v>贷</v>
      </c>
      <c r="K30" s="9">
        <f t="shared" si="1"/>
        <v>0</v>
      </c>
      <c r="L30" s="28"/>
    </row>
    <row r="31" spans="1:12" ht="20.100000000000001" customHeight="1" x14ac:dyDescent="0.15">
      <c r="A31" s="5"/>
      <c r="B31" s="5"/>
      <c r="C31" s="5"/>
      <c r="D31" s="10"/>
      <c r="E31" s="10"/>
      <c r="F31" s="10"/>
      <c r="G31" s="10"/>
      <c r="H31" s="8"/>
      <c r="I31" s="8"/>
      <c r="J31" s="8" t="str">
        <f t="shared" si="0"/>
        <v>贷</v>
      </c>
      <c r="K31" s="9">
        <f t="shared" si="1"/>
        <v>0</v>
      </c>
      <c r="L31" s="28"/>
    </row>
    <row r="32" spans="1:12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贷</v>
      </c>
      <c r="K32" s="9">
        <f t="shared" si="1"/>
        <v>0</v>
      </c>
      <c r="L32" s="28"/>
    </row>
    <row r="33" spans="1:12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贷</v>
      </c>
      <c r="K33" s="9">
        <f t="shared" si="1"/>
        <v>0</v>
      </c>
      <c r="L33" s="28"/>
    </row>
    <row r="34" spans="1:12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贷</v>
      </c>
      <c r="K34" s="9">
        <f t="shared" si="1"/>
        <v>0</v>
      </c>
      <c r="L34" s="28"/>
    </row>
    <row r="35" spans="1:12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贷</v>
      </c>
      <c r="K35" s="9">
        <f t="shared" si="1"/>
        <v>0</v>
      </c>
      <c r="L35" s="28"/>
    </row>
    <row r="36" spans="1:12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贷</v>
      </c>
      <c r="K36" s="9">
        <f t="shared" si="1"/>
        <v>0</v>
      </c>
      <c r="L36" s="28"/>
    </row>
    <row r="37" spans="1:12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贷</v>
      </c>
      <c r="K37" s="9">
        <f t="shared" si="1"/>
        <v>0</v>
      </c>
      <c r="L37" s="28"/>
    </row>
    <row r="38" spans="1:12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贷</v>
      </c>
      <c r="K38" s="9">
        <f t="shared" si="1"/>
        <v>0</v>
      </c>
      <c r="L38" s="28"/>
    </row>
    <row r="39" spans="1:12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贷</v>
      </c>
      <c r="K39" s="9">
        <f t="shared" si="1"/>
        <v>0</v>
      </c>
      <c r="L39" s="28"/>
    </row>
    <row r="40" spans="1:12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贷</v>
      </c>
      <c r="K40" s="9">
        <f t="shared" si="1"/>
        <v>0</v>
      </c>
      <c r="L40" s="28"/>
    </row>
    <row r="41" spans="1:12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贷</v>
      </c>
      <c r="K41" s="9">
        <f t="shared" si="1"/>
        <v>0</v>
      </c>
      <c r="L41" s="28"/>
    </row>
    <row r="42" spans="1:12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贷</v>
      </c>
      <c r="K42" s="9">
        <f t="shared" si="1"/>
        <v>0</v>
      </c>
      <c r="L42" s="28"/>
    </row>
    <row r="43" spans="1:12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贷</v>
      </c>
      <c r="K43" s="9">
        <f t="shared" si="1"/>
        <v>0</v>
      </c>
      <c r="L43" s="28"/>
    </row>
    <row r="44" spans="1:12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贷</v>
      </c>
      <c r="K44" s="9">
        <f t="shared" si="1"/>
        <v>0</v>
      </c>
      <c r="L44" s="28"/>
    </row>
    <row r="45" spans="1:12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贷</v>
      </c>
      <c r="K45" s="9">
        <f t="shared" si="1"/>
        <v>0</v>
      </c>
      <c r="L45" s="28"/>
    </row>
    <row r="46" spans="1:12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贷</v>
      </c>
      <c r="K46" s="9">
        <f t="shared" si="1"/>
        <v>0</v>
      </c>
      <c r="L46" s="28"/>
    </row>
    <row r="47" spans="1:12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贷</v>
      </c>
      <c r="K47" s="9">
        <f t="shared" si="1"/>
        <v>0</v>
      </c>
      <c r="L47" s="28"/>
    </row>
    <row r="48" spans="1:12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贷</v>
      </c>
      <c r="K48" s="9">
        <f t="shared" si="1"/>
        <v>0</v>
      </c>
      <c r="L48" s="28"/>
    </row>
    <row r="49" spans="1:12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贷</v>
      </c>
      <c r="K49" s="9">
        <f t="shared" si="1"/>
        <v>0</v>
      </c>
      <c r="L49" s="28"/>
    </row>
    <row r="50" spans="1:12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贷</v>
      </c>
      <c r="K50" s="9">
        <f t="shared" si="1"/>
        <v>0</v>
      </c>
      <c r="L50" s="28"/>
    </row>
    <row r="51" spans="1:12" ht="20.100000000000001" customHeight="1" x14ac:dyDescent="0.15">
      <c r="A51" s="5"/>
      <c r="B51" s="5"/>
      <c r="C51" s="10"/>
      <c r="D51" s="48"/>
      <c r="E51" s="10"/>
      <c r="F51" s="10"/>
      <c r="G51" s="10"/>
      <c r="H51" s="8"/>
      <c r="I51" s="8"/>
      <c r="J51" s="8" t="str">
        <f t="shared" si="0"/>
        <v>贷</v>
      </c>
      <c r="K51" s="9">
        <f t="shared" si="1"/>
        <v>0</v>
      </c>
      <c r="L51" s="28"/>
    </row>
    <row r="52" spans="1:12" ht="20.100000000000001" customHeight="1" x14ac:dyDescent="0.15">
      <c r="A52" s="5"/>
      <c r="B52" s="5"/>
      <c r="C52" s="10"/>
      <c r="D52" s="48"/>
      <c r="E52" s="10"/>
      <c r="F52" s="10"/>
      <c r="G52" s="10"/>
      <c r="H52" s="8"/>
      <c r="I52" s="8"/>
      <c r="J52" s="8" t="str">
        <f t="shared" si="0"/>
        <v>贷</v>
      </c>
      <c r="K52" s="9">
        <f t="shared" si="1"/>
        <v>0</v>
      </c>
      <c r="L52" s="28"/>
    </row>
    <row r="53" spans="1:12" ht="20.100000000000001" customHeight="1" x14ac:dyDescent="0.15">
      <c r="A53" s="5"/>
      <c r="B53" s="5"/>
      <c r="C53" s="10"/>
      <c r="D53" s="49"/>
      <c r="E53" s="10"/>
      <c r="F53" s="10"/>
      <c r="G53" s="10"/>
      <c r="H53" s="8"/>
      <c r="I53" s="8"/>
      <c r="J53" s="8" t="str">
        <f t="shared" si="0"/>
        <v>贷</v>
      </c>
      <c r="K53" s="9">
        <f t="shared" si="1"/>
        <v>0</v>
      </c>
      <c r="L53" s="28"/>
    </row>
    <row r="54" spans="1:12" ht="20.100000000000001" customHeight="1" x14ac:dyDescent="0.15">
      <c r="A54" s="5"/>
      <c r="B54" s="5"/>
      <c r="C54" s="10"/>
      <c r="D54" s="49"/>
      <c r="E54" s="10"/>
      <c r="F54" s="10"/>
      <c r="G54" s="10"/>
      <c r="H54" s="8"/>
      <c r="I54" s="8"/>
      <c r="J54" s="8" t="str">
        <f t="shared" si="0"/>
        <v>贷</v>
      </c>
      <c r="K54" s="9">
        <f t="shared" si="1"/>
        <v>0</v>
      </c>
      <c r="L54" s="28"/>
    </row>
    <row r="55" spans="1:12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贷</v>
      </c>
      <c r="K55" s="9">
        <f t="shared" si="1"/>
        <v>0</v>
      </c>
      <c r="L55" s="28"/>
    </row>
    <row r="56" spans="1:12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贷</v>
      </c>
      <c r="K56" s="9">
        <f t="shared" si="1"/>
        <v>0</v>
      </c>
      <c r="L56" s="28"/>
    </row>
    <row r="57" spans="1:12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贷</v>
      </c>
      <c r="K57" s="9">
        <f t="shared" si="1"/>
        <v>0</v>
      </c>
      <c r="L57" s="28"/>
    </row>
    <row r="58" spans="1:12" ht="20.100000000000001" customHeight="1" x14ac:dyDescent="0.15">
      <c r="A58" s="10"/>
      <c r="B58" s="5"/>
      <c r="C58" s="10"/>
      <c r="D58" s="48"/>
      <c r="E58" s="10"/>
      <c r="F58" s="10"/>
      <c r="G58" s="10"/>
      <c r="H58" s="8"/>
      <c r="I58" s="8"/>
      <c r="J58" s="8" t="str">
        <f t="shared" si="0"/>
        <v>贷</v>
      </c>
      <c r="K58" s="9">
        <f t="shared" si="1"/>
        <v>0</v>
      </c>
      <c r="L58" s="28"/>
    </row>
    <row r="59" spans="1:12" ht="20.100000000000001" customHeight="1" x14ac:dyDescent="0.15">
      <c r="A59" s="10"/>
      <c r="B59" s="5"/>
      <c r="C59" s="10"/>
      <c r="D59" s="35"/>
      <c r="E59" s="10"/>
      <c r="F59" s="10"/>
      <c r="G59" s="10"/>
      <c r="H59" s="8"/>
      <c r="I59" s="8"/>
      <c r="J59" s="8" t="str">
        <f t="shared" si="0"/>
        <v>贷</v>
      </c>
      <c r="K59" s="9">
        <f t="shared" si="1"/>
        <v>0</v>
      </c>
      <c r="L59" s="28"/>
    </row>
    <row r="60" spans="1:12" ht="20.100000000000001" customHeight="1" x14ac:dyDescent="0.15">
      <c r="A60" s="10"/>
      <c r="B60" s="5"/>
      <c r="C60" s="10"/>
      <c r="D60" s="35"/>
      <c r="E60" s="10"/>
      <c r="F60" s="10"/>
      <c r="G60" s="10"/>
      <c r="H60" s="8"/>
      <c r="I60" s="8"/>
      <c r="J60" s="8" t="str">
        <f t="shared" si="0"/>
        <v>贷</v>
      </c>
      <c r="K60" s="9">
        <f t="shared" si="1"/>
        <v>0</v>
      </c>
      <c r="L60" s="28"/>
    </row>
    <row r="61" spans="1:12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贷</v>
      </c>
      <c r="K61" s="9">
        <f t="shared" si="1"/>
        <v>0</v>
      </c>
      <c r="L61" s="28"/>
    </row>
    <row r="62" spans="1:12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贷</v>
      </c>
      <c r="K62" s="9">
        <f t="shared" si="1"/>
        <v>0</v>
      </c>
      <c r="L62" s="28"/>
    </row>
    <row r="63" spans="1:12" ht="20.100000000000001" customHeight="1" x14ac:dyDescent="0.15">
      <c r="A63" s="10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贷</v>
      </c>
      <c r="K63" s="9">
        <f t="shared" si="1"/>
        <v>0</v>
      </c>
      <c r="L63" s="28"/>
    </row>
    <row r="64" spans="1:12" ht="20.100000000000001" customHeight="1" x14ac:dyDescent="0.15">
      <c r="A64" s="5"/>
      <c r="B64" s="5"/>
      <c r="C64" s="10"/>
      <c r="D64" s="11"/>
      <c r="E64" s="10"/>
      <c r="F64" s="10"/>
      <c r="G64" s="10"/>
      <c r="H64" s="8"/>
      <c r="I64" s="8"/>
      <c r="J64" s="8" t="str">
        <f t="shared" si="0"/>
        <v>贷</v>
      </c>
      <c r="K64" s="9">
        <f t="shared" si="1"/>
        <v>0</v>
      </c>
      <c r="L64" s="28"/>
    </row>
    <row r="65" spans="1:12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贷</v>
      </c>
      <c r="K65" s="9">
        <f t="shared" si="1"/>
        <v>0</v>
      </c>
      <c r="L65" s="28"/>
    </row>
    <row r="66" spans="1:12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贷</v>
      </c>
      <c r="K66" s="9">
        <f t="shared" si="1"/>
        <v>0</v>
      </c>
      <c r="L66" s="28"/>
    </row>
    <row r="67" spans="1:12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贷</v>
      </c>
      <c r="K67" s="9">
        <f t="shared" si="1"/>
        <v>0</v>
      </c>
      <c r="L67" s="28"/>
    </row>
    <row r="68" spans="1:12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贷</v>
      </c>
      <c r="K68" s="9">
        <f t="shared" si="1"/>
        <v>0</v>
      </c>
      <c r="L68" s="28"/>
    </row>
    <row r="69" spans="1:12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贷</v>
      </c>
      <c r="K69" s="9">
        <f t="shared" si="1"/>
        <v>0</v>
      </c>
      <c r="L69" s="28"/>
    </row>
    <row r="70" spans="1:12" ht="20.100000000000001" customHeight="1" x14ac:dyDescent="0.15">
      <c r="A70" s="10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贷</v>
      </c>
      <c r="K70" s="9">
        <f t="shared" ref="K70:K133" si="3">K69+H70-I70</f>
        <v>0</v>
      </c>
      <c r="L70" s="28"/>
    </row>
    <row r="71" spans="1:12" ht="20.100000000000001" customHeight="1" x14ac:dyDescent="0.15">
      <c r="A71" s="10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贷</v>
      </c>
      <c r="K71" s="9">
        <f t="shared" si="3"/>
        <v>0</v>
      </c>
      <c r="L71" s="28"/>
    </row>
    <row r="72" spans="1:12" ht="20.100000000000001" customHeight="1" x14ac:dyDescent="0.15">
      <c r="A72" s="5"/>
      <c r="B72" s="5"/>
      <c r="C72" s="10"/>
      <c r="D72" s="13"/>
      <c r="E72" s="10"/>
      <c r="F72" s="10"/>
      <c r="G72" s="10"/>
      <c r="H72" s="8"/>
      <c r="I72" s="15"/>
      <c r="J72" s="8" t="str">
        <f t="shared" si="2"/>
        <v>贷</v>
      </c>
      <c r="K72" s="9">
        <f t="shared" si="3"/>
        <v>0</v>
      </c>
      <c r="L72" s="28"/>
    </row>
    <row r="73" spans="1:12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贷</v>
      </c>
      <c r="K73" s="9">
        <f t="shared" si="3"/>
        <v>0</v>
      </c>
      <c r="L73" s="28"/>
    </row>
    <row r="74" spans="1:12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贷</v>
      </c>
      <c r="K74" s="9">
        <f t="shared" si="3"/>
        <v>0</v>
      </c>
      <c r="L74" s="28"/>
    </row>
    <row r="75" spans="1:12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贷</v>
      </c>
      <c r="K75" s="9">
        <f t="shared" si="3"/>
        <v>0</v>
      </c>
      <c r="L75" s="28"/>
    </row>
    <row r="76" spans="1:12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贷</v>
      </c>
      <c r="K76" s="9">
        <f t="shared" si="3"/>
        <v>0</v>
      </c>
      <c r="L76" s="28"/>
    </row>
    <row r="77" spans="1:12" ht="20.100000000000001" customHeight="1" x14ac:dyDescent="0.15">
      <c r="A77" s="5"/>
      <c r="B77" s="5"/>
      <c r="C77" s="10"/>
      <c r="D77" s="13"/>
      <c r="E77" s="10"/>
      <c r="F77" s="10"/>
      <c r="G77" s="10"/>
      <c r="H77" s="8"/>
      <c r="I77" s="8"/>
      <c r="J77" s="8" t="str">
        <f t="shared" si="2"/>
        <v>贷</v>
      </c>
      <c r="K77" s="9">
        <f t="shared" si="3"/>
        <v>0</v>
      </c>
      <c r="L77" s="28"/>
    </row>
    <row r="78" spans="1:12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2"/>
        <v>贷</v>
      </c>
      <c r="K78" s="9">
        <f t="shared" si="3"/>
        <v>0</v>
      </c>
      <c r="L78" s="28"/>
    </row>
    <row r="79" spans="1:12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贷</v>
      </c>
      <c r="K79" s="9">
        <f t="shared" si="3"/>
        <v>0</v>
      </c>
      <c r="L79" s="28"/>
    </row>
    <row r="80" spans="1:12" ht="20.100000000000001" customHeight="1" x14ac:dyDescent="0.15">
      <c r="A80" s="10"/>
      <c r="B80" s="5"/>
      <c r="C80" s="10"/>
      <c r="D80" s="35"/>
      <c r="E80" s="10"/>
      <c r="F80" s="10"/>
      <c r="G80" s="10"/>
      <c r="H80" s="8"/>
      <c r="I80" s="8"/>
      <c r="J80" s="8" t="str">
        <f t="shared" si="2"/>
        <v>贷</v>
      </c>
      <c r="K80" s="9">
        <f t="shared" si="3"/>
        <v>0</v>
      </c>
      <c r="L80" s="28"/>
    </row>
    <row r="81" spans="1:12" ht="20.100000000000001" customHeight="1" x14ac:dyDescent="0.15">
      <c r="A81" s="10"/>
      <c r="B81" s="5"/>
      <c r="C81" s="5"/>
      <c r="D81" s="35"/>
      <c r="E81" s="10"/>
      <c r="F81" s="10"/>
      <c r="G81" s="10"/>
      <c r="H81" s="8"/>
      <c r="I81" s="8"/>
      <c r="J81" s="8" t="str">
        <f t="shared" si="2"/>
        <v>贷</v>
      </c>
      <c r="K81" s="9">
        <f t="shared" si="3"/>
        <v>0</v>
      </c>
      <c r="L81" s="28"/>
    </row>
    <row r="82" spans="1:12" ht="20.100000000000001" customHeight="1" x14ac:dyDescent="0.15">
      <c r="A82" s="5"/>
      <c r="B82" s="5"/>
      <c r="C82" s="5"/>
      <c r="D82" s="50"/>
      <c r="E82" s="10"/>
      <c r="F82" s="10"/>
      <c r="G82" s="10"/>
      <c r="H82" s="8"/>
      <c r="I82" s="15"/>
      <c r="J82" s="8" t="str">
        <f t="shared" si="2"/>
        <v>贷</v>
      </c>
      <c r="K82" s="9">
        <f t="shared" si="3"/>
        <v>0</v>
      </c>
      <c r="L82" s="28"/>
    </row>
    <row r="83" spans="1:12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贷</v>
      </c>
      <c r="K83" s="9">
        <f t="shared" si="3"/>
        <v>0</v>
      </c>
      <c r="L83" s="28"/>
    </row>
    <row r="84" spans="1:12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15"/>
      <c r="J84" s="8" t="str">
        <f t="shared" si="2"/>
        <v>贷</v>
      </c>
      <c r="K84" s="9">
        <f t="shared" si="3"/>
        <v>0</v>
      </c>
      <c r="L84" s="28"/>
    </row>
    <row r="85" spans="1:12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15"/>
      <c r="J85" s="8" t="str">
        <f t="shared" si="2"/>
        <v>贷</v>
      </c>
      <c r="K85" s="9">
        <f t="shared" si="3"/>
        <v>0</v>
      </c>
      <c r="L85" s="28"/>
    </row>
    <row r="86" spans="1:12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15"/>
      <c r="J86" s="8" t="str">
        <f t="shared" si="2"/>
        <v>贷</v>
      </c>
      <c r="K86" s="9">
        <f t="shared" si="3"/>
        <v>0</v>
      </c>
      <c r="L86" s="28"/>
    </row>
    <row r="87" spans="1:12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15"/>
      <c r="J87" s="8" t="str">
        <f t="shared" si="2"/>
        <v>贷</v>
      </c>
      <c r="K87" s="9">
        <f t="shared" si="3"/>
        <v>0</v>
      </c>
      <c r="L87" s="28"/>
    </row>
    <row r="88" spans="1:12" ht="20.100000000000001" customHeight="1" x14ac:dyDescent="0.15">
      <c r="A88" s="5"/>
      <c r="B88" s="5"/>
      <c r="C88" s="5"/>
      <c r="D88" s="12"/>
      <c r="E88" s="10"/>
      <c r="F88" s="10"/>
      <c r="G88" s="10"/>
      <c r="H88" s="8"/>
      <c r="I88" s="15"/>
      <c r="J88" s="8" t="str">
        <f t="shared" si="2"/>
        <v>贷</v>
      </c>
      <c r="K88" s="9">
        <f t="shared" si="3"/>
        <v>0</v>
      </c>
      <c r="L88" s="28"/>
    </row>
    <row r="89" spans="1:12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15"/>
      <c r="J89" s="8" t="str">
        <f t="shared" si="2"/>
        <v>贷</v>
      </c>
      <c r="K89" s="9">
        <f t="shared" si="3"/>
        <v>0</v>
      </c>
      <c r="L89" s="28"/>
    </row>
    <row r="90" spans="1:12" ht="20.100000000000001" customHeight="1" x14ac:dyDescent="0.15">
      <c r="A90" s="10"/>
      <c r="B90" s="5"/>
      <c r="C90" s="5"/>
      <c r="D90" s="10"/>
      <c r="E90" s="10"/>
      <c r="F90" s="10"/>
      <c r="G90" s="10"/>
      <c r="H90" s="8"/>
      <c r="I90" s="15"/>
      <c r="J90" s="8" t="str">
        <f t="shared" si="2"/>
        <v>贷</v>
      </c>
      <c r="K90" s="9">
        <f t="shared" si="3"/>
        <v>0</v>
      </c>
      <c r="L90" s="28"/>
    </row>
    <row r="91" spans="1:12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15"/>
      <c r="J91" s="8" t="str">
        <f t="shared" si="2"/>
        <v>贷</v>
      </c>
      <c r="K91" s="9">
        <f t="shared" si="3"/>
        <v>0</v>
      </c>
      <c r="L91" s="28"/>
    </row>
    <row r="92" spans="1:12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15"/>
      <c r="J92" s="8" t="str">
        <f t="shared" si="2"/>
        <v>贷</v>
      </c>
      <c r="K92" s="9">
        <f t="shared" si="3"/>
        <v>0</v>
      </c>
      <c r="L92" s="28"/>
    </row>
    <row r="93" spans="1:12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15"/>
      <c r="J93" s="8" t="str">
        <f t="shared" si="2"/>
        <v>贷</v>
      </c>
      <c r="K93" s="9">
        <f t="shared" si="3"/>
        <v>0</v>
      </c>
      <c r="L93" s="28"/>
    </row>
    <row r="94" spans="1:12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2"/>
        <v>贷</v>
      </c>
      <c r="K94" s="9">
        <f t="shared" si="3"/>
        <v>0</v>
      </c>
      <c r="L94" s="28"/>
    </row>
    <row r="95" spans="1:12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15"/>
      <c r="J95" s="8" t="str">
        <f t="shared" si="2"/>
        <v>贷</v>
      </c>
      <c r="K95" s="9">
        <f t="shared" si="3"/>
        <v>0</v>
      </c>
      <c r="L95" s="28"/>
    </row>
    <row r="96" spans="1:12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15"/>
      <c r="J96" s="8" t="str">
        <f t="shared" si="2"/>
        <v>贷</v>
      </c>
      <c r="K96" s="9">
        <f t="shared" si="3"/>
        <v>0</v>
      </c>
      <c r="L96" s="28"/>
    </row>
    <row r="97" spans="1:12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15"/>
      <c r="J97" s="8" t="str">
        <f t="shared" si="2"/>
        <v>贷</v>
      </c>
      <c r="K97" s="9">
        <f t="shared" si="3"/>
        <v>0</v>
      </c>
      <c r="L97" s="28"/>
    </row>
    <row r="98" spans="1:12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15"/>
      <c r="J98" s="8" t="str">
        <f t="shared" si="2"/>
        <v>贷</v>
      </c>
      <c r="K98" s="9">
        <f t="shared" si="3"/>
        <v>0</v>
      </c>
      <c r="L98" s="28"/>
    </row>
    <row r="99" spans="1:12" ht="20.100000000000001" customHeight="1" x14ac:dyDescent="0.15">
      <c r="A99" s="10"/>
      <c r="B99" s="5"/>
      <c r="C99" s="5"/>
      <c r="D99" s="10"/>
      <c r="E99" s="10"/>
      <c r="F99" s="10"/>
      <c r="G99" s="10"/>
      <c r="H99" s="8"/>
      <c r="I99" s="51"/>
      <c r="J99" s="8" t="str">
        <f t="shared" si="2"/>
        <v>贷</v>
      </c>
      <c r="K99" s="9">
        <f t="shared" si="3"/>
        <v>0</v>
      </c>
      <c r="L99" s="28"/>
    </row>
    <row r="100" spans="1:12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15"/>
      <c r="J100" s="8" t="str">
        <f t="shared" si="2"/>
        <v>贷</v>
      </c>
      <c r="K100" s="9">
        <f t="shared" si="3"/>
        <v>0</v>
      </c>
      <c r="L100" s="28"/>
    </row>
    <row r="101" spans="1:12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贷</v>
      </c>
      <c r="K101" s="9">
        <f t="shared" si="3"/>
        <v>0</v>
      </c>
      <c r="L101" s="28"/>
    </row>
    <row r="102" spans="1:12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贷</v>
      </c>
      <c r="K102" s="9">
        <f t="shared" si="3"/>
        <v>0</v>
      </c>
      <c r="L102" s="28"/>
    </row>
    <row r="103" spans="1:12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贷</v>
      </c>
      <c r="K103" s="9">
        <f t="shared" si="3"/>
        <v>0</v>
      </c>
      <c r="L103" s="28"/>
    </row>
    <row r="104" spans="1:12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贷</v>
      </c>
      <c r="K104" s="9">
        <f t="shared" si="3"/>
        <v>0</v>
      </c>
      <c r="L104" s="28"/>
    </row>
    <row r="105" spans="1:12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贷</v>
      </c>
      <c r="K105" s="9">
        <f t="shared" si="3"/>
        <v>0</v>
      </c>
      <c r="L105" s="28"/>
    </row>
    <row r="106" spans="1:12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贷</v>
      </c>
      <c r="K106" s="9">
        <f t="shared" si="3"/>
        <v>0</v>
      </c>
      <c r="L106" s="28"/>
    </row>
    <row r="107" spans="1:12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15"/>
      <c r="J107" s="8" t="str">
        <f t="shared" si="2"/>
        <v>贷</v>
      </c>
      <c r="K107" s="9">
        <f t="shared" si="3"/>
        <v>0</v>
      </c>
      <c r="L107" s="28"/>
    </row>
    <row r="108" spans="1:12" ht="20.100000000000001" customHeight="1" x14ac:dyDescent="0.15">
      <c r="A108" s="10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贷</v>
      </c>
      <c r="K108" s="9">
        <f t="shared" si="3"/>
        <v>0</v>
      </c>
      <c r="L108" s="28"/>
    </row>
    <row r="109" spans="1:12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贷</v>
      </c>
      <c r="K109" s="9">
        <f t="shared" si="3"/>
        <v>0</v>
      </c>
      <c r="L109" s="28"/>
    </row>
    <row r="110" spans="1:12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贷</v>
      </c>
      <c r="K110" s="9">
        <f t="shared" si="3"/>
        <v>0</v>
      </c>
      <c r="L110" s="28"/>
    </row>
    <row r="111" spans="1:12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贷</v>
      </c>
      <c r="K111" s="9">
        <f t="shared" si="3"/>
        <v>0</v>
      </c>
      <c r="L111" s="28"/>
    </row>
    <row r="112" spans="1:12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贷</v>
      </c>
      <c r="K112" s="9">
        <f t="shared" si="3"/>
        <v>0</v>
      </c>
      <c r="L112" s="28"/>
    </row>
    <row r="113" spans="1:12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贷</v>
      </c>
      <c r="K113" s="9">
        <f t="shared" si="3"/>
        <v>0</v>
      </c>
      <c r="L113" s="28"/>
    </row>
    <row r="114" spans="1:12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贷</v>
      </c>
      <c r="K114" s="9">
        <f t="shared" si="3"/>
        <v>0</v>
      </c>
      <c r="L114" s="28"/>
    </row>
    <row r="115" spans="1:12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贷</v>
      </c>
      <c r="K115" s="9">
        <f t="shared" si="3"/>
        <v>0</v>
      </c>
      <c r="L115" s="28"/>
    </row>
    <row r="116" spans="1:12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贷</v>
      </c>
      <c r="K116" s="9">
        <f t="shared" si="3"/>
        <v>0</v>
      </c>
      <c r="L116" s="28"/>
    </row>
    <row r="117" spans="1:12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贷</v>
      </c>
      <c r="K117" s="9">
        <f t="shared" si="3"/>
        <v>0</v>
      </c>
      <c r="L117" s="28"/>
    </row>
    <row r="118" spans="1:12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贷</v>
      </c>
      <c r="K118" s="9">
        <f t="shared" si="3"/>
        <v>0</v>
      </c>
      <c r="L118" s="28"/>
    </row>
    <row r="119" spans="1:12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贷</v>
      </c>
      <c r="K119" s="9">
        <f t="shared" si="3"/>
        <v>0</v>
      </c>
      <c r="L119" s="28"/>
    </row>
    <row r="120" spans="1:12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贷</v>
      </c>
      <c r="K120" s="9">
        <f t="shared" si="3"/>
        <v>0</v>
      </c>
      <c r="L120" s="28"/>
    </row>
    <row r="121" spans="1:12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贷</v>
      </c>
      <c r="K121" s="9">
        <f t="shared" si="3"/>
        <v>0</v>
      </c>
      <c r="L121" s="28"/>
    </row>
    <row r="122" spans="1:12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贷</v>
      </c>
      <c r="K122" s="9">
        <f t="shared" si="3"/>
        <v>0</v>
      </c>
      <c r="L122" s="28"/>
    </row>
    <row r="123" spans="1:12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贷</v>
      </c>
      <c r="K123" s="9">
        <f t="shared" si="3"/>
        <v>0</v>
      </c>
      <c r="L123" s="28"/>
    </row>
    <row r="124" spans="1:12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2"/>
        <v>贷</v>
      </c>
      <c r="K124" s="9">
        <f t="shared" si="3"/>
        <v>0</v>
      </c>
      <c r="L124" s="28"/>
    </row>
    <row r="125" spans="1:12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2"/>
        <v>贷</v>
      </c>
      <c r="K125" s="9">
        <f t="shared" si="3"/>
        <v>0</v>
      </c>
      <c r="L125" s="28"/>
    </row>
    <row r="126" spans="1:12" ht="20.100000000000001" customHeight="1" x14ac:dyDescent="0.15">
      <c r="A126" s="10"/>
      <c r="B126" s="5"/>
      <c r="C126" s="5"/>
      <c r="D126" s="10"/>
      <c r="E126" s="10"/>
      <c r="F126" s="10"/>
      <c r="G126" s="10"/>
      <c r="H126" s="8"/>
      <c r="I126" s="8"/>
      <c r="J126" s="8" t="str">
        <f t="shared" si="2"/>
        <v>贷</v>
      </c>
      <c r="K126" s="9">
        <f t="shared" si="3"/>
        <v>0</v>
      </c>
      <c r="L126" s="28"/>
    </row>
    <row r="127" spans="1:12" ht="20.100000000000001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2"/>
        <v>贷</v>
      </c>
      <c r="K127" s="9">
        <f t="shared" si="3"/>
        <v>0</v>
      </c>
      <c r="L127" s="28"/>
    </row>
    <row r="128" spans="1:12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贷</v>
      </c>
      <c r="K128" s="9">
        <f t="shared" si="3"/>
        <v>0</v>
      </c>
      <c r="L128" s="28"/>
    </row>
    <row r="129" spans="1:12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贷</v>
      </c>
      <c r="K129" s="9">
        <f t="shared" si="3"/>
        <v>0</v>
      </c>
      <c r="L129" s="28"/>
    </row>
    <row r="130" spans="1:12" ht="20.100000000000001" customHeight="1" x14ac:dyDescent="0.15">
      <c r="A130" s="5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贷</v>
      </c>
      <c r="K130" s="9">
        <f t="shared" si="3"/>
        <v>0</v>
      </c>
      <c r="L130" s="28"/>
    </row>
    <row r="131" spans="1:12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贷</v>
      </c>
      <c r="K131" s="9">
        <f t="shared" si="3"/>
        <v>0</v>
      </c>
      <c r="L131" s="28"/>
    </row>
    <row r="132" spans="1:12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贷</v>
      </c>
      <c r="K132" s="9">
        <f t="shared" si="3"/>
        <v>0</v>
      </c>
      <c r="L132" s="28"/>
    </row>
    <row r="133" spans="1:12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贷</v>
      </c>
      <c r="K133" s="9">
        <f t="shared" si="3"/>
        <v>0</v>
      </c>
      <c r="L133" s="28"/>
    </row>
    <row r="134" spans="1:12" ht="20.100000000000001" customHeight="1" x14ac:dyDescent="0.15">
      <c r="A134" s="5"/>
      <c r="B134" s="5"/>
      <c r="C134" s="5"/>
      <c r="D134" s="16"/>
      <c r="E134" s="16"/>
      <c r="F134" s="10"/>
      <c r="G134" s="10"/>
      <c r="H134" s="8"/>
      <c r="I134" s="8"/>
      <c r="J134" s="8" t="str">
        <f t="shared" ref="J134:J197" si="4">IF((K133+H134-I134)&gt;0,"借","贷")</f>
        <v>贷</v>
      </c>
      <c r="K134" s="9">
        <f t="shared" ref="K134:K175" si="5">K133+H134-I134</f>
        <v>0</v>
      </c>
      <c r="L134" s="28"/>
    </row>
    <row r="135" spans="1:12" ht="20.100000000000001" customHeight="1" x14ac:dyDescent="0.15">
      <c r="A135" s="5"/>
      <c r="B135" s="5"/>
      <c r="C135" s="5"/>
      <c r="D135" s="16"/>
      <c r="E135" s="16"/>
      <c r="F135" s="10"/>
      <c r="G135" s="10"/>
      <c r="H135" s="8"/>
      <c r="I135" s="8"/>
      <c r="J135" s="8" t="str">
        <f t="shared" si="4"/>
        <v>贷</v>
      </c>
      <c r="K135" s="9">
        <f t="shared" si="5"/>
        <v>0</v>
      </c>
      <c r="L135" s="28"/>
    </row>
    <row r="136" spans="1:12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贷</v>
      </c>
      <c r="K136" s="9">
        <f t="shared" si="5"/>
        <v>0</v>
      </c>
      <c r="L136" s="28"/>
    </row>
    <row r="137" spans="1:12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贷</v>
      </c>
      <c r="K137" s="9">
        <f t="shared" si="5"/>
        <v>0</v>
      </c>
      <c r="L137" s="28"/>
    </row>
    <row r="138" spans="1:12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贷</v>
      </c>
      <c r="K138" s="9">
        <f t="shared" si="5"/>
        <v>0</v>
      </c>
      <c r="L138" s="28"/>
    </row>
    <row r="139" spans="1:12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贷</v>
      </c>
      <c r="K139" s="9">
        <f t="shared" si="5"/>
        <v>0</v>
      </c>
      <c r="L139" s="28"/>
    </row>
    <row r="140" spans="1:12" ht="20.100000000000001" customHeight="1" x14ac:dyDescent="0.15">
      <c r="A140" s="10"/>
      <c r="B140" s="5"/>
      <c r="C140" s="5"/>
      <c r="D140" s="32"/>
      <c r="E140" s="10"/>
      <c r="F140" s="10"/>
      <c r="G140" s="10"/>
      <c r="H140" s="8"/>
      <c r="I140" s="8"/>
      <c r="J140" s="8" t="str">
        <f t="shared" si="4"/>
        <v>贷</v>
      </c>
      <c r="K140" s="9">
        <f t="shared" si="5"/>
        <v>0</v>
      </c>
      <c r="L140" s="28"/>
    </row>
    <row r="141" spans="1:12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贷</v>
      </c>
      <c r="K141" s="9">
        <f t="shared" si="5"/>
        <v>0</v>
      </c>
      <c r="L141" s="28"/>
    </row>
    <row r="142" spans="1:12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贷</v>
      </c>
      <c r="K142" s="9">
        <f t="shared" si="5"/>
        <v>0</v>
      </c>
      <c r="L142" s="28"/>
    </row>
    <row r="143" spans="1:12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贷</v>
      </c>
      <c r="K143" s="9">
        <f t="shared" si="5"/>
        <v>0</v>
      </c>
      <c r="L143" s="28"/>
    </row>
    <row r="144" spans="1:12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贷</v>
      </c>
      <c r="K144" s="9">
        <f t="shared" si="5"/>
        <v>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贷</v>
      </c>
      <c r="K145" s="9">
        <f t="shared" si="5"/>
        <v>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贷</v>
      </c>
      <c r="K146" s="9">
        <f t="shared" si="5"/>
        <v>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贷</v>
      </c>
      <c r="K147" s="9">
        <f t="shared" si="5"/>
        <v>0</v>
      </c>
      <c r="L147" s="28"/>
    </row>
    <row r="148" spans="1:13" ht="20.100000000000001" customHeight="1" x14ac:dyDescent="0.15">
      <c r="A148" s="5"/>
      <c r="B148" s="5"/>
      <c r="C148" s="5"/>
      <c r="D148" s="13"/>
      <c r="E148" s="10"/>
      <c r="F148" s="10"/>
      <c r="G148" s="10"/>
      <c r="H148" s="8"/>
      <c r="I148" s="8"/>
      <c r="J148" s="8" t="str">
        <f t="shared" si="4"/>
        <v>贷</v>
      </c>
      <c r="K148" s="9">
        <f t="shared" si="5"/>
        <v>0</v>
      </c>
      <c r="L148" s="28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贷</v>
      </c>
      <c r="K149" s="9">
        <f t="shared" si="5"/>
        <v>0</v>
      </c>
      <c r="L149" s="28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贷</v>
      </c>
      <c r="K150" s="9">
        <f t="shared" si="5"/>
        <v>0</v>
      </c>
      <c r="L150" s="28"/>
    </row>
    <row r="151" spans="1:13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贷</v>
      </c>
      <c r="K151" s="9">
        <f t="shared" si="5"/>
        <v>0</v>
      </c>
      <c r="L151" s="28"/>
    </row>
    <row r="152" spans="1:13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贷</v>
      </c>
      <c r="K152" s="9">
        <f t="shared" si="5"/>
        <v>0</v>
      </c>
      <c r="L152" s="28"/>
      <c r="M152" s="65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贷</v>
      </c>
      <c r="K153" s="9">
        <f t="shared" si="5"/>
        <v>0</v>
      </c>
      <c r="L153" s="28"/>
      <c r="M153" s="65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贷</v>
      </c>
      <c r="K154" s="9">
        <f t="shared" si="5"/>
        <v>0</v>
      </c>
      <c r="L154" s="28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贷</v>
      </c>
      <c r="K155" s="9">
        <f t="shared" si="5"/>
        <v>0</v>
      </c>
      <c r="L155" s="28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贷</v>
      </c>
      <c r="K156" s="9">
        <f t="shared" si="5"/>
        <v>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贷</v>
      </c>
      <c r="K157" s="9">
        <f t="shared" si="5"/>
        <v>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贷</v>
      </c>
      <c r="K158" s="9">
        <f t="shared" si="5"/>
        <v>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贷</v>
      </c>
      <c r="K159" s="9">
        <f t="shared" si="5"/>
        <v>0</v>
      </c>
      <c r="L159" s="28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贷</v>
      </c>
      <c r="K160" s="9">
        <f t="shared" si="5"/>
        <v>0</v>
      </c>
      <c r="L160" s="28"/>
    </row>
    <row r="161" spans="1:12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贷</v>
      </c>
      <c r="K161" s="9">
        <f t="shared" si="5"/>
        <v>0</v>
      </c>
      <c r="L161" s="28"/>
    </row>
    <row r="162" spans="1:12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贷</v>
      </c>
      <c r="K162" s="9">
        <f t="shared" si="5"/>
        <v>0</v>
      </c>
      <c r="L162" s="28"/>
    </row>
    <row r="163" spans="1:12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贷</v>
      </c>
      <c r="K163" s="9">
        <f t="shared" si="5"/>
        <v>0</v>
      </c>
      <c r="L163" s="28"/>
    </row>
    <row r="164" spans="1:12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贷</v>
      </c>
      <c r="K164" s="9">
        <f t="shared" si="5"/>
        <v>0</v>
      </c>
      <c r="L164" s="28"/>
    </row>
    <row r="165" spans="1:12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4"/>
        <v>贷</v>
      </c>
      <c r="K165" s="9">
        <f t="shared" si="5"/>
        <v>0</v>
      </c>
      <c r="L165" s="28"/>
    </row>
    <row r="166" spans="1:12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贷</v>
      </c>
      <c r="K166" s="9">
        <f t="shared" si="5"/>
        <v>0</v>
      </c>
      <c r="L166" s="28"/>
    </row>
    <row r="167" spans="1:12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贷</v>
      </c>
      <c r="K167" s="9">
        <f t="shared" si="5"/>
        <v>0</v>
      </c>
      <c r="L167" s="28"/>
    </row>
    <row r="168" spans="1:12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贷</v>
      </c>
      <c r="K168" s="9">
        <f t="shared" si="5"/>
        <v>0</v>
      </c>
      <c r="L168" s="28"/>
    </row>
    <row r="169" spans="1:12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贷</v>
      </c>
      <c r="K169" s="9">
        <f t="shared" si="5"/>
        <v>0</v>
      </c>
      <c r="L169" s="28"/>
    </row>
    <row r="170" spans="1:12" ht="20.100000000000001" customHeight="1" x14ac:dyDescent="0.15">
      <c r="A170" s="10"/>
      <c r="B170" s="5"/>
      <c r="C170" s="10"/>
      <c r="D170" s="35"/>
      <c r="E170" s="10"/>
      <c r="F170" s="10"/>
      <c r="G170" s="10"/>
      <c r="H170" s="8"/>
      <c r="I170" s="8"/>
      <c r="J170" s="8" t="str">
        <f t="shared" si="4"/>
        <v>贷</v>
      </c>
      <c r="K170" s="9">
        <f t="shared" si="5"/>
        <v>0</v>
      </c>
      <c r="L170" s="28"/>
    </row>
    <row r="171" spans="1:12" ht="20.100000000000001" customHeight="1" x14ac:dyDescent="0.15">
      <c r="A171" s="10"/>
      <c r="B171" s="5"/>
      <c r="C171" s="10"/>
      <c r="D171" s="35"/>
      <c r="E171" s="10"/>
      <c r="F171" s="10"/>
      <c r="G171" s="10"/>
      <c r="H171" s="8"/>
      <c r="I171" s="8"/>
      <c r="J171" s="8" t="str">
        <f t="shared" si="4"/>
        <v>贷</v>
      </c>
      <c r="K171" s="9">
        <f t="shared" si="5"/>
        <v>0</v>
      </c>
      <c r="L171" s="28"/>
    </row>
    <row r="172" spans="1:12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贷</v>
      </c>
      <c r="K172" s="9">
        <f t="shared" si="5"/>
        <v>0</v>
      </c>
      <c r="L172" s="28"/>
    </row>
    <row r="173" spans="1:12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贷</v>
      </c>
      <c r="K173" s="9">
        <f t="shared" si="5"/>
        <v>0</v>
      </c>
      <c r="L173" s="28"/>
    </row>
    <row r="174" spans="1:12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贷</v>
      </c>
      <c r="K174" s="9">
        <f t="shared" si="5"/>
        <v>0</v>
      </c>
      <c r="L174" s="28"/>
    </row>
    <row r="175" spans="1:12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贷</v>
      </c>
      <c r="K175" s="9">
        <f t="shared" si="5"/>
        <v>0</v>
      </c>
      <c r="L175" s="28"/>
    </row>
    <row r="176" spans="1:12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贷</v>
      </c>
      <c r="K176" s="9">
        <f t="shared" ref="K176:K239" si="6">_xlfn.IFS(J175="借",K175+H176-I176,J175="贷",H176-I176-K175)</f>
        <v>0</v>
      </c>
      <c r="L176" s="28"/>
    </row>
    <row r="177" spans="1:13" ht="20.100000000000001" customHeight="1" x14ac:dyDescent="0.15">
      <c r="A177" s="10"/>
      <c r="B177" s="10"/>
      <c r="C177" s="10"/>
      <c r="D177" s="10"/>
      <c r="E177" s="10"/>
      <c r="F177" s="10"/>
      <c r="G177" s="10"/>
      <c r="H177" s="8"/>
      <c r="I177" s="8"/>
      <c r="J177" s="8" t="str">
        <f t="shared" si="4"/>
        <v>贷</v>
      </c>
      <c r="K177" s="9">
        <f t="shared" si="6"/>
        <v>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贷</v>
      </c>
      <c r="K178" s="9">
        <f t="shared" si="6"/>
        <v>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贷</v>
      </c>
      <c r="K179" s="9">
        <f t="shared" si="6"/>
        <v>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贷</v>
      </c>
      <c r="K180" s="9">
        <f t="shared" si="6"/>
        <v>0</v>
      </c>
      <c r="L180" s="28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贷</v>
      </c>
      <c r="K181" s="9">
        <f t="shared" si="6"/>
        <v>0</v>
      </c>
      <c r="L181" s="28"/>
      <c r="M181" s="65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贷</v>
      </c>
      <c r="K182" s="9">
        <f t="shared" si="6"/>
        <v>0</v>
      </c>
      <c r="L182" s="28"/>
      <c r="M182" s="65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贷</v>
      </c>
      <c r="K183" s="9">
        <f t="shared" si="6"/>
        <v>0</v>
      </c>
      <c r="L183" s="28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贷</v>
      </c>
      <c r="K184" s="9">
        <f t="shared" si="6"/>
        <v>0</v>
      </c>
      <c r="L184" s="28"/>
    </row>
    <row r="185" spans="1:13" ht="20.100000000000001" customHeight="1" x14ac:dyDescent="0.15">
      <c r="A185" s="10"/>
      <c r="B185" s="5"/>
      <c r="C185" s="5"/>
      <c r="D185" s="10"/>
      <c r="E185" s="10"/>
      <c r="F185" s="10"/>
      <c r="G185" s="10"/>
      <c r="H185" s="8"/>
      <c r="I185" s="8"/>
      <c r="J185" s="8" t="str">
        <f t="shared" si="4"/>
        <v>贷</v>
      </c>
      <c r="K185" s="9">
        <f t="shared" si="6"/>
        <v>0</v>
      </c>
      <c r="L185" s="28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贷</v>
      </c>
      <c r="K186" s="9">
        <f t="shared" si="6"/>
        <v>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贷</v>
      </c>
      <c r="K187" s="9">
        <f t="shared" si="6"/>
        <v>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贷</v>
      </c>
      <c r="K188" s="9">
        <f t="shared" si="6"/>
        <v>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贷</v>
      </c>
      <c r="K189" s="9">
        <f t="shared" si="6"/>
        <v>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贷</v>
      </c>
      <c r="K190" s="9">
        <f t="shared" si="6"/>
        <v>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贷</v>
      </c>
      <c r="K191" s="9">
        <f t="shared" si="6"/>
        <v>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贷</v>
      </c>
      <c r="K192" s="9">
        <f t="shared" si="6"/>
        <v>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贷</v>
      </c>
      <c r="K193" s="9">
        <f t="shared" si="6"/>
        <v>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贷</v>
      </c>
      <c r="K194" s="9">
        <f t="shared" si="6"/>
        <v>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贷</v>
      </c>
      <c r="K195" s="9">
        <f t="shared" si="6"/>
        <v>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贷</v>
      </c>
      <c r="K196" s="9">
        <f t="shared" si="6"/>
        <v>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贷</v>
      </c>
      <c r="K197" s="9">
        <f t="shared" si="6"/>
        <v>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贷</v>
      </c>
      <c r="K198" s="9">
        <f t="shared" si="6"/>
        <v>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贷</v>
      </c>
      <c r="K199" s="9">
        <f t="shared" si="6"/>
        <v>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贷</v>
      </c>
      <c r="K200" s="9">
        <f t="shared" si="6"/>
        <v>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贷</v>
      </c>
      <c r="K201" s="9">
        <f t="shared" si="6"/>
        <v>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贷</v>
      </c>
      <c r="K202" s="9">
        <f t="shared" si="6"/>
        <v>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贷</v>
      </c>
      <c r="K203" s="9">
        <f t="shared" si="6"/>
        <v>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贷</v>
      </c>
      <c r="K204" s="9">
        <f t="shared" si="6"/>
        <v>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贷</v>
      </c>
      <c r="K205" s="9">
        <f t="shared" si="6"/>
        <v>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贷</v>
      </c>
      <c r="K206" s="9">
        <f t="shared" si="6"/>
        <v>0</v>
      </c>
      <c r="L206" s="28"/>
    </row>
    <row r="207" spans="1:12" ht="20.100000000000001" customHeight="1" x14ac:dyDescent="0.15">
      <c r="A207" s="10"/>
      <c r="B207" s="5"/>
      <c r="C207" s="10"/>
      <c r="D207" s="35"/>
      <c r="E207" s="10"/>
      <c r="F207" s="10"/>
      <c r="G207" s="10"/>
      <c r="H207" s="8"/>
      <c r="I207" s="8"/>
      <c r="J207" s="8" t="str">
        <f t="shared" si="7"/>
        <v>贷</v>
      </c>
      <c r="K207" s="9">
        <f t="shared" si="6"/>
        <v>0</v>
      </c>
      <c r="L207" s="28"/>
    </row>
    <row r="208" spans="1:12" ht="20.100000000000001" customHeight="1" x14ac:dyDescent="0.15">
      <c r="A208" s="10"/>
      <c r="B208" s="5"/>
      <c r="C208" s="10"/>
      <c r="D208" s="35"/>
      <c r="E208" s="10"/>
      <c r="F208" s="10"/>
      <c r="G208" s="10"/>
      <c r="H208" s="8"/>
      <c r="I208" s="8"/>
      <c r="J208" s="8" t="str">
        <f t="shared" si="7"/>
        <v>贷</v>
      </c>
      <c r="K208" s="9">
        <f t="shared" si="6"/>
        <v>0</v>
      </c>
      <c r="L208" s="28"/>
    </row>
    <row r="209" spans="1:13" ht="20.100000000000001" customHeight="1" x14ac:dyDescent="0.15">
      <c r="A209" s="10"/>
      <c r="B209" s="5"/>
      <c r="C209" s="10"/>
      <c r="D209" s="35"/>
      <c r="E209" s="10"/>
      <c r="F209" s="10"/>
      <c r="G209" s="10"/>
      <c r="H209" s="8"/>
      <c r="I209" s="8"/>
      <c r="J209" s="8" t="str">
        <f t="shared" si="7"/>
        <v>贷</v>
      </c>
      <c r="K209" s="9">
        <f t="shared" si="6"/>
        <v>0</v>
      </c>
      <c r="L209" s="28"/>
    </row>
    <row r="210" spans="1:13" ht="20.100000000000001" customHeight="1" x14ac:dyDescent="0.15">
      <c r="A210" s="10"/>
      <c r="B210" s="5"/>
      <c r="C210" s="10"/>
      <c r="D210" s="35"/>
      <c r="E210" s="10"/>
      <c r="F210" s="10"/>
      <c r="G210" s="10"/>
      <c r="H210" s="8"/>
      <c r="I210" s="8"/>
      <c r="J210" s="8" t="str">
        <f t="shared" si="7"/>
        <v>贷</v>
      </c>
      <c r="K210" s="9">
        <f t="shared" si="6"/>
        <v>0</v>
      </c>
      <c r="L210" s="28"/>
    </row>
    <row r="211" spans="1:13" ht="20.100000000000001" customHeight="1" x14ac:dyDescent="0.15">
      <c r="A211" s="10"/>
      <c r="B211" s="5"/>
      <c r="C211" s="10"/>
      <c r="D211" s="35"/>
      <c r="E211" s="10"/>
      <c r="F211" s="10"/>
      <c r="G211" s="10"/>
      <c r="H211" s="8"/>
      <c r="I211" s="8"/>
      <c r="J211" s="8" t="str">
        <f t="shared" si="7"/>
        <v>贷</v>
      </c>
      <c r="K211" s="9">
        <f t="shared" si="6"/>
        <v>0</v>
      </c>
      <c r="L211" s="28"/>
    </row>
    <row r="212" spans="1:13" ht="20.100000000000001" customHeight="1" x14ac:dyDescent="0.15">
      <c r="A212" s="10"/>
      <c r="B212" s="5"/>
      <c r="C212" s="10"/>
      <c r="D212" s="35"/>
      <c r="E212" s="10"/>
      <c r="F212" s="10"/>
      <c r="G212" s="10"/>
      <c r="H212" s="8"/>
      <c r="I212" s="8"/>
      <c r="J212" s="8" t="str">
        <f t="shared" si="7"/>
        <v>贷</v>
      </c>
      <c r="K212" s="9">
        <f t="shared" si="6"/>
        <v>0</v>
      </c>
      <c r="L212" s="28"/>
    </row>
    <row r="213" spans="1:13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贷</v>
      </c>
      <c r="K213" s="9">
        <f t="shared" si="6"/>
        <v>0</v>
      </c>
      <c r="L213" s="28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贷</v>
      </c>
      <c r="K214" s="9">
        <f t="shared" si="6"/>
        <v>0</v>
      </c>
      <c r="L214" s="28"/>
    </row>
    <row r="215" spans="1:13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贷</v>
      </c>
      <c r="K215" s="9">
        <f t="shared" si="6"/>
        <v>0</v>
      </c>
      <c r="L215" s="28"/>
    </row>
    <row r="216" spans="1:13" ht="20.100000000000001" customHeight="1" x14ac:dyDescent="0.15">
      <c r="A216" s="10"/>
      <c r="B216" s="5"/>
      <c r="C216" s="10"/>
      <c r="D216" s="32"/>
      <c r="E216" s="10"/>
      <c r="F216" s="10"/>
      <c r="G216" s="10"/>
      <c r="H216" s="8"/>
      <c r="I216" s="8"/>
      <c r="J216" s="8" t="str">
        <f t="shared" si="7"/>
        <v>贷</v>
      </c>
      <c r="K216" s="9">
        <f t="shared" si="6"/>
        <v>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贷</v>
      </c>
      <c r="K217" s="9">
        <f t="shared" si="6"/>
        <v>0</v>
      </c>
      <c r="L217" s="28"/>
      <c r="M217" s="65"/>
    </row>
    <row r="218" spans="1:13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贷</v>
      </c>
      <c r="K218" s="9">
        <f t="shared" si="6"/>
        <v>0</v>
      </c>
      <c r="L218" s="28"/>
      <c r="M218" s="65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贷</v>
      </c>
      <c r="K219" s="9">
        <f t="shared" si="6"/>
        <v>0</v>
      </c>
      <c r="L219" s="28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贷</v>
      </c>
      <c r="K220" s="9">
        <f t="shared" si="6"/>
        <v>0</v>
      </c>
      <c r="L220" s="28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贷</v>
      </c>
      <c r="K221" s="9">
        <f t="shared" si="6"/>
        <v>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贷</v>
      </c>
      <c r="K222" s="9">
        <f t="shared" si="6"/>
        <v>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贷</v>
      </c>
      <c r="K223" s="9">
        <f t="shared" si="6"/>
        <v>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贷</v>
      </c>
      <c r="K224" s="9">
        <f t="shared" si="6"/>
        <v>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贷</v>
      </c>
      <c r="K225" s="9">
        <f t="shared" si="6"/>
        <v>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贷</v>
      </c>
      <c r="K226" s="9">
        <f t="shared" si="6"/>
        <v>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贷</v>
      </c>
      <c r="K227" s="9">
        <f t="shared" si="6"/>
        <v>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贷</v>
      </c>
      <c r="K228" s="9">
        <f t="shared" si="6"/>
        <v>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贷</v>
      </c>
      <c r="K229" s="9">
        <f t="shared" si="6"/>
        <v>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贷</v>
      </c>
      <c r="K230" s="9">
        <f t="shared" si="6"/>
        <v>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贷</v>
      </c>
      <c r="K231" s="9">
        <f t="shared" si="6"/>
        <v>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贷</v>
      </c>
      <c r="K232" s="9">
        <f t="shared" si="6"/>
        <v>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贷</v>
      </c>
      <c r="K233" s="21">
        <f t="shared" si="6"/>
        <v>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贷</v>
      </c>
      <c r="K234" s="9">
        <f t="shared" si="6"/>
        <v>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贷</v>
      </c>
      <c r="K235" s="9">
        <f t="shared" si="6"/>
        <v>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贷</v>
      </c>
      <c r="K236" s="9">
        <f t="shared" si="6"/>
        <v>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贷</v>
      </c>
      <c r="K237" s="21">
        <f t="shared" si="6"/>
        <v>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贷</v>
      </c>
      <c r="K238" s="9">
        <f t="shared" si="6"/>
        <v>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贷</v>
      </c>
      <c r="K239" s="9">
        <f t="shared" si="6"/>
        <v>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贷</v>
      </c>
      <c r="K240" s="9">
        <f t="shared" ref="K240:K303" si="8">_xlfn.IFS(J239="借",K239+H240-I240,J239="贷",H240-I240-K239)</f>
        <v>0</v>
      </c>
      <c r="L240" s="28"/>
    </row>
    <row r="241" spans="1:13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贷</v>
      </c>
      <c r="K241" s="9">
        <f t="shared" si="8"/>
        <v>0</v>
      </c>
      <c r="L241" s="28"/>
    </row>
    <row r="242" spans="1:13" ht="20.100000000000001" customHeight="1" x14ac:dyDescent="0.15">
      <c r="A242" s="10"/>
      <c r="B242" s="5"/>
      <c r="C242" s="10"/>
      <c r="D242" s="10"/>
      <c r="E242" s="10"/>
      <c r="F242" s="10"/>
      <c r="G242" s="10"/>
      <c r="H242" s="38"/>
      <c r="I242" s="8"/>
      <c r="J242" s="8" t="str">
        <f t="shared" si="7"/>
        <v>贷</v>
      </c>
      <c r="K242" s="9">
        <f t="shared" si="8"/>
        <v>0</v>
      </c>
      <c r="L242" s="28"/>
    </row>
    <row r="243" spans="1:13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贷</v>
      </c>
      <c r="K243" s="9">
        <f t="shared" si="8"/>
        <v>0</v>
      </c>
      <c r="L243" s="28"/>
    </row>
    <row r="244" spans="1:13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7"/>
        <v>贷</v>
      </c>
      <c r="K244" s="9">
        <f t="shared" si="8"/>
        <v>0</v>
      </c>
      <c r="L244" s="28"/>
    </row>
    <row r="245" spans="1:13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贷</v>
      </c>
      <c r="K245" s="9">
        <f t="shared" si="8"/>
        <v>0</v>
      </c>
      <c r="L245" s="28"/>
    </row>
    <row r="246" spans="1:13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贷</v>
      </c>
      <c r="K246" s="9">
        <f t="shared" si="8"/>
        <v>0</v>
      </c>
      <c r="L246" s="28"/>
    </row>
    <row r="247" spans="1:13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贷</v>
      </c>
      <c r="K247" s="9">
        <f t="shared" si="8"/>
        <v>0</v>
      </c>
      <c r="L247" s="28"/>
    </row>
    <row r="248" spans="1:13" ht="20.100000000000001" customHeight="1" x14ac:dyDescent="0.15">
      <c r="A248" s="10"/>
      <c r="B248" s="5"/>
      <c r="C248" s="10"/>
      <c r="D248" s="35"/>
      <c r="E248" s="10"/>
      <c r="F248" s="10"/>
      <c r="G248" s="10"/>
      <c r="H248" s="8"/>
      <c r="I248" s="8"/>
      <c r="J248" s="23" t="str">
        <f t="shared" si="7"/>
        <v>贷</v>
      </c>
      <c r="K248" s="9">
        <f t="shared" si="8"/>
        <v>0</v>
      </c>
      <c r="L248" s="28"/>
    </row>
    <row r="249" spans="1:13" ht="20.100000000000001" customHeight="1" x14ac:dyDescent="0.15">
      <c r="A249" s="10"/>
      <c r="B249" s="5"/>
      <c r="C249" s="10"/>
      <c r="D249" s="35"/>
      <c r="E249" s="10"/>
      <c r="F249" s="10"/>
      <c r="G249" s="10"/>
      <c r="H249" s="8"/>
      <c r="I249" s="8"/>
      <c r="J249" s="23" t="str">
        <f t="shared" si="7"/>
        <v>贷</v>
      </c>
      <c r="K249" s="9">
        <f t="shared" si="8"/>
        <v>0</v>
      </c>
      <c r="L249" s="28"/>
    </row>
    <row r="250" spans="1:13" ht="20.100000000000001" customHeight="1" x14ac:dyDescent="0.15">
      <c r="A250" s="10"/>
      <c r="B250" s="5"/>
      <c r="C250" s="10"/>
      <c r="D250" s="35"/>
      <c r="E250" s="10"/>
      <c r="F250" s="10"/>
      <c r="G250" s="10"/>
      <c r="H250" s="8"/>
      <c r="I250" s="8"/>
      <c r="J250" s="23" t="str">
        <f t="shared" si="7"/>
        <v>贷</v>
      </c>
      <c r="K250" s="9">
        <f t="shared" si="8"/>
        <v>0</v>
      </c>
      <c r="L250" s="28"/>
    </row>
    <row r="251" spans="1:13" ht="20.100000000000001" customHeight="1" x14ac:dyDescent="0.15">
      <c r="A251" s="10"/>
      <c r="B251" s="5"/>
      <c r="C251" s="10"/>
      <c r="D251" s="35"/>
      <c r="E251" s="10"/>
      <c r="F251" s="10"/>
      <c r="G251" s="10"/>
      <c r="H251" s="8"/>
      <c r="I251" s="8"/>
      <c r="J251" s="8" t="str">
        <f t="shared" si="7"/>
        <v>贷</v>
      </c>
      <c r="K251" s="9">
        <f t="shared" si="8"/>
        <v>0</v>
      </c>
      <c r="L251" s="28"/>
    </row>
    <row r="252" spans="1:13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贷</v>
      </c>
      <c r="K252" s="9">
        <f t="shared" si="8"/>
        <v>0</v>
      </c>
      <c r="L252" s="28"/>
    </row>
    <row r="253" spans="1:13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贷</v>
      </c>
      <c r="K253" s="9">
        <f t="shared" si="8"/>
        <v>0</v>
      </c>
      <c r="L253" s="28"/>
    </row>
    <row r="254" spans="1:13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贷</v>
      </c>
      <c r="K254" s="9">
        <f t="shared" si="8"/>
        <v>0</v>
      </c>
      <c r="L254" s="28"/>
      <c r="M254" s="65"/>
    </row>
    <row r="255" spans="1:13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贷</v>
      </c>
      <c r="K255" s="9">
        <f t="shared" si="8"/>
        <v>0</v>
      </c>
      <c r="L255" s="28"/>
      <c r="M255" s="65"/>
    </row>
    <row r="256" spans="1:13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贷</v>
      </c>
      <c r="K256" s="9">
        <f t="shared" si="8"/>
        <v>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贷</v>
      </c>
      <c r="K257" s="9">
        <f t="shared" si="8"/>
        <v>0</v>
      </c>
      <c r="L257" s="28"/>
    </row>
    <row r="258" spans="1:12" ht="20.100000000000001" customHeight="1" x14ac:dyDescent="0.15">
      <c r="A258" s="10"/>
      <c r="B258" s="5"/>
      <c r="C258" s="10"/>
      <c r="D258" s="13"/>
      <c r="E258" s="10"/>
      <c r="F258" s="10"/>
      <c r="G258" s="10"/>
      <c r="H258" s="8"/>
      <c r="I258" s="8"/>
      <c r="J258" s="8" t="str">
        <f t="shared" si="7"/>
        <v>贷</v>
      </c>
      <c r="K258" s="9">
        <f t="shared" si="8"/>
        <v>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贷</v>
      </c>
      <c r="K259" s="9">
        <f t="shared" si="8"/>
        <v>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贷</v>
      </c>
      <c r="K260" s="9">
        <f t="shared" si="8"/>
        <v>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贷</v>
      </c>
      <c r="K261" s="9">
        <f t="shared" si="8"/>
        <v>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贷</v>
      </c>
      <c r="K262" s="9">
        <f t="shared" si="8"/>
        <v>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贷</v>
      </c>
      <c r="K263" s="9">
        <f t="shared" si="8"/>
        <v>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贷</v>
      </c>
      <c r="K264" s="9">
        <f t="shared" si="8"/>
        <v>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10"/>
      <c r="J265" s="8" t="str">
        <f t="shared" si="9"/>
        <v>贷</v>
      </c>
      <c r="K265" s="9">
        <f t="shared" si="8"/>
        <v>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10"/>
      <c r="J266" s="8" t="str">
        <f t="shared" si="9"/>
        <v>贷</v>
      </c>
      <c r="K266" s="9">
        <f t="shared" si="8"/>
        <v>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贷</v>
      </c>
      <c r="K267" s="9">
        <f t="shared" si="8"/>
        <v>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贷</v>
      </c>
      <c r="K268" s="9">
        <f t="shared" si="8"/>
        <v>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贷</v>
      </c>
      <c r="K269" s="9">
        <f t="shared" si="8"/>
        <v>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贷</v>
      </c>
      <c r="K270" s="9">
        <f t="shared" si="8"/>
        <v>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贷</v>
      </c>
      <c r="K271" s="9">
        <f t="shared" si="8"/>
        <v>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贷</v>
      </c>
      <c r="K272" s="9">
        <f t="shared" si="8"/>
        <v>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贷</v>
      </c>
      <c r="K273" s="9">
        <f t="shared" si="8"/>
        <v>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贷</v>
      </c>
      <c r="K274" s="9">
        <f t="shared" si="8"/>
        <v>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贷</v>
      </c>
      <c r="K275" s="9">
        <f t="shared" si="8"/>
        <v>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贷</v>
      </c>
      <c r="K276" s="9">
        <f t="shared" si="8"/>
        <v>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贷</v>
      </c>
      <c r="K277" s="9">
        <f t="shared" si="8"/>
        <v>0</v>
      </c>
      <c r="L277" s="28"/>
    </row>
    <row r="278" spans="1:12" ht="20.100000000000001" customHeight="1" x14ac:dyDescent="0.15">
      <c r="A278" s="10"/>
      <c r="B278" s="5"/>
      <c r="C278" s="10"/>
      <c r="D278" s="35"/>
      <c r="E278" s="10"/>
      <c r="F278" s="10"/>
      <c r="G278" s="10"/>
      <c r="H278" s="8"/>
      <c r="I278" s="8"/>
      <c r="J278" s="8" t="str">
        <f t="shared" si="9"/>
        <v>贷</v>
      </c>
      <c r="K278" s="9">
        <f t="shared" si="8"/>
        <v>0</v>
      </c>
      <c r="L278" s="28"/>
    </row>
    <row r="279" spans="1:12" ht="20.100000000000001" customHeight="1" x14ac:dyDescent="0.15">
      <c r="A279" s="10"/>
      <c r="B279" s="5"/>
      <c r="C279" s="10"/>
      <c r="D279" s="35"/>
      <c r="E279" s="10"/>
      <c r="F279" s="10"/>
      <c r="G279" s="10"/>
      <c r="H279" s="8"/>
      <c r="I279" s="8"/>
      <c r="J279" s="8" t="str">
        <f t="shared" si="9"/>
        <v>贷</v>
      </c>
      <c r="K279" s="9">
        <f t="shared" si="8"/>
        <v>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贷</v>
      </c>
      <c r="K280" s="9">
        <f t="shared" si="8"/>
        <v>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贷</v>
      </c>
      <c r="K281" s="9">
        <f t="shared" si="8"/>
        <v>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贷</v>
      </c>
      <c r="K282" s="9">
        <f t="shared" si="8"/>
        <v>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贷</v>
      </c>
      <c r="K283" s="9">
        <f t="shared" si="8"/>
        <v>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贷</v>
      </c>
      <c r="K284" s="9">
        <f t="shared" si="8"/>
        <v>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贷</v>
      </c>
      <c r="K285" s="9">
        <f t="shared" si="8"/>
        <v>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贷</v>
      </c>
      <c r="K286" s="9">
        <f t="shared" si="8"/>
        <v>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贷</v>
      </c>
      <c r="K287" s="9">
        <f t="shared" si="8"/>
        <v>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贷</v>
      </c>
      <c r="K288" s="9">
        <f t="shared" si="8"/>
        <v>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贷</v>
      </c>
      <c r="K289" s="9">
        <f t="shared" si="8"/>
        <v>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贷</v>
      </c>
      <c r="K290" s="9">
        <f t="shared" si="8"/>
        <v>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贷</v>
      </c>
      <c r="K291" s="9">
        <f t="shared" si="8"/>
        <v>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贷</v>
      </c>
      <c r="K292" s="9">
        <f t="shared" si="8"/>
        <v>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贷</v>
      </c>
      <c r="K293" s="9">
        <f t="shared" si="8"/>
        <v>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贷</v>
      </c>
      <c r="K294" s="9">
        <f t="shared" si="8"/>
        <v>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贷</v>
      </c>
      <c r="K295" s="9">
        <f t="shared" si="8"/>
        <v>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贷</v>
      </c>
      <c r="K296" s="9">
        <f t="shared" si="8"/>
        <v>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贷</v>
      </c>
      <c r="K297" s="9">
        <f t="shared" si="8"/>
        <v>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贷</v>
      </c>
      <c r="K298" s="9">
        <f t="shared" si="8"/>
        <v>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贷</v>
      </c>
      <c r="K299" s="9">
        <f t="shared" si="8"/>
        <v>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贷</v>
      </c>
      <c r="K300" s="9">
        <f t="shared" si="8"/>
        <v>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贷</v>
      </c>
      <c r="K301" s="9">
        <f t="shared" si="8"/>
        <v>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贷</v>
      </c>
      <c r="K302" s="9">
        <f t="shared" si="8"/>
        <v>0</v>
      </c>
      <c r="L302" s="28"/>
    </row>
    <row r="303" spans="1:12" ht="20.100000000000001" customHeight="1" x14ac:dyDescent="0.15">
      <c r="A303" s="10"/>
      <c r="B303" s="5"/>
      <c r="C303" s="10"/>
      <c r="E303" s="10"/>
      <c r="F303" s="10"/>
      <c r="G303" s="10"/>
      <c r="H303" s="8"/>
      <c r="I303" s="8"/>
      <c r="J303" s="8" t="str">
        <f t="shared" si="9"/>
        <v>贷</v>
      </c>
      <c r="K303" s="9">
        <f t="shared" si="8"/>
        <v>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贷</v>
      </c>
      <c r="K304" s="9">
        <f t="shared" ref="K304:K367" si="10">_xlfn.IFS(J303="借",K303+H304-I304,J303="贷",H304-I304-K303)</f>
        <v>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贷</v>
      </c>
      <c r="K305" s="9">
        <f t="shared" si="10"/>
        <v>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贷</v>
      </c>
      <c r="K306" s="9">
        <f t="shared" si="10"/>
        <v>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贷</v>
      </c>
      <c r="K307" s="9">
        <f t="shared" si="10"/>
        <v>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贷</v>
      </c>
      <c r="K308" s="9">
        <f t="shared" si="10"/>
        <v>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贷</v>
      </c>
      <c r="K309" s="9">
        <f t="shared" si="10"/>
        <v>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贷</v>
      </c>
      <c r="K310" s="9">
        <f t="shared" si="10"/>
        <v>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贷</v>
      </c>
      <c r="K311" s="9">
        <f t="shared" si="10"/>
        <v>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贷</v>
      </c>
      <c r="K312" s="9">
        <f t="shared" si="10"/>
        <v>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贷</v>
      </c>
      <c r="K313" s="9">
        <f t="shared" si="10"/>
        <v>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贷</v>
      </c>
      <c r="K314" s="9">
        <f t="shared" si="10"/>
        <v>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贷</v>
      </c>
      <c r="K315" s="9">
        <f t="shared" si="10"/>
        <v>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贷</v>
      </c>
      <c r="K316" s="9">
        <f t="shared" si="10"/>
        <v>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贷</v>
      </c>
      <c r="K317" s="9">
        <f t="shared" si="10"/>
        <v>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贷</v>
      </c>
      <c r="K318" s="9">
        <f t="shared" si="10"/>
        <v>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贷</v>
      </c>
      <c r="K319" s="9">
        <f t="shared" si="10"/>
        <v>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贷</v>
      </c>
      <c r="K320" s="9">
        <f t="shared" si="10"/>
        <v>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贷</v>
      </c>
      <c r="K321" s="9">
        <f t="shared" si="10"/>
        <v>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贷</v>
      </c>
      <c r="K322" s="9">
        <f t="shared" si="10"/>
        <v>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贷</v>
      </c>
      <c r="K323" s="9">
        <f t="shared" si="10"/>
        <v>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贷</v>
      </c>
      <c r="K324" s="9">
        <f t="shared" si="10"/>
        <v>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贷</v>
      </c>
      <c r="K325" s="9">
        <f t="shared" si="10"/>
        <v>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贷</v>
      </c>
      <c r="K326" s="9">
        <f t="shared" si="10"/>
        <v>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贷</v>
      </c>
      <c r="K327" s="9">
        <f t="shared" si="10"/>
        <v>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贷</v>
      </c>
      <c r="K328" s="9">
        <f t="shared" si="10"/>
        <v>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贷</v>
      </c>
      <c r="K329" s="9">
        <f t="shared" si="10"/>
        <v>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贷</v>
      </c>
      <c r="K330" s="9">
        <f t="shared" si="10"/>
        <v>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贷</v>
      </c>
      <c r="K331" s="9">
        <f t="shared" si="10"/>
        <v>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贷</v>
      </c>
      <c r="K332" s="9">
        <f t="shared" si="10"/>
        <v>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贷</v>
      </c>
      <c r="K333" s="9">
        <f t="shared" si="10"/>
        <v>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贷</v>
      </c>
      <c r="K334" s="9">
        <f t="shared" si="10"/>
        <v>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贷</v>
      </c>
      <c r="K335" s="9">
        <f t="shared" si="10"/>
        <v>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贷</v>
      </c>
      <c r="K336" s="9">
        <f t="shared" si="10"/>
        <v>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贷</v>
      </c>
      <c r="K337" s="9">
        <f t="shared" si="10"/>
        <v>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贷</v>
      </c>
      <c r="K338" s="9">
        <f t="shared" si="10"/>
        <v>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贷</v>
      </c>
      <c r="K339" s="9">
        <f t="shared" si="10"/>
        <v>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贷</v>
      </c>
      <c r="K340" s="9">
        <f t="shared" si="10"/>
        <v>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贷</v>
      </c>
      <c r="K341" s="9">
        <f t="shared" si="10"/>
        <v>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贷</v>
      </c>
      <c r="K342" s="9">
        <f t="shared" si="10"/>
        <v>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贷</v>
      </c>
      <c r="K343" s="9">
        <f t="shared" si="10"/>
        <v>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贷</v>
      </c>
      <c r="K344" s="9">
        <f t="shared" si="10"/>
        <v>0</v>
      </c>
      <c r="L344" s="28"/>
    </row>
    <row r="345" spans="1:12" ht="20.100000000000001" customHeight="1" x14ac:dyDescent="0.15">
      <c r="A345" s="10"/>
      <c r="B345" s="5"/>
      <c r="C345" s="10"/>
      <c r="D345" s="10"/>
      <c r="F345" s="10"/>
      <c r="G345" s="10"/>
      <c r="H345" s="8"/>
      <c r="I345" s="8"/>
      <c r="J345" s="8" t="str">
        <f t="shared" si="11"/>
        <v>贷</v>
      </c>
      <c r="K345" s="9">
        <f t="shared" si="10"/>
        <v>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贷</v>
      </c>
      <c r="K346" s="9">
        <f t="shared" si="10"/>
        <v>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贷</v>
      </c>
      <c r="K347" s="9">
        <f t="shared" si="10"/>
        <v>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贷</v>
      </c>
      <c r="K348" s="9">
        <f t="shared" si="10"/>
        <v>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贷</v>
      </c>
      <c r="K349" s="9">
        <f t="shared" si="10"/>
        <v>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贷</v>
      </c>
      <c r="K350" s="9">
        <f t="shared" si="10"/>
        <v>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贷</v>
      </c>
      <c r="K351" s="9">
        <f t="shared" si="10"/>
        <v>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贷</v>
      </c>
      <c r="K352" s="9">
        <f t="shared" si="10"/>
        <v>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贷</v>
      </c>
      <c r="K353" s="9">
        <f t="shared" si="10"/>
        <v>0</v>
      </c>
      <c r="L353" s="28"/>
    </row>
    <row r="354" spans="1:12" ht="18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贷</v>
      </c>
      <c r="K354" s="9">
        <f t="shared" si="10"/>
        <v>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贷</v>
      </c>
      <c r="K355" s="9">
        <f t="shared" si="10"/>
        <v>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贷</v>
      </c>
      <c r="K356" s="9">
        <f t="shared" si="10"/>
        <v>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贷</v>
      </c>
      <c r="K357" s="9">
        <f t="shared" si="10"/>
        <v>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贷</v>
      </c>
      <c r="K358" s="9">
        <f t="shared" si="10"/>
        <v>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贷</v>
      </c>
      <c r="K359" s="9">
        <f t="shared" si="10"/>
        <v>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贷</v>
      </c>
      <c r="K360" s="9">
        <f t="shared" si="10"/>
        <v>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贷</v>
      </c>
      <c r="K361" s="9">
        <f t="shared" si="10"/>
        <v>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贷</v>
      </c>
      <c r="K362" s="9">
        <f t="shared" si="10"/>
        <v>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贷</v>
      </c>
      <c r="K363" s="9">
        <f t="shared" si="10"/>
        <v>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贷</v>
      </c>
      <c r="K364" s="9">
        <f t="shared" si="10"/>
        <v>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贷</v>
      </c>
      <c r="K365" s="9">
        <f t="shared" si="10"/>
        <v>0</v>
      </c>
      <c r="L365" s="28"/>
    </row>
    <row r="366" spans="1:12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贷</v>
      </c>
      <c r="K366" s="9">
        <f t="shared" si="10"/>
        <v>0</v>
      </c>
      <c r="L366" s="28"/>
    </row>
    <row r="367" spans="1:12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贷</v>
      </c>
      <c r="K367" s="9">
        <f t="shared" si="10"/>
        <v>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贷</v>
      </c>
      <c r="K368" s="9">
        <f t="shared" ref="K368:K431" si="12">_xlfn.IFS(J367="借",K367+H368-I368,J367="贷",H368-I368-K367)</f>
        <v>0</v>
      </c>
      <c r="L368" s="28"/>
    </row>
    <row r="369" spans="2:12" ht="20.100000000000001" customHeight="1" x14ac:dyDescent="0.15">
      <c r="B369" s="5"/>
      <c r="C369" s="10"/>
      <c r="D369" s="10"/>
      <c r="E369" s="10"/>
      <c r="F369" s="10"/>
      <c r="G369" s="10"/>
      <c r="H369" s="8"/>
      <c r="I369" s="8"/>
      <c r="J369" s="8" t="str">
        <f t="shared" si="11"/>
        <v>贷</v>
      </c>
      <c r="K369" s="9">
        <f t="shared" si="12"/>
        <v>0</v>
      </c>
      <c r="L369" s="28"/>
    </row>
    <row r="370" spans="2:12" ht="20.100000000000001" customHeight="1" x14ac:dyDescent="0.15">
      <c r="B370" s="5"/>
      <c r="C370" s="10"/>
      <c r="D370" s="10"/>
      <c r="E370" s="10"/>
      <c r="F370" s="10"/>
      <c r="G370" s="10"/>
      <c r="H370" s="8"/>
      <c r="I370" s="8"/>
      <c r="J370" s="8" t="str">
        <f t="shared" si="11"/>
        <v>贷</v>
      </c>
      <c r="K370" s="9">
        <f t="shared" si="12"/>
        <v>0</v>
      </c>
      <c r="L370" s="28"/>
    </row>
    <row r="371" spans="2:12" ht="20.100000000000001" customHeight="1" x14ac:dyDescent="0.15">
      <c r="B371" s="5"/>
      <c r="C371" s="10"/>
      <c r="D371" s="10"/>
      <c r="E371" s="10"/>
      <c r="F371" s="10"/>
      <c r="G371" s="10"/>
      <c r="H371" s="8"/>
      <c r="I371" s="8"/>
      <c r="J371" s="8" t="str">
        <f t="shared" si="11"/>
        <v>贷</v>
      </c>
      <c r="K371" s="9">
        <f t="shared" si="12"/>
        <v>0</v>
      </c>
      <c r="L371" s="28"/>
    </row>
    <row r="372" spans="2:12" ht="20.100000000000001" customHeight="1" x14ac:dyDescent="0.15">
      <c r="B372" s="5"/>
      <c r="C372" s="10"/>
      <c r="D372" s="10"/>
      <c r="E372" s="10"/>
      <c r="F372" s="10"/>
      <c r="G372" s="10"/>
      <c r="H372" s="8"/>
      <c r="I372" s="8"/>
      <c r="J372" s="8" t="str">
        <f t="shared" si="11"/>
        <v>贷</v>
      </c>
      <c r="K372" s="9">
        <f t="shared" si="12"/>
        <v>0</v>
      </c>
      <c r="L372" s="28"/>
    </row>
    <row r="373" spans="2:12" ht="20.100000000000001" customHeight="1" x14ac:dyDescent="0.15">
      <c r="B373" s="5"/>
      <c r="C373" s="10"/>
      <c r="D373" s="10"/>
      <c r="E373" s="10"/>
      <c r="F373" s="10"/>
      <c r="G373" s="10"/>
      <c r="H373" s="8"/>
      <c r="I373" s="8"/>
      <c r="J373" s="8" t="str">
        <f t="shared" si="11"/>
        <v>贷</v>
      </c>
      <c r="K373" s="9">
        <f t="shared" si="12"/>
        <v>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贷</v>
      </c>
      <c r="K374" s="9">
        <f t="shared" si="12"/>
        <v>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贷</v>
      </c>
      <c r="K375" s="9">
        <f t="shared" si="12"/>
        <v>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贷</v>
      </c>
      <c r="K376" s="9">
        <f t="shared" si="12"/>
        <v>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贷</v>
      </c>
      <c r="K377" s="9">
        <f t="shared" si="12"/>
        <v>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贷</v>
      </c>
      <c r="K378" s="9">
        <f t="shared" si="12"/>
        <v>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贷</v>
      </c>
      <c r="K379" s="9">
        <f t="shared" si="12"/>
        <v>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贷</v>
      </c>
      <c r="K380" s="9">
        <f t="shared" si="12"/>
        <v>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贷</v>
      </c>
      <c r="K381" s="9">
        <f t="shared" si="12"/>
        <v>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贷</v>
      </c>
      <c r="K382" s="9">
        <f t="shared" si="12"/>
        <v>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贷</v>
      </c>
      <c r="K383" s="9">
        <f t="shared" si="12"/>
        <v>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贷</v>
      </c>
      <c r="K384" s="9">
        <f t="shared" si="12"/>
        <v>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1"/>
        <v>贷</v>
      </c>
      <c r="K385" s="9">
        <f t="shared" si="12"/>
        <v>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贷</v>
      </c>
      <c r="K386" s="9">
        <f t="shared" si="12"/>
        <v>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贷</v>
      </c>
      <c r="K387" s="9">
        <f t="shared" si="12"/>
        <v>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贷</v>
      </c>
      <c r="K388" s="9">
        <f t="shared" si="12"/>
        <v>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贷</v>
      </c>
      <c r="K389" s="9">
        <f t="shared" si="12"/>
        <v>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贷</v>
      </c>
      <c r="K390" s="9">
        <f t="shared" si="12"/>
        <v>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贷</v>
      </c>
      <c r="K391" s="9">
        <f t="shared" si="12"/>
        <v>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贷</v>
      </c>
      <c r="K392" s="9">
        <f t="shared" si="12"/>
        <v>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贷</v>
      </c>
      <c r="K393" s="9">
        <f t="shared" si="12"/>
        <v>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贷</v>
      </c>
      <c r="K394" s="9">
        <f t="shared" si="12"/>
        <v>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贷</v>
      </c>
      <c r="K395" s="9">
        <f t="shared" si="12"/>
        <v>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贷</v>
      </c>
      <c r="K396" s="9">
        <f t="shared" si="12"/>
        <v>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贷</v>
      </c>
      <c r="K397" s="9">
        <f t="shared" si="12"/>
        <v>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贷</v>
      </c>
      <c r="K398" s="9">
        <f t="shared" si="12"/>
        <v>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贷</v>
      </c>
      <c r="K399" s="9">
        <f t="shared" si="12"/>
        <v>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贷</v>
      </c>
      <c r="K400" s="9">
        <f t="shared" si="12"/>
        <v>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贷</v>
      </c>
      <c r="K401" s="9">
        <f t="shared" si="12"/>
        <v>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贷</v>
      </c>
      <c r="K402" s="9">
        <f t="shared" si="12"/>
        <v>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贷</v>
      </c>
      <c r="K403" s="9">
        <f t="shared" si="12"/>
        <v>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贷</v>
      </c>
      <c r="K404" s="9">
        <f t="shared" si="12"/>
        <v>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贷</v>
      </c>
      <c r="K405" s="9">
        <f t="shared" si="12"/>
        <v>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贷</v>
      </c>
      <c r="K406" s="9">
        <f t="shared" si="12"/>
        <v>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贷</v>
      </c>
      <c r="K407" s="9">
        <f t="shared" si="12"/>
        <v>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贷</v>
      </c>
      <c r="K408" s="9">
        <f t="shared" si="12"/>
        <v>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贷</v>
      </c>
      <c r="K409" s="9">
        <f t="shared" si="12"/>
        <v>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贷</v>
      </c>
      <c r="K410" s="9">
        <f t="shared" si="12"/>
        <v>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贷</v>
      </c>
      <c r="K411" s="9">
        <f t="shared" si="12"/>
        <v>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贷</v>
      </c>
      <c r="K412" s="9">
        <f t="shared" si="12"/>
        <v>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贷</v>
      </c>
      <c r="K413" s="9">
        <f t="shared" si="12"/>
        <v>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贷</v>
      </c>
      <c r="K414" s="9">
        <f t="shared" si="12"/>
        <v>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贷</v>
      </c>
      <c r="K415" s="9">
        <f t="shared" si="12"/>
        <v>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贷</v>
      </c>
      <c r="K416" s="9">
        <f t="shared" si="12"/>
        <v>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贷</v>
      </c>
      <c r="K417" s="9">
        <f t="shared" si="12"/>
        <v>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贷</v>
      </c>
      <c r="K418" s="9">
        <f t="shared" si="12"/>
        <v>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贷</v>
      </c>
      <c r="K419" s="9">
        <f t="shared" si="12"/>
        <v>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贷</v>
      </c>
      <c r="K420" s="9">
        <f t="shared" si="12"/>
        <v>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贷</v>
      </c>
      <c r="K421" s="9">
        <f t="shared" si="12"/>
        <v>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贷</v>
      </c>
      <c r="K422" s="9">
        <f t="shared" si="12"/>
        <v>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贷</v>
      </c>
      <c r="K423" s="9">
        <f t="shared" si="12"/>
        <v>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贷</v>
      </c>
      <c r="K424" s="9">
        <f t="shared" si="12"/>
        <v>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贷</v>
      </c>
      <c r="K425" s="9">
        <f t="shared" si="12"/>
        <v>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贷</v>
      </c>
      <c r="K426" s="9">
        <f t="shared" si="12"/>
        <v>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贷</v>
      </c>
      <c r="K427" s="9">
        <f t="shared" si="12"/>
        <v>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贷</v>
      </c>
      <c r="K428" s="9">
        <f t="shared" si="12"/>
        <v>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贷</v>
      </c>
      <c r="K429" s="9">
        <f t="shared" si="12"/>
        <v>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贷</v>
      </c>
      <c r="K430" s="9">
        <f t="shared" si="12"/>
        <v>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贷</v>
      </c>
      <c r="K431" s="9">
        <f t="shared" si="12"/>
        <v>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贷</v>
      </c>
      <c r="K432" s="9">
        <f t="shared" ref="K432:K495" si="14">_xlfn.IFS(J431="借",K431+H432-I432,J431="贷",H432-I432-K431)</f>
        <v>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贷</v>
      </c>
      <c r="K433" s="9">
        <f t="shared" si="14"/>
        <v>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贷</v>
      </c>
      <c r="K434" s="9">
        <f t="shared" si="14"/>
        <v>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贷</v>
      </c>
      <c r="K435" s="9">
        <f t="shared" si="14"/>
        <v>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贷</v>
      </c>
      <c r="K436" s="9">
        <f t="shared" si="14"/>
        <v>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贷</v>
      </c>
      <c r="K437" s="9">
        <f t="shared" si="14"/>
        <v>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贷</v>
      </c>
      <c r="K438" s="9">
        <f t="shared" si="14"/>
        <v>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贷</v>
      </c>
      <c r="K439" s="9">
        <f t="shared" si="14"/>
        <v>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贷</v>
      </c>
      <c r="K440" s="9">
        <f t="shared" si="14"/>
        <v>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贷</v>
      </c>
      <c r="K441" s="9">
        <f t="shared" si="14"/>
        <v>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贷</v>
      </c>
      <c r="K442" s="9">
        <f t="shared" si="14"/>
        <v>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贷</v>
      </c>
      <c r="K443" s="9">
        <f t="shared" si="14"/>
        <v>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贷</v>
      </c>
      <c r="K444" s="9">
        <f t="shared" si="14"/>
        <v>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贷</v>
      </c>
      <c r="K445" s="9">
        <f t="shared" si="14"/>
        <v>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贷</v>
      </c>
      <c r="K446" s="9">
        <f t="shared" si="14"/>
        <v>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贷</v>
      </c>
      <c r="K447" s="9">
        <f t="shared" si="14"/>
        <v>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贷</v>
      </c>
      <c r="K448" s="9">
        <f t="shared" si="14"/>
        <v>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贷</v>
      </c>
      <c r="K449" s="9">
        <f t="shared" si="14"/>
        <v>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贷</v>
      </c>
      <c r="K450" s="9">
        <f t="shared" si="14"/>
        <v>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贷</v>
      </c>
      <c r="K451" s="9">
        <f t="shared" si="14"/>
        <v>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贷</v>
      </c>
      <c r="K452" s="9">
        <f t="shared" si="14"/>
        <v>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贷</v>
      </c>
      <c r="K453" s="9">
        <f t="shared" si="14"/>
        <v>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5">IF((K453+H454-I454)&gt;0,"借","贷")</f>
        <v>贷</v>
      </c>
      <c r="K454" s="9">
        <f t="shared" si="14"/>
        <v>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贷</v>
      </c>
      <c r="K455" s="9">
        <f t="shared" si="14"/>
        <v>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贷</v>
      </c>
      <c r="K456" s="9">
        <f t="shared" si="14"/>
        <v>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贷</v>
      </c>
      <c r="K457" s="9">
        <f t="shared" si="14"/>
        <v>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贷</v>
      </c>
      <c r="K458" s="9">
        <f t="shared" si="14"/>
        <v>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贷</v>
      </c>
      <c r="K459" s="9">
        <f t="shared" si="14"/>
        <v>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贷</v>
      </c>
      <c r="K460" s="9">
        <f t="shared" si="14"/>
        <v>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贷</v>
      </c>
      <c r="K461" s="9">
        <f t="shared" si="14"/>
        <v>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贷</v>
      </c>
      <c r="K462" s="9">
        <f t="shared" si="14"/>
        <v>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贷</v>
      </c>
      <c r="K463" s="9">
        <f t="shared" si="14"/>
        <v>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贷</v>
      </c>
      <c r="K464" s="9">
        <f t="shared" si="14"/>
        <v>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贷</v>
      </c>
      <c r="K465" s="9">
        <f t="shared" si="14"/>
        <v>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贷</v>
      </c>
      <c r="K466" s="9">
        <f t="shared" si="14"/>
        <v>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贷</v>
      </c>
      <c r="K467" s="9">
        <f t="shared" si="14"/>
        <v>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贷</v>
      </c>
      <c r="K468" s="9">
        <f t="shared" si="14"/>
        <v>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贷</v>
      </c>
      <c r="K469" s="9">
        <f t="shared" si="14"/>
        <v>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贷</v>
      </c>
      <c r="K470" s="9">
        <f t="shared" si="14"/>
        <v>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贷</v>
      </c>
      <c r="K471" s="9">
        <f t="shared" si="14"/>
        <v>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贷</v>
      </c>
      <c r="K472" s="9">
        <f t="shared" si="14"/>
        <v>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贷</v>
      </c>
      <c r="K473" s="9">
        <f t="shared" si="14"/>
        <v>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贷</v>
      </c>
      <c r="K474" s="9">
        <f t="shared" si="14"/>
        <v>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贷</v>
      </c>
      <c r="K475" s="9">
        <f t="shared" si="14"/>
        <v>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贷</v>
      </c>
      <c r="K476" s="9">
        <f t="shared" si="14"/>
        <v>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贷</v>
      </c>
      <c r="K477" s="9">
        <f t="shared" si="14"/>
        <v>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贷</v>
      </c>
      <c r="K478" s="9">
        <f t="shared" si="14"/>
        <v>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贷</v>
      </c>
      <c r="K479" s="9">
        <f t="shared" si="14"/>
        <v>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贷</v>
      </c>
      <c r="K480" s="9">
        <f t="shared" si="14"/>
        <v>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贷</v>
      </c>
      <c r="K481" s="9">
        <f t="shared" si="14"/>
        <v>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贷</v>
      </c>
      <c r="K482" s="9">
        <f t="shared" si="14"/>
        <v>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贷</v>
      </c>
      <c r="K483" s="9">
        <f t="shared" si="14"/>
        <v>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贷</v>
      </c>
      <c r="K484" s="9">
        <f t="shared" si="14"/>
        <v>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贷</v>
      </c>
      <c r="K485" s="9">
        <f t="shared" si="14"/>
        <v>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贷</v>
      </c>
      <c r="K486" s="9">
        <f t="shared" si="14"/>
        <v>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贷</v>
      </c>
      <c r="K487" s="9">
        <f t="shared" si="14"/>
        <v>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贷</v>
      </c>
      <c r="K488" s="9">
        <f t="shared" si="14"/>
        <v>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贷</v>
      </c>
      <c r="K489" s="9">
        <f t="shared" si="14"/>
        <v>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贷</v>
      </c>
      <c r="K490" s="9">
        <f t="shared" si="14"/>
        <v>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贷</v>
      </c>
      <c r="K491" s="9">
        <f t="shared" si="14"/>
        <v>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贷</v>
      </c>
      <c r="K492" s="9">
        <f t="shared" si="14"/>
        <v>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贷</v>
      </c>
      <c r="K493" s="9">
        <f t="shared" si="14"/>
        <v>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贷</v>
      </c>
      <c r="K494" s="9">
        <f t="shared" si="14"/>
        <v>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贷</v>
      </c>
      <c r="K495" s="9">
        <f t="shared" si="14"/>
        <v>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贷</v>
      </c>
      <c r="K496" s="9">
        <f t="shared" ref="K496:K498" si="16">_xlfn.IFS(J495="借",K495+H496-I496,J495="贷",H496-I496-K495)</f>
        <v>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贷</v>
      </c>
      <c r="K497" s="9">
        <f t="shared" si="16"/>
        <v>0</v>
      </c>
      <c r="L497" s="28"/>
    </row>
    <row r="498" spans="2:12" ht="20.100000000000001" customHeight="1" x14ac:dyDescent="0.15">
      <c r="B498" s="5"/>
      <c r="C498" s="10"/>
      <c r="D498" s="10"/>
      <c r="F498" s="10"/>
      <c r="G498" s="10"/>
      <c r="H498" s="8"/>
      <c r="I498" s="8"/>
      <c r="J498" s="8" t="str">
        <f t="shared" si="15"/>
        <v>贷</v>
      </c>
      <c r="K498" s="9">
        <f t="shared" si="16"/>
        <v>0</v>
      </c>
      <c r="L498" s="28"/>
    </row>
  </sheetData>
  <mergeCells count="5">
    <mergeCell ref="A1:K1"/>
    <mergeCell ref="M152:M153"/>
    <mergeCell ref="M181:M182"/>
    <mergeCell ref="M217:M218"/>
    <mergeCell ref="M254:M255"/>
  </mergeCells>
  <phoneticPr fontId="21" type="noConversion"/>
  <dataValidations count="1">
    <dataValidation type="list" allowBlank="1" showInputMessage="1" showErrorMessage="1" sqref="G5:G1048576 A1:L1" xr:uid="{00000000-0002-0000-0900-000000000000}">
      <formula1>#REF!</formula1>
    </dataValidation>
  </dataValidation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9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63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65"/>
      <c r="M27" s="65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65"/>
      <c r="M28" s="65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65"/>
      <c r="M29" s="65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65"/>
      <c r="M30" s="65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65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65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65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65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65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65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65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1" type="noConversion"/>
  <dataValidations count="2">
    <dataValidation allowBlank="1" showInputMessage="1" showErrorMessage="1" sqref="G1 A2:XFD2 G3:G4 L72:L73" xr:uid="{00000000-0002-0000-0A00-000000000000}"/>
    <dataValidation type="list" allowBlank="1" showInputMessage="1" showErrorMessage="1" sqref="G5:G1048576" xr:uid="{00000000-0002-0000-0A00-000001000000}">
      <formula1>#REF!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04"/>
  <sheetViews>
    <sheetView topLeftCell="B1" zoomScale="115" zoomScaleNormal="115" workbookViewId="0">
      <selection activeCell="B4" sqref="B4:I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2.75" customWidth="1"/>
    <col min="6" max="7" width="16.75" customWidth="1"/>
    <col min="8" max="8" width="19.875" style="1" customWidth="1"/>
    <col min="9" max="9" width="18.5" style="38" customWidth="1"/>
    <col min="10" max="10" width="6.375" style="1" customWidth="1"/>
    <col min="11" max="11" width="20" customWidth="1"/>
    <col min="12" max="12" width="20" style="10" customWidth="1"/>
    <col min="13" max="13" width="15.75" customWidth="1"/>
    <col min="14" max="14" width="10.375"/>
    <col min="15" max="15" width="11.5"/>
  </cols>
  <sheetData>
    <row r="1" spans="1:13" ht="24.9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70"/>
      <c r="J1" s="68"/>
      <c r="K1" s="66"/>
      <c r="L1" s="2"/>
    </row>
    <row r="2" spans="1:13" ht="20.100000000000001" customHeight="1" x14ac:dyDescent="0.15">
      <c r="A2" t="s">
        <v>64</v>
      </c>
      <c r="H2" s="1">
        <f>SUM(H4:H190008)</f>
        <v>10000</v>
      </c>
      <c r="I2" s="38">
        <f>SUM(I4:I190008)</f>
        <v>10110</v>
      </c>
      <c r="K2">
        <f>K4+H2-I2</f>
        <v>137276.51</v>
      </c>
      <c r="L2"/>
    </row>
    <row r="3" spans="1:13" ht="20.100000000000001" customHeight="1" x14ac:dyDescent="0.15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6" t="s">
        <v>34</v>
      </c>
      <c r="I3" s="39" t="s">
        <v>35</v>
      </c>
      <c r="J3" s="6" t="s">
        <v>36</v>
      </c>
      <c r="K3" s="40" t="s">
        <v>21</v>
      </c>
      <c r="L3" s="5" t="s">
        <v>37</v>
      </c>
      <c r="M3" t="s">
        <v>65</v>
      </c>
    </row>
    <row r="4" spans="1:13" ht="20.100000000000001" customHeight="1" x14ac:dyDescent="0.15">
      <c r="A4" s="5">
        <v>2026</v>
      </c>
      <c r="B4" s="5">
        <v>1</v>
      </c>
      <c r="C4" s="5">
        <v>1</v>
      </c>
      <c r="D4" s="7" t="s">
        <v>38</v>
      </c>
      <c r="E4" s="7"/>
      <c r="F4" s="7"/>
      <c r="G4" s="7"/>
      <c r="H4" s="8"/>
      <c r="I4" s="14"/>
      <c r="J4" s="8" t="s">
        <v>39</v>
      </c>
      <c r="K4" s="41">
        <v>137386.51</v>
      </c>
      <c r="L4" s="9"/>
    </row>
    <row r="5" spans="1:13" ht="20.100000000000001" customHeight="1" x14ac:dyDescent="0.15">
      <c r="A5" s="5"/>
      <c r="B5" s="5">
        <v>2</v>
      </c>
      <c r="C5" s="5">
        <v>2</v>
      </c>
      <c r="D5" s="7" t="s">
        <v>40</v>
      </c>
      <c r="E5" s="7"/>
      <c r="F5" s="7" t="s">
        <v>41</v>
      </c>
      <c r="G5" s="7" t="s">
        <v>42</v>
      </c>
      <c r="H5" s="8">
        <v>10000</v>
      </c>
      <c r="I5" s="14"/>
      <c r="J5" s="8" t="str">
        <f t="shared" ref="J5:J68" si="0">IF((K4+H5-I5)&gt;0,"借","贷")</f>
        <v>借</v>
      </c>
      <c r="K5" s="41">
        <f t="shared" ref="K5:K10" si="1">K4+H5-I5</f>
        <v>147386.51</v>
      </c>
      <c r="L5" s="9"/>
    </row>
    <row r="6" spans="1:13" ht="20.100000000000001" customHeight="1" x14ac:dyDescent="0.15">
      <c r="A6" s="5"/>
      <c r="B6" s="5">
        <v>2</v>
      </c>
      <c r="C6" s="5">
        <v>3</v>
      </c>
      <c r="D6" s="7" t="s">
        <v>43</v>
      </c>
      <c r="E6" s="7"/>
      <c r="F6" s="7" t="s">
        <v>44</v>
      </c>
      <c r="G6" s="7" t="s">
        <v>44</v>
      </c>
      <c r="H6" s="8"/>
      <c r="I6" s="14">
        <v>100</v>
      </c>
      <c r="J6" s="8" t="str">
        <f t="shared" si="0"/>
        <v>借</v>
      </c>
      <c r="K6" s="41">
        <f t="shared" si="1"/>
        <v>147286.51</v>
      </c>
      <c r="L6" s="9"/>
    </row>
    <row r="7" spans="1:13" ht="20.100000000000001" customHeight="1" x14ac:dyDescent="0.15">
      <c r="A7" s="5"/>
      <c r="B7" s="5">
        <v>2</v>
      </c>
      <c r="C7" s="5">
        <v>4</v>
      </c>
      <c r="D7" s="7" t="s">
        <v>45</v>
      </c>
      <c r="E7" s="7"/>
      <c r="F7" s="7" t="s">
        <v>46</v>
      </c>
      <c r="G7" s="7" t="s">
        <v>47</v>
      </c>
      <c r="H7" s="8"/>
      <c r="I7" s="14">
        <v>10000</v>
      </c>
      <c r="J7" s="8" t="str">
        <f t="shared" si="0"/>
        <v>借</v>
      </c>
      <c r="K7" s="41">
        <f t="shared" si="1"/>
        <v>137286.51</v>
      </c>
      <c r="L7" s="9"/>
    </row>
    <row r="8" spans="1:13" ht="20.100000000000001" customHeight="1" x14ac:dyDescent="0.15">
      <c r="A8" s="5"/>
      <c r="B8" s="5">
        <v>2</v>
      </c>
      <c r="C8" s="5">
        <v>5</v>
      </c>
      <c r="D8" s="7" t="s">
        <v>48</v>
      </c>
      <c r="E8" s="7"/>
      <c r="F8" s="7" t="s">
        <v>49</v>
      </c>
      <c r="G8" s="7" t="s">
        <v>49</v>
      </c>
      <c r="H8" s="8"/>
      <c r="I8" s="14">
        <v>10</v>
      </c>
      <c r="J8" s="8" t="str">
        <f t="shared" si="0"/>
        <v>借</v>
      </c>
      <c r="K8" s="41">
        <f t="shared" si="1"/>
        <v>137276.51</v>
      </c>
      <c r="L8" s="9"/>
    </row>
    <row r="9" spans="1:13" ht="20.100000000000001" customHeight="1" x14ac:dyDescent="0.15">
      <c r="A9" s="5"/>
      <c r="B9" s="5"/>
      <c r="C9" s="5"/>
      <c r="D9" s="7"/>
      <c r="E9" s="7"/>
      <c r="F9" s="7"/>
      <c r="G9" s="7"/>
      <c r="H9" s="8"/>
      <c r="I9" s="14"/>
      <c r="J9" s="8" t="str">
        <f t="shared" si="0"/>
        <v>借</v>
      </c>
      <c r="K9" s="41">
        <f t="shared" si="1"/>
        <v>137276.51</v>
      </c>
      <c r="L9" s="9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14"/>
      <c r="J10" s="8" t="str">
        <f t="shared" si="0"/>
        <v>借</v>
      </c>
      <c r="K10" s="41">
        <f t="shared" si="1"/>
        <v>137276.51</v>
      </c>
      <c r="L10" s="9"/>
    </row>
    <row r="11" spans="1:13" ht="20.100000000000001" customHeight="1" x14ac:dyDescent="0.15">
      <c r="A11" s="5"/>
      <c r="B11" s="5"/>
      <c r="C11" s="5"/>
      <c r="D11" s="7"/>
      <c r="E11" s="7"/>
      <c r="F11" s="7"/>
      <c r="G11" s="7"/>
      <c r="H11" s="8"/>
      <c r="I11" s="14"/>
      <c r="J11" s="8" t="str">
        <f t="shared" si="0"/>
        <v>借</v>
      </c>
      <c r="K11" s="41">
        <f t="shared" ref="K11:K42" si="2">K10+H11-I11</f>
        <v>137276.51</v>
      </c>
      <c r="L11" s="9"/>
      <c r="M11" s="65"/>
    </row>
    <row r="12" spans="1:13" ht="20.100000000000001" customHeight="1" x14ac:dyDescent="0.15">
      <c r="A12" s="5"/>
      <c r="B12" s="5"/>
      <c r="C12" s="5"/>
      <c r="D12" s="7"/>
      <c r="E12" s="7"/>
      <c r="F12" s="7"/>
      <c r="G12" s="7"/>
      <c r="H12" s="8"/>
      <c r="I12" s="14"/>
      <c r="J12" s="8" t="str">
        <f t="shared" si="0"/>
        <v>借</v>
      </c>
      <c r="K12" s="41">
        <f t="shared" si="2"/>
        <v>137276.51</v>
      </c>
      <c r="L12" s="9"/>
      <c r="M12" s="65"/>
    </row>
    <row r="13" spans="1:13" ht="20.100000000000001" customHeight="1" x14ac:dyDescent="0.15">
      <c r="A13" s="5"/>
      <c r="B13" s="5"/>
      <c r="C13" s="5"/>
      <c r="D13" s="7"/>
      <c r="E13" s="7"/>
      <c r="F13" s="7"/>
      <c r="G13" s="7"/>
      <c r="H13" s="8"/>
      <c r="I13" s="14"/>
      <c r="J13" s="8" t="str">
        <f t="shared" si="0"/>
        <v>借</v>
      </c>
      <c r="K13" s="41">
        <f t="shared" si="2"/>
        <v>137276.51</v>
      </c>
      <c r="L13" s="9"/>
    </row>
    <row r="14" spans="1:13" ht="20.100000000000001" customHeight="1" x14ac:dyDescent="0.15">
      <c r="A14" s="5"/>
      <c r="B14" s="5"/>
      <c r="C14" s="5"/>
      <c r="D14" s="7"/>
      <c r="E14" s="7"/>
      <c r="F14" s="7"/>
      <c r="G14" s="7"/>
      <c r="H14" s="8"/>
      <c r="I14" s="14"/>
      <c r="J14" s="8" t="str">
        <f t="shared" si="0"/>
        <v>借</v>
      </c>
      <c r="K14" s="41">
        <f t="shared" si="2"/>
        <v>137276.51</v>
      </c>
      <c r="L14" s="9"/>
    </row>
    <row r="15" spans="1:13" ht="20.100000000000001" customHeight="1" x14ac:dyDescent="0.15">
      <c r="A15" s="5"/>
      <c r="B15" s="5"/>
      <c r="C15" s="5"/>
      <c r="D15" s="7"/>
      <c r="E15" s="7"/>
      <c r="F15" s="7"/>
      <c r="G15" s="7"/>
      <c r="H15" s="8"/>
      <c r="I15" s="14"/>
      <c r="J15" s="8" t="str">
        <f t="shared" si="0"/>
        <v>借</v>
      </c>
      <c r="K15" s="41">
        <f t="shared" si="2"/>
        <v>137276.51</v>
      </c>
      <c r="L15" s="9"/>
    </row>
    <row r="16" spans="1:13" ht="20.100000000000001" customHeight="1" x14ac:dyDescent="0.15">
      <c r="A16" s="5"/>
      <c r="B16" s="5"/>
      <c r="C16" s="5"/>
      <c r="D16" s="7"/>
      <c r="E16" s="7"/>
      <c r="F16" s="7"/>
      <c r="G16" s="7"/>
      <c r="H16" s="8"/>
      <c r="I16" s="14"/>
      <c r="J16" s="8" t="str">
        <f t="shared" si="0"/>
        <v>借</v>
      </c>
      <c r="K16" s="41">
        <f t="shared" si="2"/>
        <v>137276.51</v>
      </c>
      <c r="L16" s="9"/>
    </row>
    <row r="17" spans="1:13" ht="20.100000000000001" customHeight="1" x14ac:dyDescent="0.15">
      <c r="A17" s="5"/>
      <c r="B17" s="5"/>
      <c r="C17" s="5"/>
      <c r="D17" s="7"/>
      <c r="E17" s="7"/>
      <c r="F17" s="7"/>
      <c r="G17" s="7"/>
      <c r="H17" s="8"/>
      <c r="I17" s="14"/>
      <c r="J17" s="8" t="str">
        <f t="shared" si="0"/>
        <v>借</v>
      </c>
      <c r="K17" s="41">
        <f t="shared" si="2"/>
        <v>137276.51</v>
      </c>
      <c r="L17" s="9"/>
    </row>
    <row r="18" spans="1:13" ht="20.100000000000001" customHeight="1" x14ac:dyDescent="0.15">
      <c r="A18" s="5"/>
      <c r="B18" s="5"/>
      <c r="C18" s="5"/>
      <c r="D18" s="7"/>
      <c r="E18" s="7"/>
      <c r="F18" s="7"/>
      <c r="G18" s="7"/>
      <c r="H18" s="8"/>
      <c r="I18" s="14"/>
      <c r="J18" s="8" t="str">
        <f t="shared" si="0"/>
        <v>借</v>
      </c>
      <c r="K18" s="41">
        <f t="shared" si="2"/>
        <v>137276.51</v>
      </c>
      <c r="L18" s="9"/>
    </row>
    <row r="19" spans="1:13" ht="20.100000000000001" customHeight="1" x14ac:dyDescent="0.15">
      <c r="A19" s="5"/>
      <c r="B19" s="5"/>
      <c r="C19" s="5"/>
      <c r="D19" s="7"/>
      <c r="E19" s="7"/>
      <c r="F19" s="7"/>
      <c r="G19" s="7"/>
      <c r="H19" s="8"/>
      <c r="I19" s="15"/>
      <c r="J19" s="8" t="str">
        <f t="shared" si="0"/>
        <v>借</v>
      </c>
      <c r="K19" s="41">
        <f t="shared" si="2"/>
        <v>137276.51</v>
      </c>
      <c r="L19" s="9"/>
    </row>
    <row r="20" spans="1:13" ht="20.100000000000001" customHeight="1" x14ac:dyDescent="0.15">
      <c r="A20" s="5"/>
      <c r="B20" s="5"/>
      <c r="C20" s="5"/>
      <c r="D20" s="7"/>
      <c r="E20" s="7"/>
      <c r="F20" s="7"/>
      <c r="G20" s="7"/>
      <c r="H20" s="8"/>
      <c r="I20" s="14"/>
      <c r="J20" s="8" t="str">
        <f t="shared" si="0"/>
        <v>借</v>
      </c>
      <c r="K20" s="41">
        <f t="shared" si="2"/>
        <v>137276.51</v>
      </c>
      <c r="L20" s="9"/>
    </row>
    <row r="21" spans="1:13" ht="20.100000000000001" customHeight="1" x14ac:dyDescent="0.15">
      <c r="A21" s="5"/>
      <c r="B21" s="5"/>
      <c r="C21" s="5"/>
      <c r="D21" s="7"/>
      <c r="E21" s="7"/>
      <c r="F21" s="7"/>
      <c r="G21" s="7"/>
      <c r="H21" s="8"/>
      <c r="I21" s="15"/>
      <c r="J21" s="8" t="str">
        <f t="shared" si="0"/>
        <v>借</v>
      </c>
      <c r="K21" s="41">
        <f t="shared" si="2"/>
        <v>137276.51</v>
      </c>
      <c r="L21" s="9"/>
    </row>
    <row r="22" spans="1:13" ht="20.100000000000001" customHeight="1" x14ac:dyDescent="0.15">
      <c r="A22" s="5"/>
      <c r="B22" s="5"/>
      <c r="C22" s="5"/>
      <c r="D22" s="7"/>
      <c r="E22" s="7"/>
      <c r="F22" s="7"/>
      <c r="G22" s="7"/>
      <c r="H22" s="8"/>
      <c r="I22" s="15"/>
      <c r="J22" s="8" t="str">
        <f t="shared" si="0"/>
        <v>借</v>
      </c>
      <c r="K22" s="41">
        <f t="shared" si="2"/>
        <v>137276.51</v>
      </c>
      <c r="L22" s="9"/>
    </row>
    <row r="23" spans="1:13" ht="20.100000000000001" customHeight="1" x14ac:dyDescent="0.15">
      <c r="A23" s="5"/>
      <c r="B23" s="5"/>
      <c r="C23" s="5"/>
      <c r="D23" s="7"/>
      <c r="E23" s="7"/>
      <c r="F23" s="7"/>
      <c r="G23" s="7"/>
      <c r="H23" s="8"/>
      <c r="I23" s="14"/>
      <c r="J23" s="8" t="str">
        <f t="shared" si="0"/>
        <v>借</v>
      </c>
      <c r="K23" s="41">
        <f t="shared" si="2"/>
        <v>137276.51</v>
      </c>
      <c r="L23" s="9"/>
    </row>
    <row r="24" spans="1:13" ht="20.100000000000001" customHeight="1" x14ac:dyDescent="0.15">
      <c r="A24" s="5"/>
      <c r="B24" s="5"/>
      <c r="C24" s="5"/>
      <c r="D24" s="7"/>
      <c r="E24" s="7"/>
      <c r="F24" s="7"/>
      <c r="G24" s="7"/>
      <c r="H24" s="8"/>
      <c r="I24" s="15"/>
      <c r="J24" s="8" t="str">
        <f t="shared" si="0"/>
        <v>借</v>
      </c>
      <c r="K24" s="41">
        <f t="shared" si="2"/>
        <v>137276.51</v>
      </c>
      <c r="L24" s="9"/>
    </row>
    <row r="25" spans="1:13" ht="20.100000000000001" customHeight="1" x14ac:dyDescent="0.15">
      <c r="A25" s="5"/>
      <c r="B25" s="5"/>
      <c r="C25" s="5"/>
      <c r="D25" s="7"/>
      <c r="E25" s="7"/>
      <c r="F25" s="7"/>
      <c r="G25" s="7"/>
      <c r="H25" s="8"/>
      <c r="I25" s="14"/>
      <c r="J25" s="8" t="str">
        <f t="shared" si="0"/>
        <v>借</v>
      </c>
      <c r="K25" s="41">
        <f t="shared" si="2"/>
        <v>137276.51</v>
      </c>
      <c r="L25" s="9"/>
      <c r="M25" s="65"/>
    </row>
    <row r="26" spans="1:13" ht="20.100000000000001" customHeight="1" x14ac:dyDescent="0.15">
      <c r="A26" s="5"/>
      <c r="B26" s="5"/>
      <c r="C26" s="5"/>
      <c r="D26" s="7"/>
      <c r="E26" s="7"/>
      <c r="F26" s="7"/>
      <c r="G26" s="7"/>
      <c r="H26" s="8"/>
      <c r="I26" s="14"/>
      <c r="J26" s="8" t="str">
        <f t="shared" si="0"/>
        <v>借</v>
      </c>
      <c r="K26" s="41">
        <f t="shared" si="2"/>
        <v>137276.51</v>
      </c>
      <c r="L26" s="9"/>
      <c r="M26" s="65"/>
    </row>
    <row r="27" spans="1:13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14"/>
      <c r="J27" s="8" t="str">
        <f t="shared" si="0"/>
        <v>借</v>
      </c>
      <c r="K27" s="41">
        <f t="shared" si="2"/>
        <v>137276.51</v>
      </c>
      <c r="L27" s="9"/>
      <c r="M27" s="65"/>
    </row>
    <row r="28" spans="1:13" ht="20.100000000000001" customHeight="1" x14ac:dyDescent="0.15">
      <c r="A28" s="5"/>
      <c r="B28" s="5"/>
      <c r="C28" s="5"/>
      <c r="D28" s="7"/>
      <c r="E28" s="7"/>
      <c r="F28" s="7"/>
      <c r="G28" s="7"/>
      <c r="H28" s="8"/>
      <c r="I28" s="14"/>
      <c r="J28" s="8" t="str">
        <f t="shared" si="0"/>
        <v>借</v>
      </c>
      <c r="K28" s="41">
        <f t="shared" si="2"/>
        <v>137276.51</v>
      </c>
      <c r="L28" s="9"/>
    </row>
    <row r="29" spans="1:13" ht="20.100000000000001" customHeight="1" x14ac:dyDescent="0.15">
      <c r="A29" s="5"/>
      <c r="B29" s="5"/>
      <c r="C29" s="5"/>
      <c r="D29" s="7"/>
      <c r="E29" s="7"/>
      <c r="F29" s="7"/>
      <c r="G29" s="7"/>
      <c r="H29" s="8"/>
      <c r="I29" s="14"/>
      <c r="J29" s="8" t="str">
        <f t="shared" si="0"/>
        <v>借</v>
      </c>
      <c r="K29" s="41">
        <f t="shared" si="2"/>
        <v>137276.51</v>
      </c>
      <c r="L29" s="9"/>
    </row>
    <row r="30" spans="1:13" ht="20.100000000000001" customHeight="1" x14ac:dyDescent="0.15">
      <c r="A30" s="5"/>
      <c r="B30" s="5"/>
      <c r="C30" s="5"/>
      <c r="D30" s="7"/>
      <c r="E30" s="7"/>
      <c r="F30" s="7"/>
      <c r="G30" s="7"/>
      <c r="H30" s="8"/>
      <c r="I30" s="14"/>
      <c r="J30" s="8" t="str">
        <f t="shared" si="0"/>
        <v>借</v>
      </c>
      <c r="K30" s="41">
        <f t="shared" si="2"/>
        <v>137276.51</v>
      </c>
      <c r="L30" s="9"/>
    </row>
    <row r="31" spans="1:13" ht="20.100000000000001" customHeight="1" x14ac:dyDescent="0.15">
      <c r="A31" s="5"/>
      <c r="B31" s="5"/>
      <c r="C31" s="5"/>
      <c r="D31" s="7"/>
      <c r="E31" s="7"/>
      <c r="F31" s="7"/>
      <c r="G31" s="7"/>
      <c r="H31" s="8"/>
      <c r="I31" s="14"/>
      <c r="J31" s="8" t="str">
        <f t="shared" si="0"/>
        <v>借</v>
      </c>
      <c r="K31" s="41">
        <f t="shared" si="2"/>
        <v>137276.51</v>
      </c>
      <c r="L31" s="9"/>
    </row>
    <row r="32" spans="1:13" ht="20.100000000000001" customHeight="1" x14ac:dyDescent="0.15">
      <c r="A32" s="5"/>
      <c r="B32" s="5"/>
      <c r="C32" s="5"/>
      <c r="D32" s="7"/>
      <c r="E32" s="7"/>
      <c r="F32" s="7"/>
      <c r="G32" s="7"/>
      <c r="H32" s="8"/>
      <c r="I32" s="14"/>
      <c r="J32" s="8" t="str">
        <f t="shared" si="0"/>
        <v>借</v>
      </c>
      <c r="K32" s="41">
        <f t="shared" si="2"/>
        <v>137276.51</v>
      </c>
      <c r="L32" s="9"/>
    </row>
    <row r="33" spans="1:13" ht="20.100000000000001" customHeight="1" x14ac:dyDescent="0.15">
      <c r="A33" s="5"/>
      <c r="B33" s="5"/>
      <c r="C33" s="5"/>
      <c r="D33" s="7"/>
      <c r="E33" s="7"/>
      <c r="F33" s="7"/>
      <c r="G33" s="7"/>
      <c r="H33" s="8"/>
      <c r="I33" s="14"/>
      <c r="J33" s="8" t="str">
        <f t="shared" si="0"/>
        <v>借</v>
      </c>
      <c r="K33" s="41">
        <f t="shared" si="2"/>
        <v>137276.51</v>
      </c>
      <c r="L33" s="9"/>
      <c r="M33" s="65"/>
    </row>
    <row r="34" spans="1:13" ht="20.100000000000001" customHeight="1" x14ac:dyDescent="0.15">
      <c r="A34" s="5"/>
      <c r="B34" s="5"/>
      <c r="C34" s="5"/>
      <c r="D34" s="7"/>
      <c r="E34" s="7"/>
      <c r="F34" s="7"/>
      <c r="G34" s="7"/>
      <c r="H34" s="8"/>
      <c r="I34" s="14"/>
      <c r="J34" s="8" t="str">
        <f t="shared" si="0"/>
        <v>借</v>
      </c>
      <c r="K34" s="41">
        <f t="shared" si="2"/>
        <v>137276.51</v>
      </c>
      <c r="L34" s="9"/>
      <c r="M34" s="65"/>
    </row>
    <row r="35" spans="1:13" ht="20.100000000000001" customHeight="1" x14ac:dyDescent="0.15">
      <c r="A35" s="5"/>
      <c r="B35" s="5"/>
      <c r="C35" s="5"/>
      <c r="D35" s="7"/>
      <c r="E35" s="7"/>
      <c r="F35" s="7"/>
      <c r="G35" s="7"/>
      <c r="H35" s="8"/>
      <c r="I35" s="14"/>
      <c r="J35" s="8" t="str">
        <f t="shared" si="0"/>
        <v>借</v>
      </c>
      <c r="K35" s="41">
        <f t="shared" si="2"/>
        <v>137276.51</v>
      </c>
      <c r="L35" s="9"/>
      <c r="M35" s="65"/>
    </row>
    <row r="36" spans="1:13" ht="20.100000000000001" customHeight="1" x14ac:dyDescent="0.15">
      <c r="A36" s="5"/>
      <c r="B36" s="5"/>
      <c r="C36" s="5"/>
      <c r="D36" s="7"/>
      <c r="E36" s="7"/>
      <c r="F36" s="7"/>
      <c r="G36" s="7"/>
      <c r="H36" s="8"/>
      <c r="I36" s="14"/>
      <c r="J36" s="8" t="str">
        <f t="shared" si="0"/>
        <v>借</v>
      </c>
      <c r="K36" s="41">
        <f t="shared" si="2"/>
        <v>137276.51</v>
      </c>
      <c r="L36" s="9"/>
    </row>
    <row r="37" spans="1:13" ht="20.100000000000001" customHeight="1" x14ac:dyDescent="0.15">
      <c r="A37" s="5"/>
      <c r="B37" s="5"/>
      <c r="C37" s="5"/>
      <c r="D37" s="7"/>
      <c r="E37" s="7"/>
      <c r="F37" s="7"/>
      <c r="G37" s="7"/>
      <c r="H37" s="8"/>
      <c r="I37" s="14"/>
      <c r="J37" s="8" t="str">
        <f t="shared" si="0"/>
        <v>借</v>
      </c>
      <c r="K37" s="41">
        <f t="shared" si="2"/>
        <v>137276.51</v>
      </c>
      <c r="L37" s="9"/>
    </row>
    <row r="38" spans="1:13" ht="20.100000000000001" customHeight="1" x14ac:dyDescent="0.15">
      <c r="A38" s="5"/>
      <c r="B38" s="5"/>
      <c r="C38" s="5"/>
      <c r="D38" s="7"/>
      <c r="E38" s="11"/>
      <c r="F38" s="7"/>
      <c r="G38" s="7"/>
      <c r="H38" s="8"/>
      <c r="I38" s="14"/>
      <c r="J38" s="8" t="str">
        <f t="shared" si="0"/>
        <v>借</v>
      </c>
      <c r="K38" s="41">
        <f t="shared" si="2"/>
        <v>137276.51</v>
      </c>
      <c r="L38" s="9"/>
    </row>
    <row r="39" spans="1:13" ht="20.100000000000001" customHeight="1" x14ac:dyDescent="0.15">
      <c r="A39" s="5"/>
      <c r="B39" s="5"/>
      <c r="C39" s="5"/>
      <c r="D39" s="7"/>
      <c r="E39" s="11"/>
      <c r="F39" s="7"/>
      <c r="G39" s="7"/>
      <c r="H39" s="8"/>
      <c r="I39" s="14"/>
      <c r="J39" s="8" t="str">
        <f t="shared" si="0"/>
        <v>借</v>
      </c>
      <c r="K39" s="41">
        <f t="shared" si="2"/>
        <v>137276.51</v>
      </c>
      <c r="L39" s="9"/>
    </row>
    <row r="40" spans="1:13" ht="20.100000000000001" customHeight="1" x14ac:dyDescent="0.15">
      <c r="A40" s="5"/>
      <c r="B40" s="5"/>
      <c r="C40" s="5"/>
      <c r="D40" s="7"/>
      <c r="E40" s="11"/>
      <c r="F40" s="7"/>
      <c r="G40" s="7"/>
      <c r="H40" s="8"/>
      <c r="I40" s="14"/>
      <c r="J40" s="8" t="str">
        <f t="shared" si="0"/>
        <v>借</v>
      </c>
      <c r="K40" s="41">
        <f t="shared" si="2"/>
        <v>137276.51</v>
      </c>
      <c r="L40" s="9"/>
    </row>
    <row r="41" spans="1:13" ht="20.100000000000001" customHeight="1" x14ac:dyDescent="0.15">
      <c r="A41" s="5"/>
      <c r="B41" s="5"/>
      <c r="C41" s="5"/>
      <c r="D41" s="7"/>
      <c r="E41" s="7"/>
      <c r="F41" s="7"/>
      <c r="G41" s="7"/>
      <c r="H41" s="8"/>
      <c r="I41" s="14"/>
      <c r="J41" s="8" t="str">
        <f t="shared" si="0"/>
        <v>借</v>
      </c>
      <c r="K41" s="41">
        <f t="shared" si="2"/>
        <v>137276.51</v>
      </c>
      <c r="L41" s="9"/>
    </row>
    <row r="42" spans="1:13" ht="20.100000000000001" customHeight="1" x14ac:dyDescent="0.15">
      <c r="A42" s="5"/>
      <c r="B42" s="5"/>
      <c r="C42" s="5"/>
      <c r="D42" s="7"/>
      <c r="E42" s="11"/>
      <c r="F42" s="7"/>
      <c r="G42" s="7"/>
      <c r="H42" s="8"/>
      <c r="I42" s="14"/>
      <c r="J42" s="8" t="str">
        <f t="shared" si="0"/>
        <v>借</v>
      </c>
      <c r="K42" s="41">
        <f t="shared" si="2"/>
        <v>137276.51</v>
      </c>
      <c r="L42" s="9"/>
    </row>
    <row r="43" spans="1:13" ht="20.100000000000001" customHeight="1" x14ac:dyDescent="0.15">
      <c r="A43" s="5"/>
      <c r="B43" s="5"/>
      <c r="C43" s="5"/>
      <c r="D43" s="7"/>
      <c r="E43" s="11"/>
      <c r="F43" s="7"/>
      <c r="G43" s="7"/>
      <c r="H43" s="8"/>
      <c r="I43" s="14"/>
      <c r="J43" s="8" t="str">
        <f t="shared" si="0"/>
        <v>借</v>
      </c>
      <c r="K43" s="41">
        <f t="shared" ref="K43:K74" si="3">K42+H43-I43</f>
        <v>137276.51</v>
      </c>
      <c r="L43" s="9"/>
    </row>
    <row r="44" spans="1:13" ht="20.100000000000001" customHeight="1" x14ac:dyDescent="0.15">
      <c r="A44" s="5"/>
      <c r="B44" s="5"/>
      <c r="C44" s="5"/>
      <c r="D44" s="7"/>
      <c r="E44" s="7"/>
      <c r="F44" s="7"/>
      <c r="G44" s="7"/>
      <c r="H44" s="8"/>
      <c r="I44" s="14"/>
      <c r="J44" s="8" t="str">
        <f t="shared" si="0"/>
        <v>借</v>
      </c>
      <c r="K44" s="41">
        <f t="shared" si="3"/>
        <v>137276.51</v>
      </c>
      <c r="L44" s="9"/>
    </row>
    <row r="45" spans="1:13" ht="20.100000000000001" customHeight="1" x14ac:dyDescent="0.15">
      <c r="A45" s="5"/>
      <c r="B45" s="5"/>
      <c r="C45" s="5"/>
      <c r="D45" s="7"/>
      <c r="E45" s="7"/>
      <c r="F45" s="7"/>
      <c r="G45" s="7"/>
      <c r="H45" s="8"/>
      <c r="I45" s="14"/>
      <c r="J45" s="8" t="str">
        <f t="shared" si="0"/>
        <v>借</v>
      </c>
      <c r="K45" s="41">
        <f t="shared" si="3"/>
        <v>137276.51</v>
      </c>
      <c r="L45" s="9"/>
    </row>
    <row r="46" spans="1:13" ht="20.100000000000001" customHeight="1" x14ac:dyDescent="0.15">
      <c r="A46" s="5"/>
      <c r="B46" s="5"/>
      <c r="C46" s="5"/>
      <c r="D46" s="7"/>
      <c r="E46" s="7"/>
      <c r="F46" s="7"/>
      <c r="G46" s="7"/>
      <c r="H46" s="8"/>
      <c r="I46" s="14"/>
      <c r="J46" s="8" t="str">
        <f t="shared" si="0"/>
        <v>借</v>
      </c>
      <c r="K46" s="41">
        <f t="shared" si="3"/>
        <v>137276.51</v>
      </c>
      <c r="L46" s="9"/>
    </row>
    <row r="47" spans="1:13" ht="20.100000000000001" customHeight="1" x14ac:dyDescent="0.15">
      <c r="A47" s="5"/>
      <c r="B47" s="5"/>
      <c r="C47" s="5"/>
      <c r="D47" s="10"/>
      <c r="E47" s="7"/>
      <c r="F47" s="10"/>
      <c r="G47" s="7"/>
      <c r="H47" s="15"/>
      <c r="I47" s="15"/>
      <c r="J47" s="8" t="str">
        <f t="shared" si="0"/>
        <v>借</v>
      </c>
      <c r="K47" s="41">
        <f t="shared" si="3"/>
        <v>137276.51</v>
      </c>
      <c r="L47" s="9"/>
    </row>
    <row r="48" spans="1:13" ht="20.100000000000001" customHeight="1" x14ac:dyDescent="0.15">
      <c r="A48" s="5"/>
      <c r="B48" s="5"/>
      <c r="C48" s="5"/>
      <c r="D48" s="10"/>
      <c r="E48" s="10"/>
      <c r="F48" s="10"/>
      <c r="G48" s="10"/>
      <c r="H48" s="8"/>
      <c r="I48" s="14"/>
      <c r="J48" s="8" t="str">
        <f t="shared" si="0"/>
        <v>借</v>
      </c>
      <c r="K48" s="41">
        <f t="shared" si="3"/>
        <v>137276.51</v>
      </c>
      <c r="L48" s="9"/>
    </row>
    <row r="49" spans="1:12" ht="20.100000000000001" customHeight="1" x14ac:dyDescent="0.15">
      <c r="A49" s="5"/>
      <c r="B49" s="5"/>
      <c r="C49" s="5"/>
      <c r="D49" s="10"/>
      <c r="E49" s="7"/>
      <c r="F49" s="7"/>
      <c r="G49" s="7"/>
      <c r="H49" s="8"/>
      <c r="I49" s="14"/>
      <c r="J49" s="8" t="str">
        <f t="shared" si="0"/>
        <v>借</v>
      </c>
      <c r="K49" s="41">
        <f t="shared" si="3"/>
        <v>137276.51</v>
      </c>
      <c r="L49" s="9"/>
    </row>
    <row r="50" spans="1:12" ht="20.100000000000001" customHeight="1" x14ac:dyDescent="0.15">
      <c r="A50" s="5"/>
      <c r="B50" s="5"/>
      <c r="C50" s="5"/>
      <c r="D50" s="7"/>
      <c r="E50" s="7"/>
      <c r="F50" s="7"/>
      <c r="G50" s="7"/>
      <c r="H50" s="8"/>
      <c r="I50" s="14"/>
      <c r="J50" s="8" t="str">
        <f t="shared" si="0"/>
        <v>借</v>
      </c>
      <c r="K50" s="41">
        <f t="shared" si="3"/>
        <v>137276.51</v>
      </c>
      <c r="L50" s="9"/>
    </row>
    <row r="51" spans="1:12" ht="20.100000000000001" customHeight="1" x14ac:dyDescent="0.15">
      <c r="A51" s="5"/>
      <c r="B51" s="5"/>
      <c r="C51" s="5"/>
      <c r="D51" s="7"/>
      <c r="E51" s="7"/>
      <c r="F51" s="7"/>
      <c r="G51" s="7"/>
      <c r="H51" s="8"/>
      <c r="I51" s="14"/>
      <c r="J51" s="8" t="str">
        <f t="shared" si="0"/>
        <v>借</v>
      </c>
      <c r="K51" s="41">
        <f t="shared" si="3"/>
        <v>137276.51</v>
      </c>
      <c r="L51" s="9"/>
    </row>
    <row r="52" spans="1:12" ht="20.100000000000001" customHeight="1" x14ac:dyDescent="0.15">
      <c r="A52" s="5"/>
      <c r="B52" s="5"/>
      <c r="C52" s="5"/>
      <c r="D52" s="7"/>
      <c r="E52" s="7"/>
      <c r="F52" s="7"/>
      <c r="G52" s="7"/>
      <c r="H52" s="8"/>
      <c r="I52" s="14"/>
      <c r="J52" s="8" t="str">
        <f t="shared" si="0"/>
        <v>借</v>
      </c>
      <c r="K52" s="41">
        <f t="shared" si="3"/>
        <v>137276.51</v>
      </c>
      <c r="L52" s="9"/>
    </row>
    <row r="53" spans="1:12" ht="20.100000000000001" customHeight="1" x14ac:dyDescent="0.15">
      <c r="A53" s="10"/>
      <c r="B53" s="5"/>
      <c r="C53" s="5"/>
      <c r="D53" s="7"/>
      <c r="E53" s="7"/>
      <c r="F53" s="7"/>
      <c r="G53" s="7"/>
      <c r="H53" s="8"/>
      <c r="I53" s="14"/>
      <c r="J53" s="8" t="str">
        <f t="shared" si="0"/>
        <v>借</v>
      </c>
      <c r="K53" s="41">
        <f t="shared" si="3"/>
        <v>137276.51</v>
      </c>
      <c r="L53" s="9"/>
    </row>
    <row r="54" spans="1:12" ht="20.100000000000001" customHeight="1" x14ac:dyDescent="0.15">
      <c r="A54" s="10"/>
      <c r="B54" s="5"/>
      <c r="C54" s="5"/>
      <c r="D54" s="7"/>
      <c r="E54" s="7"/>
      <c r="F54" s="10"/>
      <c r="G54" s="7"/>
      <c r="H54" s="8"/>
      <c r="I54" s="14"/>
      <c r="J54" s="8" t="str">
        <f t="shared" si="0"/>
        <v>借</v>
      </c>
      <c r="K54" s="41">
        <f t="shared" si="3"/>
        <v>137276.51</v>
      </c>
      <c r="L54" s="9"/>
    </row>
    <row r="55" spans="1:12" ht="20.100000000000001" customHeight="1" x14ac:dyDescent="0.15">
      <c r="A55" s="10"/>
      <c r="B55" s="5"/>
      <c r="C55" s="5"/>
      <c r="D55" s="7"/>
      <c r="E55" s="7"/>
      <c r="F55" s="7"/>
      <c r="G55" s="7"/>
      <c r="H55" s="8"/>
      <c r="I55" s="14"/>
      <c r="J55" s="8" t="str">
        <f t="shared" si="0"/>
        <v>借</v>
      </c>
      <c r="K55" s="41">
        <f t="shared" si="3"/>
        <v>137276.51</v>
      </c>
      <c r="L55" s="9"/>
    </row>
    <row r="56" spans="1:12" ht="20.100000000000001" customHeight="1" x14ac:dyDescent="0.15">
      <c r="A56" s="10"/>
      <c r="B56" s="5"/>
      <c r="C56" s="5"/>
      <c r="D56" s="10"/>
      <c r="E56" s="7"/>
      <c r="F56" s="7"/>
      <c r="G56" s="7"/>
      <c r="H56" s="8"/>
      <c r="I56" s="14"/>
      <c r="J56" s="8" t="str">
        <f t="shared" si="0"/>
        <v>借</v>
      </c>
      <c r="K56" s="41">
        <f t="shared" si="3"/>
        <v>137276.51</v>
      </c>
      <c r="L56" s="9"/>
    </row>
    <row r="57" spans="1:12" ht="20.100000000000001" customHeight="1" x14ac:dyDescent="0.15">
      <c r="A57" s="10"/>
      <c r="B57" s="5"/>
      <c r="C57" s="5"/>
      <c r="D57" s="10"/>
      <c r="E57" s="7"/>
      <c r="F57" s="10"/>
      <c r="G57" s="7"/>
      <c r="H57" s="8"/>
      <c r="I57" s="14"/>
      <c r="J57" s="8" t="str">
        <f t="shared" si="0"/>
        <v>借</v>
      </c>
      <c r="K57" s="41">
        <f t="shared" si="3"/>
        <v>137276.51</v>
      </c>
      <c r="L57" s="9"/>
    </row>
    <row r="58" spans="1:12" ht="20.100000000000001" customHeight="1" x14ac:dyDescent="0.15">
      <c r="A58" s="10"/>
      <c r="B58" s="5"/>
      <c r="C58" s="5"/>
      <c r="D58" s="10"/>
      <c r="E58" s="11"/>
      <c r="F58" s="10"/>
      <c r="G58" s="7"/>
      <c r="H58" s="8"/>
      <c r="I58" s="14"/>
      <c r="J58" s="8" t="str">
        <f t="shared" si="0"/>
        <v>借</v>
      </c>
      <c r="K58" s="41">
        <f t="shared" si="3"/>
        <v>137276.51</v>
      </c>
      <c r="L58" s="9"/>
    </row>
    <row r="59" spans="1:12" ht="20.100000000000001" customHeight="1" x14ac:dyDescent="0.15">
      <c r="A59" s="5"/>
      <c r="B59" s="5"/>
      <c r="C59" s="5"/>
      <c r="D59" s="10"/>
      <c r="E59" s="7"/>
      <c r="F59" s="10"/>
      <c r="G59" s="7"/>
      <c r="H59" s="8"/>
      <c r="I59" s="15"/>
      <c r="J59" s="8" t="str">
        <f t="shared" si="0"/>
        <v>借</v>
      </c>
      <c r="K59" s="41">
        <f t="shared" si="3"/>
        <v>137276.51</v>
      </c>
      <c r="L59" s="9"/>
    </row>
    <row r="60" spans="1:12" ht="20.100000000000001" customHeight="1" x14ac:dyDescent="0.15">
      <c r="A60" s="5"/>
      <c r="B60" s="5"/>
      <c r="C60" s="5"/>
      <c r="D60" s="10"/>
      <c r="E60" s="11"/>
      <c r="F60" s="10"/>
      <c r="G60" s="7"/>
      <c r="H60" s="8"/>
      <c r="I60" s="15"/>
      <c r="J60" s="8" t="str">
        <f t="shared" si="0"/>
        <v>借</v>
      </c>
      <c r="K60" s="41">
        <f t="shared" si="3"/>
        <v>137276.51</v>
      </c>
      <c r="L60" s="9"/>
    </row>
    <row r="61" spans="1:12" ht="20.100000000000001" customHeight="1" x14ac:dyDescent="0.15">
      <c r="A61" s="5"/>
      <c r="B61" s="5"/>
      <c r="C61" s="5"/>
      <c r="D61" s="7"/>
      <c r="E61" s="7"/>
      <c r="F61" s="7"/>
      <c r="G61" s="7"/>
      <c r="H61" s="8"/>
      <c r="I61" s="15"/>
      <c r="J61" s="8" t="str">
        <f t="shared" si="0"/>
        <v>借</v>
      </c>
      <c r="K61" s="41">
        <f t="shared" si="3"/>
        <v>137276.51</v>
      </c>
      <c r="L61" s="9"/>
    </row>
    <row r="62" spans="1:12" ht="20.100000000000001" customHeight="1" x14ac:dyDescent="0.15">
      <c r="A62" s="5"/>
      <c r="B62" s="5"/>
      <c r="C62" s="5"/>
      <c r="D62" s="7"/>
      <c r="E62" s="7"/>
      <c r="F62" s="7"/>
      <c r="G62" s="7"/>
      <c r="H62" s="8"/>
      <c r="I62" s="15"/>
      <c r="J62" s="8" t="str">
        <f t="shared" si="0"/>
        <v>借</v>
      </c>
      <c r="K62" s="41">
        <f t="shared" si="3"/>
        <v>137276.51</v>
      </c>
      <c r="L62" s="9"/>
    </row>
    <row r="63" spans="1:12" ht="20.100000000000001" customHeight="1" x14ac:dyDescent="0.15">
      <c r="A63" s="5"/>
      <c r="B63" s="5"/>
      <c r="C63" s="5"/>
      <c r="D63" s="7"/>
      <c r="E63" s="7"/>
      <c r="F63" s="7"/>
      <c r="G63" s="7"/>
      <c r="H63" s="8"/>
      <c r="I63" s="15"/>
      <c r="J63" s="8" t="str">
        <f t="shared" si="0"/>
        <v>借</v>
      </c>
      <c r="K63" s="41">
        <f t="shared" si="3"/>
        <v>137276.51</v>
      </c>
      <c r="L63" s="9"/>
    </row>
    <row r="64" spans="1:12" ht="20.100000000000001" customHeight="1" x14ac:dyDescent="0.15">
      <c r="A64" s="5"/>
      <c r="B64" s="5"/>
      <c r="C64" s="5"/>
      <c r="D64" s="11"/>
      <c r="E64" s="11"/>
      <c r="F64" s="7"/>
      <c r="G64" s="7"/>
      <c r="H64" s="8"/>
      <c r="I64" s="14"/>
      <c r="J64" s="8" t="str">
        <f t="shared" si="0"/>
        <v>借</v>
      </c>
      <c r="K64" s="41">
        <f t="shared" si="3"/>
        <v>137276.51</v>
      </c>
      <c r="L64" s="9"/>
    </row>
    <row r="65" spans="1:12" ht="20.100000000000001" customHeight="1" x14ac:dyDescent="0.15">
      <c r="A65" s="10"/>
      <c r="B65" s="5"/>
      <c r="C65" s="5"/>
      <c r="D65" s="7"/>
      <c r="E65" s="7"/>
      <c r="F65" s="7"/>
      <c r="G65" s="7"/>
      <c r="H65" s="8"/>
      <c r="I65" s="14"/>
      <c r="J65" s="8" t="str">
        <f t="shared" si="0"/>
        <v>借</v>
      </c>
      <c r="K65" s="41">
        <f t="shared" si="3"/>
        <v>137276.51</v>
      </c>
      <c r="L65" s="9"/>
    </row>
    <row r="66" spans="1:12" ht="20.100000000000001" customHeight="1" x14ac:dyDescent="0.15">
      <c r="A66" s="10"/>
      <c r="B66" s="5"/>
      <c r="C66" s="5"/>
      <c r="D66" s="10"/>
      <c r="F66" s="10"/>
      <c r="G66" s="7"/>
      <c r="H66" s="8"/>
      <c r="I66" s="14"/>
      <c r="J66" s="8" t="str">
        <f t="shared" si="0"/>
        <v>借</v>
      </c>
      <c r="K66" s="41">
        <f t="shared" si="3"/>
        <v>137276.51</v>
      </c>
      <c r="L66" s="9"/>
    </row>
    <row r="67" spans="1:12" ht="20.100000000000001" customHeight="1" x14ac:dyDescent="0.15">
      <c r="A67" s="5"/>
      <c r="B67" s="5"/>
      <c r="C67" s="5"/>
      <c r="D67" s="10"/>
      <c r="E67" s="7"/>
      <c r="F67" s="7"/>
      <c r="G67" s="7"/>
      <c r="H67" s="8"/>
      <c r="I67" s="15"/>
      <c r="J67" s="8" t="str">
        <f t="shared" si="0"/>
        <v>借</v>
      </c>
      <c r="K67" s="41">
        <f t="shared" si="3"/>
        <v>137276.51</v>
      </c>
      <c r="L67" s="9"/>
    </row>
    <row r="68" spans="1:12" ht="20.100000000000001" customHeight="1" x14ac:dyDescent="0.15">
      <c r="A68" s="5"/>
      <c r="B68" s="5"/>
      <c r="C68" s="5"/>
      <c r="D68" s="10"/>
      <c r="E68" s="10"/>
      <c r="F68" s="10"/>
      <c r="G68" s="7"/>
      <c r="H68" s="8"/>
      <c r="I68" s="15"/>
      <c r="J68" s="8" t="str">
        <f t="shared" si="0"/>
        <v>借</v>
      </c>
      <c r="K68" s="41">
        <f t="shared" si="3"/>
        <v>137276.51</v>
      </c>
      <c r="L68" s="9"/>
    </row>
    <row r="69" spans="1:12" ht="20.100000000000001" customHeight="1" x14ac:dyDescent="0.15">
      <c r="A69" s="5"/>
      <c r="B69" s="5"/>
      <c r="C69" s="5"/>
      <c r="D69" s="10"/>
      <c r="E69" s="11"/>
      <c r="F69" s="10"/>
      <c r="G69" s="7"/>
      <c r="H69" s="8"/>
      <c r="I69" s="15"/>
      <c r="J69" s="8" t="str">
        <f t="shared" ref="J69:J132" si="4">IF((K68+H69-I69)&gt;0,"借","贷")</f>
        <v>借</v>
      </c>
      <c r="K69" s="41">
        <f t="shared" si="3"/>
        <v>137276.51</v>
      </c>
      <c r="L69" s="9"/>
    </row>
    <row r="70" spans="1:12" ht="20.100000000000001" customHeight="1" x14ac:dyDescent="0.15">
      <c r="A70" s="5"/>
      <c r="B70" s="5"/>
      <c r="C70" s="5"/>
      <c r="D70" s="10"/>
      <c r="E70" s="11"/>
      <c r="F70" s="10"/>
      <c r="G70" s="7"/>
      <c r="H70" s="8"/>
      <c r="I70" s="14"/>
      <c r="J70" s="8" t="str">
        <f t="shared" si="4"/>
        <v>借</v>
      </c>
      <c r="K70" s="41">
        <f t="shared" si="3"/>
        <v>137276.51</v>
      </c>
      <c r="L70" s="9"/>
    </row>
    <row r="71" spans="1:12" ht="20.100000000000001" customHeight="1" x14ac:dyDescent="0.15">
      <c r="A71" s="5"/>
      <c r="B71" s="5"/>
      <c r="C71" s="5"/>
      <c r="D71" s="10"/>
      <c r="E71" s="7"/>
      <c r="F71" s="10"/>
      <c r="G71" s="7"/>
      <c r="H71" s="8"/>
      <c r="I71" s="14"/>
      <c r="J71" s="8" t="str">
        <f t="shared" si="4"/>
        <v>借</v>
      </c>
      <c r="K71" s="41">
        <f t="shared" si="3"/>
        <v>137276.51</v>
      </c>
      <c r="L71" s="9"/>
    </row>
    <row r="72" spans="1:12" ht="20.100000000000001" customHeight="1" x14ac:dyDescent="0.15">
      <c r="A72" s="5"/>
      <c r="B72" s="5"/>
      <c r="C72" s="5"/>
      <c r="D72" s="10"/>
      <c r="E72" s="7"/>
      <c r="F72" s="7"/>
      <c r="G72" s="7"/>
      <c r="H72" s="8"/>
      <c r="I72" s="14"/>
      <c r="J72" s="8" t="str">
        <f t="shared" si="4"/>
        <v>借</v>
      </c>
      <c r="K72" s="41">
        <f t="shared" si="3"/>
        <v>137276.51</v>
      </c>
      <c r="L72" s="9"/>
    </row>
    <row r="73" spans="1:12" ht="20.100000000000001" customHeight="1" x14ac:dyDescent="0.15">
      <c r="A73" s="10"/>
      <c r="B73" s="5"/>
      <c r="C73" s="10"/>
      <c r="D73" s="10"/>
      <c r="E73" s="7"/>
      <c r="F73" s="10"/>
      <c r="G73" s="7"/>
      <c r="H73" s="8"/>
      <c r="I73" s="14"/>
      <c r="J73" s="8" t="str">
        <f t="shared" si="4"/>
        <v>借</v>
      </c>
      <c r="K73" s="41">
        <f t="shared" si="3"/>
        <v>137276.51</v>
      </c>
      <c r="L73" s="9"/>
    </row>
    <row r="74" spans="1:12" ht="20.100000000000001" customHeight="1" x14ac:dyDescent="0.15">
      <c r="A74" s="10"/>
      <c r="B74" s="5"/>
      <c r="C74" s="10"/>
      <c r="D74" s="7"/>
      <c r="E74" s="7"/>
      <c r="F74" s="7"/>
      <c r="G74" s="7"/>
      <c r="H74" s="8"/>
      <c r="I74" s="14"/>
      <c r="J74" s="8" t="str">
        <f t="shared" si="4"/>
        <v>借</v>
      </c>
      <c r="K74" s="41">
        <f t="shared" si="3"/>
        <v>137276.51</v>
      </c>
      <c r="L74" s="9"/>
    </row>
    <row r="75" spans="1:12" ht="20.100000000000001" customHeight="1" x14ac:dyDescent="0.15">
      <c r="A75" s="5"/>
      <c r="B75" s="5"/>
      <c r="C75" s="10"/>
      <c r="D75" s="7"/>
      <c r="E75" s="7"/>
      <c r="F75" s="7"/>
      <c r="G75" s="7"/>
      <c r="H75" s="8"/>
      <c r="I75" s="15"/>
      <c r="J75" s="8" t="str">
        <f t="shared" si="4"/>
        <v>借</v>
      </c>
      <c r="K75" s="41">
        <f t="shared" ref="K75:K106" si="5">K74+H75-I75</f>
        <v>137276.51</v>
      </c>
      <c r="L75" s="9"/>
    </row>
    <row r="76" spans="1:12" ht="20.100000000000001" customHeight="1" x14ac:dyDescent="0.15">
      <c r="A76" s="5"/>
      <c r="B76" s="5"/>
      <c r="C76" s="10"/>
      <c r="D76" s="11"/>
      <c r="E76" s="11"/>
      <c r="F76" s="7"/>
      <c r="G76" s="7"/>
      <c r="H76" s="8"/>
      <c r="I76" s="15"/>
      <c r="J76" s="8" t="str">
        <f t="shared" si="4"/>
        <v>借</v>
      </c>
      <c r="K76" s="41">
        <f t="shared" si="5"/>
        <v>137276.51</v>
      </c>
      <c r="L76" s="9"/>
    </row>
    <row r="77" spans="1:12" ht="20.100000000000001" customHeight="1" x14ac:dyDescent="0.15">
      <c r="A77" s="5"/>
      <c r="B77" s="5"/>
      <c r="C77" s="10"/>
      <c r="D77" s="7"/>
      <c r="E77" s="7"/>
      <c r="F77" s="7"/>
      <c r="G77" s="7"/>
      <c r="H77" s="8"/>
      <c r="I77" s="15"/>
      <c r="J77" s="8" t="str">
        <f t="shared" si="4"/>
        <v>借</v>
      </c>
      <c r="K77" s="41">
        <f t="shared" si="5"/>
        <v>137276.51</v>
      </c>
      <c r="L77" s="9"/>
    </row>
    <row r="78" spans="1:12" ht="20.100000000000001" customHeight="1" x14ac:dyDescent="0.15">
      <c r="A78" s="5"/>
      <c r="B78" s="5"/>
      <c r="C78" s="10"/>
      <c r="D78" s="10"/>
      <c r="F78" s="10"/>
      <c r="G78" s="7"/>
      <c r="H78" s="8"/>
      <c r="I78" s="15"/>
      <c r="J78" s="8" t="str">
        <f t="shared" si="4"/>
        <v>借</v>
      </c>
      <c r="K78" s="41">
        <f t="shared" si="5"/>
        <v>137276.51</v>
      </c>
      <c r="L78" s="9"/>
    </row>
    <row r="79" spans="1:12" ht="20.100000000000001" customHeight="1" x14ac:dyDescent="0.15">
      <c r="A79" s="5"/>
      <c r="B79" s="5"/>
      <c r="C79" s="10"/>
      <c r="D79" s="10"/>
      <c r="E79" s="7"/>
      <c r="F79" s="7"/>
      <c r="G79" s="7"/>
      <c r="H79" s="8"/>
      <c r="I79" s="14"/>
      <c r="J79" s="8" t="str">
        <f t="shared" si="4"/>
        <v>借</v>
      </c>
      <c r="K79" s="41">
        <f t="shared" si="5"/>
        <v>137276.51</v>
      </c>
      <c r="L79" s="9"/>
    </row>
    <row r="80" spans="1:12" ht="20.100000000000001" customHeight="1" x14ac:dyDescent="0.15">
      <c r="A80" s="5"/>
      <c r="B80" s="5"/>
      <c r="C80" s="10"/>
      <c r="D80" s="10"/>
      <c r="E80" s="11"/>
      <c r="F80" s="10"/>
      <c r="G80" s="7"/>
      <c r="H80" s="8"/>
      <c r="I80" s="14"/>
      <c r="J80" s="8" t="str">
        <f t="shared" si="4"/>
        <v>借</v>
      </c>
      <c r="K80" s="41">
        <f t="shared" si="5"/>
        <v>137276.51</v>
      </c>
      <c r="L80" s="9"/>
    </row>
    <row r="81" spans="1:12" ht="20.100000000000001" customHeight="1" x14ac:dyDescent="0.15">
      <c r="A81" s="5"/>
      <c r="B81" s="5"/>
      <c r="C81" s="10"/>
      <c r="D81" s="10"/>
      <c r="E81" s="11"/>
      <c r="F81" s="7"/>
      <c r="G81" s="7"/>
      <c r="H81" s="8"/>
      <c r="I81" s="14"/>
      <c r="J81" s="8" t="str">
        <f t="shared" si="4"/>
        <v>借</v>
      </c>
      <c r="K81" s="41">
        <f t="shared" si="5"/>
        <v>137276.51</v>
      </c>
      <c r="L81" s="9"/>
    </row>
    <row r="82" spans="1:12" ht="20.100000000000001" customHeight="1" x14ac:dyDescent="0.15">
      <c r="A82" s="10"/>
      <c r="B82" s="5"/>
      <c r="C82" s="10"/>
      <c r="D82" s="10"/>
      <c r="E82" s="11"/>
      <c r="F82" s="7"/>
      <c r="G82" s="7"/>
      <c r="H82" s="8"/>
      <c r="I82" s="14"/>
      <c r="J82" s="8" t="str">
        <f t="shared" si="4"/>
        <v>借</v>
      </c>
      <c r="K82" s="41">
        <f t="shared" si="5"/>
        <v>137276.51</v>
      </c>
      <c r="L82" s="9"/>
    </row>
    <row r="83" spans="1:12" ht="20.100000000000001" customHeight="1" x14ac:dyDescent="0.15">
      <c r="A83" s="10"/>
      <c r="B83" s="5"/>
      <c r="C83" s="10"/>
      <c r="D83" s="10"/>
      <c r="E83" s="11"/>
      <c r="F83" s="7"/>
      <c r="G83" s="7"/>
      <c r="H83" s="8"/>
      <c r="I83" s="14"/>
      <c r="J83" s="8" t="str">
        <f t="shared" si="4"/>
        <v>借</v>
      </c>
      <c r="K83" s="41">
        <f t="shared" si="5"/>
        <v>137276.51</v>
      </c>
      <c r="L83" s="9"/>
    </row>
    <row r="84" spans="1:12" ht="20.100000000000001" customHeight="1" x14ac:dyDescent="0.15">
      <c r="A84" s="5"/>
      <c r="B84" s="5"/>
      <c r="C84" s="10"/>
      <c r="D84" s="10"/>
      <c r="E84" s="11"/>
      <c r="F84" s="10"/>
      <c r="G84" s="7"/>
      <c r="H84" s="8"/>
      <c r="I84" s="14"/>
      <c r="J84" s="8" t="str">
        <f t="shared" si="4"/>
        <v>借</v>
      </c>
      <c r="K84" s="41">
        <f t="shared" si="5"/>
        <v>137276.51</v>
      </c>
      <c r="L84" s="9"/>
    </row>
    <row r="85" spans="1:12" ht="20.100000000000001" customHeight="1" x14ac:dyDescent="0.15">
      <c r="A85" s="5"/>
      <c r="B85" s="5"/>
      <c r="C85" s="5"/>
      <c r="D85" s="7"/>
      <c r="E85" s="10"/>
      <c r="F85" s="7"/>
      <c r="G85" s="7"/>
      <c r="H85" s="8"/>
      <c r="I85" s="14"/>
      <c r="J85" s="8" t="str">
        <f t="shared" si="4"/>
        <v>借</v>
      </c>
      <c r="K85" s="41">
        <f t="shared" si="5"/>
        <v>137276.51</v>
      </c>
      <c r="L85" s="9"/>
    </row>
    <row r="86" spans="1:12" ht="20.100000000000001" customHeight="1" x14ac:dyDescent="0.15">
      <c r="A86" s="5"/>
      <c r="B86" s="5"/>
      <c r="C86" s="5"/>
      <c r="D86" s="10"/>
      <c r="E86" s="11"/>
      <c r="F86" s="7"/>
      <c r="G86" s="7"/>
      <c r="H86" s="8"/>
      <c r="I86" s="14"/>
      <c r="J86" s="8" t="str">
        <f t="shared" si="4"/>
        <v>借</v>
      </c>
      <c r="K86" s="41">
        <f t="shared" si="5"/>
        <v>137276.51</v>
      </c>
      <c r="L86" s="9"/>
    </row>
    <row r="87" spans="1:12" ht="20.100000000000001" customHeight="1" x14ac:dyDescent="0.15">
      <c r="A87" s="5"/>
      <c r="B87" s="5"/>
      <c r="C87" s="5"/>
      <c r="D87" s="10"/>
      <c r="E87" s="11"/>
      <c r="F87" s="7"/>
      <c r="G87" s="7"/>
      <c r="H87" s="8"/>
      <c r="I87" s="14"/>
      <c r="J87" s="8" t="str">
        <f t="shared" si="4"/>
        <v>借</v>
      </c>
      <c r="K87" s="41">
        <f t="shared" si="5"/>
        <v>137276.51</v>
      </c>
      <c r="L87" s="9"/>
    </row>
    <row r="88" spans="1:12" ht="20.100000000000001" customHeight="1" x14ac:dyDescent="0.15">
      <c r="A88" s="5"/>
      <c r="B88" s="5"/>
      <c r="C88" s="5"/>
      <c r="D88" s="10"/>
      <c r="E88" s="11"/>
      <c r="F88" s="7"/>
      <c r="G88" s="7"/>
      <c r="H88" s="8"/>
      <c r="I88" s="14"/>
      <c r="J88" s="8" t="str">
        <f t="shared" si="4"/>
        <v>借</v>
      </c>
      <c r="K88" s="41">
        <f t="shared" si="5"/>
        <v>137276.51</v>
      </c>
      <c r="L88" s="9"/>
    </row>
    <row r="89" spans="1:12" ht="20.100000000000001" customHeight="1" x14ac:dyDescent="0.15">
      <c r="A89" s="5"/>
      <c r="B89" s="5"/>
      <c r="C89" s="5"/>
      <c r="D89" s="10"/>
      <c r="E89" s="7"/>
      <c r="F89" s="10"/>
      <c r="G89" s="7"/>
      <c r="H89" s="8"/>
      <c r="I89" s="14"/>
      <c r="J89" s="8" t="str">
        <f t="shared" si="4"/>
        <v>借</v>
      </c>
      <c r="K89" s="41">
        <f t="shared" si="5"/>
        <v>137276.51</v>
      </c>
      <c r="L89" s="9"/>
    </row>
    <row r="90" spans="1:12" ht="20.100000000000001" customHeight="1" x14ac:dyDescent="0.15">
      <c r="A90" s="10"/>
      <c r="B90" s="5"/>
      <c r="C90" s="5"/>
      <c r="D90" s="10"/>
      <c r="E90" s="8"/>
      <c r="F90" s="10"/>
      <c r="G90" s="7"/>
      <c r="H90" s="8"/>
      <c r="I90" s="39"/>
      <c r="J90" s="8" t="str">
        <f t="shared" si="4"/>
        <v>借</v>
      </c>
      <c r="K90" s="41">
        <f t="shared" si="5"/>
        <v>137276.51</v>
      </c>
      <c r="L90" s="9"/>
    </row>
    <row r="91" spans="1:12" ht="20.100000000000001" customHeight="1" x14ac:dyDescent="0.15">
      <c r="A91" s="10"/>
      <c r="B91" s="5"/>
      <c r="C91" s="5"/>
      <c r="D91" s="10"/>
      <c r="E91" s="7"/>
      <c r="F91" s="10"/>
      <c r="G91" s="7"/>
      <c r="H91" s="8"/>
      <c r="I91" s="39"/>
      <c r="J91" s="8" t="str">
        <f t="shared" si="4"/>
        <v>借</v>
      </c>
      <c r="K91" s="41">
        <f t="shared" si="5"/>
        <v>137276.51</v>
      </c>
      <c r="L91" s="9"/>
    </row>
    <row r="92" spans="1:12" ht="20.100000000000001" customHeight="1" x14ac:dyDescent="0.15">
      <c r="A92" s="10"/>
      <c r="B92" s="5"/>
      <c r="C92" s="5"/>
      <c r="D92" s="7"/>
      <c r="E92" s="7"/>
      <c r="F92" s="7"/>
      <c r="G92" s="7"/>
      <c r="H92" s="8"/>
      <c r="I92" s="39"/>
      <c r="J92" s="8" t="str">
        <f t="shared" si="4"/>
        <v>借</v>
      </c>
      <c r="K92" s="41">
        <f t="shared" si="5"/>
        <v>137276.51</v>
      </c>
      <c r="L92" s="9"/>
    </row>
    <row r="93" spans="1:12" ht="20.100000000000001" customHeight="1" x14ac:dyDescent="0.15">
      <c r="A93" s="10"/>
      <c r="B93" s="5"/>
      <c r="C93" s="5"/>
      <c r="D93" s="7"/>
      <c r="E93" s="7"/>
      <c r="F93" s="7"/>
      <c r="G93" s="7"/>
      <c r="H93" s="8"/>
      <c r="I93" s="39"/>
      <c r="J93" s="8" t="str">
        <f t="shared" si="4"/>
        <v>借</v>
      </c>
      <c r="K93" s="41">
        <f t="shared" si="5"/>
        <v>137276.51</v>
      </c>
      <c r="L93" s="9"/>
    </row>
    <row r="94" spans="1:12" ht="20.100000000000001" customHeight="1" x14ac:dyDescent="0.15">
      <c r="A94" s="5"/>
      <c r="B94" s="5"/>
      <c r="C94" s="5"/>
      <c r="D94" s="10"/>
      <c r="E94" s="7"/>
      <c r="F94" s="7"/>
      <c r="G94" s="7"/>
      <c r="H94" s="8"/>
      <c r="I94" s="39"/>
      <c r="J94" s="8" t="str">
        <f t="shared" si="4"/>
        <v>借</v>
      </c>
      <c r="K94" s="41">
        <f t="shared" si="5"/>
        <v>137276.51</v>
      </c>
      <c r="L94" s="9"/>
    </row>
    <row r="95" spans="1:12" ht="20.100000000000001" customHeight="1" x14ac:dyDescent="0.15">
      <c r="A95" s="5"/>
      <c r="B95" s="5"/>
      <c r="C95" s="5"/>
      <c r="D95" s="7"/>
      <c r="E95" s="7"/>
      <c r="F95" s="7"/>
      <c r="G95" s="7"/>
      <c r="H95" s="8"/>
      <c r="I95" s="15"/>
      <c r="J95" s="8" t="str">
        <f t="shared" si="4"/>
        <v>借</v>
      </c>
      <c r="K95" s="41">
        <f t="shared" si="5"/>
        <v>137276.51</v>
      </c>
      <c r="L95" s="9"/>
    </row>
    <row r="96" spans="1:12" ht="20.100000000000001" customHeight="1" x14ac:dyDescent="0.15">
      <c r="A96" s="5"/>
      <c r="B96" s="5"/>
      <c r="C96" s="5"/>
      <c r="D96" s="10"/>
      <c r="E96" s="7"/>
      <c r="F96" s="10"/>
      <c r="G96" s="7"/>
      <c r="H96" s="8"/>
      <c r="I96" s="39"/>
      <c r="J96" s="8" t="str">
        <f t="shared" si="4"/>
        <v>借</v>
      </c>
      <c r="K96" s="41">
        <f t="shared" si="5"/>
        <v>137276.51</v>
      </c>
      <c r="L96" s="9"/>
    </row>
    <row r="97" spans="1:13" ht="20.100000000000001" customHeight="1" x14ac:dyDescent="0.15">
      <c r="A97" s="5"/>
      <c r="B97" s="5"/>
      <c r="C97" s="5"/>
      <c r="D97" s="10"/>
      <c r="E97" s="11"/>
      <c r="F97" s="7"/>
      <c r="G97" s="7"/>
      <c r="H97" s="8"/>
      <c r="I97" s="14"/>
      <c r="J97" s="8" t="str">
        <f t="shared" si="4"/>
        <v>借</v>
      </c>
      <c r="K97" s="41">
        <f t="shared" si="5"/>
        <v>137276.51</v>
      </c>
      <c r="L97" s="9"/>
    </row>
    <row r="98" spans="1:13" ht="20.100000000000001" customHeight="1" x14ac:dyDescent="0.15">
      <c r="A98" s="5"/>
      <c r="B98" s="5"/>
      <c r="C98" s="5"/>
      <c r="D98" s="10"/>
      <c r="E98" s="11"/>
      <c r="F98" s="7"/>
      <c r="G98" s="7"/>
      <c r="H98" s="8"/>
      <c r="I98" s="14"/>
      <c r="J98" s="8" t="str">
        <f t="shared" si="4"/>
        <v>借</v>
      </c>
      <c r="K98" s="41">
        <f t="shared" si="5"/>
        <v>137276.51</v>
      </c>
      <c r="L98" s="9"/>
    </row>
    <row r="99" spans="1:13" ht="20.100000000000001" customHeight="1" x14ac:dyDescent="0.15">
      <c r="A99" s="5"/>
      <c r="B99" s="5"/>
      <c r="C99" s="5"/>
      <c r="D99" s="10"/>
      <c r="E99" s="11"/>
      <c r="F99" s="7"/>
      <c r="G99" s="7"/>
      <c r="H99" s="8"/>
      <c r="I99" s="14"/>
      <c r="J99" s="8" t="str">
        <f t="shared" si="4"/>
        <v>借</v>
      </c>
      <c r="K99" s="41">
        <f t="shared" si="5"/>
        <v>137276.51</v>
      </c>
      <c r="L99" s="9"/>
    </row>
    <row r="100" spans="1:13" ht="20.100000000000001" customHeight="1" x14ac:dyDescent="0.15">
      <c r="A100" s="5"/>
      <c r="B100" s="5"/>
      <c r="C100" s="5"/>
      <c r="D100" s="10"/>
      <c r="E100" s="11"/>
      <c r="F100" s="7"/>
      <c r="G100" s="7"/>
      <c r="H100" s="8"/>
      <c r="I100" s="14"/>
      <c r="J100" s="8" t="str">
        <f t="shared" si="4"/>
        <v>借</v>
      </c>
      <c r="K100" s="41">
        <f t="shared" si="5"/>
        <v>137276.51</v>
      </c>
      <c r="L100" s="9"/>
    </row>
    <row r="101" spans="1:13" ht="20.100000000000001" customHeight="1" x14ac:dyDescent="0.15">
      <c r="A101" s="5"/>
      <c r="B101" s="5"/>
      <c r="C101" s="5"/>
      <c r="D101" s="10"/>
      <c r="E101" s="11"/>
      <c r="F101" s="7"/>
      <c r="G101" s="7"/>
      <c r="H101" s="8"/>
      <c r="I101" s="14"/>
      <c r="J101" s="8" t="str">
        <f t="shared" si="4"/>
        <v>借</v>
      </c>
      <c r="K101" s="41">
        <f t="shared" si="5"/>
        <v>137276.51</v>
      </c>
      <c r="L101" s="9"/>
    </row>
    <row r="102" spans="1:13" ht="20.100000000000001" customHeight="1" x14ac:dyDescent="0.15">
      <c r="A102" s="5"/>
      <c r="B102" s="5"/>
      <c r="C102" s="5"/>
      <c r="D102" s="10"/>
      <c r="E102" s="11"/>
      <c r="F102" s="10"/>
      <c r="G102" s="7"/>
      <c r="H102" s="8"/>
      <c r="I102" s="14"/>
      <c r="J102" s="8" t="str">
        <f t="shared" si="4"/>
        <v>借</v>
      </c>
      <c r="K102" s="41">
        <f t="shared" si="5"/>
        <v>137276.51</v>
      </c>
      <c r="L102" s="9"/>
    </row>
    <row r="103" spans="1:13" ht="20.100000000000001" customHeight="1" x14ac:dyDescent="0.15">
      <c r="A103" s="10"/>
      <c r="B103" s="5"/>
      <c r="C103" s="10"/>
      <c r="D103" s="7"/>
      <c r="E103" s="7"/>
      <c r="F103" s="10"/>
      <c r="G103" s="7"/>
      <c r="H103" s="8"/>
      <c r="I103" s="14"/>
      <c r="J103" s="8" t="str">
        <f t="shared" si="4"/>
        <v>借</v>
      </c>
      <c r="K103" s="41">
        <f t="shared" si="5"/>
        <v>137276.51</v>
      </c>
      <c r="L103" s="9"/>
      <c r="M103" s="65"/>
    </row>
    <row r="104" spans="1:13" ht="20.100000000000001" customHeight="1" x14ac:dyDescent="0.15">
      <c r="A104" s="10"/>
      <c r="B104" s="5"/>
      <c r="C104" s="10"/>
      <c r="D104" s="7"/>
      <c r="E104" s="10"/>
      <c r="F104" s="7"/>
      <c r="G104" s="7"/>
      <c r="H104" s="8"/>
      <c r="I104" s="14"/>
      <c r="J104" s="8" t="str">
        <f t="shared" si="4"/>
        <v>借</v>
      </c>
      <c r="K104" s="41">
        <f t="shared" si="5"/>
        <v>137276.51</v>
      </c>
      <c r="L104" s="9"/>
      <c r="M104" s="65"/>
    </row>
    <row r="105" spans="1:13" ht="20.100000000000001" customHeight="1" x14ac:dyDescent="0.15">
      <c r="A105" s="5"/>
      <c r="B105" s="5"/>
      <c r="C105" s="10"/>
      <c r="D105" s="10"/>
      <c r="E105" s="11"/>
      <c r="F105" s="10"/>
      <c r="G105" s="7"/>
      <c r="H105" s="8"/>
      <c r="I105" s="14"/>
      <c r="J105" s="8" t="str">
        <f t="shared" si="4"/>
        <v>借</v>
      </c>
      <c r="K105" s="41">
        <f t="shared" si="5"/>
        <v>137276.51</v>
      </c>
      <c r="L105" s="9"/>
      <c r="M105" s="65"/>
    </row>
    <row r="106" spans="1:13" ht="20.100000000000001" customHeight="1" x14ac:dyDescent="0.15">
      <c r="A106" s="5"/>
      <c r="B106" s="5"/>
      <c r="C106" s="5"/>
      <c r="D106" s="10"/>
      <c r="E106" s="11"/>
      <c r="F106" s="7"/>
      <c r="G106" s="7"/>
      <c r="H106" s="8"/>
      <c r="I106" s="14"/>
      <c r="J106" s="8" t="str">
        <f t="shared" si="4"/>
        <v>借</v>
      </c>
      <c r="K106" s="41">
        <f t="shared" si="5"/>
        <v>137276.51</v>
      </c>
      <c r="L106" s="9"/>
    </row>
    <row r="107" spans="1:13" ht="20.100000000000001" customHeight="1" x14ac:dyDescent="0.15">
      <c r="A107" s="5"/>
      <c r="B107" s="5"/>
      <c r="C107" s="5"/>
      <c r="D107" s="10"/>
      <c r="E107" s="7"/>
      <c r="F107" s="10"/>
      <c r="G107" s="7"/>
      <c r="H107" s="8"/>
      <c r="I107" s="14"/>
      <c r="J107" s="8" t="str">
        <f t="shared" si="4"/>
        <v>借</v>
      </c>
      <c r="K107" s="41">
        <f t="shared" ref="K107:K148" si="6">K106+H107-I107</f>
        <v>137276.51</v>
      </c>
      <c r="L107" s="9"/>
    </row>
    <row r="108" spans="1:13" ht="20.100000000000001" customHeight="1" x14ac:dyDescent="0.15">
      <c r="A108" s="5"/>
      <c r="B108" s="5"/>
      <c r="C108" s="5"/>
      <c r="D108" s="10"/>
      <c r="E108" s="7"/>
      <c r="F108" s="10"/>
      <c r="G108" s="7"/>
      <c r="H108" s="8"/>
      <c r="I108" s="14"/>
      <c r="J108" s="8" t="str">
        <f t="shared" si="4"/>
        <v>借</v>
      </c>
      <c r="K108" s="41">
        <f t="shared" si="6"/>
        <v>137276.51</v>
      </c>
      <c r="L108" s="9"/>
    </row>
    <row r="109" spans="1:13" ht="20.100000000000001" customHeight="1" x14ac:dyDescent="0.15">
      <c r="A109" s="5"/>
      <c r="B109" s="5"/>
      <c r="C109" s="5"/>
      <c r="D109" s="10"/>
      <c r="E109" s="11"/>
      <c r="F109" s="10"/>
      <c r="G109" s="7"/>
      <c r="H109" s="8"/>
      <c r="I109" s="14"/>
      <c r="J109" s="8" t="str">
        <f t="shared" si="4"/>
        <v>借</v>
      </c>
      <c r="K109" s="41">
        <f t="shared" si="6"/>
        <v>137276.51</v>
      </c>
      <c r="L109" s="9"/>
    </row>
    <row r="110" spans="1:13" ht="20.100000000000001" customHeight="1" x14ac:dyDescent="0.15">
      <c r="A110" s="5"/>
      <c r="B110" s="5"/>
      <c r="C110" s="5"/>
      <c r="D110" s="10"/>
      <c r="E110" s="11"/>
      <c r="F110" s="10"/>
      <c r="G110" s="7"/>
      <c r="H110" s="8"/>
      <c r="I110" s="14"/>
      <c r="J110" s="8" t="str">
        <f t="shared" si="4"/>
        <v>借</v>
      </c>
      <c r="K110" s="41">
        <f t="shared" si="6"/>
        <v>137276.51</v>
      </c>
      <c r="L110" s="9"/>
    </row>
    <row r="111" spans="1:13" ht="20.100000000000001" customHeight="1" x14ac:dyDescent="0.15">
      <c r="A111" s="10"/>
      <c r="B111" s="5"/>
      <c r="C111" s="5"/>
      <c r="D111" s="10"/>
      <c r="E111" s="11"/>
      <c r="F111" s="7"/>
      <c r="G111" s="7"/>
      <c r="H111" s="8"/>
      <c r="I111" s="14"/>
      <c r="J111" s="8" t="str">
        <f t="shared" si="4"/>
        <v>借</v>
      </c>
      <c r="K111" s="41">
        <f t="shared" si="6"/>
        <v>137276.51</v>
      </c>
      <c r="L111" s="9"/>
    </row>
    <row r="112" spans="1:13" ht="20.100000000000001" customHeight="1" x14ac:dyDescent="0.15">
      <c r="A112" s="10"/>
      <c r="B112" s="5"/>
      <c r="C112" s="5"/>
      <c r="D112" s="10"/>
      <c r="E112" s="11"/>
      <c r="F112" s="7"/>
      <c r="G112" s="7"/>
      <c r="H112" s="8"/>
      <c r="I112" s="14"/>
      <c r="J112" s="8" t="str">
        <f t="shared" si="4"/>
        <v>借</v>
      </c>
      <c r="K112" s="41">
        <f t="shared" si="6"/>
        <v>137276.51</v>
      </c>
      <c r="L112" s="9"/>
    </row>
    <row r="113" spans="1:13" ht="20.100000000000001" customHeight="1" x14ac:dyDescent="0.15">
      <c r="A113" s="5"/>
      <c r="B113" s="5"/>
      <c r="C113" s="5"/>
      <c r="D113" s="10"/>
      <c r="E113" s="11"/>
      <c r="F113" s="7"/>
      <c r="G113" s="7"/>
      <c r="H113" s="8"/>
      <c r="I113" s="14"/>
      <c r="J113" s="8" t="str">
        <f t="shared" si="4"/>
        <v>借</v>
      </c>
      <c r="K113" s="41">
        <f t="shared" si="6"/>
        <v>137276.51</v>
      </c>
      <c r="L113" s="9"/>
    </row>
    <row r="114" spans="1:13" ht="20.100000000000001" customHeight="1" x14ac:dyDescent="0.15">
      <c r="A114" s="5"/>
      <c r="B114" s="5"/>
      <c r="C114" s="5"/>
      <c r="D114" s="10"/>
      <c r="E114" s="11"/>
      <c r="F114" s="7"/>
      <c r="G114" s="7"/>
      <c r="H114" s="8"/>
      <c r="I114" s="14"/>
      <c r="J114" s="8" t="str">
        <f t="shared" si="4"/>
        <v>借</v>
      </c>
      <c r="K114" s="41">
        <f t="shared" si="6"/>
        <v>137276.51</v>
      </c>
      <c r="L114" s="9"/>
    </row>
    <row r="115" spans="1:13" ht="20.100000000000001" customHeight="1" x14ac:dyDescent="0.15">
      <c r="A115" s="5"/>
      <c r="B115" s="5"/>
      <c r="C115" s="5"/>
      <c r="D115" s="10"/>
      <c r="E115" s="11"/>
      <c r="F115" s="10"/>
      <c r="G115" s="7"/>
      <c r="H115" s="8"/>
      <c r="I115" s="14"/>
      <c r="J115" s="8" t="str">
        <f t="shared" si="4"/>
        <v>借</v>
      </c>
      <c r="K115" s="41">
        <f t="shared" si="6"/>
        <v>137276.51</v>
      </c>
      <c r="L115" s="9"/>
    </row>
    <row r="116" spans="1:13" ht="20.100000000000001" customHeight="1" x14ac:dyDescent="0.15">
      <c r="A116" s="5"/>
      <c r="B116" s="5"/>
      <c r="C116" s="10"/>
      <c r="D116" s="7"/>
      <c r="E116" s="7"/>
      <c r="F116" s="10"/>
      <c r="G116" s="7"/>
      <c r="H116" s="8"/>
      <c r="I116" s="14"/>
      <c r="J116" s="8" t="str">
        <f t="shared" si="4"/>
        <v>借</v>
      </c>
      <c r="K116" s="41">
        <f t="shared" si="6"/>
        <v>137276.51</v>
      </c>
      <c r="L116" s="9"/>
    </row>
    <row r="117" spans="1:13" ht="20.100000000000001" customHeight="1" x14ac:dyDescent="0.15">
      <c r="A117" s="5"/>
      <c r="B117" s="5"/>
      <c r="C117" s="10"/>
      <c r="D117" s="7"/>
      <c r="E117" s="10"/>
      <c r="F117" s="7"/>
      <c r="G117" s="7"/>
      <c r="H117" s="8"/>
      <c r="I117" s="14"/>
      <c r="J117" s="8" t="str">
        <f t="shared" si="4"/>
        <v>借</v>
      </c>
      <c r="K117" s="41">
        <f t="shared" si="6"/>
        <v>137276.51</v>
      </c>
      <c r="L117" s="9"/>
    </row>
    <row r="118" spans="1:13" ht="20.100000000000001" customHeight="1" x14ac:dyDescent="0.15">
      <c r="A118" s="5"/>
      <c r="B118" s="5"/>
      <c r="C118" s="10"/>
      <c r="D118" s="10"/>
      <c r="E118" s="11"/>
      <c r="F118" s="10"/>
      <c r="G118" s="7"/>
      <c r="H118" s="8"/>
      <c r="I118" s="14"/>
      <c r="J118" s="8" t="str">
        <f t="shared" si="4"/>
        <v>借</v>
      </c>
      <c r="K118" s="41">
        <f t="shared" si="6"/>
        <v>137276.51</v>
      </c>
      <c r="L118" s="9"/>
    </row>
    <row r="119" spans="1:13" ht="20.100000000000001" customHeight="1" x14ac:dyDescent="0.15">
      <c r="A119" s="10"/>
      <c r="B119" s="5"/>
      <c r="C119" s="5"/>
      <c r="D119" s="10"/>
      <c r="E119" s="11"/>
      <c r="F119" s="7"/>
      <c r="G119" s="7"/>
      <c r="H119" s="8"/>
      <c r="I119" s="14"/>
      <c r="J119" s="8" t="str">
        <f t="shared" si="4"/>
        <v>借</v>
      </c>
      <c r="K119" s="41">
        <f t="shared" si="6"/>
        <v>137276.51</v>
      </c>
      <c r="L119" s="9"/>
    </row>
    <row r="120" spans="1:13" ht="20.100000000000001" customHeight="1" x14ac:dyDescent="0.15">
      <c r="A120" s="10"/>
      <c r="B120" s="5"/>
      <c r="C120" s="5"/>
      <c r="D120" s="10"/>
      <c r="E120" s="11"/>
      <c r="F120" s="7"/>
      <c r="G120" s="7"/>
      <c r="H120" s="8"/>
      <c r="I120" s="14"/>
      <c r="J120" s="8" t="str">
        <f t="shared" si="4"/>
        <v>借</v>
      </c>
      <c r="K120" s="41">
        <f t="shared" si="6"/>
        <v>137276.51</v>
      </c>
      <c r="L120" s="9"/>
    </row>
    <row r="121" spans="1:13" ht="20.100000000000001" customHeight="1" x14ac:dyDescent="0.15">
      <c r="A121" s="10"/>
      <c r="B121" s="5"/>
      <c r="C121" s="5"/>
      <c r="D121" s="10"/>
      <c r="E121" s="7"/>
      <c r="F121" s="10"/>
      <c r="G121" s="7"/>
      <c r="H121" s="8"/>
      <c r="I121" s="14"/>
      <c r="J121" s="8" t="str">
        <f t="shared" si="4"/>
        <v>借</v>
      </c>
      <c r="K121" s="41">
        <f t="shared" si="6"/>
        <v>137276.51</v>
      </c>
      <c r="L121" s="9"/>
      <c r="M121" s="65"/>
    </row>
    <row r="122" spans="1:13" ht="20.100000000000001" customHeight="1" x14ac:dyDescent="0.15">
      <c r="A122" s="10"/>
      <c r="B122" s="5"/>
      <c r="C122" s="5"/>
      <c r="D122" s="10"/>
      <c r="E122" s="11"/>
      <c r="F122" s="10"/>
      <c r="G122" s="7"/>
      <c r="H122" s="8"/>
      <c r="I122" s="14"/>
      <c r="J122" s="8" t="str">
        <f t="shared" si="4"/>
        <v>借</v>
      </c>
      <c r="K122" s="41">
        <f t="shared" si="6"/>
        <v>137276.51</v>
      </c>
      <c r="L122" s="9"/>
      <c r="M122" s="65"/>
    </row>
    <row r="123" spans="1:13" ht="20.100000000000001" customHeight="1" x14ac:dyDescent="0.15">
      <c r="A123" s="5"/>
      <c r="B123" s="5"/>
      <c r="C123" s="5"/>
      <c r="D123" s="10"/>
      <c r="E123" s="11"/>
      <c r="F123" s="10"/>
      <c r="G123" s="10"/>
      <c r="H123" s="8"/>
      <c r="I123" s="14"/>
      <c r="J123" s="8" t="str">
        <f t="shared" si="4"/>
        <v>借</v>
      </c>
      <c r="K123" s="41">
        <f t="shared" si="6"/>
        <v>137276.51</v>
      </c>
      <c r="L123" s="9"/>
    </row>
    <row r="124" spans="1:13" ht="20.100000000000001" customHeight="1" x14ac:dyDescent="0.15">
      <c r="A124" s="5"/>
      <c r="B124" s="5"/>
      <c r="C124" s="5"/>
      <c r="D124" s="10"/>
      <c r="E124" s="11"/>
      <c r="F124" s="10"/>
      <c r="G124" s="10"/>
      <c r="H124" s="8"/>
      <c r="I124" s="14"/>
      <c r="J124" s="8" t="str">
        <f t="shared" si="4"/>
        <v>借</v>
      </c>
      <c r="K124" s="41">
        <f t="shared" si="6"/>
        <v>137276.51</v>
      </c>
      <c r="L124" s="9"/>
    </row>
    <row r="125" spans="1:13" ht="20.100000000000001" customHeight="1" x14ac:dyDescent="0.15">
      <c r="A125" s="5"/>
      <c r="B125" s="5"/>
      <c r="C125" s="5"/>
      <c r="D125" s="10"/>
      <c r="E125" s="7"/>
      <c r="F125" s="10"/>
      <c r="G125" s="10"/>
      <c r="H125" s="8"/>
      <c r="I125" s="14"/>
      <c r="J125" s="8" t="str">
        <f t="shared" si="4"/>
        <v>借</v>
      </c>
      <c r="K125" s="41">
        <f t="shared" si="6"/>
        <v>137276.51</v>
      </c>
      <c r="L125" s="9"/>
    </row>
    <row r="126" spans="1:13" ht="20.100000000000001" customHeight="1" x14ac:dyDescent="0.15">
      <c r="A126" s="5"/>
      <c r="B126" s="5"/>
      <c r="C126" s="5"/>
      <c r="D126" s="10"/>
      <c r="E126" s="7"/>
      <c r="F126" s="10"/>
      <c r="G126" s="10"/>
      <c r="H126" s="8"/>
      <c r="I126" s="14"/>
      <c r="J126" s="8" t="str">
        <f t="shared" si="4"/>
        <v>借</v>
      </c>
      <c r="K126" s="41">
        <f t="shared" si="6"/>
        <v>137276.51</v>
      </c>
      <c r="L126" s="9"/>
    </row>
    <row r="127" spans="1:13" ht="20.100000000000001" customHeight="1" x14ac:dyDescent="0.15">
      <c r="A127" s="5"/>
      <c r="B127" s="5"/>
      <c r="C127" s="5"/>
      <c r="D127" s="10"/>
      <c r="E127" s="7"/>
      <c r="F127" s="10"/>
      <c r="G127" s="10"/>
      <c r="H127" s="8"/>
      <c r="I127" s="14"/>
      <c r="J127" s="8" t="str">
        <f t="shared" si="4"/>
        <v>借</v>
      </c>
      <c r="K127" s="41">
        <f t="shared" si="6"/>
        <v>137276.51</v>
      </c>
      <c r="L127" s="9"/>
    </row>
    <row r="128" spans="1:13" ht="20.100000000000001" customHeight="1" x14ac:dyDescent="0.15">
      <c r="A128" s="5"/>
      <c r="B128" s="5"/>
      <c r="C128" s="5"/>
      <c r="D128" s="10"/>
      <c r="E128" s="7"/>
      <c r="F128" s="10"/>
      <c r="G128" s="10"/>
      <c r="H128" s="8"/>
      <c r="I128" s="14"/>
      <c r="J128" s="8" t="str">
        <f t="shared" si="4"/>
        <v>借</v>
      </c>
      <c r="K128" s="41">
        <f t="shared" si="6"/>
        <v>137276.51</v>
      </c>
      <c r="L128" s="9"/>
    </row>
    <row r="129" spans="1:12" ht="20.100000000000001" customHeight="1" x14ac:dyDescent="0.15">
      <c r="A129" s="10"/>
      <c r="B129" s="5"/>
      <c r="C129" s="5"/>
      <c r="D129" s="10"/>
      <c r="E129" s="7"/>
      <c r="F129" s="10"/>
      <c r="G129" s="10"/>
      <c r="H129" s="8"/>
      <c r="I129" s="14"/>
      <c r="J129" s="8" t="str">
        <f t="shared" si="4"/>
        <v>借</v>
      </c>
      <c r="K129" s="41">
        <f t="shared" si="6"/>
        <v>137276.51</v>
      </c>
      <c r="L129" s="9"/>
    </row>
    <row r="130" spans="1:12" ht="20.100000000000001" customHeight="1" x14ac:dyDescent="0.15">
      <c r="A130" s="10"/>
      <c r="B130" s="5"/>
      <c r="C130" s="5"/>
      <c r="D130" s="10"/>
      <c r="E130" s="7"/>
      <c r="F130" s="10"/>
      <c r="G130" s="10"/>
      <c r="H130" s="8"/>
      <c r="I130" s="14"/>
      <c r="J130" s="8" t="str">
        <f t="shared" si="4"/>
        <v>借</v>
      </c>
      <c r="K130" s="41">
        <f t="shared" si="6"/>
        <v>137276.51</v>
      </c>
      <c r="L130" s="9"/>
    </row>
    <row r="131" spans="1:12" ht="20.100000000000001" customHeight="1" x14ac:dyDescent="0.15">
      <c r="A131" s="5"/>
      <c r="B131" s="5"/>
      <c r="C131" s="5"/>
      <c r="D131" s="10"/>
      <c r="E131" s="7"/>
      <c r="F131" s="10"/>
      <c r="G131" s="10"/>
      <c r="H131" s="8"/>
      <c r="I131" s="14"/>
      <c r="J131" s="8" t="str">
        <f t="shared" si="4"/>
        <v>借</v>
      </c>
      <c r="K131" s="41">
        <f t="shared" si="6"/>
        <v>137276.51</v>
      </c>
      <c r="L131" s="9"/>
    </row>
    <row r="132" spans="1:12" ht="20.100000000000001" customHeight="1" x14ac:dyDescent="0.15">
      <c r="A132" s="5"/>
      <c r="B132" s="5"/>
      <c r="C132" s="5"/>
      <c r="D132" s="10"/>
      <c r="E132" s="7"/>
      <c r="F132" s="10"/>
      <c r="G132" s="10"/>
      <c r="H132" s="8"/>
      <c r="I132" s="14"/>
      <c r="J132" s="8" t="str">
        <f t="shared" si="4"/>
        <v>借</v>
      </c>
      <c r="K132" s="41">
        <f t="shared" si="6"/>
        <v>137276.51</v>
      </c>
      <c r="L132" s="9"/>
    </row>
    <row r="133" spans="1:12" ht="20.100000000000001" customHeight="1" x14ac:dyDescent="0.15">
      <c r="A133" s="5"/>
      <c r="B133" s="5"/>
      <c r="C133" s="5"/>
      <c r="D133" s="10"/>
      <c r="E133" s="7"/>
      <c r="F133" s="10"/>
      <c r="G133" s="10"/>
      <c r="H133" s="8"/>
      <c r="I133" s="14"/>
      <c r="J133" s="8" t="str">
        <f t="shared" ref="J133:J149" si="7">IF((K132+H133-I133)&gt;0,"借","贷")</f>
        <v>借</v>
      </c>
      <c r="K133" s="41">
        <f t="shared" si="6"/>
        <v>137276.51</v>
      </c>
      <c r="L133" s="9"/>
    </row>
    <row r="134" spans="1:12" ht="20.100000000000001" customHeight="1" x14ac:dyDescent="0.15">
      <c r="A134" s="5"/>
      <c r="B134" s="5"/>
      <c r="C134" s="5"/>
      <c r="D134" s="10"/>
      <c r="E134" s="11"/>
      <c r="F134" s="10"/>
      <c r="G134" s="10"/>
      <c r="H134" s="8"/>
      <c r="I134" s="14"/>
      <c r="J134" s="8" t="str">
        <f t="shared" si="7"/>
        <v>借</v>
      </c>
      <c r="K134" s="41">
        <f t="shared" si="6"/>
        <v>137276.51</v>
      </c>
      <c r="L134" s="9"/>
    </row>
    <row r="135" spans="1:12" ht="20.100000000000001" customHeight="1" x14ac:dyDescent="0.15">
      <c r="A135" s="5"/>
      <c r="B135" s="5"/>
      <c r="C135" s="5"/>
      <c r="D135" s="10"/>
      <c r="E135" s="11"/>
      <c r="F135" s="10"/>
      <c r="G135" s="10"/>
      <c r="H135" s="8"/>
      <c r="I135" s="14"/>
      <c r="J135" s="8" t="str">
        <f t="shared" si="7"/>
        <v>借</v>
      </c>
      <c r="K135" s="41">
        <f t="shared" si="6"/>
        <v>137276.51</v>
      </c>
      <c r="L135" s="9"/>
    </row>
    <row r="136" spans="1:12" ht="20.100000000000001" customHeight="1" x14ac:dyDescent="0.15">
      <c r="A136" s="5"/>
      <c r="B136" s="5"/>
      <c r="C136" s="5"/>
      <c r="D136" s="10"/>
      <c r="E136" s="11"/>
      <c r="F136" s="10"/>
      <c r="G136" s="10"/>
      <c r="H136" s="8"/>
      <c r="I136" s="14"/>
      <c r="J136" s="8" t="str">
        <f t="shared" si="7"/>
        <v>借</v>
      </c>
      <c r="K136" s="41">
        <f t="shared" si="6"/>
        <v>137276.51</v>
      </c>
      <c r="L136" s="9"/>
    </row>
    <row r="137" spans="1:12" ht="20.100000000000001" customHeight="1" x14ac:dyDescent="0.15">
      <c r="A137" s="10"/>
      <c r="B137" s="5"/>
      <c r="C137" s="5"/>
      <c r="D137" s="10"/>
      <c r="E137" s="7"/>
      <c r="F137" s="10"/>
      <c r="G137" s="10"/>
      <c r="H137" s="8"/>
      <c r="I137" s="14"/>
      <c r="J137" s="8" t="str">
        <f t="shared" si="7"/>
        <v>借</v>
      </c>
      <c r="K137" s="41">
        <f t="shared" si="6"/>
        <v>137276.51</v>
      </c>
      <c r="L137" s="9"/>
    </row>
    <row r="138" spans="1:12" ht="20.100000000000001" customHeight="1" x14ac:dyDescent="0.15">
      <c r="A138" s="10"/>
      <c r="B138" s="5"/>
      <c r="C138" s="5"/>
      <c r="D138" s="10"/>
      <c r="E138" s="7"/>
      <c r="F138" s="10"/>
      <c r="G138" s="10"/>
      <c r="H138" s="8"/>
      <c r="I138" s="14"/>
      <c r="J138" s="8" t="str">
        <f t="shared" si="7"/>
        <v>借</v>
      </c>
      <c r="K138" s="41">
        <f t="shared" si="6"/>
        <v>137276.51</v>
      </c>
      <c r="L138" s="9"/>
    </row>
    <row r="139" spans="1:12" ht="20.100000000000001" customHeight="1" x14ac:dyDescent="0.15">
      <c r="A139" s="5"/>
      <c r="B139" s="5"/>
      <c r="C139" s="5"/>
      <c r="D139" s="10"/>
      <c r="E139" s="7"/>
      <c r="F139" s="10"/>
      <c r="G139" s="10"/>
      <c r="H139" s="8"/>
      <c r="I139" s="14"/>
      <c r="J139" s="8" t="str">
        <f t="shared" si="7"/>
        <v>借</v>
      </c>
      <c r="K139" s="41">
        <f t="shared" si="6"/>
        <v>137276.51</v>
      </c>
      <c r="L139" s="9"/>
    </row>
    <row r="140" spans="1:12" ht="20.100000000000001" customHeight="1" x14ac:dyDescent="0.15">
      <c r="A140" s="5"/>
      <c r="B140" s="5"/>
      <c r="C140" s="5"/>
      <c r="D140" s="7"/>
      <c r="E140" s="7"/>
      <c r="F140" s="7"/>
      <c r="G140" s="7"/>
      <c r="H140" s="8"/>
      <c r="I140" s="14"/>
      <c r="J140" s="8" t="str">
        <f t="shared" si="7"/>
        <v>借</v>
      </c>
      <c r="K140" s="41">
        <f t="shared" si="6"/>
        <v>137276.51</v>
      </c>
      <c r="L140" s="9"/>
    </row>
    <row r="141" spans="1:12" ht="20.100000000000001" customHeight="1" x14ac:dyDescent="0.15">
      <c r="A141" s="5"/>
      <c r="B141" s="5"/>
      <c r="C141" s="5"/>
      <c r="D141" s="10"/>
      <c r="E141" s="7"/>
      <c r="F141" s="10"/>
      <c r="G141" s="10"/>
      <c r="H141" s="8"/>
      <c r="I141" s="14"/>
      <c r="J141" s="8" t="str">
        <f t="shared" si="7"/>
        <v>借</v>
      </c>
      <c r="K141" s="41">
        <f t="shared" si="6"/>
        <v>137276.51</v>
      </c>
      <c r="L141" s="9"/>
    </row>
    <row r="142" spans="1:12" ht="20.100000000000001" customHeight="1" x14ac:dyDescent="0.15">
      <c r="A142" s="5"/>
      <c r="B142" s="5"/>
      <c r="C142" s="5"/>
      <c r="D142" s="10"/>
      <c r="E142" s="7"/>
      <c r="F142" s="10"/>
      <c r="G142" s="10"/>
      <c r="H142" s="8"/>
      <c r="I142" s="14"/>
      <c r="J142" s="8" t="str">
        <f t="shared" si="7"/>
        <v>借</v>
      </c>
      <c r="K142" s="41">
        <f t="shared" si="6"/>
        <v>137276.51</v>
      </c>
      <c r="L142" s="9"/>
    </row>
    <row r="143" spans="1:12" ht="20.100000000000001" customHeight="1" x14ac:dyDescent="0.15">
      <c r="A143" s="5"/>
      <c r="B143" s="5"/>
      <c r="C143" s="5"/>
      <c r="D143" s="10"/>
      <c r="E143" s="7"/>
      <c r="F143" s="10"/>
      <c r="G143" s="10"/>
      <c r="H143" s="8"/>
      <c r="I143" s="14"/>
      <c r="J143" s="8" t="str">
        <f t="shared" si="7"/>
        <v>借</v>
      </c>
      <c r="K143" s="41">
        <f t="shared" si="6"/>
        <v>137276.51</v>
      </c>
      <c r="L143" s="9"/>
    </row>
    <row r="144" spans="1:12" ht="20.100000000000001" customHeight="1" x14ac:dyDescent="0.15">
      <c r="A144" s="5"/>
      <c r="B144" s="5"/>
      <c r="C144" s="5"/>
      <c r="D144" s="10"/>
      <c r="E144" s="7"/>
      <c r="F144" s="10"/>
      <c r="G144" s="10"/>
      <c r="H144" s="8"/>
      <c r="I144" s="14"/>
      <c r="J144" s="8" t="str">
        <f t="shared" si="7"/>
        <v>借</v>
      </c>
      <c r="K144" s="41">
        <f t="shared" si="6"/>
        <v>137276.51</v>
      </c>
      <c r="L144" s="9"/>
    </row>
    <row r="145" spans="1:13" ht="20.100000000000001" customHeight="1" x14ac:dyDescent="0.15">
      <c r="A145" s="5"/>
      <c r="B145" s="5"/>
      <c r="C145" s="5"/>
      <c r="D145" s="10"/>
      <c r="E145" s="7"/>
      <c r="F145" s="10"/>
      <c r="G145" s="7"/>
      <c r="H145" s="8"/>
      <c r="I145" s="14"/>
      <c r="J145" s="8" t="str">
        <f t="shared" si="7"/>
        <v>借</v>
      </c>
      <c r="K145" s="41">
        <f t="shared" si="6"/>
        <v>137276.51</v>
      </c>
      <c r="L145" s="9"/>
    </row>
    <row r="146" spans="1:13" ht="20.100000000000001" customHeight="1" x14ac:dyDescent="0.15">
      <c r="A146" s="5"/>
      <c r="B146" s="5"/>
      <c r="C146" s="5"/>
      <c r="D146" s="10"/>
      <c r="E146" s="7"/>
      <c r="F146" s="10"/>
      <c r="G146" s="10"/>
      <c r="H146" s="8"/>
      <c r="I146" s="14"/>
      <c r="J146" s="8" t="str">
        <f t="shared" si="7"/>
        <v>借</v>
      </c>
      <c r="K146" s="41">
        <f t="shared" si="6"/>
        <v>137276.51</v>
      </c>
      <c r="L146" s="9"/>
    </row>
    <row r="147" spans="1:13" ht="20.100000000000001" customHeight="1" x14ac:dyDescent="0.15">
      <c r="A147" s="10"/>
      <c r="B147" s="5"/>
      <c r="C147" s="5"/>
      <c r="D147" s="10"/>
      <c r="E147" s="7"/>
      <c r="F147" s="10"/>
      <c r="G147" s="10"/>
      <c r="H147" s="8"/>
      <c r="I147" s="14"/>
      <c r="J147" s="8" t="str">
        <f t="shared" si="7"/>
        <v>借</v>
      </c>
      <c r="K147" s="41">
        <f t="shared" si="6"/>
        <v>137276.51</v>
      </c>
      <c r="L147" s="9"/>
    </row>
    <row r="148" spans="1:13" ht="20.100000000000001" customHeight="1" x14ac:dyDescent="0.15">
      <c r="A148" s="10"/>
      <c r="B148" s="5"/>
      <c r="C148" s="5"/>
      <c r="D148" s="10"/>
      <c r="E148" s="11"/>
      <c r="F148" s="10"/>
      <c r="G148" s="10"/>
      <c r="H148" s="8"/>
      <c r="I148" s="14"/>
      <c r="J148" s="8" t="str">
        <f t="shared" si="7"/>
        <v>借</v>
      </c>
      <c r="K148" s="41">
        <f t="shared" si="6"/>
        <v>137276.51</v>
      </c>
      <c r="L148" s="9"/>
      <c r="M148" s="65"/>
    </row>
    <row r="149" spans="1:13" ht="20.100000000000001" customHeight="1" x14ac:dyDescent="0.15">
      <c r="A149" s="5"/>
      <c r="B149" s="5"/>
      <c r="C149" s="5"/>
      <c r="D149" s="10"/>
      <c r="E149" s="7"/>
      <c r="F149" s="10"/>
      <c r="G149" s="10"/>
      <c r="H149" s="8"/>
      <c r="I149" s="14"/>
      <c r="J149" s="8" t="str">
        <f t="shared" si="7"/>
        <v>借</v>
      </c>
      <c r="K149" s="41"/>
      <c r="L149" s="9"/>
      <c r="M149" s="65"/>
    </row>
    <row r="150" spans="1:13" ht="20.100000000000001" customHeight="1" x14ac:dyDescent="0.15">
      <c r="A150" s="5"/>
      <c r="B150" s="5"/>
      <c r="C150" s="5"/>
      <c r="D150" s="10"/>
      <c r="E150" s="7"/>
      <c r="F150" s="10"/>
      <c r="G150" s="10"/>
      <c r="H150" s="8"/>
      <c r="I150" s="14"/>
      <c r="J150" s="8" t="str">
        <f t="shared" ref="J150:J159" si="8">IF((K149+H150-I150)&gt;0,"借","贷")</f>
        <v>贷</v>
      </c>
      <c r="K150" s="41"/>
      <c r="L150" s="9"/>
      <c r="M150" s="65"/>
    </row>
    <row r="151" spans="1:13" ht="20.100000000000001" customHeight="1" x14ac:dyDescent="0.15">
      <c r="A151" s="5"/>
      <c r="B151" s="5"/>
      <c r="C151" s="5"/>
      <c r="D151" s="10"/>
      <c r="E151" s="11"/>
      <c r="F151" s="10"/>
      <c r="G151" s="10"/>
      <c r="H151" s="8"/>
      <c r="I151" s="14"/>
      <c r="J151" s="8" t="str">
        <f t="shared" si="8"/>
        <v>贷</v>
      </c>
      <c r="K151" s="41"/>
      <c r="L151" s="9"/>
    </row>
    <row r="152" spans="1:13" ht="20.100000000000001" customHeight="1" x14ac:dyDescent="0.15">
      <c r="A152" s="5"/>
      <c r="B152" s="5"/>
      <c r="C152" s="5"/>
      <c r="D152" s="10"/>
      <c r="E152" s="7"/>
      <c r="F152" s="10"/>
      <c r="G152" s="10"/>
      <c r="H152" s="8"/>
      <c r="I152" s="14"/>
      <c r="J152" s="8" t="str">
        <f t="shared" si="8"/>
        <v>贷</v>
      </c>
      <c r="K152" s="41"/>
      <c r="L152" s="9"/>
    </row>
    <row r="153" spans="1:13" ht="20.100000000000001" customHeight="1" x14ac:dyDescent="0.15">
      <c r="A153" s="5"/>
      <c r="B153" s="5"/>
      <c r="C153" s="5"/>
      <c r="D153" s="10"/>
      <c r="E153" s="11"/>
      <c r="F153" s="10"/>
      <c r="G153" s="10"/>
      <c r="H153" s="8"/>
      <c r="I153" s="14"/>
      <c r="J153" s="8" t="str">
        <f t="shared" si="8"/>
        <v>贷</v>
      </c>
      <c r="K153" s="41"/>
      <c r="L153" s="9"/>
    </row>
    <row r="154" spans="1:13" ht="20.100000000000001" customHeight="1" x14ac:dyDescent="0.15">
      <c r="A154" s="5"/>
      <c r="B154" s="5"/>
      <c r="C154" s="5"/>
      <c r="D154" s="10"/>
      <c r="E154" s="7"/>
      <c r="F154" s="10"/>
      <c r="G154" s="10"/>
      <c r="H154" s="8"/>
      <c r="I154" s="14"/>
      <c r="J154" s="8" t="str">
        <f t="shared" si="8"/>
        <v>贷</v>
      </c>
      <c r="K154" s="41"/>
      <c r="L154" s="9"/>
    </row>
    <row r="155" spans="1:13" ht="20.100000000000001" customHeight="1" x14ac:dyDescent="0.15">
      <c r="A155" s="5"/>
      <c r="B155" s="5"/>
      <c r="C155" s="5"/>
      <c r="D155" s="10"/>
      <c r="E155" s="7"/>
      <c r="F155" s="10"/>
      <c r="G155" s="10"/>
      <c r="H155" s="8"/>
      <c r="I155" s="14"/>
      <c r="J155" s="8" t="str">
        <f t="shared" si="8"/>
        <v>贷</v>
      </c>
      <c r="K155" s="41"/>
      <c r="L155" s="9"/>
    </row>
    <row r="156" spans="1:13" ht="20.100000000000001" customHeight="1" x14ac:dyDescent="0.15">
      <c r="A156" s="5"/>
      <c r="B156" s="5"/>
      <c r="C156" s="5"/>
      <c r="D156" s="10"/>
      <c r="E156" s="7"/>
      <c r="F156" s="10"/>
      <c r="G156" s="10"/>
      <c r="H156" s="8"/>
      <c r="I156" s="14"/>
      <c r="J156" s="8" t="str">
        <f t="shared" si="8"/>
        <v>贷</v>
      </c>
      <c r="K156" s="41"/>
      <c r="L156" s="9"/>
    </row>
    <row r="157" spans="1:13" ht="20.100000000000001" customHeight="1" x14ac:dyDescent="0.15">
      <c r="A157" s="5"/>
      <c r="B157" s="5"/>
      <c r="C157" s="5"/>
      <c r="D157" s="10"/>
      <c r="E157" s="7"/>
      <c r="F157" s="10"/>
      <c r="G157" s="10"/>
      <c r="H157" s="8"/>
      <c r="I157" s="14"/>
      <c r="J157" s="8" t="str">
        <f t="shared" si="8"/>
        <v>贷</v>
      </c>
      <c r="K157" s="41"/>
      <c r="L157" s="9"/>
    </row>
    <row r="158" spans="1:13" ht="20.100000000000001" customHeight="1" x14ac:dyDescent="0.15">
      <c r="A158" s="5"/>
      <c r="B158" s="5"/>
      <c r="C158" s="5"/>
      <c r="D158" s="10"/>
      <c r="E158" s="7"/>
      <c r="F158" s="10"/>
      <c r="G158" s="10"/>
      <c r="H158" s="8"/>
      <c r="I158" s="14"/>
      <c r="J158" s="8" t="str">
        <f t="shared" si="8"/>
        <v>贷</v>
      </c>
      <c r="K158" s="41"/>
      <c r="L158" s="9"/>
    </row>
    <row r="159" spans="1:13" ht="20.100000000000001" customHeight="1" x14ac:dyDescent="0.15">
      <c r="A159" s="5"/>
      <c r="B159" s="5"/>
      <c r="C159" s="5"/>
      <c r="D159" s="10"/>
      <c r="E159" s="7"/>
      <c r="F159" s="10"/>
      <c r="G159" s="10"/>
      <c r="H159" s="8"/>
      <c r="I159" s="14"/>
      <c r="J159" s="8" t="str">
        <f t="shared" si="8"/>
        <v>贷</v>
      </c>
      <c r="K159" s="41"/>
      <c r="L159" s="9"/>
      <c r="M159" s="65"/>
    </row>
    <row r="160" spans="1:13" ht="20.100000000000001" customHeight="1" x14ac:dyDescent="0.15">
      <c r="A160" s="5"/>
      <c r="B160" s="5"/>
      <c r="C160" s="5"/>
      <c r="D160" s="10"/>
      <c r="E160" s="11"/>
      <c r="F160" s="10"/>
      <c r="G160" s="10"/>
      <c r="H160" s="8"/>
      <c r="I160" s="14"/>
      <c r="J160" s="8" t="str">
        <f t="shared" ref="J160:J205" si="9">IF((K159+H160-I160)&gt;0,"借","贷")</f>
        <v>贷</v>
      </c>
      <c r="K160" s="41"/>
      <c r="L160" s="9"/>
      <c r="M160" s="65"/>
    </row>
    <row r="161" spans="1:13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14"/>
      <c r="J161" s="8" t="str">
        <f t="shared" si="9"/>
        <v>贷</v>
      </c>
      <c r="K161" s="41"/>
      <c r="L161" s="9"/>
    </row>
    <row r="162" spans="1:13" ht="20.100000000000001" customHeight="1" x14ac:dyDescent="0.15">
      <c r="A162" s="5"/>
      <c r="B162" s="5"/>
      <c r="C162" s="5"/>
      <c r="D162" s="10"/>
      <c r="E162" s="11"/>
      <c r="F162" s="10"/>
      <c r="G162" s="10"/>
      <c r="H162" s="8"/>
      <c r="I162" s="14"/>
      <c r="J162" s="8" t="str">
        <f t="shared" si="9"/>
        <v>贷</v>
      </c>
      <c r="K162" s="41"/>
      <c r="L162" s="9"/>
    </row>
    <row r="163" spans="1:13" ht="20.100000000000001" customHeight="1" x14ac:dyDescent="0.15">
      <c r="A163" s="5"/>
      <c r="B163" s="5"/>
      <c r="C163" s="5"/>
      <c r="D163" s="7"/>
      <c r="E163" s="7"/>
      <c r="F163" s="7"/>
      <c r="G163" s="7"/>
      <c r="H163" s="8"/>
      <c r="I163" s="14"/>
      <c r="J163" s="8" t="str">
        <f t="shared" si="9"/>
        <v>贷</v>
      </c>
      <c r="K163" s="41"/>
      <c r="L163" s="9"/>
    </row>
    <row r="164" spans="1:13" ht="20.100000000000001" customHeight="1" x14ac:dyDescent="0.15">
      <c r="A164" s="5"/>
      <c r="B164" s="5"/>
      <c r="C164" s="5"/>
      <c r="D164" s="10"/>
      <c r="E164" s="11"/>
      <c r="F164" s="10"/>
      <c r="G164" s="10"/>
      <c r="H164" s="8"/>
      <c r="I164" s="14"/>
      <c r="J164" s="8" t="str">
        <f t="shared" si="9"/>
        <v>贷</v>
      </c>
      <c r="K164" s="41"/>
      <c r="L164" s="9"/>
      <c r="M164" s="65"/>
    </row>
    <row r="165" spans="1:13" ht="20.100000000000001" customHeight="1" x14ac:dyDescent="0.15">
      <c r="A165" s="5"/>
      <c r="B165" s="5"/>
      <c r="C165" s="5"/>
      <c r="D165" s="10"/>
      <c r="E165" s="7"/>
      <c r="F165" s="10"/>
      <c r="G165" s="10"/>
      <c r="H165" s="8"/>
      <c r="I165" s="14"/>
      <c r="J165" s="8" t="str">
        <f t="shared" si="9"/>
        <v>贷</v>
      </c>
      <c r="K165" s="41"/>
      <c r="L165" s="9"/>
      <c r="M165" s="65"/>
    </row>
    <row r="166" spans="1:13" ht="20.100000000000001" customHeight="1" x14ac:dyDescent="0.15">
      <c r="A166" s="10"/>
      <c r="B166" s="5"/>
      <c r="C166" s="5"/>
      <c r="D166" s="10"/>
      <c r="E166" s="7"/>
      <c r="F166" s="10"/>
      <c r="G166" s="10"/>
      <c r="H166" s="8"/>
      <c r="I166" s="14"/>
      <c r="J166" s="8" t="str">
        <f t="shared" si="9"/>
        <v>贷</v>
      </c>
      <c r="K166" s="41"/>
      <c r="L166" s="9"/>
      <c r="M166" s="65"/>
    </row>
    <row r="167" spans="1:13" ht="20.100000000000001" customHeight="1" x14ac:dyDescent="0.15">
      <c r="A167" s="10"/>
      <c r="B167" s="5"/>
      <c r="C167" s="5"/>
      <c r="D167" s="10"/>
      <c r="E167" s="10"/>
      <c r="F167" s="10"/>
      <c r="G167" s="10"/>
      <c r="H167" s="8"/>
      <c r="I167" s="14"/>
      <c r="J167" s="8" t="str">
        <f t="shared" si="9"/>
        <v>贷</v>
      </c>
      <c r="K167" s="41"/>
      <c r="L167" s="9"/>
    </row>
    <row r="168" spans="1:13" ht="20.100000000000001" customHeight="1" x14ac:dyDescent="0.15">
      <c r="A168" s="10"/>
      <c r="B168" s="5"/>
      <c r="C168" s="5"/>
      <c r="D168" s="10"/>
      <c r="E168" s="10"/>
      <c r="F168" s="10"/>
      <c r="G168" s="10"/>
      <c r="H168" s="8"/>
      <c r="I168" s="14"/>
      <c r="J168" s="8" t="str">
        <f t="shared" si="9"/>
        <v>贷</v>
      </c>
      <c r="K168" s="41"/>
      <c r="L168" s="9"/>
    </row>
    <row r="169" spans="1:13" ht="20.100000000000001" customHeight="1" x14ac:dyDescent="0.15">
      <c r="A169" s="10"/>
      <c r="B169" s="5"/>
      <c r="C169" s="5"/>
      <c r="D169" s="10"/>
      <c r="E169" s="10"/>
      <c r="F169" s="10"/>
      <c r="G169" s="10"/>
      <c r="H169" s="8"/>
      <c r="I169" s="14"/>
      <c r="J169" s="8" t="str">
        <f t="shared" si="9"/>
        <v>贷</v>
      </c>
      <c r="K169" s="41"/>
      <c r="L169" s="9"/>
    </row>
    <row r="170" spans="1:13" ht="20.100000000000001" customHeight="1" x14ac:dyDescent="0.15">
      <c r="A170" s="10"/>
      <c r="B170" s="5"/>
      <c r="C170" s="5"/>
      <c r="D170" s="10"/>
      <c r="E170" s="7"/>
      <c r="F170" s="10"/>
      <c r="G170" s="7"/>
      <c r="H170" s="8"/>
      <c r="I170" s="14"/>
      <c r="J170" s="8" t="str">
        <f t="shared" si="9"/>
        <v>贷</v>
      </c>
      <c r="K170" s="41"/>
      <c r="L170" s="9"/>
    </row>
    <row r="171" spans="1:13" ht="20.100000000000001" customHeight="1" x14ac:dyDescent="0.15">
      <c r="A171" s="10"/>
      <c r="B171" s="5"/>
      <c r="C171" s="5"/>
      <c r="D171" s="10"/>
      <c r="E171" s="10"/>
      <c r="F171" s="10"/>
      <c r="G171" s="10"/>
      <c r="H171" s="8"/>
      <c r="I171" s="14"/>
      <c r="J171" s="8" t="str">
        <f t="shared" si="9"/>
        <v>贷</v>
      </c>
      <c r="K171" s="41"/>
      <c r="L171" s="9"/>
    </row>
    <row r="172" spans="1:13" ht="20.100000000000001" customHeight="1" x14ac:dyDescent="0.15">
      <c r="A172" s="10"/>
      <c r="B172" s="10"/>
      <c r="C172" s="10"/>
      <c r="D172" s="10"/>
      <c r="E172" s="10"/>
      <c r="F172" s="10"/>
      <c r="G172" s="10"/>
      <c r="H172" s="8"/>
      <c r="I172" s="42"/>
      <c r="J172" s="8" t="str">
        <f t="shared" si="9"/>
        <v>贷</v>
      </c>
      <c r="K172" s="41"/>
      <c r="L172" s="9"/>
    </row>
    <row r="173" spans="1:13" ht="20.100000000000001" customHeight="1" x14ac:dyDescent="0.15">
      <c r="A173" s="10"/>
      <c r="B173" s="10"/>
      <c r="C173" s="10"/>
      <c r="D173" s="10"/>
      <c r="E173" s="10"/>
      <c r="F173" s="10"/>
      <c r="G173" s="10"/>
      <c r="H173" s="8"/>
      <c r="I173" s="14"/>
      <c r="J173" s="8" t="str">
        <f t="shared" si="9"/>
        <v>贷</v>
      </c>
      <c r="K173" s="41"/>
      <c r="L173" s="9"/>
    </row>
    <row r="174" spans="1:13" ht="20.100000000000001" customHeight="1" x14ac:dyDescent="0.15">
      <c r="A174" s="10"/>
      <c r="B174" s="10"/>
      <c r="C174" s="10"/>
      <c r="D174" s="10"/>
      <c r="E174" s="10"/>
      <c r="F174" s="10"/>
      <c r="G174" s="10"/>
      <c r="H174" s="8"/>
      <c r="I174" s="14"/>
      <c r="J174" s="8" t="str">
        <f t="shared" si="9"/>
        <v>贷</v>
      </c>
      <c r="K174" s="41"/>
      <c r="L174" s="9"/>
    </row>
    <row r="175" spans="1:13" ht="20.100000000000001" customHeight="1" x14ac:dyDescent="0.15">
      <c r="A175" s="10"/>
      <c r="B175" s="10"/>
      <c r="C175" s="10"/>
      <c r="D175" s="10"/>
      <c r="E175" s="10"/>
      <c r="F175" s="10"/>
      <c r="G175" s="10"/>
      <c r="H175" s="8"/>
      <c r="I175" s="14"/>
      <c r="J175" s="8" t="str">
        <f t="shared" si="9"/>
        <v>贷</v>
      </c>
      <c r="K175" s="41"/>
      <c r="L175" s="9"/>
    </row>
    <row r="176" spans="1:13" ht="20.100000000000001" customHeight="1" x14ac:dyDescent="0.15">
      <c r="A176" s="10"/>
      <c r="B176" s="10"/>
      <c r="C176" s="10"/>
      <c r="D176" s="10"/>
      <c r="E176" s="10"/>
      <c r="F176" s="10"/>
      <c r="G176" s="10"/>
      <c r="H176" s="8"/>
      <c r="I176" s="14"/>
      <c r="J176" s="8" t="str">
        <f t="shared" si="9"/>
        <v>贷</v>
      </c>
      <c r="K176" s="41"/>
      <c r="L176" s="9"/>
    </row>
    <row r="177" spans="1:13" ht="20.100000000000001" customHeight="1" x14ac:dyDescent="0.15">
      <c r="A177" s="10"/>
      <c r="B177" s="10"/>
      <c r="C177" s="10"/>
      <c r="D177" s="10"/>
      <c r="E177" s="10"/>
      <c r="F177" s="10"/>
      <c r="G177" s="10"/>
      <c r="H177" s="8"/>
      <c r="I177" s="14"/>
      <c r="J177" s="8" t="str">
        <f t="shared" si="9"/>
        <v>贷</v>
      </c>
      <c r="K177" s="41"/>
      <c r="L177" s="9"/>
    </row>
    <row r="178" spans="1:13" ht="20.100000000000001" customHeight="1" x14ac:dyDescent="0.15">
      <c r="A178" s="10"/>
      <c r="B178" s="10"/>
      <c r="C178" s="10"/>
      <c r="D178" s="10"/>
      <c r="E178" s="10"/>
      <c r="F178" s="10"/>
      <c r="G178" s="10"/>
      <c r="H178" s="8"/>
      <c r="I178" s="14"/>
      <c r="J178" s="8" t="str">
        <f t="shared" si="9"/>
        <v>贷</v>
      </c>
      <c r="K178" s="41"/>
      <c r="L178" s="9"/>
    </row>
    <row r="179" spans="1:13" ht="20.100000000000001" customHeight="1" x14ac:dyDescent="0.15">
      <c r="A179" s="10"/>
      <c r="B179" s="10"/>
      <c r="C179" s="10"/>
      <c r="D179" s="10"/>
      <c r="E179" s="10"/>
      <c r="F179" s="10"/>
      <c r="G179" s="10"/>
      <c r="H179" s="8"/>
      <c r="I179" s="14"/>
      <c r="J179" s="8" t="str">
        <f t="shared" si="9"/>
        <v>贷</v>
      </c>
      <c r="K179" s="41"/>
      <c r="L179" s="9"/>
    </row>
    <row r="180" spans="1:13" ht="20.100000000000001" customHeight="1" x14ac:dyDescent="0.15">
      <c r="A180" s="10"/>
      <c r="B180" s="10"/>
      <c r="C180" s="10"/>
      <c r="D180" s="10"/>
      <c r="E180" s="10"/>
      <c r="F180" s="10"/>
      <c r="G180" s="10"/>
      <c r="H180" s="8"/>
      <c r="I180" s="14"/>
      <c r="J180" s="8" t="str">
        <f t="shared" si="9"/>
        <v>贷</v>
      </c>
      <c r="K180" s="41"/>
      <c r="L180" s="9"/>
    </row>
    <row r="181" spans="1:13" ht="20.100000000000001" customHeight="1" x14ac:dyDescent="0.15">
      <c r="A181" s="10"/>
      <c r="B181" s="10"/>
      <c r="C181" s="10"/>
      <c r="D181" s="10"/>
      <c r="E181" s="11"/>
      <c r="F181" s="10"/>
      <c r="G181" s="10"/>
      <c r="H181" s="8"/>
      <c r="I181" s="14"/>
      <c r="J181" s="8" t="str">
        <f t="shared" si="9"/>
        <v>贷</v>
      </c>
      <c r="K181" s="41"/>
      <c r="L181" s="9"/>
    </row>
    <row r="182" spans="1:13" ht="20.100000000000001" customHeight="1" x14ac:dyDescent="0.15">
      <c r="A182" s="10"/>
      <c r="B182" s="10"/>
      <c r="C182" s="10"/>
      <c r="D182" s="10"/>
      <c r="E182" s="10"/>
      <c r="F182" s="10"/>
      <c r="G182" s="10"/>
      <c r="H182" s="8"/>
      <c r="I182" s="14"/>
      <c r="J182" s="8" t="str">
        <f t="shared" si="9"/>
        <v>贷</v>
      </c>
      <c r="K182" s="41"/>
      <c r="L182" s="9"/>
    </row>
    <row r="183" spans="1:13" ht="20.100000000000001" customHeight="1" x14ac:dyDescent="0.15">
      <c r="A183" s="10"/>
      <c r="B183" s="10"/>
      <c r="C183" s="10"/>
      <c r="D183" s="10"/>
      <c r="E183" s="7"/>
      <c r="F183" s="10"/>
      <c r="G183" s="10"/>
      <c r="H183" s="8"/>
      <c r="I183" s="14"/>
      <c r="J183" s="8" t="str">
        <f t="shared" si="9"/>
        <v>贷</v>
      </c>
      <c r="K183" s="41"/>
      <c r="L183" s="9"/>
      <c r="M183" s="65"/>
    </row>
    <row r="184" spans="1:13" ht="20.100000000000001" customHeight="1" x14ac:dyDescent="0.15">
      <c r="A184" s="10"/>
      <c r="B184" s="10"/>
      <c r="C184" s="10"/>
      <c r="D184" s="10"/>
      <c r="E184" s="7"/>
      <c r="F184" s="10"/>
      <c r="G184" s="10"/>
      <c r="H184" s="8"/>
      <c r="I184" s="14"/>
      <c r="J184" s="8" t="str">
        <f t="shared" si="9"/>
        <v>贷</v>
      </c>
      <c r="K184" s="41"/>
      <c r="L184" s="9"/>
      <c r="M184" s="65"/>
    </row>
    <row r="185" spans="1:13" ht="20.100000000000001" customHeight="1" x14ac:dyDescent="0.15">
      <c r="A185" s="10"/>
      <c r="B185" s="10"/>
      <c r="C185" s="10"/>
      <c r="D185" s="10"/>
      <c r="E185" s="7"/>
      <c r="F185" s="10"/>
      <c r="G185" s="10"/>
      <c r="H185" s="8"/>
      <c r="I185" s="14"/>
      <c r="J185" s="8" t="str">
        <f t="shared" si="9"/>
        <v>贷</v>
      </c>
      <c r="K185" s="41"/>
      <c r="L185" s="9"/>
    </row>
    <row r="186" spans="1:13" ht="20.100000000000001" customHeight="1" x14ac:dyDescent="0.15">
      <c r="A186" s="10"/>
      <c r="B186" s="10"/>
      <c r="C186" s="10"/>
      <c r="D186" s="10"/>
      <c r="E186" s="10"/>
      <c r="F186" s="10"/>
      <c r="G186" s="10"/>
      <c r="H186" s="8"/>
      <c r="I186" s="14"/>
      <c r="J186" s="8" t="str">
        <f t="shared" si="9"/>
        <v>贷</v>
      </c>
      <c r="K186" s="41"/>
      <c r="L186" s="9"/>
    </row>
    <row r="187" spans="1:13" ht="20.100000000000001" customHeight="1" x14ac:dyDescent="0.15">
      <c r="A187" s="10"/>
      <c r="B187" s="10"/>
      <c r="C187" s="10"/>
      <c r="D187" s="10"/>
      <c r="E187" s="10"/>
      <c r="F187" s="10"/>
      <c r="G187" s="10"/>
      <c r="H187" s="8"/>
      <c r="I187" s="14"/>
      <c r="J187" s="8" t="str">
        <f t="shared" si="9"/>
        <v>贷</v>
      </c>
      <c r="K187" s="41"/>
      <c r="L187" s="9"/>
    </row>
    <row r="188" spans="1:13" ht="20.100000000000001" customHeight="1" x14ac:dyDescent="0.15">
      <c r="A188" s="10"/>
      <c r="B188" s="10"/>
      <c r="C188" s="10"/>
      <c r="D188" s="10"/>
      <c r="E188" s="10"/>
      <c r="F188" s="10"/>
      <c r="G188" s="10"/>
      <c r="H188" s="8"/>
      <c r="I188" s="8"/>
      <c r="J188" s="8" t="str">
        <f t="shared" si="9"/>
        <v>贷</v>
      </c>
      <c r="K188" s="41"/>
      <c r="L188" s="9"/>
    </row>
    <row r="189" spans="1:13" ht="20.100000000000001" customHeight="1" x14ac:dyDescent="0.15">
      <c r="A189" s="10"/>
      <c r="B189" s="10"/>
      <c r="C189" s="10"/>
      <c r="D189" s="10"/>
      <c r="E189" s="10"/>
      <c r="F189" s="10"/>
      <c r="G189" s="10"/>
      <c r="H189" s="8"/>
      <c r="I189" s="14"/>
      <c r="J189" s="8" t="str">
        <f t="shared" si="9"/>
        <v>贷</v>
      </c>
      <c r="K189" s="41"/>
      <c r="L189" s="9"/>
    </row>
    <row r="190" spans="1:13" ht="20.100000000000001" customHeight="1" x14ac:dyDescent="0.15">
      <c r="A190" s="10"/>
      <c r="B190" s="10"/>
      <c r="C190" s="10"/>
      <c r="D190" s="10"/>
      <c r="E190" s="10"/>
      <c r="F190" s="10"/>
      <c r="G190" s="10"/>
      <c r="H190" s="8"/>
      <c r="I190" s="14"/>
      <c r="J190" s="8" t="str">
        <f t="shared" si="9"/>
        <v>贷</v>
      </c>
      <c r="K190" s="41"/>
      <c r="L190" s="9"/>
    </row>
    <row r="191" spans="1:13" ht="20.100000000000001" customHeight="1" x14ac:dyDescent="0.15">
      <c r="A191" s="10"/>
      <c r="B191" s="10"/>
      <c r="C191" s="10"/>
      <c r="D191" s="10"/>
      <c r="E191" s="10"/>
      <c r="F191" s="10"/>
      <c r="G191" s="10"/>
      <c r="H191" s="8"/>
      <c r="I191" s="14"/>
      <c r="J191" s="8" t="str">
        <f t="shared" si="9"/>
        <v>贷</v>
      </c>
      <c r="K191" s="41"/>
      <c r="L191" s="9"/>
    </row>
    <row r="192" spans="1:13" ht="20.100000000000001" customHeight="1" x14ac:dyDescent="0.15">
      <c r="A192" s="10"/>
      <c r="B192" s="10"/>
      <c r="C192" s="10"/>
      <c r="D192" s="10"/>
      <c r="E192" s="11"/>
      <c r="F192" s="10"/>
      <c r="G192" s="10"/>
      <c r="H192" s="8"/>
      <c r="I192" s="14"/>
      <c r="J192" s="8" t="str">
        <f t="shared" si="9"/>
        <v>贷</v>
      </c>
      <c r="K192" s="41"/>
      <c r="L192" s="9"/>
    </row>
    <row r="193" spans="1:12" ht="20.100000000000001" customHeight="1" x14ac:dyDescent="0.15">
      <c r="A193" s="10"/>
      <c r="B193" s="10"/>
      <c r="C193" s="10"/>
      <c r="D193" s="10"/>
      <c r="E193" s="7"/>
      <c r="F193" s="10"/>
      <c r="G193" s="10"/>
      <c r="H193" s="8"/>
      <c r="I193" s="14"/>
      <c r="J193" s="8" t="str">
        <f t="shared" si="9"/>
        <v>贷</v>
      </c>
      <c r="K193" s="41"/>
      <c r="L193" s="9"/>
    </row>
    <row r="194" spans="1:12" ht="20.100000000000001" customHeight="1" x14ac:dyDescent="0.15">
      <c r="A194" s="10"/>
      <c r="B194" s="10"/>
      <c r="C194" s="10"/>
      <c r="D194" s="10"/>
      <c r="E194" s="7"/>
      <c r="F194" s="10"/>
      <c r="G194" s="10"/>
      <c r="H194" s="8"/>
      <c r="I194" s="14"/>
      <c r="J194" s="8" t="str">
        <f t="shared" si="9"/>
        <v>贷</v>
      </c>
      <c r="K194" s="41"/>
      <c r="L194" s="9"/>
    </row>
    <row r="195" spans="1:12" ht="20.100000000000001" customHeight="1" x14ac:dyDescent="0.15">
      <c r="A195" s="10"/>
      <c r="B195" s="10"/>
      <c r="C195" s="10"/>
      <c r="D195" s="10"/>
      <c r="E195" s="7"/>
      <c r="F195" s="10"/>
      <c r="G195" s="10"/>
      <c r="H195" s="8"/>
      <c r="I195" s="14"/>
      <c r="J195" s="8" t="str">
        <f t="shared" si="9"/>
        <v>贷</v>
      </c>
      <c r="K195" s="41"/>
      <c r="L195" s="9"/>
    </row>
    <row r="196" spans="1:12" ht="20.100000000000001" customHeight="1" x14ac:dyDescent="0.15">
      <c r="A196" s="10"/>
      <c r="B196" s="10"/>
      <c r="C196" s="10"/>
      <c r="D196" s="10"/>
      <c r="E196" s="10"/>
      <c r="F196" s="10"/>
      <c r="G196" s="10"/>
      <c r="H196" s="8"/>
      <c r="I196" s="14"/>
      <c r="J196" s="8" t="str">
        <f t="shared" si="9"/>
        <v>贷</v>
      </c>
      <c r="K196" s="41"/>
      <c r="L196" s="9"/>
    </row>
    <row r="197" spans="1:12" ht="20.100000000000001" customHeight="1" x14ac:dyDescent="0.15">
      <c r="A197" s="10"/>
      <c r="B197" s="10"/>
      <c r="C197" s="10"/>
      <c r="D197" s="10"/>
      <c r="E197" s="10"/>
      <c r="F197" s="10"/>
      <c r="G197" s="10"/>
      <c r="H197" s="8"/>
      <c r="I197" s="14"/>
      <c r="J197" s="8" t="str">
        <f t="shared" si="9"/>
        <v>贷</v>
      </c>
      <c r="K197" s="41"/>
      <c r="L197" s="9"/>
    </row>
    <row r="198" spans="1:12" ht="20.100000000000001" customHeight="1" x14ac:dyDescent="0.15">
      <c r="A198" s="10"/>
      <c r="B198" s="10"/>
      <c r="C198" s="10"/>
      <c r="D198" s="10"/>
      <c r="E198" s="7"/>
      <c r="F198" s="10"/>
      <c r="G198" s="10"/>
      <c r="H198" s="8"/>
      <c r="I198" s="14"/>
      <c r="J198" s="8" t="str">
        <f t="shared" si="9"/>
        <v>贷</v>
      </c>
      <c r="K198" s="41"/>
      <c r="L198" s="9"/>
    </row>
    <row r="199" spans="1:12" ht="20.100000000000001" customHeight="1" x14ac:dyDescent="0.15">
      <c r="A199" s="10"/>
      <c r="B199" s="10"/>
      <c r="C199" s="10"/>
      <c r="D199" s="10"/>
      <c r="E199" s="10"/>
      <c r="F199" s="10"/>
      <c r="G199" s="10"/>
      <c r="H199" s="8"/>
      <c r="I199" s="14"/>
      <c r="J199" s="8" t="str">
        <f t="shared" si="9"/>
        <v>贷</v>
      </c>
      <c r="K199" s="41"/>
      <c r="L199" s="9"/>
    </row>
    <row r="200" spans="1:12" ht="20.100000000000001" customHeight="1" x14ac:dyDescent="0.15">
      <c r="A200" s="10"/>
      <c r="B200" s="10"/>
      <c r="C200" s="10"/>
      <c r="D200" s="10"/>
      <c r="E200" s="7"/>
      <c r="F200" s="10"/>
      <c r="G200" s="10"/>
      <c r="H200" s="8"/>
      <c r="I200" s="14"/>
      <c r="J200" s="8" t="str">
        <f t="shared" si="9"/>
        <v>贷</v>
      </c>
      <c r="K200" s="41"/>
      <c r="L200" s="9"/>
    </row>
    <row r="201" spans="1:12" ht="20.100000000000001" customHeight="1" x14ac:dyDescent="0.15">
      <c r="A201" s="10"/>
      <c r="B201" s="10"/>
      <c r="C201" s="10"/>
      <c r="D201" s="10"/>
      <c r="E201" s="7"/>
      <c r="F201" s="10"/>
      <c r="G201" s="10"/>
      <c r="H201" s="8"/>
      <c r="I201" s="14"/>
      <c r="J201" s="8" t="str">
        <f t="shared" si="9"/>
        <v>贷</v>
      </c>
      <c r="K201" s="41"/>
      <c r="L201" s="9"/>
    </row>
    <row r="202" spans="1:12" ht="20.100000000000001" customHeight="1" x14ac:dyDescent="0.15">
      <c r="A202" s="10"/>
      <c r="B202" s="10"/>
      <c r="C202" s="10"/>
      <c r="D202" s="10"/>
      <c r="E202" s="7"/>
      <c r="F202" s="10"/>
      <c r="G202" s="10"/>
      <c r="H202" s="8"/>
      <c r="I202" s="14"/>
      <c r="J202" s="8" t="str">
        <f t="shared" si="9"/>
        <v>贷</v>
      </c>
      <c r="K202" s="41"/>
      <c r="L202" s="9"/>
    </row>
    <row r="203" spans="1:12" ht="20.100000000000001" customHeight="1" x14ac:dyDescent="0.15">
      <c r="A203" s="10"/>
      <c r="B203" s="10"/>
      <c r="C203" s="10"/>
      <c r="D203" s="10"/>
      <c r="E203" s="10"/>
      <c r="F203" s="10"/>
      <c r="G203" s="10"/>
      <c r="H203" s="8"/>
      <c r="I203" s="14"/>
      <c r="J203" s="8" t="str">
        <f t="shared" si="9"/>
        <v>贷</v>
      </c>
      <c r="K203" s="41"/>
      <c r="L203" s="9"/>
    </row>
    <row r="204" spans="1:12" ht="20.100000000000001" customHeight="1" x14ac:dyDescent="0.15">
      <c r="A204" s="10"/>
      <c r="B204" s="10"/>
      <c r="C204" s="10"/>
      <c r="D204" s="10"/>
      <c r="E204" s="11"/>
      <c r="F204" s="10"/>
      <c r="G204" s="10"/>
      <c r="H204" s="8"/>
      <c r="I204" s="14"/>
      <c r="J204" s="8" t="str">
        <f t="shared" si="9"/>
        <v>贷</v>
      </c>
      <c r="K204" s="41"/>
      <c r="L204" s="9"/>
    </row>
    <row r="205" spans="1:12" ht="20.100000000000001" customHeight="1" x14ac:dyDescent="0.15">
      <c r="A205" s="10"/>
      <c r="B205" s="10"/>
      <c r="C205" s="10"/>
      <c r="D205" s="10"/>
      <c r="E205" s="7"/>
      <c r="F205" s="10"/>
      <c r="G205" s="10"/>
      <c r="H205" s="8"/>
      <c r="I205" s="14"/>
      <c r="J205" s="8" t="str">
        <f t="shared" si="9"/>
        <v>贷</v>
      </c>
      <c r="K205" s="41"/>
      <c r="L205" s="9"/>
    </row>
    <row r="206" spans="1:12" ht="20.100000000000001" customHeight="1" x14ac:dyDescent="0.15">
      <c r="A206" s="10"/>
      <c r="B206" s="10"/>
      <c r="C206" s="10"/>
      <c r="D206" s="10"/>
      <c r="E206" s="7"/>
      <c r="F206" s="10"/>
      <c r="G206" s="10"/>
      <c r="H206" s="8"/>
      <c r="I206" s="14"/>
      <c r="J206" s="8" t="str">
        <f t="shared" ref="J206:J269" si="10">IF((K205+H206-I206)&gt;0,"借","贷")</f>
        <v>贷</v>
      </c>
      <c r="K206" s="41"/>
      <c r="L206" s="9"/>
    </row>
    <row r="207" spans="1:12" ht="20.100000000000001" customHeight="1" x14ac:dyDescent="0.15">
      <c r="A207" s="10"/>
      <c r="B207" s="10"/>
      <c r="C207" s="10"/>
      <c r="D207" s="10"/>
      <c r="E207" s="7"/>
      <c r="F207" s="10"/>
      <c r="G207" s="10"/>
      <c r="H207" s="8"/>
      <c r="I207" s="14"/>
      <c r="J207" s="8" t="str">
        <f t="shared" si="10"/>
        <v>贷</v>
      </c>
      <c r="K207" s="41"/>
      <c r="L207" s="9"/>
    </row>
    <row r="208" spans="1:12" ht="20.100000000000001" customHeight="1" x14ac:dyDescent="0.15">
      <c r="A208" s="10"/>
      <c r="B208" s="10"/>
      <c r="C208" s="10"/>
      <c r="D208" s="10"/>
      <c r="E208" s="10"/>
      <c r="F208" s="10"/>
      <c r="G208" s="10"/>
      <c r="H208" s="8"/>
      <c r="I208" s="14"/>
      <c r="J208" s="8" t="str">
        <f t="shared" si="10"/>
        <v>贷</v>
      </c>
      <c r="K208" s="41"/>
      <c r="L208" s="9"/>
    </row>
    <row r="209" spans="1:13" ht="20.100000000000001" customHeight="1" x14ac:dyDescent="0.15">
      <c r="A209" s="10"/>
      <c r="B209" s="10"/>
      <c r="C209" s="10"/>
      <c r="D209" s="10"/>
      <c r="E209" s="7"/>
      <c r="F209" s="10"/>
      <c r="G209" s="10"/>
      <c r="H209" s="8"/>
      <c r="I209" s="14"/>
      <c r="J209" s="8" t="str">
        <f t="shared" si="10"/>
        <v>贷</v>
      </c>
      <c r="K209" s="41"/>
      <c r="L209" s="9"/>
    </row>
    <row r="210" spans="1:13" ht="20.100000000000001" customHeight="1" x14ac:dyDescent="0.15">
      <c r="A210" s="10"/>
      <c r="B210" s="10"/>
      <c r="C210" s="10"/>
      <c r="D210" s="10"/>
      <c r="E210" s="10"/>
      <c r="F210" s="10"/>
      <c r="G210" s="10"/>
      <c r="H210" s="8"/>
      <c r="I210" s="14"/>
      <c r="J210" s="8" t="str">
        <f t="shared" si="10"/>
        <v>贷</v>
      </c>
      <c r="K210" s="41"/>
      <c r="L210" s="9"/>
    </row>
    <row r="211" spans="1:13" ht="20.100000000000001" customHeight="1" x14ac:dyDescent="0.15">
      <c r="A211" s="10"/>
      <c r="B211" s="10"/>
      <c r="C211" s="10"/>
      <c r="D211" s="10"/>
      <c r="E211" s="7"/>
      <c r="F211" s="10"/>
      <c r="G211" s="10"/>
      <c r="H211" s="8"/>
      <c r="I211" s="14"/>
      <c r="J211" s="8" t="str">
        <f t="shared" si="10"/>
        <v>贷</v>
      </c>
      <c r="K211" s="41"/>
      <c r="L211" s="9"/>
    </row>
    <row r="212" spans="1:13" ht="20.100000000000001" customHeight="1" x14ac:dyDescent="0.15">
      <c r="A212" s="10"/>
      <c r="B212" s="10"/>
      <c r="C212" s="10"/>
      <c r="D212" s="10"/>
      <c r="E212" s="10"/>
      <c r="F212" s="10"/>
      <c r="G212" s="10"/>
      <c r="H212" s="8"/>
      <c r="I212" s="14"/>
      <c r="J212" s="8" t="str">
        <f t="shared" si="10"/>
        <v>贷</v>
      </c>
      <c r="K212" s="41"/>
      <c r="L212" s="9"/>
    </row>
    <row r="213" spans="1:13" ht="20.100000000000001" customHeight="1" x14ac:dyDescent="0.15">
      <c r="A213" s="10"/>
      <c r="B213" s="10"/>
      <c r="C213" s="10"/>
      <c r="D213" s="10"/>
      <c r="E213" s="7"/>
      <c r="F213" s="10"/>
      <c r="G213" s="10"/>
      <c r="H213" s="8"/>
      <c r="I213" s="14"/>
      <c r="J213" s="8" t="str">
        <f t="shared" si="10"/>
        <v>贷</v>
      </c>
      <c r="K213" s="41"/>
      <c r="L213" s="9"/>
    </row>
    <row r="214" spans="1:13" ht="20.100000000000001" customHeight="1" x14ac:dyDescent="0.15">
      <c r="A214" s="10"/>
      <c r="B214" s="10"/>
      <c r="C214" s="10"/>
      <c r="D214" s="10"/>
      <c r="E214" s="10"/>
      <c r="F214" s="10"/>
      <c r="G214" s="10"/>
      <c r="H214" s="8"/>
      <c r="I214" s="14"/>
      <c r="J214" s="8" t="str">
        <f t="shared" si="10"/>
        <v>贷</v>
      </c>
      <c r="K214" s="41"/>
      <c r="L214" s="9"/>
    </row>
    <row r="215" spans="1:13" ht="20.100000000000001" customHeight="1" x14ac:dyDescent="0.15">
      <c r="A215" s="10"/>
      <c r="B215" s="10"/>
      <c r="C215" s="10"/>
      <c r="D215" s="10"/>
      <c r="E215" s="7"/>
      <c r="F215" s="10"/>
      <c r="G215" s="10"/>
      <c r="H215" s="8"/>
      <c r="I215" s="14"/>
      <c r="J215" s="8" t="str">
        <f t="shared" si="10"/>
        <v>贷</v>
      </c>
      <c r="K215" s="41"/>
      <c r="L215" s="9"/>
    </row>
    <row r="216" spans="1:13" ht="20.100000000000001" customHeight="1" x14ac:dyDescent="0.15">
      <c r="A216" s="10"/>
      <c r="B216" s="10"/>
      <c r="C216" s="10"/>
      <c r="D216" s="10"/>
      <c r="E216" s="10"/>
      <c r="F216" s="10"/>
      <c r="G216" s="10"/>
      <c r="H216" s="8"/>
      <c r="I216" s="14"/>
      <c r="J216" s="8" t="str">
        <f t="shared" si="10"/>
        <v>贷</v>
      </c>
      <c r="K216" s="41"/>
      <c r="L216" s="9"/>
    </row>
    <row r="217" spans="1:13" ht="20.100000000000001" customHeight="1" x14ac:dyDescent="0.15">
      <c r="A217" s="10"/>
      <c r="B217" s="10"/>
      <c r="C217" s="10"/>
      <c r="D217" s="10"/>
      <c r="E217" s="7"/>
      <c r="F217" s="10"/>
      <c r="G217" s="10"/>
      <c r="H217" s="8"/>
      <c r="I217" s="14"/>
      <c r="J217" s="8" t="str">
        <f t="shared" si="10"/>
        <v>贷</v>
      </c>
      <c r="K217" s="41"/>
      <c r="L217" s="9"/>
    </row>
    <row r="218" spans="1:13" ht="20.100000000000001" customHeight="1" x14ac:dyDescent="0.15">
      <c r="A218" s="10"/>
      <c r="B218" s="5"/>
      <c r="C218" s="5"/>
      <c r="D218" s="10"/>
      <c r="E218" s="7"/>
      <c r="F218" s="10"/>
      <c r="G218" s="10"/>
      <c r="H218" s="8"/>
      <c r="I218" s="14"/>
      <c r="J218" s="8" t="str">
        <f t="shared" si="10"/>
        <v>贷</v>
      </c>
      <c r="K218" s="41"/>
      <c r="L218" s="9"/>
    </row>
    <row r="219" spans="1:13" ht="20.100000000000001" customHeight="1" x14ac:dyDescent="0.15">
      <c r="A219" s="10"/>
      <c r="B219" s="10"/>
      <c r="C219" s="10"/>
      <c r="D219" s="10"/>
      <c r="E219" s="7"/>
      <c r="F219" s="10"/>
      <c r="G219" s="10"/>
      <c r="H219" s="8"/>
      <c r="I219" s="14"/>
      <c r="J219" s="8" t="str">
        <f t="shared" si="10"/>
        <v>贷</v>
      </c>
      <c r="K219" s="41"/>
      <c r="L219" s="9"/>
    </row>
    <row r="220" spans="1:13" ht="20.100000000000001" customHeight="1" x14ac:dyDescent="0.15">
      <c r="A220" s="10"/>
      <c r="B220" s="10"/>
      <c r="C220" s="10"/>
      <c r="D220" s="10"/>
      <c r="E220" s="10"/>
      <c r="F220" s="10"/>
      <c r="G220" s="10"/>
      <c r="H220" s="8"/>
      <c r="I220" s="14"/>
      <c r="J220" s="8" t="str">
        <f t="shared" si="10"/>
        <v>贷</v>
      </c>
      <c r="K220" s="41"/>
      <c r="L220" s="9"/>
    </row>
    <row r="221" spans="1:13" ht="20.100000000000001" customHeight="1" x14ac:dyDescent="0.15">
      <c r="A221" s="10"/>
      <c r="B221" s="10"/>
      <c r="C221" s="10"/>
      <c r="D221" s="10"/>
      <c r="E221" s="10"/>
      <c r="F221" s="10"/>
      <c r="G221" s="10"/>
      <c r="H221" s="8"/>
      <c r="I221" s="14"/>
      <c r="J221" s="8" t="str">
        <f t="shared" si="10"/>
        <v>贷</v>
      </c>
      <c r="K221" s="41"/>
      <c r="L221" s="9"/>
      <c r="M221" s="65"/>
    </row>
    <row r="222" spans="1:13" ht="20.100000000000001" customHeight="1" x14ac:dyDescent="0.15">
      <c r="A222" s="10"/>
      <c r="B222" s="10"/>
      <c r="C222" s="10"/>
      <c r="D222" s="10"/>
      <c r="E222" s="10"/>
      <c r="F222" s="10"/>
      <c r="G222" s="10"/>
      <c r="H222" s="8"/>
      <c r="I222" s="14"/>
      <c r="J222" s="8" t="str">
        <f t="shared" si="10"/>
        <v>贷</v>
      </c>
      <c r="K222" s="41"/>
      <c r="L222" s="9"/>
      <c r="M222" s="65"/>
    </row>
    <row r="223" spans="1:13" ht="20.100000000000001" customHeight="1" x14ac:dyDescent="0.15">
      <c r="A223" s="10"/>
      <c r="B223" s="10"/>
      <c r="C223" s="10"/>
      <c r="D223" s="10"/>
      <c r="E223" s="10"/>
      <c r="F223" s="10"/>
      <c r="G223" s="10"/>
      <c r="H223" s="8"/>
      <c r="I223" s="14"/>
      <c r="J223" s="8" t="str">
        <f t="shared" si="10"/>
        <v>贷</v>
      </c>
      <c r="K223" s="41"/>
      <c r="L223" s="9"/>
    </row>
    <row r="224" spans="1:13" ht="20.100000000000001" customHeight="1" x14ac:dyDescent="0.15">
      <c r="A224" s="10"/>
      <c r="B224" s="10"/>
      <c r="C224" s="10"/>
      <c r="D224" s="10"/>
      <c r="E224" s="10"/>
      <c r="F224" s="10"/>
      <c r="G224" s="10"/>
      <c r="H224" s="8"/>
      <c r="I224" s="14"/>
      <c r="J224" s="8" t="str">
        <f t="shared" si="10"/>
        <v>贷</v>
      </c>
      <c r="K224" s="41"/>
      <c r="L224" s="9"/>
    </row>
    <row r="225" spans="1:14" ht="20.100000000000001" customHeight="1" x14ac:dyDescent="0.15">
      <c r="A225" s="10"/>
      <c r="B225" s="10"/>
      <c r="C225" s="10"/>
      <c r="D225" s="10"/>
      <c r="E225" s="10"/>
      <c r="F225" s="10"/>
      <c r="G225" s="10"/>
      <c r="H225" s="8"/>
      <c r="I225" s="14"/>
      <c r="J225" s="8" t="str">
        <f t="shared" si="10"/>
        <v>贷</v>
      </c>
      <c r="K225" s="41"/>
      <c r="L225" s="9"/>
    </row>
    <row r="226" spans="1:14" ht="20.100000000000001" customHeight="1" x14ac:dyDescent="0.15">
      <c r="A226" s="10"/>
      <c r="B226" s="10"/>
      <c r="C226" s="10"/>
      <c r="D226" s="10"/>
      <c r="E226" s="10"/>
      <c r="F226" s="10"/>
      <c r="G226" s="10"/>
      <c r="H226" s="8"/>
      <c r="I226" s="14"/>
      <c r="J226" s="8" t="str">
        <f t="shared" si="10"/>
        <v>贷</v>
      </c>
      <c r="K226" s="41"/>
      <c r="L226" s="9"/>
    </row>
    <row r="227" spans="1:14" ht="20.100000000000001" customHeight="1" x14ac:dyDescent="0.15">
      <c r="A227" s="10"/>
      <c r="B227" s="10"/>
      <c r="C227" s="10"/>
      <c r="D227" s="10"/>
      <c r="E227" s="10"/>
      <c r="F227" s="10"/>
      <c r="G227" s="10"/>
      <c r="H227" s="14"/>
      <c r="I227" s="14"/>
      <c r="J227" s="8" t="str">
        <f t="shared" si="10"/>
        <v>贷</v>
      </c>
      <c r="K227" s="41"/>
      <c r="L227" s="9"/>
    </row>
    <row r="228" spans="1:14" ht="20.100000000000001" customHeight="1" x14ac:dyDescent="0.15">
      <c r="A228" s="10"/>
      <c r="B228" s="10"/>
      <c r="C228" s="10"/>
      <c r="D228" s="10"/>
      <c r="E228" s="10"/>
      <c r="F228" s="10"/>
      <c r="G228" s="10"/>
      <c r="H228" s="8"/>
      <c r="I228" s="14"/>
      <c r="J228" s="8" t="str">
        <f t="shared" si="10"/>
        <v>贷</v>
      </c>
      <c r="K228" s="41"/>
      <c r="L228" s="9"/>
    </row>
    <row r="229" spans="1:14" ht="20.100000000000001" customHeight="1" x14ac:dyDescent="0.15">
      <c r="A229" s="10"/>
      <c r="B229" s="10"/>
      <c r="C229" s="10"/>
      <c r="D229" s="10"/>
      <c r="E229" s="10"/>
      <c r="F229" s="10"/>
      <c r="G229" s="10"/>
      <c r="H229" s="8"/>
      <c r="I229" s="14"/>
      <c r="J229" s="8" t="str">
        <f t="shared" si="10"/>
        <v>贷</v>
      </c>
      <c r="K229" s="41"/>
      <c r="L229" s="9"/>
      <c r="N229" s="65"/>
    </row>
    <row r="230" spans="1:14" ht="20.100000000000001" customHeight="1" x14ac:dyDescent="0.15">
      <c r="A230" s="10"/>
      <c r="B230" s="10"/>
      <c r="C230" s="10"/>
      <c r="D230" s="10"/>
      <c r="E230" s="10"/>
      <c r="F230" s="10"/>
      <c r="G230" s="10"/>
      <c r="H230" s="8"/>
      <c r="I230" s="14"/>
      <c r="J230" s="8" t="str">
        <f t="shared" si="10"/>
        <v>贷</v>
      </c>
      <c r="K230" s="41"/>
      <c r="L230" s="9"/>
      <c r="N230" s="65"/>
    </row>
    <row r="231" spans="1:14" ht="20.100000000000001" customHeight="1" x14ac:dyDescent="0.15">
      <c r="A231" s="10"/>
      <c r="B231" s="10"/>
      <c r="C231" s="10"/>
      <c r="D231" s="10"/>
      <c r="E231" s="10"/>
      <c r="F231" s="10"/>
      <c r="G231" s="10"/>
      <c r="H231" s="8"/>
      <c r="I231" s="14"/>
      <c r="J231" s="8" t="str">
        <f t="shared" si="10"/>
        <v>贷</v>
      </c>
      <c r="K231" s="41"/>
      <c r="L231" s="9"/>
    </row>
    <row r="232" spans="1:14" ht="20.100000000000001" customHeight="1" x14ac:dyDescent="0.15">
      <c r="A232" s="10"/>
      <c r="B232" s="10"/>
      <c r="C232" s="10"/>
      <c r="D232" s="10"/>
      <c r="E232" s="10"/>
      <c r="F232" s="10"/>
      <c r="G232" s="10"/>
      <c r="H232" s="8"/>
      <c r="I232" s="14"/>
      <c r="J232" s="8" t="str">
        <f t="shared" si="10"/>
        <v>贷</v>
      </c>
      <c r="K232" s="41"/>
      <c r="L232" s="9"/>
    </row>
    <row r="233" spans="1:14" ht="20.100000000000001" customHeight="1" x14ac:dyDescent="0.15">
      <c r="A233" s="10"/>
      <c r="B233" s="10"/>
      <c r="C233" s="10"/>
      <c r="D233" s="10"/>
      <c r="E233" s="10"/>
      <c r="F233" s="10"/>
      <c r="G233" s="10"/>
      <c r="H233" s="8"/>
      <c r="I233" s="14"/>
      <c r="J233" s="8" t="str">
        <f t="shared" si="10"/>
        <v>贷</v>
      </c>
      <c r="K233" s="41"/>
      <c r="L233" s="9"/>
    </row>
    <row r="234" spans="1:14" ht="20.100000000000001" customHeight="1" x14ac:dyDescent="0.15">
      <c r="A234" s="10"/>
      <c r="B234" s="10"/>
      <c r="C234" s="10"/>
      <c r="D234" s="10"/>
      <c r="E234" s="10"/>
      <c r="F234" s="10"/>
      <c r="G234" s="10"/>
      <c r="H234" s="8"/>
      <c r="I234" s="14"/>
      <c r="J234" s="8" t="str">
        <f t="shared" si="10"/>
        <v>贷</v>
      </c>
      <c r="K234" s="41"/>
      <c r="L234" s="9"/>
    </row>
    <row r="235" spans="1:14" ht="20.100000000000001" customHeight="1" x14ac:dyDescent="0.15">
      <c r="A235" s="10"/>
      <c r="B235" s="10"/>
      <c r="C235" s="10"/>
      <c r="D235" s="10"/>
      <c r="E235" s="7"/>
      <c r="F235" s="10"/>
      <c r="G235" s="10"/>
      <c r="H235" s="8"/>
      <c r="I235" s="14"/>
      <c r="J235" s="23" t="str">
        <f t="shared" si="10"/>
        <v>贷</v>
      </c>
      <c r="K235" s="43"/>
      <c r="L235" s="9"/>
    </row>
    <row r="236" spans="1:14" ht="20.100000000000001" customHeight="1" x14ac:dyDescent="0.15">
      <c r="A236" s="10"/>
      <c r="B236" s="10"/>
      <c r="C236" s="10"/>
      <c r="D236" s="10"/>
      <c r="E236" s="7"/>
      <c r="F236" s="10"/>
      <c r="G236" s="10"/>
      <c r="H236" s="8"/>
      <c r="I236" s="14"/>
      <c r="J236" s="8" t="str">
        <f t="shared" si="10"/>
        <v>贷</v>
      </c>
      <c r="K236" s="41"/>
      <c r="L236" s="9"/>
    </row>
    <row r="237" spans="1:14" ht="20.100000000000001" customHeight="1" x14ac:dyDescent="0.15">
      <c r="A237" s="10"/>
      <c r="B237" s="10"/>
      <c r="C237" s="10"/>
      <c r="D237" s="10"/>
      <c r="E237" s="10"/>
      <c r="F237" s="10"/>
      <c r="G237" s="10"/>
      <c r="H237" s="8"/>
      <c r="I237" s="14"/>
      <c r="J237" s="8" t="str">
        <f t="shared" si="10"/>
        <v>贷</v>
      </c>
      <c r="K237" s="41"/>
      <c r="L237" s="9"/>
    </row>
    <row r="238" spans="1:14" ht="20.100000000000001" customHeight="1" x14ac:dyDescent="0.15">
      <c r="A238" s="10"/>
      <c r="B238" s="10"/>
      <c r="C238" s="10"/>
      <c r="D238" s="10"/>
      <c r="E238" s="10"/>
      <c r="F238" s="10"/>
      <c r="G238" s="10"/>
      <c r="H238" s="8"/>
      <c r="I238" s="14"/>
      <c r="J238" s="23" t="str">
        <f t="shared" si="10"/>
        <v>贷</v>
      </c>
      <c r="K238" s="41"/>
      <c r="L238" s="9"/>
    </row>
    <row r="239" spans="1:14" ht="20.100000000000001" customHeight="1" x14ac:dyDescent="0.15">
      <c r="A239" s="10"/>
      <c r="B239" s="10"/>
      <c r="C239" s="10"/>
      <c r="D239" s="10"/>
      <c r="E239" s="10"/>
      <c r="F239" s="10"/>
      <c r="G239" s="10"/>
      <c r="H239" s="8"/>
      <c r="I239" s="14"/>
      <c r="J239" s="8" t="str">
        <f t="shared" si="10"/>
        <v>贷</v>
      </c>
      <c r="K239" s="43"/>
      <c r="L239" s="9"/>
    </row>
    <row r="240" spans="1:14" ht="20.100000000000001" customHeight="1" x14ac:dyDescent="0.15">
      <c r="A240" s="10"/>
      <c r="B240" s="10"/>
      <c r="C240" s="10"/>
      <c r="D240" s="10"/>
      <c r="E240" s="10"/>
      <c r="F240" s="10"/>
      <c r="G240" s="10"/>
      <c r="H240" s="8"/>
      <c r="I240" s="14"/>
      <c r="J240" s="8" t="str">
        <f t="shared" si="10"/>
        <v>贷</v>
      </c>
      <c r="K240" s="41"/>
      <c r="L240" s="9"/>
    </row>
    <row r="241" spans="1:12" ht="20.100000000000001" customHeight="1" x14ac:dyDescent="0.15">
      <c r="A241" s="10"/>
      <c r="B241" s="10"/>
      <c r="C241" s="10"/>
      <c r="D241" s="10"/>
      <c r="E241" s="10"/>
      <c r="F241" s="10"/>
      <c r="G241" s="10"/>
      <c r="H241" s="8"/>
      <c r="I241" s="14"/>
      <c r="J241" s="23" t="str">
        <f t="shared" si="10"/>
        <v>贷</v>
      </c>
      <c r="K241" s="41"/>
      <c r="L241" s="9"/>
    </row>
    <row r="242" spans="1:12" ht="20.100000000000001" customHeight="1" x14ac:dyDescent="0.15">
      <c r="A242" s="10"/>
      <c r="B242" s="10"/>
      <c r="C242" s="10"/>
      <c r="D242" s="10"/>
      <c r="E242" s="10"/>
      <c r="F242" s="10"/>
      <c r="G242" s="10"/>
      <c r="H242" s="8"/>
      <c r="I242" s="14"/>
      <c r="J242" s="23" t="str">
        <f t="shared" si="10"/>
        <v>贷</v>
      </c>
      <c r="K242" s="41"/>
      <c r="L242" s="9"/>
    </row>
    <row r="243" spans="1:12" ht="20.100000000000001" customHeight="1" x14ac:dyDescent="0.15">
      <c r="A243" s="10"/>
      <c r="B243" s="10"/>
      <c r="C243" s="10"/>
      <c r="D243" s="10"/>
      <c r="E243" s="10"/>
      <c r="F243" s="10"/>
      <c r="G243" s="10"/>
      <c r="H243" s="8"/>
      <c r="I243" s="14"/>
      <c r="J243" s="23" t="str">
        <f t="shared" si="10"/>
        <v>贷</v>
      </c>
      <c r="K243" s="41"/>
      <c r="L243" s="9"/>
    </row>
    <row r="244" spans="1:12" ht="20.100000000000001" customHeight="1" x14ac:dyDescent="0.15">
      <c r="A244" s="10"/>
      <c r="B244" s="10"/>
      <c r="C244" s="10"/>
      <c r="D244" s="10"/>
      <c r="E244" s="10"/>
      <c r="F244" s="10"/>
      <c r="G244" s="10"/>
      <c r="H244" s="8"/>
      <c r="I244" s="14"/>
      <c r="J244" s="23" t="str">
        <f t="shared" si="10"/>
        <v>贷</v>
      </c>
      <c r="K244" s="41"/>
      <c r="L244" s="9"/>
    </row>
    <row r="245" spans="1:12" ht="20.100000000000001" customHeight="1" x14ac:dyDescent="0.15">
      <c r="A245" s="10"/>
      <c r="B245" s="10"/>
      <c r="C245" s="10"/>
      <c r="D245" s="10"/>
      <c r="E245" s="10"/>
      <c r="F245" s="10"/>
      <c r="G245" s="10"/>
      <c r="H245" s="8"/>
      <c r="I245" s="14"/>
      <c r="J245" s="23" t="str">
        <f t="shared" si="10"/>
        <v>贷</v>
      </c>
      <c r="K245" s="41"/>
      <c r="L245" s="9"/>
    </row>
    <row r="246" spans="1:12" ht="20.100000000000001" customHeight="1" x14ac:dyDescent="0.15">
      <c r="A246" s="10"/>
      <c r="B246" s="10"/>
      <c r="C246" s="10"/>
      <c r="D246" s="10"/>
      <c r="E246" s="10"/>
      <c r="F246" s="10"/>
      <c r="G246" s="10"/>
      <c r="H246" s="8"/>
      <c r="I246" s="14"/>
      <c r="J246" s="23" t="str">
        <f t="shared" si="10"/>
        <v>贷</v>
      </c>
      <c r="K246" s="41"/>
      <c r="L246" s="9"/>
    </row>
    <row r="247" spans="1:12" ht="20.100000000000001" customHeight="1" x14ac:dyDescent="0.15">
      <c r="A247" s="10"/>
      <c r="B247" s="10"/>
      <c r="C247" s="10"/>
      <c r="D247" s="10"/>
      <c r="E247" s="10"/>
      <c r="F247" s="10"/>
      <c r="G247" s="10"/>
      <c r="H247" s="8"/>
      <c r="I247" s="14"/>
      <c r="J247" s="23" t="str">
        <f t="shared" si="10"/>
        <v>贷</v>
      </c>
      <c r="K247" s="41"/>
      <c r="L247" s="9"/>
    </row>
    <row r="248" spans="1:12" ht="20.100000000000001" customHeight="1" x14ac:dyDescent="0.15">
      <c r="A248" s="10"/>
      <c r="B248" s="10"/>
      <c r="C248" s="10"/>
      <c r="D248" s="10"/>
      <c r="E248" s="10"/>
      <c r="F248" s="10"/>
      <c r="G248" s="10"/>
      <c r="H248" s="8"/>
      <c r="I248" s="44"/>
      <c r="J248" s="23" t="str">
        <f t="shared" si="10"/>
        <v>贷</v>
      </c>
      <c r="K248" s="41"/>
      <c r="L248" s="9"/>
    </row>
    <row r="249" spans="1:12" ht="20.100000000000001" customHeight="1" x14ac:dyDescent="0.15">
      <c r="A249" s="10"/>
      <c r="B249" s="10"/>
      <c r="C249" s="10"/>
      <c r="D249" s="10"/>
      <c r="E249" s="10"/>
      <c r="F249" s="10"/>
      <c r="G249" s="10"/>
      <c r="H249" s="8"/>
      <c r="I249" s="14"/>
      <c r="J249" s="23" t="str">
        <f t="shared" si="10"/>
        <v>贷</v>
      </c>
      <c r="K249" s="41"/>
      <c r="L249" s="9"/>
    </row>
    <row r="250" spans="1:12" ht="20.100000000000001" customHeight="1" x14ac:dyDescent="0.15">
      <c r="A250" s="10"/>
      <c r="B250" s="10"/>
      <c r="C250" s="10"/>
      <c r="D250" s="10"/>
      <c r="E250" s="10"/>
      <c r="F250" s="10"/>
      <c r="G250" s="10"/>
      <c r="H250" s="8"/>
      <c r="I250" s="14"/>
      <c r="J250" s="23" t="str">
        <f t="shared" si="10"/>
        <v>贷</v>
      </c>
      <c r="K250" s="41"/>
      <c r="L250" s="9"/>
    </row>
    <row r="251" spans="1:12" ht="20.100000000000001" customHeight="1" x14ac:dyDescent="0.15">
      <c r="A251" s="10"/>
      <c r="B251" s="10"/>
      <c r="C251" s="10"/>
      <c r="D251" s="10"/>
      <c r="E251" s="10"/>
      <c r="F251" s="10"/>
      <c r="G251" s="10"/>
      <c r="H251" s="8"/>
      <c r="I251" s="14"/>
      <c r="J251" s="23" t="str">
        <f t="shared" si="10"/>
        <v>贷</v>
      </c>
      <c r="K251" s="41"/>
      <c r="L251" s="9"/>
    </row>
    <row r="252" spans="1:12" ht="20.100000000000001" customHeight="1" x14ac:dyDescent="0.15">
      <c r="A252" s="10"/>
      <c r="B252" s="10"/>
      <c r="C252" s="10"/>
      <c r="D252" s="10"/>
      <c r="E252" s="10"/>
      <c r="F252" s="10"/>
      <c r="G252" s="10"/>
      <c r="H252" s="8"/>
      <c r="I252" s="14"/>
      <c r="J252" s="23" t="str">
        <f t="shared" si="10"/>
        <v>贷</v>
      </c>
      <c r="K252" s="41"/>
      <c r="L252" s="9"/>
    </row>
    <row r="253" spans="1:12" ht="20.100000000000001" customHeight="1" x14ac:dyDescent="0.15">
      <c r="A253" s="10"/>
      <c r="B253" s="10"/>
      <c r="C253" s="10"/>
      <c r="D253" s="10"/>
      <c r="E253" s="10"/>
      <c r="F253" s="10"/>
      <c r="G253" s="10"/>
      <c r="H253" s="8"/>
      <c r="I253" s="14"/>
      <c r="J253" s="23" t="str">
        <f t="shared" si="10"/>
        <v>贷</v>
      </c>
      <c r="K253" s="41"/>
      <c r="L253" s="9"/>
    </row>
    <row r="254" spans="1:12" ht="20.100000000000001" customHeight="1" x14ac:dyDescent="0.15">
      <c r="A254" s="10"/>
      <c r="B254" s="10"/>
      <c r="C254" s="10"/>
      <c r="D254" s="10"/>
      <c r="E254" s="10"/>
      <c r="F254" s="10"/>
      <c r="G254" s="10"/>
      <c r="H254" s="8"/>
      <c r="I254" s="14"/>
      <c r="J254" s="23" t="str">
        <f t="shared" si="10"/>
        <v>贷</v>
      </c>
      <c r="K254" s="41"/>
      <c r="L254" s="9"/>
    </row>
    <row r="255" spans="1:12" ht="20.100000000000001" customHeight="1" x14ac:dyDescent="0.15">
      <c r="A255" s="10"/>
      <c r="B255" s="10"/>
      <c r="C255" s="10"/>
      <c r="D255" s="10"/>
      <c r="E255" s="10"/>
      <c r="F255" s="10"/>
      <c r="G255" s="10"/>
      <c r="H255" s="8"/>
      <c r="I255" s="14"/>
      <c r="J255" s="8" t="str">
        <f t="shared" si="10"/>
        <v>贷</v>
      </c>
      <c r="K255" s="41"/>
      <c r="L255" s="9"/>
    </row>
    <row r="256" spans="1:12" ht="20.100000000000001" customHeight="1" x14ac:dyDescent="0.15">
      <c r="A256" s="10"/>
      <c r="B256" s="10"/>
      <c r="C256" s="10"/>
      <c r="D256" s="10"/>
      <c r="E256" s="10"/>
      <c r="F256" s="10"/>
      <c r="G256" s="10"/>
      <c r="H256" s="8"/>
      <c r="I256" s="14"/>
      <c r="J256" s="8" t="str">
        <f t="shared" si="10"/>
        <v>贷</v>
      </c>
      <c r="K256" s="41"/>
      <c r="L256" s="9"/>
    </row>
    <row r="257" spans="1:13" ht="20.100000000000001" customHeight="1" x14ac:dyDescent="0.15">
      <c r="A257" s="10"/>
      <c r="B257" s="10"/>
      <c r="C257" s="10"/>
      <c r="D257" s="10"/>
      <c r="E257" s="10"/>
      <c r="F257" s="10"/>
      <c r="G257" s="10"/>
      <c r="H257" s="8"/>
      <c r="I257" s="14"/>
      <c r="J257" s="8" t="str">
        <f t="shared" si="10"/>
        <v>贷</v>
      </c>
      <c r="K257" s="41"/>
      <c r="L257" s="9"/>
    </row>
    <row r="258" spans="1:13" ht="20.100000000000001" customHeight="1" x14ac:dyDescent="0.15">
      <c r="A258" s="10"/>
      <c r="B258" s="10"/>
      <c r="C258" s="10"/>
      <c r="D258" s="10"/>
      <c r="E258" s="10"/>
      <c r="F258" s="10"/>
      <c r="G258" s="10"/>
      <c r="H258" s="8"/>
      <c r="I258" s="14"/>
      <c r="J258" s="8" t="str">
        <f t="shared" si="10"/>
        <v>贷</v>
      </c>
      <c r="K258" s="41"/>
      <c r="L258" s="9"/>
    </row>
    <row r="259" spans="1:13" ht="20.100000000000001" customHeight="1" x14ac:dyDescent="0.15">
      <c r="A259" s="10"/>
      <c r="B259" s="10"/>
      <c r="C259" s="10"/>
      <c r="D259" s="10"/>
      <c r="E259" s="10"/>
      <c r="F259" s="10"/>
      <c r="G259" s="10"/>
      <c r="H259" s="8"/>
      <c r="I259" s="14"/>
      <c r="J259" s="8" t="str">
        <f t="shared" si="10"/>
        <v>贷</v>
      </c>
      <c r="K259" s="41"/>
      <c r="L259" s="9"/>
    </row>
    <row r="260" spans="1:13" ht="20.100000000000001" customHeight="1" x14ac:dyDescent="0.15">
      <c r="A260" s="10"/>
      <c r="B260" s="10"/>
      <c r="C260" s="10"/>
      <c r="D260" s="10"/>
      <c r="E260" s="10"/>
      <c r="F260" s="10"/>
      <c r="G260" s="10"/>
      <c r="H260" s="8"/>
      <c r="I260" s="14"/>
      <c r="J260" s="8" t="str">
        <f t="shared" si="10"/>
        <v>贷</v>
      </c>
      <c r="K260" s="41"/>
      <c r="L260" s="9"/>
    </row>
    <row r="261" spans="1:13" ht="20.100000000000001" customHeight="1" x14ac:dyDescent="0.15">
      <c r="A261" s="10"/>
      <c r="B261" s="10"/>
      <c r="C261" s="10"/>
      <c r="D261" s="10"/>
      <c r="E261" s="10"/>
      <c r="F261" s="10"/>
      <c r="G261" s="10"/>
      <c r="H261" s="8"/>
      <c r="I261" s="8"/>
      <c r="J261" s="8" t="str">
        <f t="shared" si="10"/>
        <v>贷</v>
      </c>
      <c r="K261" s="41"/>
      <c r="L261" s="9"/>
      <c r="M261" s="65"/>
    </row>
    <row r="262" spans="1:13" ht="20.100000000000001" customHeight="1" x14ac:dyDescent="0.15">
      <c r="A262" s="10"/>
      <c r="B262" s="10"/>
      <c r="C262" s="10"/>
      <c r="D262" s="10"/>
      <c r="E262" s="10"/>
      <c r="F262" s="10"/>
      <c r="G262" s="10"/>
      <c r="H262" s="8"/>
      <c r="I262" s="14"/>
      <c r="J262" s="8" t="str">
        <f t="shared" si="10"/>
        <v>贷</v>
      </c>
      <c r="K262" s="41"/>
      <c r="L262" s="9"/>
      <c r="M262" s="65"/>
    </row>
    <row r="263" spans="1:13" ht="20.100000000000001" customHeight="1" x14ac:dyDescent="0.15">
      <c r="A263" s="10"/>
      <c r="B263" s="10"/>
      <c r="C263" s="10"/>
      <c r="D263" s="10"/>
      <c r="E263" s="10"/>
      <c r="F263" s="10"/>
      <c r="G263" s="10"/>
      <c r="H263" s="8"/>
      <c r="I263" s="14"/>
      <c r="J263" s="8" t="str">
        <f t="shared" si="10"/>
        <v>贷</v>
      </c>
      <c r="K263" s="41"/>
      <c r="L263" s="9"/>
    </row>
    <row r="264" spans="1:13" ht="20.100000000000001" customHeight="1" x14ac:dyDescent="0.15">
      <c r="A264" s="10"/>
      <c r="B264" s="10"/>
      <c r="C264" s="10"/>
      <c r="D264" s="10"/>
      <c r="E264" s="10"/>
      <c r="F264" s="10"/>
      <c r="G264" s="10"/>
      <c r="H264" s="8"/>
      <c r="I264" s="14"/>
      <c r="J264" s="8" t="str">
        <f t="shared" si="10"/>
        <v>贷</v>
      </c>
      <c r="K264" s="41"/>
      <c r="L264" s="9"/>
    </row>
    <row r="265" spans="1:13" ht="20.100000000000001" customHeight="1" x14ac:dyDescent="0.15">
      <c r="A265" s="10"/>
      <c r="B265" s="10"/>
      <c r="C265" s="10"/>
      <c r="D265" s="10"/>
      <c r="E265" s="10"/>
      <c r="F265" s="10"/>
      <c r="G265" s="10"/>
      <c r="H265" s="8"/>
      <c r="I265" s="14"/>
      <c r="J265" s="8" t="str">
        <f t="shared" si="10"/>
        <v>贷</v>
      </c>
      <c r="K265" s="41"/>
      <c r="L265" s="9"/>
    </row>
    <row r="266" spans="1:13" ht="20.100000000000001" customHeight="1" x14ac:dyDescent="0.15">
      <c r="A266" s="10"/>
      <c r="B266" s="10"/>
      <c r="C266" s="10"/>
      <c r="D266" s="10"/>
      <c r="E266" s="10"/>
      <c r="F266" s="10"/>
      <c r="G266" s="10"/>
      <c r="H266" s="8"/>
      <c r="I266" s="14"/>
      <c r="J266" s="8" t="str">
        <f t="shared" si="10"/>
        <v>贷</v>
      </c>
      <c r="K266" s="41"/>
      <c r="L266" s="9"/>
    </row>
    <row r="267" spans="1:13" ht="20.100000000000001" customHeight="1" x14ac:dyDescent="0.15">
      <c r="A267" s="10"/>
      <c r="B267" s="10"/>
      <c r="C267" s="10"/>
      <c r="D267" s="10"/>
      <c r="E267" s="10"/>
      <c r="F267" s="10"/>
      <c r="G267" s="10"/>
      <c r="H267" s="8"/>
      <c r="I267" s="14"/>
      <c r="J267" s="8" t="str">
        <f t="shared" si="10"/>
        <v>贷</v>
      </c>
      <c r="K267" s="41"/>
      <c r="L267" s="9"/>
    </row>
    <row r="268" spans="1:13" ht="20.100000000000001" customHeight="1" x14ac:dyDescent="0.15">
      <c r="A268" s="10"/>
      <c r="B268" s="10"/>
      <c r="C268" s="10"/>
      <c r="D268" s="10"/>
      <c r="E268" s="10"/>
      <c r="F268" s="10"/>
      <c r="G268" s="10"/>
      <c r="H268" s="8"/>
      <c r="I268" s="14"/>
      <c r="J268" s="8" t="str">
        <f t="shared" si="10"/>
        <v>贷</v>
      </c>
      <c r="K268" s="41"/>
      <c r="L268" s="9"/>
    </row>
    <row r="269" spans="1:13" ht="20.100000000000001" customHeight="1" x14ac:dyDescent="0.15">
      <c r="A269" s="10"/>
      <c r="B269" s="10"/>
      <c r="C269" s="10"/>
      <c r="D269" s="10"/>
      <c r="E269" s="10"/>
      <c r="F269" s="10"/>
      <c r="G269" s="10"/>
      <c r="H269" s="8"/>
      <c r="I269" s="14"/>
      <c r="J269" s="8" t="str">
        <f t="shared" si="10"/>
        <v>贷</v>
      </c>
      <c r="K269" s="41"/>
      <c r="L269" s="9"/>
    </row>
    <row r="270" spans="1:13" ht="20.100000000000001" customHeight="1" x14ac:dyDescent="0.15">
      <c r="A270" s="10"/>
      <c r="B270" s="10"/>
      <c r="C270" s="10"/>
      <c r="D270" s="10"/>
      <c r="E270" s="10"/>
      <c r="F270" s="10"/>
      <c r="G270" s="10"/>
      <c r="H270" s="8"/>
      <c r="I270" s="14"/>
      <c r="J270" s="8" t="str">
        <f t="shared" ref="J270:J333" si="11">IF((K269+H270-I270)&gt;0,"借","贷")</f>
        <v>贷</v>
      </c>
      <c r="K270" s="41"/>
      <c r="L270" s="9"/>
    </row>
    <row r="271" spans="1:13" ht="20.100000000000001" customHeight="1" x14ac:dyDescent="0.15">
      <c r="A271" s="10"/>
      <c r="B271" s="10"/>
      <c r="C271" s="10"/>
      <c r="D271" s="10"/>
      <c r="E271" s="10"/>
      <c r="F271" s="10"/>
      <c r="G271" s="10"/>
      <c r="H271" s="8"/>
      <c r="I271" s="14"/>
      <c r="J271" s="8" t="str">
        <f t="shared" si="11"/>
        <v>贷</v>
      </c>
      <c r="K271" s="41"/>
      <c r="L271" s="9"/>
    </row>
    <row r="272" spans="1:13" ht="20.100000000000001" customHeight="1" x14ac:dyDescent="0.15">
      <c r="A272" s="10"/>
      <c r="B272" s="10"/>
      <c r="C272" s="10"/>
      <c r="D272" s="10"/>
      <c r="E272" s="10"/>
      <c r="F272" s="10"/>
      <c r="G272" s="10"/>
      <c r="H272" s="8"/>
      <c r="I272" s="14"/>
      <c r="J272" s="8" t="str">
        <f t="shared" si="11"/>
        <v>贷</v>
      </c>
      <c r="K272" s="41"/>
      <c r="L272" s="9"/>
    </row>
    <row r="273" spans="1:13" ht="20.100000000000001" customHeight="1" x14ac:dyDescent="0.15">
      <c r="A273" s="10"/>
      <c r="B273" s="10"/>
      <c r="C273" s="10"/>
      <c r="D273" s="10"/>
      <c r="E273" s="10"/>
      <c r="F273" s="10"/>
      <c r="G273" s="10"/>
      <c r="H273" s="8"/>
      <c r="I273" s="14"/>
      <c r="J273" s="8" t="str">
        <f t="shared" si="11"/>
        <v>贷</v>
      </c>
      <c r="K273" s="41"/>
      <c r="L273" s="9"/>
    </row>
    <row r="274" spans="1:13" ht="20.100000000000001" customHeight="1" x14ac:dyDescent="0.15">
      <c r="A274" s="10"/>
      <c r="B274" s="10"/>
      <c r="C274" s="10"/>
      <c r="D274" s="10"/>
      <c r="E274" s="10"/>
      <c r="F274" s="10"/>
      <c r="G274" s="10"/>
      <c r="H274" s="8"/>
      <c r="I274" s="14"/>
      <c r="J274" s="8" t="str">
        <f t="shared" si="11"/>
        <v>贷</v>
      </c>
      <c r="K274" s="41"/>
      <c r="L274" s="9"/>
    </row>
    <row r="275" spans="1:13" ht="20.100000000000001" customHeight="1" x14ac:dyDescent="0.15">
      <c r="A275" s="10"/>
      <c r="B275" s="10"/>
      <c r="C275" s="10"/>
      <c r="D275" s="10"/>
      <c r="E275" s="10"/>
      <c r="F275" s="10"/>
      <c r="G275" s="10"/>
      <c r="H275" s="8"/>
      <c r="I275" s="14"/>
      <c r="J275" s="8" t="str">
        <f t="shared" si="11"/>
        <v>贷</v>
      </c>
      <c r="K275" s="41"/>
      <c r="L275" s="9"/>
      <c r="M275" s="65"/>
    </row>
    <row r="276" spans="1:13" ht="20.100000000000001" customHeight="1" x14ac:dyDescent="0.15">
      <c r="A276" s="10"/>
      <c r="B276" s="10"/>
      <c r="C276" s="10"/>
      <c r="D276" s="10"/>
      <c r="E276" s="10"/>
      <c r="F276" s="10"/>
      <c r="G276" s="10"/>
      <c r="H276" s="8"/>
      <c r="I276" s="14"/>
      <c r="J276" s="8" t="str">
        <f t="shared" si="11"/>
        <v>贷</v>
      </c>
      <c r="K276" s="41"/>
      <c r="L276" s="9"/>
      <c r="M276" s="65"/>
    </row>
    <row r="277" spans="1:13" ht="20.100000000000001" customHeight="1" x14ac:dyDescent="0.15">
      <c r="A277" s="10"/>
      <c r="B277" s="10"/>
      <c r="C277" s="10"/>
      <c r="D277" s="10"/>
      <c r="E277" s="10"/>
      <c r="F277" s="10"/>
      <c r="G277" s="10"/>
      <c r="H277" s="8"/>
      <c r="I277" s="14"/>
      <c r="J277" s="8" t="str">
        <f t="shared" si="11"/>
        <v>贷</v>
      </c>
      <c r="K277" s="41"/>
      <c r="L277" s="9"/>
    </row>
    <row r="278" spans="1:13" ht="20.100000000000001" customHeight="1" x14ac:dyDescent="0.15">
      <c r="A278" s="10"/>
      <c r="B278" s="10"/>
      <c r="C278" s="10"/>
      <c r="D278" s="10"/>
      <c r="E278" s="10"/>
      <c r="F278" s="10"/>
      <c r="G278" s="10"/>
      <c r="H278" s="8"/>
      <c r="I278" s="14"/>
      <c r="J278" s="8" t="str">
        <f t="shared" si="11"/>
        <v>贷</v>
      </c>
      <c r="K278" s="41"/>
      <c r="L278" s="9"/>
    </row>
    <row r="279" spans="1:13" ht="20.100000000000001" customHeight="1" x14ac:dyDescent="0.15">
      <c r="A279" s="10"/>
      <c r="B279" s="10"/>
      <c r="C279" s="10"/>
      <c r="D279" s="10"/>
      <c r="E279" s="10"/>
      <c r="F279" s="10"/>
      <c r="G279" s="10"/>
      <c r="H279" s="8"/>
      <c r="I279" s="14"/>
      <c r="J279" s="8" t="str">
        <f t="shared" si="11"/>
        <v>贷</v>
      </c>
      <c r="K279" s="41"/>
      <c r="L279" s="9"/>
    </row>
    <row r="280" spans="1:13" ht="20.100000000000001" customHeight="1" x14ac:dyDescent="0.15">
      <c r="A280" s="10"/>
      <c r="B280" s="10"/>
      <c r="C280" s="10"/>
      <c r="D280" s="10"/>
      <c r="E280" s="10"/>
      <c r="F280" s="10"/>
      <c r="G280" s="10"/>
      <c r="H280" s="8"/>
      <c r="I280" s="14"/>
      <c r="J280" s="8" t="str">
        <f t="shared" si="11"/>
        <v>贷</v>
      </c>
      <c r="K280" s="41"/>
      <c r="L280" s="9"/>
    </row>
    <row r="281" spans="1:13" ht="20.100000000000001" customHeight="1" x14ac:dyDescent="0.15">
      <c r="A281" s="10"/>
      <c r="B281" s="10"/>
      <c r="C281" s="10"/>
      <c r="D281" s="10"/>
      <c r="E281" s="10"/>
      <c r="F281" s="10"/>
      <c r="G281" s="10"/>
      <c r="H281" s="8"/>
      <c r="I281" s="14"/>
      <c r="J281" s="8" t="str">
        <f t="shared" si="11"/>
        <v>贷</v>
      </c>
      <c r="K281" s="41"/>
      <c r="L281" s="9"/>
    </row>
    <row r="282" spans="1:13" ht="20.100000000000001" customHeight="1" x14ac:dyDescent="0.15">
      <c r="A282" s="10"/>
      <c r="B282" s="10"/>
      <c r="C282" s="10"/>
      <c r="D282" s="10"/>
      <c r="E282" s="10"/>
      <c r="F282" s="10"/>
      <c r="G282" s="10"/>
      <c r="H282" s="8"/>
      <c r="I282" s="14"/>
      <c r="J282" s="8" t="str">
        <f t="shared" si="11"/>
        <v>贷</v>
      </c>
      <c r="K282" s="41"/>
      <c r="L282" s="9"/>
    </row>
    <row r="283" spans="1:13" ht="20.100000000000001" customHeight="1" x14ac:dyDescent="0.15">
      <c r="A283" s="10"/>
      <c r="B283" s="10"/>
      <c r="C283" s="10"/>
      <c r="D283" s="10"/>
      <c r="E283" s="10"/>
      <c r="F283" s="10"/>
      <c r="G283" s="10"/>
      <c r="H283" s="8"/>
      <c r="I283" s="14"/>
      <c r="J283" s="8" t="str">
        <f t="shared" si="11"/>
        <v>贷</v>
      </c>
      <c r="K283" s="41"/>
      <c r="L283" s="9"/>
    </row>
    <row r="284" spans="1:13" ht="20.100000000000001" customHeight="1" x14ac:dyDescent="0.15">
      <c r="A284" s="10"/>
      <c r="B284" s="10"/>
      <c r="C284" s="10"/>
      <c r="D284" s="10"/>
      <c r="E284" s="10"/>
      <c r="F284" s="10"/>
      <c r="G284" s="10"/>
      <c r="H284" s="8"/>
      <c r="I284" s="14"/>
      <c r="J284" s="8" t="str">
        <f t="shared" si="11"/>
        <v>贷</v>
      </c>
      <c r="K284" s="41"/>
      <c r="L284" s="9"/>
    </row>
    <row r="285" spans="1:13" ht="20.100000000000001" customHeight="1" x14ac:dyDescent="0.15">
      <c r="A285" s="10"/>
      <c r="B285" s="10"/>
      <c r="C285" s="10"/>
      <c r="D285" s="10"/>
      <c r="E285" s="10"/>
      <c r="F285" s="10"/>
      <c r="G285" s="10"/>
      <c r="H285" s="8"/>
      <c r="I285" s="14"/>
      <c r="J285" s="8" t="str">
        <f t="shared" si="11"/>
        <v>贷</v>
      </c>
      <c r="K285" s="41"/>
      <c r="L285" s="9"/>
    </row>
    <row r="286" spans="1:13" ht="20.100000000000001" customHeight="1" x14ac:dyDescent="0.15">
      <c r="A286" s="10"/>
      <c r="B286" s="10"/>
      <c r="C286" s="10"/>
      <c r="D286" s="10"/>
      <c r="E286" s="10"/>
      <c r="F286" s="10"/>
      <c r="G286" s="10"/>
      <c r="H286" s="8"/>
      <c r="I286" s="14"/>
      <c r="J286" s="8" t="str">
        <f t="shared" si="11"/>
        <v>贷</v>
      </c>
      <c r="K286" s="41"/>
      <c r="L286" s="9"/>
    </row>
    <row r="287" spans="1:13" ht="20.100000000000001" customHeight="1" x14ac:dyDescent="0.15">
      <c r="A287" s="10"/>
      <c r="B287" s="10"/>
      <c r="C287" s="10"/>
      <c r="D287" s="10"/>
      <c r="E287" s="10"/>
      <c r="F287" s="10"/>
      <c r="G287" s="10"/>
      <c r="H287" s="8"/>
      <c r="I287" s="14"/>
      <c r="J287" s="8" t="str">
        <f t="shared" si="11"/>
        <v>贷</v>
      </c>
      <c r="K287" s="41"/>
      <c r="L287" s="9"/>
    </row>
    <row r="288" spans="1:13" ht="20.100000000000001" customHeight="1" x14ac:dyDescent="0.15">
      <c r="A288" s="10"/>
      <c r="B288" s="10"/>
      <c r="C288" s="10"/>
      <c r="D288" s="10"/>
      <c r="E288" s="10"/>
      <c r="F288" s="10"/>
      <c r="G288" s="10"/>
      <c r="H288" s="8"/>
      <c r="I288" s="14"/>
      <c r="J288" s="8" t="str">
        <f t="shared" si="11"/>
        <v>贷</v>
      </c>
      <c r="K288" s="41"/>
      <c r="L288" s="9"/>
    </row>
    <row r="289" spans="1:12" ht="20.100000000000001" customHeight="1" x14ac:dyDescent="0.15">
      <c r="A289" s="10"/>
      <c r="B289" s="10"/>
      <c r="C289" s="10"/>
      <c r="D289" s="10"/>
      <c r="E289" s="10"/>
      <c r="F289" s="10"/>
      <c r="G289" s="10"/>
      <c r="H289" s="8"/>
      <c r="I289" s="14"/>
      <c r="J289" s="8" t="str">
        <f t="shared" si="11"/>
        <v>贷</v>
      </c>
      <c r="K289" s="41"/>
      <c r="L289" s="9"/>
    </row>
    <row r="290" spans="1:12" ht="20.100000000000001" customHeight="1" x14ac:dyDescent="0.15">
      <c r="A290" s="10"/>
      <c r="B290" s="10"/>
      <c r="C290" s="10"/>
      <c r="D290" s="10"/>
      <c r="E290" s="10"/>
      <c r="F290" s="10"/>
      <c r="G290" s="10"/>
      <c r="H290" s="8"/>
      <c r="I290" s="14"/>
      <c r="J290" s="8" t="str">
        <f t="shared" si="11"/>
        <v>贷</v>
      </c>
      <c r="K290" s="41"/>
      <c r="L290" s="9"/>
    </row>
    <row r="291" spans="1:12" ht="20.100000000000001" customHeight="1" x14ac:dyDescent="0.15">
      <c r="A291" s="10"/>
      <c r="B291" s="10"/>
      <c r="C291" s="10"/>
      <c r="D291" s="10"/>
      <c r="E291" s="10"/>
      <c r="F291" s="10"/>
      <c r="G291" s="10"/>
      <c r="H291" s="8"/>
      <c r="I291" s="14"/>
      <c r="J291" s="8" t="str">
        <f t="shared" si="11"/>
        <v>贷</v>
      </c>
      <c r="K291" s="41"/>
      <c r="L291" s="9"/>
    </row>
    <row r="292" spans="1:12" ht="20.100000000000001" customHeight="1" x14ac:dyDescent="0.15">
      <c r="A292" s="10"/>
      <c r="B292" s="10"/>
      <c r="C292" s="10"/>
      <c r="D292" s="10"/>
      <c r="E292" s="10"/>
      <c r="F292" s="10"/>
      <c r="G292" s="10"/>
      <c r="H292" s="8"/>
      <c r="I292" s="14"/>
      <c r="J292" s="8" t="str">
        <f t="shared" si="11"/>
        <v>贷</v>
      </c>
      <c r="K292" s="41"/>
      <c r="L292" s="9"/>
    </row>
    <row r="293" spans="1:12" ht="20.100000000000001" customHeight="1" x14ac:dyDescent="0.15">
      <c r="A293" s="10"/>
      <c r="B293" s="10"/>
      <c r="C293" s="10"/>
      <c r="D293" s="10"/>
      <c r="E293" s="10"/>
      <c r="F293" s="10"/>
      <c r="G293" s="10"/>
      <c r="H293" s="8"/>
      <c r="I293" s="14"/>
      <c r="J293" s="8" t="str">
        <f t="shared" si="11"/>
        <v>贷</v>
      </c>
      <c r="K293" s="41"/>
      <c r="L293" s="9"/>
    </row>
    <row r="294" spans="1:12" ht="20.100000000000001" customHeight="1" x14ac:dyDescent="0.15">
      <c r="A294" s="10"/>
      <c r="B294" s="10"/>
      <c r="C294" s="10"/>
      <c r="D294" s="10"/>
      <c r="E294" s="10"/>
      <c r="F294" s="10"/>
      <c r="G294" s="10"/>
      <c r="H294" s="8"/>
      <c r="I294" s="14"/>
      <c r="J294" s="8" t="str">
        <f t="shared" si="11"/>
        <v>贷</v>
      </c>
      <c r="K294" s="41"/>
      <c r="L294" s="9"/>
    </row>
    <row r="295" spans="1:12" ht="20.100000000000001" customHeight="1" x14ac:dyDescent="0.15">
      <c r="A295" s="10"/>
      <c r="B295" s="10"/>
      <c r="C295" s="10"/>
      <c r="D295" s="10"/>
      <c r="E295" s="10"/>
      <c r="F295" s="10"/>
      <c r="G295" s="10"/>
      <c r="H295" s="8"/>
      <c r="I295" s="14"/>
      <c r="J295" s="8" t="str">
        <f t="shared" si="11"/>
        <v>贷</v>
      </c>
      <c r="K295" s="41"/>
      <c r="L295" s="9"/>
    </row>
    <row r="296" spans="1:12" ht="20.100000000000001" customHeight="1" x14ac:dyDescent="0.15">
      <c r="A296" s="10"/>
      <c r="B296" s="10"/>
      <c r="C296" s="10"/>
      <c r="D296" s="10"/>
      <c r="E296" s="10"/>
      <c r="F296" s="10"/>
      <c r="G296" s="10"/>
      <c r="H296" s="8"/>
      <c r="I296" s="14"/>
      <c r="J296" s="8" t="str">
        <f t="shared" si="11"/>
        <v>贷</v>
      </c>
      <c r="K296" s="41"/>
      <c r="L296" s="9"/>
    </row>
    <row r="297" spans="1:12" ht="20.100000000000001" customHeight="1" x14ac:dyDescent="0.15">
      <c r="A297" s="10"/>
      <c r="B297" s="10"/>
      <c r="C297" s="10"/>
      <c r="D297" s="10"/>
      <c r="E297" s="10"/>
      <c r="F297" s="10"/>
      <c r="G297" s="10"/>
      <c r="H297" s="8"/>
      <c r="I297" s="14"/>
      <c r="J297" s="8" t="str">
        <f t="shared" si="11"/>
        <v>贷</v>
      </c>
      <c r="K297" s="41"/>
      <c r="L297" s="9"/>
    </row>
    <row r="298" spans="1:12" ht="20.100000000000001" customHeight="1" x14ac:dyDescent="0.15">
      <c r="A298" s="10"/>
      <c r="B298" s="10"/>
      <c r="C298" s="10"/>
      <c r="D298" s="10"/>
      <c r="E298" s="10"/>
      <c r="F298" s="10"/>
      <c r="G298" s="10"/>
      <c r="H298" s="8"/>
      <c r="I298" s="14"/>
      <c r="J298" s="8" t="str">
        <f t="shared" si="11"/>
        <v>贷</v>
      </c>
      <c r="K298" s="41"/>
      <c r="L298" s="9"/>
    </row>
    <row r="299" spans="1:12" ht="20.100000000000001" customHeight="1" x14ac:dyDescent="0.15">
      <c r="A299" s="10"/>
      <c r="B299" s="10"/>
      <c r="C299" s="10"/>
      <c r="D299" s="10"/>
      <c r="E299" s="10"/>
      <c r="F299" s="10"/>
      <c r="G299" s="10"/>
      <c r="H299" s="8"/>
      <c r="I299" s="14"/>
      <c r="J299" s="8" t="str">
        <f t="shared" si="11"/>
        <v>贷</v>
      </c>
      <c r="K299" s="41"/>
      <c r="L299" s="9"/>
    </row>
    <row r="300" spans="1:12" ht="20.100000000000001" customHeight="1" x14ac:dyDescent="0.15">
      <c r="A300" s="10"/>
      <c r="B300" s="10"/>
      <c r="C300" s="10"/>
      <c r="D300" s="10"/>
      <c r="E300" s="10"/>
      <c r="F300" s="10"/>
      <c r="G300" s="10"/>
      <c r="H300" s="8"/>
      <c r="I300" s="14"/>
      <c r="J300" s="8" t="str">
        <f t="shared" si="11"/>
        <v>贷</v>
      </c>
      <c r="K300" s="41"/>
      <c r="L300" s="9"/>
    </row>
    <row r="301" spans="1:12" ht="20.100000000000001" customHeight="1" x14ac:dyDescent="0.15">
      <c r="A301" s="10"/>
      <c r="B301" s="10"/>
      <c r="C301" s="10"/>
      <c r="D301" s="10"/>
      <c r="E301" s="10"/>
      <c r="F301" s="10"/>
      <c r="G301" s="10"/>
      <c r="H301" s="8"/>
      <c r="I301" s="14"/>
      <c r="J301" s="8" t="str">
        <f t="shared" si="11"/>
        <v>贷</v>
      </c>
      <c r="K301" s="41"/>
      <c r="L301" s="9"/>
    </row>
    <row r="302" spans="1:12" ht="20.100000000000001" customHeight="1" x14ac:dyDescent="0.15">
      <c r="A302" s="10"/>
      <c r="B302" s="10"/>
      <c r="C302" s="10"/>
      <c r="D302" s="10"/>
      <c r="E302" s="10"/>
      <c r="F302" s="10"/>
      <c r="G302" s="10"/>
      <c r="H302" s="8"/>
      <c r="I302" s="14"/>
      <c r="J302" s="8" t="str">
        <f t="shared" si="11"/>
        <v>贷</v>
      </c>
      <c r="K302" s="41"/>
      <c r="L302" s="9"/>
    </row>
    <row r="303" spans="1:12" ht="20.100000000000001" customHeight="1" x14ac:dyDescent="0.15">
      <c r="A303" s="10"/>
      <c r="B303" s="10"/>
      <c r="C303" s="10"/>
      <c r="D303" s="10"/>
      <c r="E303" s="10"/>
      <c r="F303" s="10"/>
      <c r="G303" s="10"/>
      <c r="H303" s="8"/>
      <c r="I303" s="14"/>
      <c r="J303" s="8" t="str">
        <f t="shared" si="11"/>
        <v>贷</v>
      </c>
      <c r="K303" s="41"/>
      <c r="L303" s="9"/>
    </row>
    <row r="304" spans="1:12" ht="20.100000000000001" customHeight="1" x14ac:dyDescent="0.15">
      <c r="A304" s="10"/>
      <c r="B304" s="10"/>
      <c r="C304" s="10"/>
      <c r="D304" s="10"/>
      <c r="E304" s="10"/>
      <c r="F304" s="10"/>
      <c r="G304" s="10"/>
      <c r="H304" s="8"/>
      <c r="I304" s="14"/>
      <c r="J304" s="8" t="str">
        <f t="shared" si="11"/>
        <v>贷</v>
      </c>
      <c r="K304" s="41"/>
      <c r="L304" s="9"/>
    </row>
    <row r="305" spans="1:12" ht="20.100000000000001" customHeight="1" x14ac:dyDescent="0.15">
      <c r="A305" s="10"/>
      <c r="B305" s="10"/>
      <c r="C305" s="10"/>
      <c r="D305" s="10"/>
      <c r="E305" s="10"/>
      <c r="F305" s="10"/>
      <c r="G305" s="10"/>
      <c r="H305" s="8"/>
      <c r="I305" s="14"/>
      <c r="J305" s="8" t="str">
        <f t="shared" si="11"/>
        <v>贷</v>
      </c>
      <c r="K305" s="41"/>
      <c r="L305" s="9"/>
    </row>
    <row r="306" spans="1:12" ht="20.100000000000001" customHeight="1" x14ac:dyDescent="0.15">
      <c r="A306" s="10"/>
      <c r="B306" s="10"/>
      <c r="C306" s="10"/>
      <c r="D306" s="10"/>
      <c r="E306" s="10"/>
      <c r="F306" s="10"/>
      <c r="G306" s="10"/>
      <c r="H306" s="8"/>
      <c r="I306" s="14"/>
      <c r="J306" s="8" t="str">
        <f t="shared" si="11"/>
        <v>贷</v>
      </c>
      <c r="K306" s="41"/>
      <c r="L306" s="9"/>
    </row>
    <row r="307" spans="1:12" ht="20.100000000000001" customHeight="1" x14ac:dyDescent="0.15">
      <c r="A307" s="10"/>
      <c r="B307" s="10"/>
      <c r="C307" s="10"/>
      <c r="D307" s="10"/>
      <c r="E307" s="10"/>
      <c r="F307" s="10"/>
      <c r="G307" s="10"/>
      <c r="H307" s="8"/>
      <c r="I307" s="14"/>
      <c r="J307" s="8" t="str">
        <f t="shared" si="11"/>
        <v>贷</v>
      </c>
      <c r="K307" s="41"/>
      <c r="L307" s="9"/>
    </row>
    <row r="308" spans="1:12" ht="20.100000000000001" customHeight="1" x14ac:dyDescent="0.15">
      <c r="A308" s="10"/>
      <c r="B308" s="10"/>
      <c r="C308" s="10"/>
      <c r="D308" s="10"/>
      <c r="E308" s="10"/>
      <c r="F308" s="10"/>
      <c r="G308" s="10"/>
      <c r="H308" s="8"/>
      <c r="I308" s="14"/>
      <c r="J308" s="8" t="str">
        <f t="shared" si="11"/>
        <v>贷</v>
      </c>
      <c r="K308" s="41"/>
      <c r="L308" s="9"/>
    </row>
    <row r="309" spans="1:12" ht="20.100000000000001" customHeight="1" x14ac:dyDescent="0.15">
      <c r="A309" s="10"/>
      <c r="B309" s="10"/>
      <c r="C309" s="10"/>
      <c r="D309" s="10"/>
      <c r="E309" s="10"/>
      <c r="F309" s="10"/>
      <c r="G309" s="10"/>
      <c r="H309" s="8"/>
      <c r="I309" s="14"/>
      <c r="J309" s="8" t="str">
        <f t="shared" si="11"/>
        <v>贷</v>
      </c>
      <c r="K309" s="41"/>
      <c r="L309" s="9"/>
    </row>
    <row r="310" spans="1:12" ht="20.100000000000001" customHeight="1" x14ac:dyDescent="0.15">
      <c r="A310" s="10"/>
      <c r="B310" s="10"/>
      <c r="C310" s="10"/>
      <c r="D310" s="10"/>
      <c r="E310" s="10"/>
      <c r="F310" s="10"/>
      <c r="G310" s="10"/>
      <c r="H310" s="8"/>
      <c r="I310" s="14"/>
      <c r="J310" s="8" t="str">
        <f t="shared" si="11"/>
        <v>贷</v>
      </c>
      <c r="K310" s="41"/>
      <c r="L310" s="9"/>
    </row>
    <row r="311" spans="1:12" ht="20.100000000000001" customHeight="1" x14ac:dyDescent="0.15">
      <c r="A311" s="10"/>
      <c r="B311" s="10"/>
      <c r="C311" s="10"/>
      <c r="D311" s="10"/>
      <c r="E311" s="10"/>
      <c r="F311" s="10"/>
      <c r="G311" s="10"/>
      <c r="H311" s="8"/>
      <c r="I311" s="14"/>
      <c r="J311" s="8" t="str">
        <f t="shared" si="11"/>
        <v>贷</v>
      </c>
      <c r="K311" s="41"/>
      <c r="L311" s="9"/>
    </row>
    <row r="312" spans="1:12" ht="20.100000000000001" customHeight="1" x14ac:dyDescent="0.15">
      <c r="A312" s="10"/>
      <c r="B312" s="10"/>
      <c r="C312" s="10"/>
      <c r="D312" s="10"/>
      <c r="E312" s="10"/>
      <c r="F312" s="10"/>
      <c r="G312" s="10"/>
      <c r="H312" s="8"/>
      <c r="I312" s="14"/>
      <c r="J312" s="8" t="str">
        <f t="shared" si="11"/>
        <v>贷</v>
      </c>
      <c r="K312" s="41"/>
      <c r="L312" s="9"/>
    </row>
    <row r="313" spans="1:12" ht="20.100000000000001" customHeight="1" x14ac:dyDescent="0.15">
      <c r="A313" s="10"/>
      <c r="B313" s="10"/>
      <c r="C313" s="10"/>
      <c r="D313" s="10"/>
      <c r="E313" s="10"/>
      <c r="F313" s="10"/>
      <c r="G313" s="10"/>
      <c r="H313" s="8"/>
      <c r="I313" s="14"/>
      <c r="J313" s="8" t="str">
        <f t="shared" si="11"/>
        <v>贷</v>
      </c>
      <c r="K313" s="41"/>
      <c r="L313" s="9"/>
    </row>
    <row r="314" spans="1:12" ht="20.100000000000001" customHeight="1" x14ac:dyDescent="0.15">
      <c r="A314" s="10"/>
      <c r="B314" s="10"/>
      <c r="C314" s="10"/>
      <c r="D314" s="10"/>
      <c r="E314" s="10"/>
      <c r="F314" s="10"/>
      <c r="G314" s="10"/>
      <c r="H314" s="8"/>
      <c r="I314" s="14"/>
      <c r="J314" s="8" t="str">
        <f t="shared" si="11"/>
        <v>贷</v>
      </c>
      <c r="K314" s="41"/>
      <c r="L314" s="9"/>
    </row>
    <row r="315" spans="1:12" ht="20.100000000000001" customHeight="1" x14ac:dyDescent="0.15">
      <c r="A315" s="10"/>
      <c r="B315" s="10"/>
      <c r="C315" s="10"/>
      <c r="D315" s="10"/>
      <c r="E315" s="10"/>
      <c r="F315" s="10"/>
      <c r="G315" s="10"/>
      <c r="H315" s="8"/>
      <c r="I315" s="14"/>
      <c r="J315" s="8" t="str">
        <f t="shared" si="11"/>
        <v>贷</v>
      </c>
      <c r="K315" s="41"/>
      <c r="L315" s="9"/>
    </row>
    <row r="316" spans="1:12" ht="20.100000000000001" customHeight="1" x14ac:dyDescent="0.15">
      <c r="A316" s="10"/>
      <c r="B316" s="10"/>
      <c r="C316" s="10"/>
      <c r="D316" s="10"/>
      <c r="E316" s="10"/>
      <c r="F316" s="10"/>
      <c r="G316" s="10"/>
      <c r="H316" s="8"/>
      <c r="I316" s="14"/>
      <c r="J316" s="8" t="str">
        <f t="shared" si="11"/>
        <v>贷</v>
      </c>
      <c r="K316" s="41"/>
      <c r="L316" s="9"/>
    </row>
    <row r="317" spans="1:12" ht="20.100000000000001" customHeight="1" x14ac:dyDescent="0.15">
      <c r="A317" s="10"/>
      <c r="B317" s="10"/>
      <c r="C317" s="10"/>
      <c r="D317" s="10"/>
      <c r="E317" s="10"/>
      <c r="F317" s="10"/>
      <c r="G317" s="10"/>
      <c r="H317" s="8"/>
      <c r="I317" s="14"/>
      <c r="J317" s="8" t="str">
        <f t="shared" si="11"/>
        <v>贷</v>
      </c>
      <c r="K317" s="41"/>
      <c r="L317" s="9"/>
    </row>
    <row r="318" spans="1:12" ht="20.100000000000001" customHeight="1" x14ac:dyDescent="0.15">
      <c r="A318" s="10"/>
      <c r="B318" s="10"/>
      <c r="C318" s="10"/>
      <c r="D318" s="10"/>
      <c r="E318" s="10"/>
      <c r="F318" s="10"/>
      <c r="G318" s="10"/>
      <c r="H318" s="8"/>
      <c r="I318" s="14"/>
      <c r="J318" s="8" t="str">
        <f t="shared" si="11"/>
        <v>贷</v>
      </c>
      <c r="K318" s="41"/>
      <c r="L318" s="9"/>
    </row>
    <row r="319" spans="1:12" ht="20.100000000000001" customHeight="1" x14ac:dyDescent="0.15">
      <c r="A319" s="10"/>
      <c r="B319" s="10"/>
      <c r="C319" s="10"/>
      <c r="D319" s="10"/>
      <c r="E319" s="10"/>
      <c r="F319" s="10"/>
      <c r="G319" s="10"/>
      <c r="H319" s="8"/>
      <c r="I319" s="14"/>
      <c r="J319" s="8" t="str">
        <f t="shared" si="11"/>
        <v>贷</v>
      </c>
      <c r="K319" s="41"/>
      <c r="L319" s="9"/>
    </row>
    <row r="320" spans="1:12" ht="20.100000000000001" customHeight="1" x14ac:dyDescent="0.15">
      <c r="A320" s="10"/>
      <c r="B320" s="10"/>
      <c r="C320" s="10"/>
      <c r="D320" s="45"/>
      <c r="E320" s="10"/>
      <c r="F320" s="10"/>
      <c r="G320" s="10"/>
      <c r="H320" s="8"/>
      <c r="I320" s="14"/>
      <c r="J320" s="8" t="str">
        <f t="shared" si="11"/>
        <v>贷</v>
      </c>
      <c r="K320" s="41"/>
      <c r="L320" s="9"/>
    </row>
    <row r="321" spans="1:12" ht="20.100000000000001" customHeight="1" x14ac:dyDescent="0.15">
      <c r="A321" s="10"/>
      <c r="B321" s="10"/>
      <c r="C321" s="10"/>
      <c r="D321" s="10"/>
      <c r="E321" s="10"/>
      <c r="F321" s="10"/>
      <c r="G321" s="10"/>
      <c r="H321" s="8"/>
      <c r="I321" s="14"/>
      <c r="J321" s="8" t="str">
        <f t="shared" si="11"/>
        <v>贷</v>
      </c>
      <c r="K321" s="41"/>
      <c r="L321" s="9"/>
    </row>
    <row r="322" spans="1:12" ht="20.100000000000001" customHeight="1" x14ac:dyDescent="0.15">
      <c r="A322" s="10"/>
      <c r="B322" s="10"/>
      <c r="C322" s="10"/>
      <c r="D322" s="10"/>
      <c r="E322" s="10"/>
      <c r="F322" s="10"/>
      <c r="G322" s="10"/>
      <c r="H322" s="8"/>
      <c r="I322" s="14"/>
      <c r="J322" s="8" t="str">
        <f t="shared" si="11"/>
        <v>贷</v>
      </c>
      <c r="K322" s="41"/>
      <c r="L322" s="9"/>
    </row>
    <row r="323" spans="1:12" ht="20.100000000000001" customHeight="1" x14ac:dyDescent="0.15">
      <c r="A323" s="10"/>
      <c r="B323" s="10"/>
      <c r="C323" s="10"/>
      <c r="D323" s="10"/>
      <c r="E323" s="10"/>
      <c r="F323" s="10"/>
      <c r="G323" s="10"/>
      <c r="H323" s="8"/>
      <c r="I323" s="14"/>
      <c r="J323" s="8" t="str">
        <f t="shared" si="11"/>
        <v>贷</v>
      </c>
      <c r="K323" s="41"/>
      <c r="L323" s="9"/>
    </row>
    <row r="324" spans="1:12" ht="20.100000000000001" customHeight="1" x14ac:dyDescent="0.15">
      <c r="A324" s="10"/>
      <c r="B324" s="10"/>
      <c r="C324" s="10"/>
      <c r="D324" s="10"/>
      <c r="E324" s="10"/>
      <c r="F324" s="10"/>
      <c r="G324" s="10"/>
      <c r="H324" s="8"/>
      <c r="I324" s="14"/>
      <c r="J324" s="8" t="str">
        <f t="shared" si="11"/>
        <v>贷</v>
      </c>
      <c r="K324" s="41"/>
      <c r="L324" s="9"/>
    </row>
    <row r="325" spans="1:12" ht="20.100000000000001" customHeight="1" x14ac:dyDescent="0.15">
      <c r="A325" s="10"/>
      <c r="B325" s="10"/>
      <c r="C325" s="10"/>
      <c r="D325" s="10"/>
      <c r="E325" s="10"/>
      <c r="F325" s="10"/>
      <c r="G325" s="10"/>
      <c r="H325" s="8"/>
      <c r="I325" s="14"/>
      <c r="J325" s="8" t="str">
        <f t="shared" si="11"/>
        <v>贷</v>
      </c>
      <c r="K325" s="41"/>
      <c r="L325" s="9"/>
    </row>
    <row r="326" spans="1:12" ht="20.100000000000001" customHeight="1" x14ac:dyDescent="0.15">
      <c r="A326" s="10"/>
      <c r="B326" s="10"/>
      <c r="C326" s="10"/>
      <c r="D326" s="10"/>
      <c r="E326" s="10"/>
      <c r="F326" s="10"/>
      <c r="G326" s="10"/>
      <c r="H326" s="8"/>
      <c r="I326" s="14"/>
      <c r="J326" s="8" t="str">
        <f t="shared" si="11"/>
        <v>贷</v>
      </c>
      <c r="K326" s="41"/>
      <c r="L326" s="9"/>
    </row>
    <row r="327" spans="1:12" ht="20.100000000000001" customHeight="1" x14ac:dyDescent="0.15">
      <c r="A327" s="10"/>
      <c r="B327" s="10"/>
      <c r="C327" s="10"/>
      <c r="D327" s="10"/>
      <c r="E327" s="10"/>
      <c r="F327" s="10"/>
      <c r="G327" s="10"/>
      <c r="H327" s="8"/>
      <c r="I327" s="14"/>
      <c r="J327" s="8" t="str">
        <f t="shared" si="11"/>
        <v>贷</v>
      </c>
      <c r="K327" s="41"/>
      <c r="L327" s="9"/>
    </row>
    <row r="328" spans="1:12" ht="20.100000000000001" customHeight="1" x14ac:dyDescent="0.15">
      <c r="A328" s="10"/>
      <c r="B328" s="10"/>
      <c r="C328" s="10"/>
      <c r="D328" s="10"/>
      <c r="E328" s="10"/>
      <c r="F328" s="10"/>
      <c r="G328" s="10"/>
      <c r="H328" s="8"/>
      <c r="I328" s="14"/>
      <c r="J328" s="8" t="str">
        <f t="shared" si="11"/>
        <v>贷</v>
      </c>
      <c r="K328" s="41"/>
      <c r="L328" s="9"/>
    </row>
    <row r="329" spans="1:12" ht="20.100000000000001" customHeight="1" x14ac:dyDescent="0.15">
      <c r="A329" s="10"/>
      <c r="B329" s="10"/>
      <c r="C329" s="10"/>
      <c r="D329" s="10"/>
      <c r="E329" s="10"/>
      <c r="F329" s="10"/>
      <c r="G329" s="10"/>
      <c r="H329" s="8"/>
      <c r="I329" s="14"/>
      <c r="J329" s="8" t="str">
        <f t="shared" si="11"/>
        <v>贷</v>
      </c>
      <c r="K329" s="41"/>
      <c r="L329" s="9"/>
    </row>
    <row r="330" spans="1:12" ht="20.100000000000001" customHeight="1" x14ac:dyDescent="0.15">
      <c r="A330" s="10"/>
      <c r="B330" s="10"/>
      <c r="C330" s="10"/>
      <c r="D330" s="10"/>
      <c r="E330" s="10"/>
      <c r="F330" s="10"/>
      <c r="G330" s="10"/>
      <c r="H330" s="8"/>
      <c r="I330" s="14"/>
      <c r="J330" s="8" t="str">
        <f t="shared" si="11"/>
        <v>贷</v>
      </c>
      <c r="K330" s="41"/>
      <c r="L330" s="9"/>
    </row>
    <row r="331" spans="1:12" ht="20.100000000000001" customHeight="1" x14ac:dyDescent="0.15">
      <c r="A331" s="10"/>
      <c r="B331" s="10"/>
      <c r="C331" s="10"/>
      <c r="D331" s="10"/>
      <c r="E331" s="10"/>
      <c r="F331" s="10"/>
      <c r="G331" s="10"/>
      <c r="H331" s="8"/>
      <c r="I331" s="14"/>
      <c r="J331" s="8" t="str">
        <f t="shared" si="11"/>
        <v>贷</v>
      </c>
      <c r="K331" s="41"/>
      <c r="L331" s="9"/>
    </row>
    <row r="332" spans="1:12" ht="20.100000000000001" customHeight="1" x14ac:dyDescent="0.15">
      <c r="A332" s="10"/>
      <c r="B332" s="10"/>
      <c r="C332" s="10"/>
      <c r="D332" s="10"/>
      <c r="E332" s="10"/>
      <c r="F332" s="10"/>
      <c r="G332" s="10"/>
      <c r="H332" s="8"/>
      <c r="I332" s="14"/>
      <c r="J332" s="8" t="str">
        <f t="shared" si="11"/>
        <v>贷</v>
      </c>
      <c r="K332" s="41"/>
      <c r="L332" s="9"/>
    </row>
    <row r="333" spans="1:12" ht="20.100000000000001" customHeight="1" x14ac:dyDescent="0.15">
      <c r="A333" s="10"/>
      <c r="B333" s="10"/>
      <c r="C333" s="10"/>
      <c r="D333" s="10"/>
      <c r="E333" s="46"/>
      <c r="F333" s="10"/>
      <c r="G333" s="10"/>
      <c r="H333" s="8"/>
      <c r="I333" s="14"/>
      <c r="J333" s="8" t="str">
        <f t="shared" si="11"/>
        <v>贷</v>
      </c>
      <c r="K333" s="41"/>
      <c r="L333" s="9"/>
    </row>
    <row r="334" spans="1:12" ht="20.100000000000001" customHeight="1" x14ac:dyDescent="0.15">
      <c r="A334" s="10"/>
      <c r="B334" s="10"/>
      <c r="C334" s="10"/>
      <c r="D334" s="10"/>
      <c r="E334" s="10"/>
      <c r="F334" s="10"/>
      <c r="G334" s="10"/>
      <c r="H334" s="8"/>
      <c r="I334" s="14"/>
      <c r="J334" s="8" t="str">
        <f t="shared" ref="J334:J397" si="12">IF((K333+H334-I334)&gt;0,"借","贷")</f>
        <v>贷</v>
      </c>
      <c r="K334" s="41"/>
      <c r="L334" s="9"/>
    </row>
    <row r="335" spans="1:12" ht="20.100000000000001" customHeight="1" x14ac:dyDescent="0.15">
      <c r="A335" s="10"/>
      <c r="B335" s="10"/>
      <c r="C335" s="10"/>
      <c r="D335" s="10"/>
      <c r="E335" s="10"/>
      <c r="F335" s="10"/>
      <c r="G335" s="10"/>
      <c r="H335" s="8"/>
      <c r="I335" s="14"/>
      <c r="J335" s="8" t="str">
        <f t="shared" si="12"/>
        <v>贷</v>
      </c>
      <c r="K335" s="41"/>
      <c r="L335" s="9"/>
    </row>
    <row r="336" spans="1:12" ht="20.100000000000001" customHeight="1" x14ac:dyDescent="0.15">
      <c r="A336" s="10"/>
      <c r="B336" s="10"/>
      <c r="C336" s="10"/>
      <c r="D336" s="10"/>
      <c r="E336" s="10"/>
      <c r="F336" s="10"/>
      <c r="G336" s="10"/>
      <c r="H336" s="8"/>
      <c r="I336" s="14"/>
      <c r="J336" s="8" t="str">
        <f t="shared" si="12"/>
        <v>贷</v>
      </c>
      <c r="K336" s="41"/>
      <c r="L336" s="9"/>
    </row>
    <row r="337" spans="1:12" ht="20.100000000000001" customHeight="1" x14ac:dyDescent="0.15">
      <c r="A337" s="10"/>
      <c r="B337" s="10"/>
      <c r="C337" s="10"/>
      <c r="D337" s="10"/>
      <c r="E337" s="10"/>
      <c r="F337" s="10"/>
      <c r="G337" s="10"/>
      <c r="H337" s="8"/>
      <c r="I337" s="14"/>
      <c r="J337" s="8" t="str">
        <f t="shared" si="12"/>
        <v>贷</v>
      </c>
      <c r="K337" s="41"/>
      <c r="L337" s="9"/>
    </row>
    <row r="338" spans="1:12" ht="20.100000000000001" customHeight="1" x14ac:dyDescent="0.15">
      <c r="A338" s="10"/>
      <c r="B338" s="10"/>
      <c r="C338" s="10"/>
      <c r="D338" s="10"/>
      <c r="E338" s="10"/>
      <c r="F338" s="10"/>
      <c r="G338" s="10"/>
      <c r="H338" s="8"/>
      <c r="I338" s="14"/>
      <c r="J338" s="8" t="str">
        <f t="shared" si="12"/>
        <v>贷</v>
      </c>
      <c r="K338" s="41"/>
      <c r="L338" s="9"/>
    </row>
    <row r="339" spans="1:12" ht="20.100000000000001" customHeight="1" x14ac:dyDescent="0.15">
      <c r="A339" s="10"/>
      <c r="B339" s="10"/>
      <c r="C339" s="10"/>
      <c r="D339" s="10"/>
      <c r="E339" s="10"/>
      <c r="F339" s="10"/>
      <c r="G339" s="10"/>
      <c r="H339" s="8"/>
      <c r="I339" s="14"/>
      <c r="J339" s="8" t="str">
        <f t="shared" si="12"/>
        <v>贷</v>
      </c>
      <c r="K339" s="41"/>
      <c r="L339" s="9"/>
    </row>
    <row r="340" spans="1:12" ht="20.100000000000001" customHeight="1" x14ac:dyDescent="0.15">
      <c r="A340" s="10"/>
      <c r="B340" s="10"/>
      <c r="C340" s="10"/>
      <c r="D340" s="10"/>
      <c r="E340" s="10"/>
      <c r="F340" s="10"/>
      <c r="G340" s="10"/>
      <c r="H340" s="8"/>
      <c r="I340" s="14"/>
      <c r="J340" s="8" t="str">
        <f t="shared" si="12"/>
        <v>贷</v>
      </c>
      <c r="K340" s="41"/>
      <c r="L340" s="9"/>
    </row>
    <row r="341" spans="1:12" ht="20.100000000000001" customHeight="1" x14ac:dyDescent="0.15">
      <c r="A341" s="10"/>
      <c r="B341" s="10"/>
      <c r="C341" s="10"/>
      <c r="D341" s="10"/>
      <c r="E341" s="10"/>
      <c r="F341" s="10"/>
      <c r="G341" s="10"/>
      <c r="H341" s="8"/>
      <c r="I341" s="14"/>
      <c r="J341" s="8" t="str">
        <f t="shared" si="12"/>
        <v>贷</v>
      </c>
      <c r="K341" s="41"/>
      <c r="L341" s="9"/>
    </row>
    <row r="342" spans="1:12" ht="20.100000000000001" customHeight="1" x14ac:dyDescent="0.15">
      <c r="A342" s="10"/>
      <c r="B342" s="10"/>
      <c r="C342" s="10"/>
      <c r="D342" s="10"/>
      <c r="E342" s="10"/>
      <c r="F342" s="10"/>
      <c r="G342" s="10"/>
      <c r="H342" s="8"/>
      <c r="I342" s="14"/>
      <c r="J342" s="8" t="str">
        <f t="shared" si="12"/>
        <v>贷</v>
      </c>
      <c r="K342" s="41"/>
      <c r="L342" s="9"/>
    </row>
    <row r="343" spans="1:12" ht="20.100000000000001" customHeight="1" x14ac:dyDescent="0.15">
      <c r="A343" s="10"/>
      <c r="B343" s="10"/>
      <c r="C343" s="10"/>
      <c r="D343" s="10"/>
      <c r="E343" s="10"/>
      <c r="F343" s="10"/>
      <c r="G343" s="10"/>
      <c r="H343" s="8"/>
      <c r="I343" s="14"/>
      <c r="J343" s="8" t="str">
        <f t="shared" si="12"/>
        <v>贷</v>
      </c>
      <c r="K343" s="41"/>
      <c r="L343" s="9"/>
    </row>
    <row r="344" spans="1:12" ht="20.100000000000001" customHeight="1" x14ac:dyDescent="0.15">
      <c r="A344" s="10"/>
      <c r="B344" s="10"/>
      <c r="C344" s="10"/>
      <c r="D344" s="10"/>
      <c r="E344" s="10"/>
      <c r="F344" s="10"/>
      <c r="G344" s="10"/>
      <c r="H344" s="8"/>
      <c r="I344" s="14"/>
      <c r="J344" s="8" t="str">
        <f t="shared" si="12"/>
        <v>贷</v>
      </c>
      <c r="K344" s="41"/>
      <c r="L344" s="9"/>
    </row>
    <row r="345" spans="1:12" ht="20.100000000000001" customHeight="1" x14ac:dyDescent="0.15">
      <c r="A345" s="10"/>
      <c r="B345" s="10"/>
      <c r="C345" s="10"/>
      <c r="D345" s="10"/>
      <c r="E345" s="10"/>
      <c r="F345" s="10"/>
      <c r="G345" s="10"/>
      <c r="H345" s="8"/>
      <c r="I345" s="14"/>
      <c r="J345" s="8" t="str">
        <f t="shared" si="12"/>
        <v>贷</v>
      </c>
      <c r="K345" s="41"/>
      <c r="L345" s="9"/>
    </row>
    <row r="346" spans="1:12" ht="20.100000000000001" customHeight="1" x14ac:dyDescent="0.15">
      <c r="A346" s="10"/>
      <c r="B346" s="10"/>
      <c r="C346" s="10"/>
      <c r="D346" s="10"/>
      <c r="E346" s="10"/>
      <c r="F346" s="10"/>
      <c r="G346" s="10"/>
      <c r="H346" s="8"/>
      <c r="I346" s="14"/>
      <c r="J346" s="8" t="str">
        <f t="shared" si="12"/>
        <v>贷</v>
      </c>
      <c r="K346" s="41"/>
      <c r="L346" s="9"/>
    </row>
    <row r="347" spans="1:12" ht="20.100000000000001" customHeight="1" x14ac:dyDescent="0.15">
      <c r="A347" s="10"/>
      <c r="B347" s="10"/>
      <c r="C347" s="10"/>
      <c r="D347" s="10"/>
      <c r="E347" s="10"/>
      <c r="F347" s="10"/>
      <c r="G347" s="10"/>
      <c r="H347" s="8"/>
      <c r="I347" s="14"/>
      <c r="J347" s="8" t="str">
        <f t="shared" si="12"/>
        <v>贷</v>
      </c>
      <c r="K347" s="41"/>
      <c r="L347" s="9"/>
    </row>
    <row r="348" spans="1:12" ht="20.100000000000001" customHeight="1" x14ac:dyDescent="0.15">
      <c r="A348" s="10"/>
      <c r="B348" s="10"/>
      <c r="C348" s="10"/>
      <c r="D348" s="10"/>
      <c r="E348" s="10"/>
      <c r="F348" s="10"/>
      <c r="G348" s="10"/>
      <c r="H348" s="8"/>
      <c r="I348" s="14"/>
      <c r="J348" s="8" t="str">
        <f t="shared" si="12"/>
        <v>贷</v>
      </c>
      <c r="K348" s="41"/>
      <c r="L348" s="9"/>
    </row>
    <row r="349" spans="1:12" ht="20.100000000000001" customHeight="1" x14ac:dyDescent="0.15">
      <c r="A349" s="10"/>
      <c r="B349" s="10"/>
      <c r="C349" s="10"/>
      <c r="D349" s="10"/>
      <c r="E349" s="10"/>
      <c r="F349" s="10"/>
      <c r="G349" s="10"/>
      <c r="H349" s="8"/>
      <c r="I349" s="14"/>
      <c r="J349" s="8" t="str">
        <f t="shared" si="12"/>
        <v>贷</v>
      </c>
      <c r="K349" s="41"/>
      <c r="L349" s="9"/>
    </row>
    <row r="350" spans="1:12" ht="20.100000000000001" customHeight="1" x14ac:dyDescent="0.15">
      <c r="B350" s="10"/>
      <c r="C350" s="10"/>
      <c r="D350" s="10"/>
      <c r="E350" s="10"/>
      <c r="F350" s="10"/>
      <c r="G350" s="10"/>
      <c r="H350" s="8"/>
      <c r="I350" s="14"/>
      <c r="J350" s="8" t="str">
        <f t="shared" si="12"/>
        <v>贷</v>
      </c>
      <c r="K350" s="41"/>
      <c r="L350" s="9"/>
    </row>
    <row r="351" spans="1:12" ht="20.100000000000001" customHeight="1" x14ac:dyDescent="0.15">
      <c r="A351" s="10"/>
      <c r="B351" s="10"/>
      <c r="C351" s="10"/>
      <c r="D351" s="10"/>
      <c r="E351" s="37"/>
      <c r="F351" s="10"/>
      <c r="G351" s="10"/>
      <c r="H351" s="8"/>
      <c r="I351" s="14"/>
      <c r="J351" s="8" t="str">
        <f t="shared" si="12"/>
        <v>贷</v>
      </c>
      <c r="K351" s="41"/>
      <c r="L351" s="9"/>
    </row>
    <row r="352" spans="1:12" ht="20.100000000000001" customHeight="1" x14ac:dyDescent="0.15">
      <c r="A352" s="10"/>
      <c r="B352" s="10"/>
      <c r="C352" s="10"/>
      <c r="D352" s="10"/>
      <c r="E352" s="37"/>
      <c r="F352" s="10"/>
      <c r="G352" s="10"/>
      <c r="H352" s="8"/>
      <c r="I352" s="14"/>
      <c r="J352" s="8" t="str">
        <f t="shared" si="12"/>
        <v>贷</v>
      </c>
      <c r="K352" s="41"/>
      <c r="L352" s="9"/>
    </row>
    <row r="353" spans="1:12" ht="20.100000000000001" customHeight="1" x14ac:dyDescent="0.15">
      <c r="A353" s="10"/>
      <c r="B353" s="10"/>
      <c r="C353" s="10"/>
      <c r="D353" s="10"/>
      <c r="E353" s="10"/>
      <c r="F353" s="10"/>
      <c r="G353" s="10"/>
      <c r="H353" s="8"/>
      <c r="I353" s="14"/>
      <c r="J353" s="8" t="str">
        <f t="shared" si="12"/>
        <v>贷</v>
      </c>
      <c r="K353" s="41"/>
      <c r="L353" s="9"/>
    </row>
    <row r="354" spans="1:12" ht="20.100000000000001" customHeight="1" x14ac:dyDescent="0.15">
      <c r="A354" s="10"/>
      <c r="B354" s="10"/>
      <c r="C354" s="10"/>
      <c r="D354" s="10"/>
      <c r="E354" s="10"/>
      <c r="F354" s="10"/>
      <c r="G354" s="10"/>
      <c r="H354" s="8"/>
      <c r="I354" s="14"/>
      <c r="J354" s="8" t="str">
        <f t="shared" si="12"/>
        <v>贷</v>
      </c>
      <c r="K354" s="41"/>
      <c r="L354" s="9"/>
    </row>
    <row r="355" spans="1:12" ht="20.100000000000001" customHeight="1" x14ac:dyDescent="0.15">
      <c r="A355" s="10"/>
      <c r="B355" s="10"/>
      <c r="C355" s="10"/>
      <c r="D355" s="10"/>
      <c r="E355" s="10"/>
      <c r="F355" s="10"/>
      <c r="G355" s="10"/>
      <c r="H355" s="8"/>
      <c r="I355" s="14"/>
      <c r="J355" s="8" t="str">
        <f t="shared" si="12"/>
        <v>贷</v>
      </c>
      <c r="K355" s="41"/>
      <c r="L355" s="9"/>
    </row>
    <row r="356" spans="1:12" ht="20.100000000000001" customHeight="1" x14ac:dyDescent="0.15">
      <c r="A356" s="10"/>
      <c r="B356" s="10"/>
      <c r="C356" s="10"/>
      <c r="D356" s="10"/>
      <c r="E356" s="10"/>
      <c r="F356" s="10"/>
      <c r="G356" s="10"/>
      <c r="H356" s="8"/>
      <c r="I356" s="14"/>
      <c r="J356" s="8" t="str">
        <f t="shared" si="12"/>
        <v>贷</v>
      </c>
      <c r="K356" s="41"/>
      <c r="L356" s="9"/>
    </row>
    <row r="357" spans="1:12" ht="20.100000000000001" customHeight="1" x14ac:dyDescent="0.15">
      <c r="A357" s="10"/>
      <c r="B357" s="10"/>
      <c r="C357" s="10"/>
      <c r="D357" s="10"/>
      <c r="E357" s="10"/>
      <c r="F357" s="10"/>
      <c r="G357" s="10"/>
      <c r="H357" s="8"/>
      <c r="I357" s="14"/>
      <c r="J357" s="8" t="str">
        <f t="shared" si="12"/>
        <v>贷</v>
      </c>
      <c r="K357" s="41"/>
      <c r="L357" s="9"/>
    </row>
    <row r="358" spans="1:12" ht="20.100000000000001" customHeight="1" x14ac:dyDescent="0.15">
      <c r="A358" s="10"/>
      <c r="B358" s="10"/>
      <c r="C358" s="10"/>
      <c r="D358" s="10"/>
      <c r="E358" s="10"/>
      <c r="F358" s="10"/>
      <c r="G358" s="10"/>
      <c r="H358" s="8"/>
      <c r="I358" s="14"/>
      <c r="J358" s="8" t="str">
        <f t="shared" si="12"/>
        <v>贷</v>
      </c>
      <c r="K358" s="41"/>
      <c r="L358" s="9"/>
    </row>
    <row r="359" spans="1:12" ht="20.100000000000001" customHeight="1" x14ac:dyDescent="0.15">
      <c r="A359" s="10"/>
      <c r="B359" s="10"/>
      <c r="C359" s="10"/>
      <c r="D359" s="10"/>
      <c r="E359" s="10"/>
      <c r="F359" s="10"/>
      <c r="G359" s="10"/>
      <c r="H359" s="8"/>
      <c r="I359" s="14"/>
      <c r="J359" s="8" t="str">
        <f t="shared" si="12"/>
        <v>贷</v>
      </c>
      <c r="K359" s="41"/>
      <c r="L359" s="9"/>
    </row>
    <row r="360" spans="1:12" ht="20.100000000000001" customHeight="1" x14ac:dyDescent="0.15">
      <c r="A360" s="10"/>
      <c r="B360" s="10"/>
      <c r="C360" s="10"/>
      <c r="D360" s="10"/>
      <c r="E360" s="10"/>
      <c r="F360" s="10"/>
      <c r="G360" s="10"/>
      <c r="H360" s="8"/>
      <c r="I360" s="14"/>
      <c r="J360" s="8" t="str">
        <f t="shared" si="12"/>
        <v>贷</v>
      </c>
      <c r="K360" s="41"/>
      <c r="L360" s="9"/>
    </row>
    <row r="361" spans="1:12" ht="20.100000000000001" customHeight="1" x14ac:dyDescent="0.15">
      <c r="A361" s="10"/>
      <c r="B361" s="10"/>
      <c r="C361" s="10"/>
      <c r="D361" s="10"/>
      <c r="E361" s="10"/>
      <c r="F361" s="10"/>
      <c r="G361" s="10"/>
      <c r="H361" s="8"/>
      <c r="I361" s="14"/>
      <c r="J361" s="8" t="str">
        <f t="shared" si="12"/>
        <v>贷</v>
      </c>
      <c r="K361" s="41"/>
      <c r="L361" s="9"/>
    </row>
    <row r="362" spans="1:12" ht="20.100000000000001" customHeight="1" x14ac:dyDescent="0.15">
      <c r="A362" s="10"/>
      <c r="B362" s="10"/>
      <c r="C362" s="10"/>
      <c r="D362" s="10"/>
      <c r="E362" s="10"/>
      <c r="F362" s="10"/>
      <c r="G362" s="10"/>
      <c r="H362" s="8"/>
      <c r="I362" s="14"/>
      <c r="J362" s="8" t="str">
        <f t="shared" si="12"/>
        <v>贷</v>
      </c>
      <c r="K362" s="41"/>
      <c r="L362" s="9"/>
    </row>
    <row r="363" spans="1:12" ht="20.100000000000001" customHeight="1" x14ac:dyDescent="0.15">
      <c r="A363" s="10"/>
      <c r="B363" s="10"/>
      <c r="C363" s="10"/>
      <c r="D363" s="10"/>
      <c r="E363" s="10"/>
      <c r="F363" s="10"/>
      <c r="G363" s="10"/>
      <c r="H363" s="8"/>
      <c r="I363" s="14"/>
      <c r="J363" s="8" t="str">
        <f t="shared" si="12"/>
        <v>贷</v>
      </c>
      <c r="K363" s="41"/>
      <c r="L363" s="9"/>
    </row>
    <row r="364" spans="1:12" ht="20.100000000000001" customHeight="1" x14ac:dyDescent="0.15">
      <c r="A364" s="10"/>
      <c r="B364" s="10"/>
      <c r="C364" s="10"/>
      <c r="D364" s="10"/>
      <c r="E364" s="10"/>
      <c r="F364" s="10"/>
      <c r="G364" s="10"/>
      <c r="H364" s="8"/>
      <c r="I364" s="14"/>
      <c r="J364" s="8" t="str">
        <f t="shared" si="12"/>
        <v>贷</v>
      </c>
      <c r="K364" s="41"/>
      <c r="L364" s="9"/>
    </row>
    <row r="365" spans="1:12" ht="20.100000000000001" customHeight="1" x14ac:dyDescent="0.15">
      <c r="A365" s="10"/>
      <c r="B365" s="10"/>
      <c r="C365" s="10"/>
      <c r="D365" s="10"/>
      <c r="E365" s="10"/>
      <c r="F365" s="10"/>
      <c r="G365" s="10"/>
      <c r="H365" s="8"/>
      <c r="I365" s="14"/>
      <c r="J365" s="8" t="str">
        <f t="shared" si="12"/>
        <v>贷</v>
      </c>
      <c r="K365" s="41"/>
      <c r="L365" s="9"/>
    </row>
    <row r="366" spans="1:12" ht="20.100000000000001" customHeight="1" x14ac:dyDescent="0.15">
      <c r="A366" s="10"/>
      <c r="B366" s="10"/>
      <c r="C366" s="10"/>
      <c r="D366" s="10"/>
      <c r="E366" s="10"/>
      <c r="F366" s="10"/>
      <c r="G366" s="10"/>
      <c r="H366" s="8"/>
      <c r="I366" s="14"/>
      <c r="J366" s="8" t="str">
        <f t="shared" si="12"/>
        <v>贷</v>
      </c>
      <c r="K366" s="41"/>
      <c r="L366" s="9"/>
    </row>
    <row r="367" spans="1:12" ht="20.100000000000001" customHeight="1" x14ac:dyDescent="0.15">
      <c r="A367" s="10"/>
      <c r="B367" s="10"/>
      <c r="C367" s="10"/>
      <c r="D367" s="10"/>
      <c r="E367" s="10"/>
      <c r="F367" s="10"/>
      <c r="G367" s="10"/>
      <c r="H367" s="8"/>
      <c r="I367" s="14"/>
      <c r="J367" s="8" t="str">
        <f t="shared" si="12"/>
        <v>贷</v>
      </c>
      <c r="K367" s="41"/>
      <c r="L367" s="9"/>
    </row>
    <row r="368" spans="1:12" ht="20.100000000000001" customHeight="1" x14ac:dyDescent="0.15">
      <c r="A368" s="10"/>
      <c r="B368" s="10"/>
      <c r="C368" s="10"/>
      <c r="D368" s="10"/>
      <c r="E368" s="10"/>
      <c r="F368" s="10"/>
      <c r="G368" s="10"/>
      <c r="H368" s="8"/>
      <c r="I368" s="14"/>
      <c r="J368" s="8" t="str">
        <f t="shared" si="12"/>
        <v>贷</v>
      </c>
      <c r="K368" s="41"/>
      <c r="L368" s="9"/>
    </row>
    <row r="369" spans="1:12" ht="20.100000000000001" customHeight="1" x14ac:dyDescent="0.15">
      <c r="A369" s="10"/>
      <c r="B369" s="10"/>
      <c r="C369" s="10"/>
      <c r="D369" s="10"/>
      <c r="E369" s="10"/>
      <c r="F369" s="10"/>
      <c r="G369" s="10"/>
      <c r="H369" s="8"/>
      <c r="I369" s="14"/>
      <c r="J369" s="8" t="str">
        <f t="shared" si="12"/>
        <v>贷</v>
      </c>
      <c r="K369" s="41"/>
      <c r="L369" s="9"/>
    </row>
    <row r="370" spans="1:12" ht="20.100000000000001" customHeight="1" x14ac:dyDescent="0.15">
      <c r="A370" s="10"/>
      <c r="B370" s="10"/>
      <c r="C370" s="10"/>
      <c r="D370" s="10"/>
      <c r="E370" s="10"/>
      <c r="F370" s="10"/>
      <c r="G370" s="10"/>
      <c r="H370" s="8"/>
      <c r="I370" s="14"/>
      <c r="J370" s="8" t="str">
        <f t="shared" si="12"/>
        <v>贷</v>
      </c>
      <c r="K370" s="41"/>
      <c r="L370" s="9"/>
    </row>
    <row r="371" spans="1:12" ht="20.100000000000001" customHeight="1" x14ac:dyDescent="0.15">
      <c r="A371" s="10"/>
      <c r="B371" s="10"/>
      <c r="C371" s="10"/>
      <c r="D371" s="10"/>
      <c r="E371" s="10"/>
      <c r="F371" s="10"/>
      <c r="G371" s="10"/>
      <c r="H371" s="8"/>
      <c r="I371" s="14"/>
      <c r="J371" s="8" t="str">
        <f t="shared" si="12"/>
        <v>贷</v>
      </c>
      <c r="K371" s="41"/>
      <c r="L371" s="9"/>
    </row>
    <row r="372" spans="1:12" ht="20.100000000000001" customHeight="1" x14ac:dyDescent="0.15">
      <c r="B372" s="10"/>
      <c r="C372" s="10"/>
      <c r="D372" s="10"/>
      <c r="E372" s="10"/>
      <c r="F372" s="10"/>
      <c r="G372" s="10"/>
      <c r="H372" s="8"/>
      <c r="I372" s="14"/>
      <c r="J372" s="8" t="str">
        <f t="shared" si="12"/>
        <v>贷</v>
      </c>
      <c r="K372" s="41"/>
      <c r="L372" s="9"/>
    </row>
    <row r="373" spans="1:12" ht="20.100000000000001" customHeight="1" x14ac:dyDescent="0.15">
      <c r="B373" s="10"/>
      <c r="C373" s="10"/>
      <c r="D373" s="10"/>
      <c r="E373" s="10"/>
      <c r="F373" s="10"/>
      <c r="G373" s="10"/>
      <c r="H373" s="8"/>
      <c r="I373" s="14"/>
      <c r="J373" s="8" t="str">
        <f t="shared" si="12"/>
        <v>贷</v>
      </c>
      <c r="K373" s="41"/>
      <c r="L373" s="9"/>
    </row>
    <row r="374" spans="1:12" ht="20.100000000000001" customHeight="1" x14ac:dyDescent="0.15">
      <c r="B374" s="10"/>
      <c r="C374" s="10"/>
      <c r="D374" s="10"/>
      <c r="E374" s="10"/>
      <c r="F374" s="10"/>
      <c r="G374" s="10"/>
      <c r="H374" s="8"/>
      <c r="I374" s="14"/>
      <c r="J374" s="8" t="str">
        <f t="shared" si="12"/>
        <v>贷</v>
      </c>
      <c r="K374" s="41"/>
      <c r="L374" s="9"/>
    </row>
    <row r="375" spans="1:12" ht="20.100000000000001" customHeight="1" x14ac:dyDescent="0.15">
      <c r="B375" s="10"/>
      <c r="C375" s="10"/>
      <c r="D375" s="10"/>
      <c r="E375" s="10"/>
      <c r="F375" s="10"/>
      <c r="G375" s="10"/>
      <c r="H375" s="8"/>
      <c r="I375" s="14"/>
      <c r="J375" s="8" t="str">
        <f t="shared" si="12"/>
        <v>贷</v>
      </c>
      <c r="K375" s="41"/>
      <c r="L375" s="9"/>
    </row>
    <row r="376" spans="1:12" ht="20.100000000000001" customHeight="1" x14ac:dyDescent="0.15">
      <c r="B376" s="10"/>
      <c r="C376" s="10"/>
      <c r="D376" s="10"/>
      <c r="E376" s="10"/>
      <c r="F376" s="10"/>
      <c r="G376" s="10"/>
      <c r="H376" s="8"/>
      <c r="I376" s="14"/>
      <c r="J376" s="8" t="str">
        <f t="shared" si="12"/>
        <v>贷</v>
      </c>
      <c r="K376" s="41"/>
      <c r="L376" s="9"/>
    </row>
    <row r="377" spans="1:12" ht="20.100000000000001" customHeight="1" x14ac:dyDescent="0.15">
      <c r="B377" s="10"/>
      <c r="C377" s="10"/>
      <c r="D377" s="10"/>
      <c r="E377" s="10"/>
      <c r="F377" s="10"/>
      <c r="G377" s="10"/>
      <c r="H377" s="8"/>
      <c r="I377" s="14"/>
      <c r="J377" s="8" t="str">
        <f t="shared" si="12"/>
        <v>贷</v>
      </c>
      <c r="K377" s="41"/>
      <c r="L377" s="9"/>
    </row>
    <row r="378" spans="1:12" ht="20.100000000000001" customHeight="1" x14ac:dyDescent="0.15">
      <c r="B378" s="10"/>
      <c r="C378" s="7"/>
      <c r="D378" s="10"/>
      <c r="E378" s="10"/>
      <c r="F378" s="10"/>
      <c r="G378" s="10"/>
      <c r="H378" s="8"/>
      <c r="I378" s="14"/>
      <c r="J378" s="8" t="str">
        <f t="shared" si="12"/>
        <v>贷</v>
      </c>
      <c r="K378" s="41"/>
      <c r="L378" s="9"/>
    </row>
    <row r="379" spans="1:12" ht="20.100000000000001" customHeight="1" x14ac:dyDescent="0.15">
      <c r="B379" s="10"/>
      <c r="C379" s="7"/>
      <c r="D379" s="10"/>
      <c r="E379" s="10"/>
      <c r="F379" s="10"/>
      <c r="G379" s="10"/>
      <c r="H379" s="8"/>
      <c r="I379" s="14"/>
      <c r="J379" s="8" t="str">
        <f t="shared" si="12"/>
        <v>贷</v>
      </c>
      <c r="K379" s="41"/>
      <c r="L379" s="9"/>
    </row>
    <row r="380" spans="1:12" ht="20.100000000000001" customHeight="1" x14ac:dyDescent="0.15">
      <c r="B380" s="10"/>
      <c r="C380" s="7"/>
      <c r="D380" s="10"/>
      <c r="E380" s="10"/>
      <c r="F380" s="10"/>
      <c r="G380" s="10"/>
      <c r="H380" s="8"/>
      <c r="I380" s="14"/>
      <c r="J380" s="8" t="str">
        <f t="shared" si="12"/>
        <v>贷</v>
      </c>
      <c r="K380" s="41"/>
      <c r="L380" s="9"/>
    </row>
    <row r="381" spans="1:12" ht="20.100000000000001" customHeight="1" x14ac:dyDescent="0.15">
      <c r="B381" s="10"/>
      <c r="C381" s="7"/>
      <c r="D381" s="10"/>
      <c r="E381" s="10"/>
      <c r="F381" s="10"/>
      <c r="G381" s="10"/>
      <c r="H381" s="8"/>
      <c r="I381" s="14"/>
      <c r="J381" s="8" t="str">
        <f t="shared" si="12"/>
        <v>贷</v>
      </c>
      <c r="K381" s="41"/>
      <c r="L381" s="9"/>
    </row>
    <row r="382" spans="1:12" ht="20.100000000000001" customHeight="1" x14ac:dyDescent="0.15">
      <c r="B382" s="10"/>
      <c r="C382" s="7"/>
      <c r="D382" s="10"/>
      <c r="E382" s="10"/>
      <c r="F382" s="10"/>
      <c r="G382" s="10"/>
      <c r="H382" s="8"/>
      <c r="I382" s="14"/>
      <c r="J382" s="8" t="str">
        <f t="shared" si="12"/>
        <v>贷</v>
      </c>
      <c r="K382" s="41"/>
      <c r="L382" s="9"/>
    </row>
    <row r="383" spans="1:12" ht="20.100000000000001" customHeight="1" x14ac:dyDescent="0.15">
      <c r="B383" s="10"/>
      <c r="C383" s="7"/>
      <c r="D383" s="10"/>
      <c r="E383" s="10"/>
      <c r="F383" s="10"/>
      <c r="G383" s="10"/>
      <c r="H383" s="8"/>
      <c r="I383" s="14"/>
      <c r="J383" s="8" t="str">
        <f t="shared" si="12"/>
        <v>贷</v>
      </c>
      <c r="K383" s="41"/>
      <c r="L383" s="9"/>
    </row>
    <row r="384" spans="1:12" ht="20.100000000000001" customHeight="1" x14ac:dyDescent="0.15">
      <c r="B384" s="10"/>
      <c r="C384" s="7"/>
      <c r="D384" s="10"/>
      <c r="E384" s="10"/>
      <c r="F384" s="10"/>
      <c r="G384" s="10"/>
      <c r="H384" s="8"/>
      <c r="I384" s="14"/>
      <c r="J384" s="8" t="str">
        <f t="shared" si="12"/>
        <v>贷</v>
      </c>
      <c r="K384" s="41"/>
      <c r="L384" s="9"/>
    </row>
    <row r="385" spans="2:12" ht="20.100000000000001" customHeight="1" x14ac:dyDescent="0.15">
      <c r="B385" s="10"/>
      <c r="C385" s="7"/>
      <c r="D385" s="10"/>
      <c r="E385" s="10"/>
      <c r="F385" s="10"/>
      <c r="G385" s="10"/>
      <c r="H385" s="8"/>
      <c r="I385" s="14"/>
      <c r="J385" s="8" t="str">
        <f t="shared" si="12"/>
        <v>贷</v>
      </c>
      <c r="K385" s="41"/>
      <c r="L385" s="9"/>
    </row>
    <row r="386" spans="2:12" ht="20.100000000000001" customHeight="1" x14ac:dyDescent="0.15">
      <c r="B386" s="10"/>
      <c r="C386" s="7"/>
      <c r="D386" s="10"/>
      <c r="E386" s="10"/>
      <c r="F386" s="10"/>
      <c r="G386" s="10"/>
      <c r="H386" s="8"/>
      <c r="I386" s="14"/>
      <c r="J386" s="8" t="str">
        <f t="shared" si="12"/>
        <v>贷</v>
      </c>
      <c r="K386" s="41"/>
      <c r="L386" s="9"/>
    </row>
    <row r="387" spans="2:12" ht="20.100000000000001" customHeight="1" x14ac:dyDescent="0.15">
      <c r="B387" s="10"/>
      <c r="C387" s="7"/>
      <c r="D387" s="10"/>
      <c r="E387" s="47"/>
      <c r="F387" s="10"/>
      <c r="G387" s="10"/>
      <c r="H387" s="8"/>
      <c r="I387" s="14"/>
      <c r="J387" s="8" t="str">
        <f t="shared" si="12"/>
        <v>贷</v>
      </c>
      <c r="K387" s="41"/>
      <c r="L387" s="9"/>
    </row>
    <row r="388" spans="2:12" ht="20.100000000000001" customHeight="1" x14ac:dyDescent="0.15">
      <c r="B388" s="10"/>
      <c r="C388" s="7"/>
      <c r="D388" s="10"/>
      <c r="E388" s="10"/>
      <c r="F388" s="10"/>
      <c r="G388" s="10"/>
      <c r="H388" s="8"/>
      <c r="I388" s="14"/>
      <c r="J388" s="8" t="str">
        <f t="shared" si="12"/>
        <v>贷</v>
      </c>
      <c r="K388" s="41"/>
      <c r="L388" s="9"/>
    </row>
    <row r="389" spans="2:12" ht="20.100000000000001" customHeight="1" x14ac:dyDescent="0.15">
      <c r="B389" s="10"/>
      <c r="C389" s="7"/>
      <c r="D389" s="10"/>
      <c r="E389" s="10"/>
      <c r="F389" s="10"/>
      <c r="G389" s="10"/>
      <c r="H389" s="8"/>
      <c r="I389" s="14"/>
      <c r="J389" s="8" t="str">
        <f t="shared" si="12"/>
        <v>贷</v>
      </c>
      <c r="K389" s="41"/>
      <c r="L389" s="9"/>
    </row>
    <row r="390" spans="2:12" ht="20.100000000000001" customHeight="1" x14ac:dyDescent="0.15">
      <c r="B390" s="10"/>
      <c r="C390" s="7"/>
      <c r="D390" s="10"/>
      <c r="E390" s="10"/>
      <c r="F390" s="10"/>
      <c r="G390" s="10"/>
      <c r="H390" s="8"/>
      <c r="I390" s="14"/>
      <c r="J390" s="8" t="str">
        <f t="shared" si="12"/>
        <v>贷</v>
      </c>
      <c r="K390" s="41"/>
      <c r="L390" s="9"/>
    </row>
    <row r="391" spans="2:12" ht="20.100000000000001" customHeight="1" x14ac:dyDescent="0.15">
      <c r="B391" s="10"/>
      <c r="C391" s="10"/>
      <c r="D391" s="10"/>
      <c r="E391" s="10"/>
      <c r="F391" s="10"/>
      <c r="G391" s="10"/>
      <c r="H391" s="8"/>
      <c r="I391" s="14"/>
      <c r="J391" s="8" t="str">
        <f t="shared" si="12"/>
        <v>贷</v>
      </c>
      <c r="K391" s="41"/>
      <c r="L391" s="9"/>
    </row>
    <row r="392" spans="2:12" ht="20.100000000000001" customHeight="1" x14ac:dyDescent="0.15">
      <c r="B392" s="10"/>
      <c r="C392" s="10"/>
      <c r="D392" s="10"/>
      <c r="E392" s="10"/>
      <c r="F392" s="10"/>
      <c r="G392" s="10"/>
      <c r="H392" s="8"/>
      <c r="I392" s="14"/>
      <c r="J392" s="8" t="str">
        <f t="shared" si="12"/>
        <v>贷</v>
      </c>
      <c r="K392" s="41"/>
      <c r="L392" s="9"/>
    </row>
    <row r="393" spans="2:12" ht="20.100000000000001" customHeight="1" x14ac:dyDescent="0.15">
      <c r="B393" s="10"/>
      <c r="C393" s="10"/>
      <c r="D393" s="10"/>
      <c r="E393" s="10"/>
      <c r="F393" s="10"/>
      <c r="G393" s="10"/>
      <c r="H393" s="8"/>
      <c r="I393" s="14"/>
      <c r="J393" s="8" t="str">
        <f t="shared" si="12"/>
        <v>贷</v>
      </c>
      <c r="K393" s="41"/>
      <c r="L393" s="9"/>
    </row>
    <row r="394" spans="2:12" ht="20.100000000000001" customHeight="1" x14ac:dyDescent="0.15">
      <c r="B394" s="10"/>
      <c r="C394" s="10"/>
      <c r="D394" s="10"/>
      <c r="E394" s="10"/>
      <c r="F394" s="10"/>
      <c r="G394" s="10"/>
      <c r="H394" s="8"/>
      <c r="I394" s="14"/>
      <c r="J394" s="8" t="str">
        <f t="shared" si="12"/>
        <v>贷</v>
      </c>
      <c r="K394" s="41"/>
      <c r="L394" s="9"/>
    </row>
    <row r="395" spans="2:12" ht="20.100000000000001" customHeight="1" x14ac:dyDescent="0.15">
      <c r="B395" s="10"/>
      <c r="C395" s="10"/>
      <c r="D395" s="10"/>
      <c r="E395" s="10"/>
      <c r="F395" s="10"/>
      <c r="G395" s="10"/>
      <c r="H395" s="8"/>
      <c r="I395" s="14"/>
      <c r="J395" s="8" t="str">
        <f t="shared" si="12"/>
        <v>贷</v>
      </c>
      <c r="K395" s="41"/>
      <c r="L395" s="9"/>
    </row>
    <row r="396" spans="2:12" ht="20.100000000000001" customHeight="1" x14ac:dyDescent="0.15">
      <c r="B396" s="10"/>
      <c r="C396" s="10"/>
      <c r="D396" s="10"/>
      <c r="E396" s="10"/>
      <c r="F396" s="10"/>
      <c r="G396" s="10"/>
      <c r="H396" s="8"/>
      <c r="I396" s="14"/>
      <c r="J396" s="8" t="str">
        <f t="shared" si="12"/>
        <v>贷</v>
      </c>
      <c r="K396" s="41"/>
      <c r="L396" s="9"/>
    </row>
    <row r="397" spans="2:12" ht="20.100000000000001" customHeight="1" x14ac:dyDescent="0.15">
      <c r="B397" s="10"/>
      <c r="C397" s="10"/>
      <c r="D397" s="10"/>
      <c r="E397" s="10"/>
      <c r="F397" s="10"/>
      <c r="G397" s="10"/>
      <c r="H397" s="8"/>
      <c r="I397" s="14"/>
      <c r="J397" s="8" t="str">
        <f t="shared" si="12"/>
        <v>贷</v>
      </c>
      <c r="K397" s="41"/>
      <c r="L397" s="9"/>
    </row>
    <row r="398" spans="2:12" ht="20.100000000000001" customHeight="1" x14ac:dyDescent="0.15">
      <c r="B398" s="10"/>
      <c r="C398" s="10"/>
      <c r="D398" s="10"/>
      <c r="E398" s="10"/>
      <c r="F398" s="10"/>
      <c r="G398" s="10"/>
      <c r="H398" s="8"/>
      <c r="I398" s="14"/>
      <c r="J398" s="8" t="str">
        <f t="shared" ref="J398:J461" si="13">IF((K397+H398-I398)&gt;0,"借","贷")</f>
        <v>贷</v>
      </c>
      <c r="K398" s="41"/>
      <c r="L398" s="9"/>
    </row>
    <row r="399" spans="2:12" ht="20.100000000000001" customHeight="1" x14ac:dyDescent="0.15">
      <c r="B399" s="10"/>
      <c r="C399" s="10"/>
      <c r="D399" s="10"/>
      <c r="E399" s="10"/>
      <c r="F399" s="10"/>
      <c r="G399" s="10"/>
      <c r="H399" s="8"/>
      <c r="I399" s="14"/>
      <c r="J399" s="8" t="str">
        <f t="shared" si="13"/>
        <v>贷</v>
      </c>
      <c r="K399" s="41"/>
      <c r="L399" s="9"/>
    </row>
    <row r="400" spans="2:12" ht="20.100000000000001" customHeight="1" x14ac:dyDescent="0.15">
      <c r="B400" s="10"/>
      <c r="C400" s="10"/>
      <c r="D400" s="10"/>
      <c r="E400" s="10"/>
      <c r="F400" s="10"/>
      <c r="G400" s="10"/>
      <c r="H400" s="8"/>
      <c r="I400" s="14"/>
      <c r="J400" s="8" t="str">
        <f t="shared" si="13"/>
        <v>贷</v>
      </c>
      <c r="K400" s="41"/>
      <c r="L400" s="9"/>
    </row>
    <row r="401" spans="2:12" ht="20.100000000000001" customHeight="1" x14ac:dyDescent="0.15">
      <c r="B401" s="10"/>
      <c r="C401" s="10"/>
      <c r="D401" s="10"/>
      <c r="E401" s="10"/>
      <c r="F401" s="10"/>
      <c r="G401" s="10"/>
      <c r="H401" s="8"/>
      <c r="I401" s="14"/>
      <c r="J401" s="8" t="str">
        <f t="shared" si="13"/>
        <v>贷</v>
      </c>
      <c r="K401" s="41"/>
      <c r="L401" s="9"/>
    </row>
    <row r="402" spans="2:12" ht="20.100000000000001" customHeight="1" x14ac:dyDescent="0.15">
      <c r="B402" s="10"/>
      <c r="C402" s="10"/>
      <c r="D402" s="10"/>
      <c r="E402" s="10"/>
      <c r="F402" s="10"/>
      <c r="G402" s="10"/>
      <c r="H402" s="8"/>
      <c r="I402" s="14"/>
      <c r="J402" s="8" t="str">
        <f t="shared" si="13"/>
        <v>贷</v>
      </c>
      <c r="K402" s="41"/>
      <c r="L402" s="9"/>
    </row>
    <row r="403" spans="2:12" ht="20.100000000000001" customHeight="1" x14ac:dyDescent="0.15">
      <c r="B403" s="10"/>
      <c r="C403" s="10"/>
      <c r="D403" s="10"/>
      <c r="E403" s="10"/>
      <c r="F403" s="10"/>
      <c r="G403" s="10"/>
      <c r="H403" s="8"/>
      <c r="I403" s="14"/>
      <c r="J403" s="8" t="str">
        <f t="shared" si="13"/>
        <v>贷</v>
      </c>
      <c r="K403" s="41"/>
      <c r="L403" s="9"/>
    </row>
    <row r="404" spans="2:12" ht="20.100000000000001" customHeight="1" x14ac:dyDescent="0.15">
      <c r="B404" s="10"/>
      <c r="C404" s="10"/>
      <c r="D404" s="10"/>
      <c r="E404" s="10"/>
      <c r="F404" s="10"/>
      <c r="G404" s="10"/>
      <c r="H404" s="8"/>
      <c r="I404" s="14"/>
      <c r="J404" s="8" t="str">
        <f t="shared" si="13"/>
        <v>贷</v>
      </c>
      <c r="K404" s="41"/>
      <c r="L404" s="9"/>
    </row>
    <row r="405" spans="2:12" ht="20.100000000000001" customHeight="1" x14ac:dyDescent="0.15">
      <c r="B405" s="10"/>
      <c r="C405" s="10"/>
      <c r="D405" s="10"/>
      <c r="E405" s="10"/>
      <c r="F405" s="10"/>
      <c r="G405" s="10"/>
      <c r="H405" s="8"/>
      <c r="I405" s="14"/>
      <c r="J405" s="8" t="str">
        <f t="shared" si="13"/>
        <v>贷</v>
      </c>
      <c r="K405" s="41"/>
      <c r="L405" s="9"/>
    </row>
    <row r="406" spans="2:12" ht="20.100000000000001" customHeight="1" x14ac:dyDescent="0.15">
      <c r="B406" s="10"/>
      <c r="C406" s="10"/>
      <c r="D406" s="10"/>
      <c r="E406" s="10"/>
      <c r="F406" s="10"/>
      <c r="G406" s="10"/>
      <c r="H406" s="8"/>
      <c r="I406" s="14"/>
      <c r="J406" s="8" t="str">
        <f t="shared" si="13"/>
        <v>贷</v>
      </c>
      <c r="K406" s="41"/>
      <c r="L406" s="9"/>
    </row>
    <row r="407" spans="2:12" ht="20.100000000000001" customHeight="1" x14ac:dyDescent="0.15">
      <c r="B407" s="10"/>
      <c r="C407" s="10"/>
      <c r="D407" s="10"/>
      <c r="E407" s="10"/>
      <c r="F407" s="10"/>
      <c r="G407" s="10"/>
      <c r="H407" s="8"/>
      <c r="I407" s="14"/>
      <c r="J407" s="8" t="str">
        <f t="shared" si="13"/>
        <v>贷</v>
      </c>
      <c r="K407" s="41"/>
      <c r="L407" s="9"/>
    </row>
    <row r="408" spans="2:12" ht="20.100000000000001" customHeight="1" x14ac:dyDescent="0.15">
      <c r="B408" s="10"/>
      <c r="C408" s="10"/>
      <c r="D408" s="10"/>
      <c r="E408" s="10"/>
      <c r="F408" s="10"/>
      <c r="G408" s="10"/>
      <c r="H408" s="8"/>
      <c r="I408" s="14"/>
      <c r="J408" s="8" t="str">
        <f t="shared" si="13"/>
        <v>贷</v>
      </c>
      <c r="K408" s="41"/>
      <c r="L408" s="9"/>
    </row>
    <row r="409" spans="2:12" ht="20.100000000000001" customHeight="1" x14ac:dyDescent="0.15">
      <c r="B409" s="10"/>
      <c r="C409" s="10"/>
      <c r="D409" s="10"/>
      <c r="E409" s="10"/>
      <c r="F409" s="10"/>
      <c r="G409" s="10"/>
      <c r="H409" s="8"/>
      <c r="I409" s="14"/>
      <c r="J409" s="8" t="str">
        <f t="shared" si="13"/>
        <v>贷</v>
      </c>
      <c r="K409" s="41"/>
      <c r="L409" s="9"/>
    </row>
    <row r="410" spans="2:12" ht="20.100000000000001" customHeight="1" x14ac:dyDescent="0.15">
      <c r="B410" s="10"/>
      <c r="C410" s="10"/>
      <c r="D410" s="10"/>
      <c r="E410" s="10"/>
      <c r="F410" s="10"/>
      <c r="G410" s="10"/>
      <c r="H410" s="8"/>
      <c r="I410" s="14"/>
      <c r="J410" s="8" t="str">
        <f t="shared" si="13"/>
        <v>贷</v>
      </c>
      <c r="K410" s="41"/>
      <c r="L410" s="9"/>
    </row>
    <row r="411" spans="2:12" ht="20.100000000000001" customHeight="1" x14ac:dyDescent="0.15">
      <c r="B411" s="10"/>
      <c r="C411" s="10"/>
      <c r="D411" s="10"/>
      <c r="E411" s="10"/>
      <c r="F411" s="10"/>
      <c r="G411" s="10"/>
      <c r="H411" s="8"/>
      <c r="I411" s="14"/>
      <c r="J411" s="8" t="str">
        <f t="shared" si="13"/>
        <v>贷</v>
      </c>
      <c r="K411" s="41"/>
      <c r="L411" s="9"/>
    </row>
    <row r="412" spans="2:12" ht="20.100000000000001" customHeight="1" x14ac:dyDescent="0.15">
      <c r="B412" s="10"/>
      <c r="C412" s="10"/>
      <c r="D412" s="10"/>
      <c r="E412" s="10"/>
      <c r="F412" s="10"/>
      <c r="G412" s="10"/>
      <c r="H412" s="8"/>
      <c r="I412" s="14"/>
      <c r="J412" s="8" t="str">
        <f t="shared" si="13"/>
        <v>贷</v>
      </c>
      <c r="K412" s="41"/>
      <c r="L412" s="9"/>
    </row>
    <row r="413" spans="2:12" ht="20.100000000000001" customHeight="1" x14ac:dyDescent="0.15">
      <c r="B413" s="10"/>
      <c r="C413" s="10"/>
      <c r="D413" s="10"/>
      <c r="E413" s="10"/>
      <c r="F413" s="10"/>
      <c r="G413" s="10"/>
      <c r="H413" s="8"/>
      <c r="I413" s="14"/>
      <c r="J413" s="8" t="str">
        <f t="shared" si="13"/>
        <v>贷</v>
      </c>
      <c r="K413" s="41"/>
      <c r="L413" s="9"/>
    </row>
    <row r="414" spans="2:12" ht="20.100000000000001" customHeight="1" x14ac:dyDescent="0.15">
      <c r="B414" s="10"/>
      <c r="C414" s="10"/>
      <c r="D414" s="10"/>
      <c r="E414" s="10"/>
      <c r="F414" s="10"/>
      <c r="G414" s="10"/>
      <c r="H414" s="8"/>
      <c r="I414" s="14"/>
      <c r="J414" s="8" t="str">
        <f t="shared" si="13"/>
        <v>贷</v>
      </c>
      <c r="K414" s="41"/>
      <c r="L414" s="9"/>
    </row>
    <row r="415" spans="2:12" ht="20.100000000000001" customHeight="1" x14ac:dyDescent="0.15">
      <c r="B415" s="10"/>
      <c r="C415" s="10"/>
      <c r="D415" s="10"/>
      <c r="E415" s="10"/>
      <c r="F415" s="10"/>
      <c r="G415" s="10"/>
      <c r="H415" s="8"/>
      <c r="I415" s="14"/>
      <c r="J415" s="8" t="str">
        <f t="shared" si="13"/>
        <v>贷</v>
      </c>
      <c r="K415" s="41"/>
      <c r="L415" s="9"/>
    </row>
    <row r="416" spans="2:12" ht="20.100000000000001" customHeight="1" x14ac:dyDescent="0.15">
      <c r="B416" s="10"/>
      <c r="C416" s="10"/>
      <c r="D416" s="10"/>
      <c r="E416" s="10"/>
      <c r="F416" s="10"/>
      <c r="G416" s="10"/>
      <c r="H416" s="8"/>
      <c r="I416" s="14"/>
      <c r="J416" s="8" t="str">
        <f t="shared" si="13"/>
        <v>贷</v>
      </c>
      <c r="K416" s="41"/>
      <c r="L416" s="9"/>
    </row>
    <row r="417" spans="2:12" ht="20.100000000000001" customHeight="1" x14ac:dyDescent="0.15">
      <c r="B417" s="10"/>
      <c r="C417" s="10"/>
      <c r="D417" s="10"/>
      <c r="E417" s="10"/>
      <c r="F417" s="10"/>
      <c r="G417" s="10"/>
      <c r="H417" s="8"/>
      <c r="I417" s="14"/>
      <c r="J417" s="8" t="str">
        <f t="shared" si="13"/>
        <v>贷</v>
      </c>
      <c r="K417" s="41"/>
      <c r="L417" s="9"/>
    </row>
    <row r="418" spans="2:12" ht="20.100000000000001" customHeight="1" x14ac:dyDescent="0.15">
      <c r="B418" s="10"/>
      <c r="C418" s="10"/>
      <c r="D418" s="10"/>
      <c r="E418" s="10"/>
      <c r="F418" s="10"/>
      <c r="G418" s="10"/>
      <c r="H418" s="8"/>
      <c r="I418" s="14"/>
      <c r="J418" s="8" t="str">
        <f t="shared" si="13"/>
        <v>贷</v>
      </c>
      <c r="K418" s="41"/>
      <c r="L418" s="9"/>
    </row>
    <row r="419" spans="2:12" ht="20.100000000000001" customHeight="1" x14ac:dyDescent="0.15">
      <c r="B419" s="10"/>
      <c r="C419" s="10"/>
      <c r="D419" s="10"/>
      <c r="E419" s="10"/>
      <c r="F419" s="10"/>
      <c r="G419" s="10"/>
      <c r="H419" s="8"/>
      <c r="I419" s="14"/>
      <c r="J419" s="8" t="str">
        <f t="shared" si="13"/>
        <v>贷</v>
      </c>
      <c r="K419" s="41"/>
      <c r="L419" s="9"/>
    </row>
    <row r="420" spans="2:12" ht="20.100000000000001" customHeight="1" x14ac:dyDescent="0.15">
      <c r="B420" s="10"/>
      <c r="C420" s="10"/>
      <c r="D420" s="10"/>
      <c r="E420" s="10"/>
      <c r="F420" s="10"/>
      <c r="G420" s="10"/>
      <c r="H420" s="8"/>
      <c r="I420" s="14"/>
      <c r="J420" s="8" t="str">
        <f t="shared" si="13"/>
        <v>贷</v>
      </c>
      <c r="K420" s="41"/>
      <c r="L420" s="9"/>
    </row>
    <row r="421" spans="2:12" ht="20.100000000000001" customHeight="1" x14ac:dyDescent="0.15">
      <c r="B421" s="10"/>
      <c r="C421" s="10"/>
      <c r="D421" s="10"/>
      <c r="E421" s="10"/>
      <c r="F421" s="10"/>
      <c r="G421" s="10"/>
      <c r="H421" s="8"/>
      <c r="I421" s="14"/>
      <c r="J421" s="8" t="str">
        <f t="shared" si="13"/>
        <v>贷</v>
      </c>
      <c r="K421" s="41"/>
      <c r="L421" s="9"/>
    </row>
    <row r="422" spans="2:12" ht="20.100000000000001" customHeight="1" x14ac:dyDescent="0.15">
      <c r="B422" s="10"/>
      <c r="C422" s="10"/>
      <c r="D422" s="10"/>
      <c r="E422" s="10"/>
      <c r="F422" s="10"/>
      <c r="G422" s="10"/>
      <c r="H422" s="8"/>
      <c r="I422" s="14"/>
      <c r="J422" s="8" t="str">
        <f t="shared" si="13"/>
        <v>贷</v>
      </c>
      <c r="K422" s="41"/>
      <c r="L422" s="9"/>
    </row>
    <row r="423" spans="2:12" ht="20.100000000000001" customHeight="1" x14ac:dyDescent="0.15">
      <c r="B423" s="10"/>
      <c r="C423" s="10"/>
      <c r="D423" s="10"/>
      <c r="E423" s="10"/>
      <c r="F423" s="10"/>
      <c r="G423" s="10"/>
      <c r="H423" s="8"/>
      <c r="I423" s="14"/>
      <c r="J423" s="8" t="str">
        <f t="shared" si="13"/>
        <v>贷</v>
      </c>
      <c r="K423" s="41"/>
      <c r="L423" s="9"/>
    </row>
    <row r="424" spans="2:12" ht="20.100000000000001" customHeight="1" x14ac:dyDescent="0.15">
      <c r="B424" s="10"/>
      <c r="C424" s="10"/>
      <c r="D424" s="10"/>
      <c r="E424" s="10"/>
      <c r="F424" s="10"/>
      <c r="G424" s="10"/>
      <c r="H424" s="8"/>
      <c r="I424" s="14"/>
      <c r="J424" s="8" t="str">
        <f t="shared" si="13"/>
        <v>贷</v>
      </c>
      <c r="K424" s="41"/>
      <c r="L424" s="9"/>
    </row>
    <row r="425" spans="2:12" ht="20.100000000000001" customHeight="1" x14ac:dyDescent="0.15">
      <c r="B425" s="10"/>
      <c r="C425" s="10"/>
      <c r="D425" s="10"/>
      <c r="E425" s="10"/>
      <c r="F425" s="10"/>
      <c r="G425" s="10"/>
      <c r="H425" s="8"/>
      <c r="I425" s="14"/>
      <c r="J425" s="8" t="str">
        <f t="shared" si="13"/>
        <v>贷</v>
      </c>
      <c r="K425" s="41"/>
      <c r="L425" s="9"/>
    </row>
    <row r="426" spans="2:12" ht="20.100000000000001" customHeight="1" x14ac:dyDescent="0.15">
      <c r="B426" s="10"/>
      <c r="C426" s="10"/>
      <c r="D426" s="10"/>
      <c r="E426" s="10"/>
      <c r="F426" s="10"/>
      <c r="G426" s="10"/>
      <c r="H426" s="8"/>
      <c r="I426" s="14"/>
      <c r="J426" s="8" t="str">
        <f t="shared" si="13"/>
        <v>贷</v>
      </c>
      <c r="K426" s="41"/>
      <c r="L426" s="9"/>
    </row>
    <row r="427" spans="2:12" ht="20.100000000000001" customHeight="1" x14ac:dyDescent="0.15">
      <c r="B427" s="10"/>
      <c r="C427" s="10"/>
      <c r="D427" s="10"/>
      <c r="E427" s="10"/>
      <c r="F427" s="10"/>
      <c r="G427" s="10"/>
      <c r="H427" s="8"/>
      <c r="I427" s="14"/>
      <c r="J427" s="8" t="str">
        <f t="shared" si="13"/>
        <v>贷</v>
      </c>
      <c r="K427" s="41"/>
      <c r="L427" s="9"/>
    </row>
    <row r="428" spans="2:12" ht="20.100000000000001" customHeight="1" x14ac:dyDescent="0.15">
      <c r="B428" s="10"/>
      <c r="C428" s="10"/>
      <c r="D428" s="10"/>
      <c r="E428" s="10"/>
      <c r="F428" s="10"/>
      <c r="G428" s="10"/>
      <c r="H428" s="8"/>
      <c r="I428" s="14"/>
      <c r="J428" s="8" t="str">
        <f t="shared" si="13"/>
        <v>贷</v>
      </c>
      <c r="K428" s="41"/>
      <c r="L428" s="9"/>
    </row>
    <row r="429" spans="2:12" ht="20.100000000000001" customHeight="1" x14ac:dyDescent="0.15">
      <c r="B429" s="10"/>
      <c r="C429" s="10"/>
      <c r="D429" s="10"/>
      <c r="E429" s="10"/>
      <c r="F429" s="10"/>
      <c r="G429" s="10"/>
      <c r="H429" s="8"/>
      <c r="I429" s="14"/>
      <c r="J429" s="8" t="str">
        <f t="shared" si="13"/>
        <v>贷</v>
      </c>
      <c r="K429" s="41"/>
      <c r="L429" s="9"/>
    </row>
    <row r="430" spans="2:12" ht="20.100000000000001" customHeight="1" x14ac:dyDescent="0.15">
      <c r="B430" s="10"/>
      <c r="C430" s="10"/>
      <c r="D430" s="10"/>
      <c r="E430" s="10"/>
      <c r="F430" s="10"/>
      <c r="G430" s="10"/>
      <c r="H430" s="8"/>
      <c r="I430" s="14"/>
      <c r="J430" s="8" t="str">
        <f t="shared" si="13"/>
        <v>贷</v>
      </c>
      <c r="K430" s="41"/>
      <c r="L430" s="9"/>
    </row>
    <row r="431" spans="2:12" ht="20.100000000000001" customHeight="1" x14ac:dyDescent="0.15">
      <c r="B431" s="10"/>
      <c r="C431" s="10"/>
      <c r="D431" s="10"/>
      <c r="E431" s="10"/>
      <c r="F431" s="10"/>
      <c r="G431" s="10"/>
      <c r="H431" s="8"/>
      <c r="I431" s="14"/>
      <c r="J431" s="8" t="str">
        <f t="shared" si="13"/>
        <v>贷</v>
      </c>
      <c r="K431" s="41"/>
      <c r="L431" s="9"/>
    </row>
    <row r="432" spans="2:12" ht="20.100000000000001" customHeight="1" x14ac:dyDescent="0.15">
      <c r="B432" s="10"/>
      <c r="C432" s="10"/>
      <c r="D432" s="10"/>
      <c r="E432" s="10"/>
      <c r="F432" s="10"/>
      <c r="G432" s="10"/>
      <c r="H432" s="8"/>
      <c r="I432" s="14"/>
      <c r="J432" s="8" t="str">
        <f t="shared" si="13"/>
        <v>贷</v>
      </c>
      <c r="K432" s="41"/>
      <c r="L432" s="9"/>
    </row>
    <row r="433" spans="2:12" ht="20.100000000000001" customHeight="1" x14ac:dyDescent="0.15">
      <c r="B433" s="10"/>
      <c r="C433" s="10"/>
      <c r="D433" s="10"/>
      <c r="E433" s="10"/>
      <c r="F433" s="10"/>
      <c r="G433" s="10"/>
      <c r="H433" s="8"/>
      <c r="I433" s="14"/>
      <c r="J433" s="8" t="str">
        <f t="shared" si="13"/>
        <v>贷</v>
      </c>
      <c r="K433" s="41"/>
      <c r="L433" s="9"/>
    </row>
    <row r="434" spans="2:12" ht="20.100000000000001" customHeight="1" x14ac:dyDescent="0.15">
      <c r="B434" s="10"/>
      <c r="C434" s="10"/>
      <c r="D434" s="10"/>
      <c r="E434" s="10"/>
      <c r="F434" s="10"/>
      <c r="G434" s="10"/>
      <c r="H434" s="8"/>
      <c r="I434" s="14"/>
      <c r="J434" s="8" t="str">
        <f t="shared" si="13"/>
        <v>贷</v>
      </c>
      <c r="K434" s="41"/>
      <c r="L434" s="9"/>
    </row>
    <row r="435" spans="2:12" ht="20.100000000000001" customHeight="1" x14ac:dyDescent="0.15">
      <c r="B435" s="10"/>
      <c r="C435" s="10"/>
      <c r="D435" s="10"/>
      <c r="E435" s="10"/>
      <c r="F435" s="10"/>
      <c r="G435" s="10"/>
      <c r="H435" s="8"/>
      <c r="I435" s="14"/>
      <c r="J435" s="8" t="str">
        <f t="shared" si="13"/>
        <v>贷</v>
      </c>
      <c r="K435" s="41"/>
      <c r="L435" s="9"/>
    </row>
    <row r="436" spans="2:12" ht="20.100000000000001" customHeight="1" x14ac:dyDescent="0.15">
      <c r="B436" s="10"/>
      <c r="C436" s="10"/>
      <c r="D436" s="10"/>
      <c r="E436" s="10"/>
      <c r="F436" s="10"/>
      <c r="G436" s="10"/>
      <c r="H436" s="8"/>
      <c r="I436" s="14"/>
      <c r="J436" s="8" t="str">
        <f t="shared" si="13"/>
        <v>贷</v>
      </c>
      <c r="K436" s="41"/>
      <c r="L436" s="9"/>
    </row>
    <row r="437" spans="2:12" ht="20.100000000000001" customHeight="1" x14ac:dyDescent="0.15">
      <c r="B437" s="10"/>
      <c r="C437" s="10"/>
      <c r="D437" s="10"/>
      <c r="E437" s="10"/>
      <c r="F437" s="10"/>
      <c r="G437" s="10"/>
      <c r="H437" s="8"/>
      <c r="I437" s="14"/>
      <c r="J437" s="8" t="str">
        <f t="shared" si="13"/>
        <v>贷</v>
      </c>
      <c r="K437" s="41"/>
      <c r="L437" s="9"/>
    </row>
    <row r="438" spans="2:12" ht="20.100000000000001" customHeight="1" x14ac:dyDescent="0.15">
      <c r="B438" s="10"/>
      <c r="C438" s="10"/>
      <c r="D438" s="10"/>
      <c r="E438" s="10"/>
      <c r="F438" s="10"/>
      <c r="G438" s="10"/>
      <c r="H438" s="8"/>
      <c r="I438" s="14"/>
      <c r="J438" s="8" t="str">
        <f t="shared" si="13"/>
        <v>贷</v>
      </c>
      <c r="K438" s="41"/>
      <c r="L438" s="9"/>
    </row>
    <row r="439" spans="2:12" ht="20.100000000000001" customHeight="1" x14ac:dyDescent="0.15">
      <c r="B439" s="10"/>
      <c r="C439" s="10"/>
      <c r="D439" s="10"/>
      <c r="E439" s="10"/>
      <c r="F439" s="10"/>
      <c r="G439" s="10"/>
      <c r="H439" s="8"/>
      <c r="I439" s="14"/>
      <c r="J439" s="8" t="str">
        <f t="shared" si="13"/>
        <v>贷</v>
      </c>
      <c r="K439" s="41"/>
      <c r="L439" s="9"/>
    </row>
    <row r="440" spans="2:12" ht="20.100000000000001" customHeight="1" x14ac:dyDescent="0.15">
      <c r="B440" s="10"/>
      <c r="C440" s="10"/>
      <c r="D440" s="10"/>
      <c r="E440" s="10"/>
      <c r="F440" s="10"/>
      <c r="G440" s="10"/>
      <c r="H440" s="8"/>
      <c r="I440" s="14"/>
      <c r="J440" s="8" t="str">
        <f t="shared" si="13"/>
        <v>贷</v>
      </c>
      <c r="K440" s="41"/>
      <c r="L440" s="9"/>
    </row>
    <row r="441" spans="2:12" ht="20.100000000000001" customHeight="1" x14ac:dyDescent="0.15">
      <c r="B441" s="10"/>
      <c r="C441" s="10"/>
      <c r="D441" s="10"/>
      <c r="E441" s="10"/>
      <c r="F441" s="10"/>
      <c r="G441" s="10"/>
      <c r="H441" s="8"/>
      <c r="I441" s="14"/>
      <c r="J441" s="8" t="str">
        <f t="shared" si="13"/>
        <v>贷</v>
      </c>
      <c r="K441" s="41"/>
      <c r="L441" s="9"/>
    </row>
    <row r="442" spans="2:12" ht="20.100000000000001" customHeight="1" x14ac:dyDescent="0.15">
      <c r="B442" s="10"/>
      <c r="C442" s="10"/>
      <c r="D442" s="10"/>
      <c r="E442" s="10"/>
      <c r="F442" s="10"/>
      <c r="G442" s="10"/>
      <c r="H442" s="8"/>
      <c r="I442" s="14"/>
      <c r="J442" s="8" t="str">
        <f t="shared" si="13"/>
        <v>贷</v>
      </c>
      <c r="K442" s="41"/>
      <c r="L442" s="9"/>
    </row>
    <row r="443" spans="2:12" ht="20.100000000000001" customHeight="1" x14ac:dyDescent="0.15">
      <c r="B443" s="10"/>
      <c r="C443" s="10"/>
      <c r="D443" s="10"/>
      <c r="E443" s="10"/>
      <c r="F443" s="10"/>
      <c r="G443" s="10"/>
      <c r="H443" s="8"/>
      <c r="I443" s="14"/>
      <c r="J443" s="8" t="str">
        <f t="shared" si="13"/>
        <v>贷</v>
      </c>
      <c r="K443" s="41"/>
      <c r="L443" s="9"/>
    </row>
    <row r="444" spans="2:12" ht="20.100000000000001" customHeight="1" x14ac:dyDescent="0.15">
      <c r="B444" s="10"/>
      <c r="C444" s="10"/>
      <c r="D444" s="10"/>
      <c r="E444" s="10"/>
      <c r="F444" s="10"/>
      <c r="G444" s="10"/>
      <c r="H444" s="8"/>
      <c r="I444" s="14"/>
      <c r="J444" s="8" t="str">
        <f t="shared" si="13"/>
        <v>贷</v>
      </c>
      <c r="K444" s="41"/>
      <c r="L444" s="9"/>
    </row>
    <row r="445" spans="2:12" ht="20.100000000000001" customHeight="1" x14ac:dyDescent="0.15">
      <c r="B445" s="10"/>
      <c r="C445" s="10"/>
      <c r="D445" s="10"/>
      <c r="E445" s="10"/>
      <c r="F445" s="10"/>
      <c r="G445" s="10"/>
      <c r="H445" s="8"/>
      <c r="I445" s="14"/>
      <c r="J445" s="8" t="str">
        <f t="shared" si="13"/>
        <v>贷</v>
      </c>
      <c r="K445" s="41"/>
      <c r="L445" s="9"/>
    </row>
    <row r="446" spans="2:12" ht="20.100000000000001" customHeight="1" x14ac:dyDescent="0.15">
      <c r="B446" s="10"/>
      <c r="C446" s="10"/>
      <c r="D446" s="10"/>
      <c r="E446" s="10"/>
      <c r="F446" s="10"/>
      <c r="G446" s="10"/>
      <c r="H446" s="8"/>
      <c r="I446" s="14"/>
      <c r="J446" s="8" t="str">
        <f t="shared" si="13"/>
        <v>贷</v>
      </c>
      <c r="K446" s="41"/>
      <c r="L446" s="9"/>
    </row>
    <row r="447" spans="2:12" ht="20.100000000000001" customHeight="1" x14ac:dyDescent="0.15">
      <c r="B447" s="10"/>
      <c r="C447" s="10"/>
      <c r="D447" s="10"/>
      <c r="E447" s="10"/>
      <c r="F447" s="10"/>
      <c r="G447" s="10"/>
      <c r="H447" s="8"/>
      <c r="I447" s="14"/>
      <c r="J447" s="8" t="str">
        <f t="shared" si="13"/>
        <v>贷</v>
      </c>
      <c r="K447" s="41"/>
      <c r="L447" s="9"/>
    </row>
    <row r="448" spans="2:12" ht="20.100000000000001" customHeight="1" x14ac:dyDescent="0.15">
      <c r="B448" s="10"/>
      <c r="C448" s="10"/>
      <c r="D448" s="10"/>
      <c r="E448" s="10"/>
      <c r="F448" s="10"/>
      <c r="G448" s="10"/>
      <c r="H448" s="8"/>
      <c r="I448" s="14"/>
      <c r="J448" s="8" t="str">
        <f t="shared" si="13"/>
        <v>贷</v>
      </c>
      <c r="K448" s="41"/>
      <c r="L448" s="9"/>
    </row>
    <row r="449" spans="2:12" ht="20.100000000000001" customHeight="1" x14ac:dyDescent="0.15">
      <c r="B449" s="10"/>
      <c r="C449" s="10"/>
      <c r="D449" s="10"/>
      <c r="E449" s="10"/>
      <c r="F449" s="10"/>
      <c r="G449" s="10"/>
      <c r="H449" s="8"/>
      <c r="I449" s="14"/>
      <c r="J449" s="8" t="str">
        <f t="shared" si="13"/>
        <v>贷</v>
      </c>
      <c r="K449" s="41"/>
      <c r="L449" s="9"/>
    </row>
    <row r="450" spans="2:12" ht="20.100000000000001" customHeight="1" x14ac:dyDescent="0.15">
      <c r="B450" s="10"/>
      <c r="C450" s="10"/>
      <c r="D450" s="10"/>
      <c r="E450" s="10"/>
      <c r="F450" s="10"/>
      <c r="G450" s="10"/>
      <c r="H450" s="8"/>
      <c r="I450" s="14"/>
      <c r="J450" s="8" t="str">
        <f t="shared" si="13"/>
        <v>贷</v>
      </c>
      <c r="K450" s="41"/>
      <c r="L450" s="9"/>
    </row>
    <row r="451" spans="2:12" ht="20.100000000000001" customHeight="1" x14ac:dyDescent="0.15">
      <c r="B451" s="10"/>
      <c r="C451" s="10"/>
      <c r="D451" s="10"/>
      <c r="E451" s="10"/>
      <c r="F451" s="10"/>
      <c r="G451" s="10"/>
      <c r="H451" s="8"/>
      <c r="I451" s="14"/>
      <c r="J451" s="8" t="str">
        <f t="shared" si="13"/>
        <v>贷</v>
      </c>
      <c r="K451" s="41"/>
      <c r="L451" s="9"/>
    </row>
    <row r="452" spans="2:12" ht="20.100000000000001" customHeight="1" x14ac:dyDescent="0.15">
      <c r="B452" s="10"/>
      <c r="C452" s="10"/>
      <c r="D452" s="10"/>
      <c r="E452" s="10"/>
      <c r="F452" s="10"/>
      <c r="G452" s="10"/>
      <c r="H452" s="8"/>
      <c r="I452" s="14"/>
      <c r="J452" s="8" t="str">
        <f t="shared" si="13"/>
        <v>贷</v>
      </c>
      <c r="K452" s="41"/>
      <c r="L452" s="9"/>
    </row>
    <row r="453" spans="2:12" ht="20.100000000000001" customHeight="1" x14ac:dyDescent="0.15">
      <c r="B453" s="10"/>
      <c r="C453" s="10"/>
      <c r="D453" s="10"/>
      <c r="E453" s="10"/>
      <c r="F453" s="10"/>
      <c r="G453" s="10"/>
      <c r="H453" s="8"/>
      <c r="I453" s="14"/>
      <c r="J453" s="8" t="str">
        <f t="shared" si="13"/>
        <v>贷</v>
      </c>
      <c r="K453" s="41"/>
      <c r="L453" s="9"/>
    </row>
    <row r="454" spans="2:12" ht="20.100000000000001" customHeight="1" x14ac:dyDescent="0.15">
      <c r="B454" s="10"/>
      <c r="C454" s="10"/>
      <c r="D454" s="10"/>
      <c r="E454" s="10"/>
      <c r="F454" s="10"/>
      <c r="G454" s="10"/>
      <c r="H454" s="8"/>
      <c r="I454" s="14"/>
      <c r="J454" s="8" t="str">
        <f t="shared" si="13"/>
        <v>贷</v>
      </c>
      <c r="K454" s="41"/>
      <c r="L454" s="9"/>
    </row>
    <row r="455" spans="2:12" ht="20.100000000000001" customHeight="1" x14ac:dyDescent="0.15">
      <c r="B455" s="10"/>
      <c r="C455" s="10"/>
      <c r="D455" s="10"/>
      <c r="E455" s="10"/>
      <c r="F455" s="10"/>
      <c r="G455" s="10"/>
      <c r="H455" s="8"/>
      <c r="I455" s="14"/>
      <c r="J455" s="8" t="str">
        <f t="shared" si="13"/>
        <v>贷</v>
      </c>
      <c r="K455" s="41"/>
      <c r="L455" s="9"/>
    </row>
    <row r="456" spans="2:12" ht="20.100000000000001" customHeight="1" x14ac:dyDescent="0.15">
      <c r="B456" s="10"/>
      <c r="C456" s="10"/>
      <c r="D456" s="10"/>
      <c r="E456" s="10"/>
      <c r="F456" s="10"/>
      <c r="G456" s="10"/>
      <c r="H456" s="8"/>
      <c r="I456" s="14"/>
      <c r="J456" s="8" t="str">
        <f t="shared" si="13"/>
        <v>贷</v>
      </c>
      <c r="K456" s="41"/>
      <c r="L456" s="9"/>
    </row>
    <row r="457" spans="2:12" ht="20.100000000000001" customHeight="1" x14ac:dyDescent="0.15">
      <c r="B457" s="10"/>
      <c r="C457" s="10"/>
      <c r="D457" s="10"/>
      <c r="E457" s="10"/>
      <c r="F457" s="10"/>
      <c r="G457" s="10"/>
      <c r="H457" s="8"/>
      <c r="I457" s="14"/>
      <c r="J457" s="8" t="str">
        <f t="shared" si="13"/>
        <v>贷</v>
      </c>
      <c r="K457" s="41"/>
      <c r="L457" s="9"/>
    </row>
    <row r="458" spans="2:12" ht="20.100000000000001" customHeight="1" x14ac:dyDescent="0.15">
      <c r="B458" s="10"/>
      <c r="C458" s="10"/>
      <c r="D458" s="10"/>
      <c r="E458" s="10"/>
      <c r="F458" s="10"/>
      <c r="G458" s="10"/>
      <c r="H458" s="8"/>
      <c r="I458" s="14"/>
      <c r="J458" s="8" t="str">
        <f t="shared" si="13"/>
        <v>贷</v>
      </c>
      <c r="K458" s="41"/>
      <c r="L458" s="9"/>
    </row>
    <row r="459" spans="2:12" ht="20.100000000000001" customHeight="1" x14ac:dyDescent="0.15">
      <c r="B459" s="10"/>
      <c r="C459" s="10"/>
      <c r="D459" s="10"/>
      <c r="E459" s="10"/>
      <c r="F459" s="10"/>
      <c r="G459" s="10"/>
      <c r="H459" s="8"/>
      <c r="I459" s="14"/>
      <c r="J459" s="8" t="str">
        <f t="shared" si="13"/>
        <v>贷</v>
      </c>
      <c r="K459" s="41"/>
      <c r="L459" s="9"/>
    </row>
    <row r="460" spans="2:12" ht="20.100000000000001" customHeight="1" x14ac:dyDescent="0.15">
      <c r="B460" s="10"/>
      <c r="C460" s="10"/>
      <c r="D460" s="10"/>
      <c r="E460" s="10"/>
      <c r="F460" s="10"/>
      <c r="G460" s="10"/>
      <c r="H460" s="8"/>
      <c r="I460" s="14"/>
      <c r="J460" s="8" t="str">
        <f t="shared" si="13"/>
        <v>贷</v>
      </c>
      <c r="K460" s="41"/>
      <c r="L460" s="9"/>
    </row>
    <row r="461" spans="2:12" ht="20.100000000000001" customHeight="1" x14ac:dyDescent="0.15">
      <c r="B461" s="10"/>
      <c r="C461" s="10"/>
      <c r="D461" s="10"/>
      <c r="E461" s="10"/>
      <c r="F461" s="10"/>
      <c r="G461" s="10"/>
      <c r="H461" s="8"/>
      <c r="I461" s="14"/>
      <c r="J461" s="8" t="str">
        <f t="shared" si="13"/>
        <v>贷</v>
      </c>
      <c r="K461" s="41"/>
      <c r="L461" s="9"/>
    </row>
    <row r="462" spans="2:12" ht="20.100000000000001" customHeight="1" x14ac:dyDescent="0.15">
      <c r="B462" s="10"/>
      <c r="C462" s="10"/>
      <c r="D462" s="10"/>
      <c r="E462" s="10"/>
      <c r="F462" s="10"/>
      <c r="G462" s="10"/>
      <c r="H462" s="8"/>
      <c r="I462" s="14"/>
      <c r="J462" s="8" t="str">
        <f t="shared" ref="J462:J504" si="14">IF((K461+H462-I462)&gt;0,"借","贷")</f>
        <v>贷</v>
      </c>
      <c r="K462" s="41"/>
      <c r="L462" s="9"/>
    </row>
    <row r="463" spans="2:12" ht="20.100000000000001" customHeight="1" x14ac:dyDescent="0.15">
      <c r="B463" s="10"/>
      <c r="C463" s="10"/>
      <c r="D463" s="10"/>
      <c r="E463" s="10"/>
      <c r="F463" s="10"/>
      <c r="G463" s="10"/>
      <c r="H463" s="8"/>
      <c r="I463" s="14"/>
      <c r="J463" s="8" t="str">
        <f t="shared" si="14"/>
        <v>贷</v>
      </c>
      <c r="K463" s="41"/>
      <c r="L463" s="9"/>
    </row>
    <row r="464" spans="2:12" ht="20.100000000000001" customHeight="1" x14ac:dyDescent="0.15">
      <c r="B464" s="10"/>
      <c r="C464" s="10"/>
      <c r="D464" s="10"/>
      <c r="E464" s="10"/>
      <c r="F464" s="10"/>
      <c r="G464" s="10"/>
      <c r="H464" s="8"/>
      <c r="I464" s="14"/>
      <c r="J464" s="8" t="str">
        <f t="shared" si="14"/>
        <v>贷</v>
      </c>
      <c r="K464" s="41"/>
      <c r="L464" s="9"/>
    </row>
    <row r="465" spans="2:12" ht="20.100000000000001" customHeight="1" x14ac:dyDescent="0.15">
      <c r="B465" s="10"/>
      <c r="C465" s="10"/>
      <c r="D465" s="10"/>
      <c r="E465" s="10"/>
      <c r="F465" s="10"/>
      <c r="G465" s="10"/>
      <c r="H465" s="8"/>
      <c r="I465" s="14"/>
      <c r="J465" s="8" t="str">
        <f t="shared" si="14"/>
        <v>贷</v>
      </c>
      <c r="K465" s="41"/>
      <c r="L465" s="9"/>
    </row>
    <row r="466" spans="2:12" ht="20.100000000000001" customHeight="1" x14ac:dyDescent="0.15">
      <c r="B466" s="10"/>
      <c r="C466" s="10"/>
      <c r="D466" s="10"/>
      <c r="E466" s="10"/>
      <c r="F466" s="10"/>
      <c r="G466" s="10"/>
      <c r="H466" s="8"/>
      <c r="I466" s="14"/>
      <c r="J466" s="8" t="str">
        <f t="shared" si="14"/>
        <v>贷</v>
      </c>
      <c r="K466" s="41"/>
      <c r="L466" s="9"/>
    </row>
    <row r="467" spans="2:12" ht="20.100000000000001" customHeight="1" x14ac:dyDescent="0.15">
      <c r="B467" s="10"/>
      <c r="C467" s="10"/>
      <c r="D467" s="10"/>
      <c r="E467" s="10"/>
      <c r="F467" s="10"/>
      <c r="G467" s="10"/>
      <c r="H467" s="8"/>
      <c r="I467" s="14"/>
      <c r="J467" s="8" t="str">
        <f t="shared" si="14"/>
        <v>贷</v>
      </c>
      <c r="K467" s="41"/>
      <c r="L467" s="9"/>
    </row>
    <row r="468" spans="2:12" ht="20.100000000000001" customHeight="1" x14ac:dyDescent="0.15">
      <c r="B468" s="10"/>
      <c r="C468" s="10"/>
      <c r="D468" s="10"/>
      <c r="E468" s="10"/>
      <c r="F468" s="10"/>
      <c r="G468" s="10"/>
      <c r="H468" s="8"/>
      <c r="I468" s="14"/>
      <c r="J468" s="8" t="str">
        <f t="shared" si="14"/>
        <v>贷</v>
      </c>
      <c r="K468" s="41"/>
      <c r="L468" s="9"/>
    </row>
    <row r="469" spans="2:12" ht="20.100000000000001" customHeight="1" x14ac:dyDescent="0.15">
      <c r="B469" s="10"/>
      <c r="C469" s="10"/>
      <c r="D469" s="10"/>
      <c r="E469" s="10"/>
      <c r="F469" s="10"/>
      <c r="G469" s="10"/>
      <c r="H469" s="8"/>
      <c r="I469" s="14"/>
      <c r="J469" s="8" t="str">
        <f t="shared" si="14"/>
        <v>贷</v>
      </c>
      <c r="K469" s="41"/>
      <c r="L469" s="9"/>
    </row>
    <row r="470" spans="2:12" ht="20.100000000000001" customHeight="1" x14ac:dyDescent="0.15">
      <c r="B470" s="10"/>
      <c r="C470" s="10"/>
      <c r="D470" s="10"/>
      <c r="E470" s="10"/>
      <c r="F470" s="10"/>
      <c r="G470" s="10"/>
      <c r="H470" s="8"/>
      <c r="I470" s="14"/>
      <c r="J470" s="8" t="str">
        <f t="shared" si="14"/>
        <v>贷</v>
      </c>
      <c r="K470" s="41"/>
      <c r="L470" s="9"/>
    </row>
    <row r="471" spans="2:12" ht="20.100000000000001" customHeight="1" x14ac:dyDescent="0.15">
      <c r="B471" s="10"/>
      <c r="C471" s="10"/>
      <c r="D471" s="10"/>
      <c r="E471" s="10"/>
      <c r="F471" s="10"/>
      <c r="G471" s="10"/>
      <c r="H471" s="8"/>
      <c r="I471" s="14"/>
      <c r="J471" s="8" t="str">
        <f t="shared" si="14"/>
        <v>贷</v>
      </c>
      <c r="K471" s="41"/>
      <c r="L471" s="9"/>
    </row>
    <row r="472" spans="2:12" ht="20.100000000000001" customHeight="1" x14ac:dyDescent="0.15">
      <c r="B472" s="10"/>
      <c r="C472" s="10"/>
      <c r="D472" s="10"/>
      <c r="E472" s="10"/>
      <c r="F472" s="10"/>
      <c r="G472" s="10"/>
      <c r="H472" s="8"/>
      <c r="I472" s="14"/>
      <c r="J472" s="8" t="str">
        <f t="shared" si="14"/>
        <v>贷</v>
      </c>
      <c r="K472" s="41"/>
      <c r="L472" s="9"/>
    </row>
    <row r="473" spans="2:12" ht="20.100000000000001" customHeight="1" x14ac:dyDescent="0.15">
      <c r="B473" s="10"/>
      <c r="C473" s="10"/>
      <c r="D473" s="10"/>
      <c r="E473" s="10"/>
      <c r="F473" s="10"/>
      <c r="G473" s="10"/>
      <c r="H473" s="8"/>
      <c r="I473" s="14"/>
      <c r="J473" s="8" t="str">
        <f t="shared" si="14"/>
        <v>贷</v>
      </c>
      <c r="K473" s="41"/>
      <c r="L473" s="9"/>
    </row>
    <row r="474" spans="2:12" ht="20.100000000000001" customHeight="1" x14ac:dyDescent="0.15">
      <c r="B474" s="10"/>
      <c r="C474" s="10"/>
      <c r="D474" s="10"/>
      <c r="E474" s="10"/>
      <c r="F474" s="10"/>
      <c r="G474" s="10"/>
      <c r="H474" s="8"/>
      <c r="I474" s="14"/>
      <c r="J474" s="8" t="str">
        <f t="shared" si="14"/>
        <v>贷</v>
      </c>
      <c r="K474" s="41"/>
      <c r="L474" s="9"/>
    </row>
    <row r="475" spans="2:12" ht="20.100000000000001" customHeight="1" x14ac:dyDescent="0.15">
      <c r="B475" s="10"/>
      <c r="C475" s="10"/>
      <c r="D475" s="10"/>
      <c r="E475" s="10"/>
      <c r="F475" s="10"/>
      <c r="G475" s="10"/>
      <c r="H475" s="8"/>
      <c r="I475" s="14"/>
      <c r="J475" s="8" t="str">
        <f t="shared" si="14"/>
        <v>贷</v>
      </c>
      <c r="K475" s="41"/>
      <c r="L475" s="9"/>
    </row>
    <row r="476" spans="2:12" ht="20.100000000000001" customHeight="1" x14ac:dyDescent="0.15">
      <c r="B476" s="10"/>
      <c r="C476" s="10"/>
      <c r="D476" s="10"/>
      <c r="E476" s="10"/>
      <c r="F476" s="10"/>
      <c r="G476" s="10"/>
      <c r="H476" s="8"/>
      <c r="I476" s="14"/>
      <c r="J476" s="8" t="str">
        <f t="shared" si="14"/>
        <v>贷</v>
      </c>
      <c r="K476" s="41"/>
      <c r="L476" s="9"/>
    </row>
    <row r="477" spans="2:12" ht="20.100000000000001" customHeight="1" x14ac:dyDescent="0.15">
      <c r="B477" s="10"/>
      <c r="C477" s="10"/>
      <c r="D477" s="10"/>
      <c r="E477" s="10"/>
      <c r="F477" s="10"/>
      <c r="G477" s="10"/>
      <c r="H477" s="8"/>
      <c r="I477" s="14"/>
      <c r="J477" s="8" t="str">
        <f t="shared" si="14"/>
        <v>贷</v>
      </c>
      <c r="K477" s="41"/>
      <c r="L477" s="9"/>
    </row>
    <row r="478" spans="2:12" ht="20.100000000000001" customHeight="1" x14ac:dyDescent="0.15">
      <c r="B478" s="10"/>
      <c r="C478" s="10"/>
      <c r="D478" s="10"/>
      <c r="E478" s="10"/>
      <c r="F478" s="10"/>
      <c r="G478" s="10"/>
      <c r="H478" s="8"/>
      <c r="I478" s="14"/>
      <c r="J478" s="8" t="str">
        <f t="shared" si="14"/>
        <v>贷</v>
      </c>
      <c r="K478" s="41"/>
      <c r="L478" s="9"/>
    </row>
    <row r="479" spans="2:12" ht="20.100000000000001" customHeight="1" x14ac:dyDescent="0.15">
      <c r="B479" s="10"/>
      <c r="C479" s="10"/>
      <c r="D479" s="10"/>
      <c r="E479" s="10"/>
      <c r="F479" s="10"/>
      <c r="G479" s="10"/>
      <c r="H479" s="8"/>
      <c r="I479" s="14"/>
      <c r="J479" s="8" t="str">
        <f t="shared" si="14"/>
        <v>贷</v>
      </c>
      <c r="K479" s="41"/>
      <c r="L479" s="9"/>
    </row>
    <row r="480" spans="2:12" ht="20.100000000000001" customHeight="1" x14ac:dyDescent="0.15">
      <c r="B480" s="10"/>
      <c r="C480" s="10"/>
      <c r="D480" s="10"/>
      <c r="E480" s="10"/>
      <c r="F480" s="10"/>
      <c r="G480" s="10"/>
      <c r="H480" s="8"/>
      <c r="I480" s="14"/>
      <c r="J480" s="8" t="str">
        <f t="shared" si="14"/>
        <v>贷</v>
      </c>
      <c r="K480" s="41"/>
      <c r="L480" s="9"/>
    </row>
    <row r="481" spans="2:12" ht="20.100000000000001" customHeight="1" x14ac:dyDescent="0.15">
      <c r="B481" s="10"/>
      <c r="C481" s="10"/>
      <c r="D481" s="10"/>
      <c r="E481" s="10"/>
      <c r="F481" s="10"/>
      <c r="G481" s="10"/>
      <c r="H481" s="8"/>
      <c r="I481" s="14"/>
      <c r="J481" s="8" t="str">
        <f t="shared" si="14"/>
        <v>贷</v>
      </c>
      <c r="K481" s="41"/>
      <c r="L481" s="9"/>
    </row>
    <row r="482" spans="2:12" ht="20.100000000000001" customHeight="1" x14ac:dyDescent="0.15">
      <c r="B482" s="10"/>
      <c r="C482" s="10"/>
      <c r="D482" s="10"/>
      <c r="E482" s="10"/>
      <c r="F482" s="10"/>
      <c r="G482" s="10"/>
      <c r="H482" s="8"/>
      <c r="I482" s="14"/>
      <c r="J482" s="8" t="str">
        <f t="shared" si="14"/>
        <v>贷</v>
      </c>
      <c r="K482" s="41"/>
      <c r="L482" s="9"/>
    </row>
    <row r="483" spans="2:12" ht="20.100000000000001" customHeight="1" x14ac:dyDescent="0.15">
      <c r="B483" s="10"/>
      <c r="C483" s="10"/>
      <c r="D483" s="10"/>
      <c r="E483" s="10"/>
      <c r="F483" s="10"/>
      <c r="G483" s="10"/>
      <c r="H483" s="8"/>
      <c r="I483" s="14"/>
      <c r="J483" s="8" t="str">
        <f t="shared" si="14"/>
        <v>贷</v>
      </c>
      <c r="K483" s="41"/>
      <c r="L483" s="9"/>
    </row>
    <row r="484" spans="2:12" ht="20.100000000000001" customHeight="1" x14ac:dyDescent="0.15">
      <c r="B484" s="10"/>
      <c r="C484" s="10"/>
      <c r="D484" s="10"/>
      <c r="E484" s="10"/>
      <c r="F484" s="10"/>
      <c r="G484" s="10"/>
      <c r="H484" s="8"/>
      <c r="I484" s="14"/>
      <c r="J484" s="8" t="str">
        <f t="shared" si="14"/>
        <v>贷</v>
      </c>
      <c r="K484" s="41"/>
      <c r="L484" s="9"/>
    </row>
    <row r="485" spans="2:12" ht="20.100000000000001" customHeight="1" x14ac:dyDescent="0.15">
      <c r="B485" s="10"/>
      <c r="C485" s="10"/>
      <c r="D485" s="10"/>
      <c r="E485" s="10"/>
      <c r="F485" s="10"/>
      <c r="G485" s="10"/>
      <c r="H485" s="8"/>
      <c r="I485" s="14"/>
      <c r="J485" s="8" t="str">
        <f t="shared" si="14"/>
        <v>贷</v>
      </c>
      <c r="K485" s="41"/>
      <c r="L485" s="9"/>
    </row>
    <row r="486" spans="2:12" ht="20.100000000000001" customHeight="1" x14ac:dyDescent="0.15">
      <c r="B486" s="10"/>
      <c r="C486" s="10"/>
      <c r="D486" s="10"/>
      <c r="E486" s="10"/>
      <c r="F486" s="10"/>
      <c r="G486" s="10"/>
      <c r="H486" s="8"/>
      <c r="I486" s="14"/>
      <c r="J486" s="8" t="str">
        <f t="shared" si="14"/>
        <v>贷</v>
      </c>
      <c r="K486" s="41"/>
      <c r="L486" s="9"/>
    </row>
    <row r="487" spans="2:12" ht="20.100000000000001" customHeight="1" x14ac:dyDescent="0.15">
      <c r="B487" s="10"/>
      <c r="C487" s="10"/>
      <c r="D487" s="10"/>
      <c r="E487" s="10"/>
      <c r="F487" s="10"/>
      <c r="G487" s="10"/>
      <c r="H487" s="8"/>
      <c r="I487" s="14"/>
      <c r="J487" s="8" t="str">
        <f t="shared" si="14"/>
        <v>贷</v>
      </c>
      <c r="K487" s="41"/>
      <c r="L487" s="9"/>
    </row>
    <row r="488" spans="2:12" ht="20.100000000000001" customHeight="1" x14ac:dyDescent="0.15">
      <c r="B488" s="10"/>
      <c r="C488" s="10"/>
      <c r="D488" s="10"/>
      <c r="E488" s="10"/>
      <c r="F488" s="10"/>
      <c r="G488" s="10"/>
      <c r="H488" s="8"/>
      <c r="I488" s="14"/>
      <c r="J488" s="8" t="str">
        <f t="shared" si="14"/>
        <v>贷</v>
      </c>
      <c r="K488" s="41"/>
      <c r="L488" s="9"/>
    </row>
    <row r="489" spans="2:12" ht="20.100000000000001" customHeight="1" x14ac:dyDescent="0.15">
      <c r="B489" s="10"/>
      <c r="C489" s="10"/>
      <c r="D489" s="10"/>
      <c r="E489" s="10"/>
      <c r="F489" s="10"/>
      <c r="G489" s="10"/>
      <c r="H489" s="8"/>
      <c r="I489" s="14"/>
      <c r="J489" s="8" t="str">
        <f t="shared" si="14"/>
        <v>贷</v>
      </c>
      <c r="K489" s="41"/>
      <c r="L489" s="9"/>
    </row>
    <row r="490" spans="2:12" ht="20.100000000000001" customHeight="1" x14ac:dyDescent="0.15">
      <c r="B490" s="10"/>
      <c r="C490" s="10"/>
      <c r="D490" s="10"/>
      <c r="E490" s="10"/>
      <c r="F490" s="10"/>
      <c r="G490" s="10"/>
      <c r="H490" s="8"/>
      <c r="I490" s="14"/>
      <c r="J490" s="8" t="str">
        <f t="shared" si="14"/>
        <v>贷</v>
      </c>
      <c r="K490" s="41"/>
      <c r="L490" s="9"/>
    </row>
    <row r="491" spans="2:12" ht="20.100000000000001" customHeight="1" x14ac:dyDescent="0.15">
      <c r="B491" s="10"/>
      <c r="C491" s="10"/>
      <c r="D491" s="10"/>
      <c r="E491" s="10"/>
      <c r="F491" s="10"/>
      <c r="G491" s="10"/>
      <c r="H491" s="8"/>
      <c r="I491" s="14"/>
      <c r="J491" s="8" t="str">
        <f t="shared" si="14"/>
        <v>贷</v>
      </c>
      <c r="K491" s="41"/>
      <c r="L491" s="9"/>
    </row>
    <row r="492" spans="2:12" ht="20.100000000000001" customHeight="1" x14ac:dyDescent="0.15">
      <c r="B492" s="10"/>
      <c r="C492" s="10"/>
      <c r="D492" s="10"/>
      <c r="E492" s="10"/>
      <c r="F492" s="10"/>
      <c r="G492" s="10"/>
      <c r="H492" s="8"/>
      <c r="I492" s="14"/>
      <c r="J492" s="8" t="str">
        <f t="shared" si="14"/>
        <v>贷</v>
      </c>
      <c r="K492" s="41"/>
      <c r="L492" s="9"/>
    </row>
    <row r="493" spans="2:12" ht="20.100000000000001" customHeight="1" x14ac:dyDescent="0.15">
      <c r="B493" s="10"/>
      <c r="C493" s="10"/>
      <c r="D493" s="10"/>
      <c r="E493" s="10"/>
      <c r="F493" s="10"/>
      <c r="G493" s="10"/>
      <c r="H493" s="8"/>
      <c r="I493" s="14"/>
      <c r="J493" s="8" t="str">
        <f t="shared" si="14"/>
        <v>贷</v>
      </c>
      <c r="K493" s="41"/>
      <c r="L493" s="9"/>
    </row>
    <row r="494" spans="2:12" ht="20.100000000000001" customHeight="1" x14ac:dyDescent="0.15">
      <c r="B494" s="10"/>
      <c r="C494" s="10"/>
      <c r="D494" s="10"/>
      <c r="E494" s="10"/>
      <c r="F494" s="10"/>
      <c r="G494" s="10"/>
      <c r="H494" s="8"/>
      <c r="I494" s="14"/>
      <c r="J494" s="8" t="str">
        <f t="shared" si="14"/>
        <v>贷</v>
      </c>
      <c r="K494" s="41"/>
      <c r="L494" s="9"/>
    </row>
    <row r="495" spans="2:12" ht="20.100000000000001" customHeight="1" x14ac:dyDescent="0.15">
      <c r="B495" s="10"/>
      <c r="C495" s="10"/>
      <c r="D495" s="10"/>
      <c r="E495" s="10"/>
      <c r="F495" s="10"/>
      <c r="G495" s="10"/>
      <c r="H495" s="8"/>
      <c r="I495" s="14"/>
      <c r="J495" s="8" t="str">
        <f t="shared" si="14"/>
        <v>贷</v>
      </c>
      <c r="K495" s="41"/>
      <c r="L495" s="9"/>
    </row>
    <row r="496" spans="2:12" ht="20.100000000000001" customHeight="1" x14ac:dyDescent="0.15">
      <c r="B496" s="10"/>
      <c r="C496" s="10"/>
      <c r="D496" s="10"/>
      <c r="E496" s="10"/>
      <c r="F496" s="10"/>
      <c r="G496" s="10"/>
      <c r="H496" s="8"/>
      <c r="I496" s="14"/>
      <c r="J496" s="8" t="str">
        <f t="shared" si="14"/>
        <v>贷</v>
      </c>
      <c r="K496" s="41"/>
      <c r="L496" s="9"/>
    </row>
    <row r="497" spans="2:12" ht="20.100000000000001" customHeight="1" x14ac:dyDescent="0.15">
      <c r="B497" s="10"/>
      <c r="C497" s="10"/>
      <c r="D497" s="10"/>
      <c r="E497" s="10"/>
      <c r="F497" s="10"/>
      <c r="G497" s="10"/>
      <c r="H497" s="8"/>
      <c r="I497" s="14"/>
      <c r="J497" s="8" t="str">
        <f t="shared" si="14"/>
        <v>贷</v>
      </c>
      <c r="K497" s="41"/>
      <c r="L497" s="9"/>
    </row>
    <row r="498" spans="2:12" ht="20.100000000000001" customHeight="1" x14ac:dyDescent="0.15">
      <c r="B498" s="10"/>
      <c r="C498" s="10"/>
      <c r="D498" s="10"/>
      <c r="E498" s="10"/>
      <c r="F498" s="10"/>
      <c r="G498" s="10"/>
      <c r="H498" s="8"/>
      <c r="I498" s="14"/>
      <c r="J498" s="8" t="str">
        <f t="shared" si="14"/>
        <v>贷</v>
      </c>
      <c r="K498" s="41"/>
      <c r="L498" s="9"/>
    </row>
    <row r="499" spans="2:12" ht="20.100000000000001" customHeight="1" x14ac:dyDescent="0.15">
      <c r="B499" s="10"/>
      <c r="C499" s="10"/>
      <c r="D499" s="10"/>
      <c r="E499" s="10"/>
      <c r="F499" s="10"/>
      <c r="G499" s="10"/>
      <c r="H499" s="8"/>
      <c r="I499" s="14"/>
      <c r="J499" s="8" t="str">
        <f t="shared" si="14"/>
        <v>贷</v>
      </c>
      <c r="K499" s="41"/>
      <c r="L499" s="9"/>
    </row>
    <row r="500" spans="2:12" ht="20.100000000000001" customHeight="1" x14ac:dyDescent="0.15">
      <c r="B500" s="10"/>
      <c r="C500" s="10"/>
      <c r="D500" s="10"/>
      <c r="E500" s="10"/>
      <c r="F500" s="10"/>
      <c r="G500" s="10"/>
      <c r="H500" s="8"/>
      <c r="I500" s="14"/>
      <c r="J500" s="8" t="str">
        <f t="shared" si="14"/>
        <v>贷</v>
      </c>
      <c r="K500" s="41"/>
      <c r="L500" s="9"/>
    </row>
    <row r="501" spans="2:12" ht="20.100000000000001" customHeight="1" x14ac:dyDescent="0.15">
      <c r="B501" s="10"/>
      <c r="C501" s="10"/>
      <c r="D501" s="10"/>
      <c r="E501" s="10"/>
      <c r="F501" s="10"/>
      <c r="G501" s="10"/>
      <c r="H501" s="8"/>
      <c r="I501" s="14"/>
      <c r="J501" s="8" t="str">
        <f t="shared" si="14"/>
        <v>贷</v>
      </c>
      <c r="K501" s="41"/>
      <c r="L501" s="9"/>
    </row>
    <row r="502" spans="2:12" ht="20.100000000000001" customHeight="1" x14ac:dyDescent="0.15">
      <c r="B502" s="10"/>
      <c r="C502" s="10"/>
      <c r="D502" s="10"/>
      <c r="E502" s="10"/>
      <c r="F502" s="10"/>
      <c r="G502" s="10"/>
      <c r="H502" s="8"/>
      <c r="I502" s="14"/>
      <c r="J502" s="8" t="str">
        <f t="shared" si="14"/>
        <v>贷</v>
      </c>
      <c r="K502" s="41"/>
      <c r="L502" s="9"/>
    </row>
    <row r="503" spans="2:12" ht="20.100000000000001" customHeight="1" x14ac:dyDescent="0.15">
      <c r="B503" s="10"/>
      <c r="C503" s="10"/>
      <c r="D503" s="10"/>
      <c r="E503" s="10"/>
      <c r="F503" s="10"/>
      <c r="G503" s="10"/>
      <c r="H503" s="8"/>
      <c r="I503" s="14"/>
      <c r="J503" s="8" t="str">
        <f t="shared" si="14"/>
        <v>贷</v>
      </c>
      <c r="K503" s="41"/>
      <c r="L503" s="9"/>
    </row>
    <row r="504" spans="2:12" ht="20.100000000000001" customHeight="1" x14ac:dyDescent="0.15">
      <c r="B504" s="10"/>
      <c r="C504" s="10"/>
      <c r="D504" s="10"/>
      <c r="E504" s="10"/>
      <c r="F504" s="10"/>
      <c r="G504" s="10"/>
      <c r="H504" s="8"/>
      <c r="I504" s="14"/>
      <c r="J504" s="8" t="str">
        <f t="shared" si="14"/>
        <v>贷</v>
      </c>
      <c r="K504" s="41"/>
      <c r="L504" s="9"/>
    </row>
  </sheetData>
  <autoFilter ref="A3:O504" xr:uid="{00000000-0009-0000-0000-00000B000000}"/>
  <mergeCells count="14">
    <mergeCell ref="A1:K1"/>
    <mergeCell ref="M11:M12"/>
    <mergeCell ref="M25:M27"/>
    <mergeCell ref="M33:M35"/>
    <mergeCell ref="M103:M105"/>
    <mergeCell ref="M221:M222"/>
    <mergeCell ref="M261:M262"/>
    <mergeCell ref="M275:M276"/>
    <mergeCell ref="N229:N230"/>
    <mergeCell ref="M121:M122"/>
    <mergeCell ref="M148:M150"/>
    <mergeCell ref="M159:M160"/>
    <mergeCell ref="M164:M166"/>
    <mergeCell ref="M183:M184"/>
  </mergeCells>
  <phoneticPr fontId="21" type="noConversion"/>
  <dataValidations count="1">
    <dataValidation type="list" allowBlank="1" showInputMessage="1" showErrorMessage="1" sqref="A1:L1 G4:G1048576" xr:uid="{00000000-0002-0000-0B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98"/>
  <sheetViews>
    <sheetView workbookViewId="0">
      <selection activeCell="G18" sqref="G1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3.1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  <c r="L1" s="2"/>
    </row>
    <row r="2" spans="1:13" ht="20.100000000000001" customHeight="1" x14ac:dyDescent="0.15">
      <c r="A2" t="s">
        <v>66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SUM(H5:H180001)</f>
        <v>10000</v>
      </c>
      <c r="I3" s="4">
        <f>SUM(I5:I180001)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11" t="s">
        <v>40</v>
      </c>
      <c r="E6" s="10"/>
      <c r="F6" s="10" t="s">
        <v>41</v>
      </c>
      <c r="G6" s="7" t="s">
        <v>42</v>
      </c>
      <c r="H6" s="8">
        <v>10000</v>
      </c>
      <c r="I6" s="8"/>
      <c r="J6" s="8" t="str">
        <f t="shared" ref="J6:J67" si="0">IF((K5+H6-I6)&gt;0,"借","贷")</f>
        <v>借</v>
      </c>
      <c r="K6" s="9">
        <f t="shared" ref="K6:K67" si="1">K5+H6-I6</f>
        <v>11000</v>
      </c>
      <c r="L6" s="28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  <c r="L7" s="28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7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10">
        <v>5</v>
      </c>
      <c r="D9" s="11" t="s">
        <v>48</v>
      </c>
      <c r="E9" s="10"/>
      <c r="F9" s="8" t="s">
        <v>49</v>
      </c>
      <c r="G9" s="7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10"/>
      <c r="D10" s="10"/>
      <c r="E10" s="10"/>
      <c r="F10" s="8"/>
      <c r="G10" s="7"/>
      <c r="H10" s="8"/>
      <c r="I10" s="8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11"/>
      <c r="E11" s="10"/>
      <c r="F11" s="8"/>
      <c r="G11" s="7"/>
      <c r="H11" s="8"/>
      <c r="I11" s="8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7"/>
      <c r="H12" s="8"/>
      <c r="I12" s="8"/>
      <c r="J12" s="8" t="str">
        <f t="shared" si="0"/>
        <v>借</v>
      </c>
      <c r="K12" s="9">
        <f t="shared" si="1"/>
        <v>890</v>
      </c>
      <c r="L12" s="28"/>
    </row>
    <row r="13" spans="1:13" ht="20.100000000000001" customHeight="1" x14ac:dyDescent="0.15">
      <c r="A13" s="5"/>
      <c r="B13" s="5"/>
      <c r="C13" s="5"/>
      <c r="D13" s="7"/>
      <c r="E13" s="7"/>
      <c r="F13" s="7"/>
      <c r="G13" s="7"/>
      <c r="H13" s="8"/>
      <c r="I13" s="14"/>
      <c r="J13" s="8" t="str">
        <f t="shared" si="0"/>
        <v>借</v>
      </c>
      <c r="K13" s="9">
        <f t="shared" si="1"/>
        <v>890</v>
      </c>
      <c r="L13" s="28"/>
    </row>
    <row r="14" spans="1:13" ht="20.100000000000001" customHeight="1" x14ac:dyDescent="0.15">
      <c r="A14" s="5"/>
      <c r="B14" s="5"/>
      <c r="C14" s="5"/>
      <c r="D14" s="7"/>
      <c r="E14" s="7"/>
      <c r="F14" s="7"/>
      <c r="G14" s="7"/>
      <c r="H14" s="8"/>
      <c r="I14" s="14"/>
      <c r="J14" s="8" t="str">
        <f t="shared" si="0"/>
        <v>借</v>
      </c>
      <c r="K14" s="9">
        <f t="shared" si="1"/>
        <v>890</v>
      </c>
      <c r="L14" s="28"/>
      <c r="M14" s="65"/>
    </row>
    <row r="15" spans="1:13" ht="20.100000000000001" customHeight="1" x14ac:dyDescent="0.15">
      <c r="A15" s="5"/>
      <c r="B15" s="5"/>
      <c r="C15" s="5"/>
      <c r="D15" s="7"/>
      <c r="E15" s="7"/>
      <c r="F15" s="7"/>
      <c r="G15" s="7"/>
      <c r="H15" s="8"/>
      <c r="I15" s="14"/>
      <c r="J15" s="8" t="str">
        <f t="shared" si="0"/>
        <v>借</v>
      </c>
      <c r="K15" s="9">
        <f t="shared" si="1"/>
        <v>890</v>
      </c>
      <c r="L15" s="28"/>
      <c r="M15" s="65"/>
    </row>
    <row r="16" spans="1:13" ht="20.100000000000001" customHeight="1" x14ac:dyDescent="0.15">
      <c r="A16" s="5"/>
      <c r="B16" s="5"/>
      <c r="C16" s="5"/>
      <c r="D16" s="7"/>
      <c r="E16" s="10"/>
      <c r="F16" s="7"/>
      <c r="G16" s="7"/>
      <c r="H16" s="8"/>
      <c r="I16" s="8"/>
      <c r="J16" s="8" t="str">
        <f t="shared" si="0"/>
        <v>借</v>
      </c>
      <c r="K16" s="9">
        <f t="shared" si="1"/>
        <v>890</v>
      </c>
      <c r="L16" s="28"/>
      <c r="M16" s="65"/>
    </row>
    <row r="17" spans="1:13" ht="20.100000000000001" customHeight="1" x14ac:dyDescent="0.15">
      <c r="A17" s="5"/>
      <c r="B17" s="5"/>
      <c r="C17" s="5"/>
      <c r="D17" s="7"/>
      <c r="E17" s="10"/>
      <c r="F17" s="10"/>
      <c r="G17" s="7"/>
      <c r="H17" s="8"/>
      <c r="I17" s="8"/>
      <c r="J17" s="8" t="str">
        <f t="shared" si="0"/>
        <v>借</v>
      </c>
      <c r="K17" s="9">
        <f t="shared" si="1"/>
        <v>890</v>
      </c>
      <c r="L17" s="28"/>
      <c r="M17" s="65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7"/>
      <c r="H18" s="8"/>
      <c r="I18" s="8"/>
      <c r="J18" s="8" t="str">
        <f t="shared" si="0"/>
        <v>借</v>
      </c>
      <c r="K18" s="9">
        <f t="shared" si="1"/>
        <v>890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7"/>
      <c r="H19" s="8"/>
      <c r="I19" s="8"/>
      <c r="J19" s="8" t="str">
        <f t="shared" si="0"/>
        <v>借</v>
      </c>
      <c r="K19" s="9">
        <f t="shared" si="1"/>
        <v>890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7"/>
      <c r="G20" s="7"/>
      <c r="H20" s="8"/>
      <c r="I20" s="8"/>
      <c r="J20" s="8" t="str">
        <f t="shared" si="0"/>
        <v>借</v>
      </c>
      <c r="K20" s="9">
        <f t="shared" si="1"/>
        <v>890</v>
      </c>
      <c r="L20" s="28"/>
    </row>
    <row r="21" spans="1:13" ht="20.100000000000001" customHeight="1" x14ac:dyDescent="0.15">
      <c r="A21" s="5"/>
      <c r="B21" s="5"/>
      <c r="C21" s="5"/>
      <c r="D21" s="11"/>
      <c r="E21" s="10"/>
      <c r="F21" s="8"/>
      <c r="G21" s="7"/>
      <c r="H21" s="8"/>
      <c r="I21" s="8"/>
      <c r="J21" s="8" t="str">
        <f t="shared" si="0"/>
        <v>借</v>
      </c>
      <c r="K21" s="9">
        <f t="shared" si="1"/>
        <v>890</v>
      </c>
      <c r="L21" s="28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7"/>
      <c r="H22" s="8"/>
      <c r="I22" s="8"/>
      <c r="J22" s="8" t="str">
        <f t="shared" si="0"/>
        <v>借</v>
      </c>
      <c r="K22" s="9">
        <f t="shared" si="1"/>
        <v>890</v>
      </c>
      <c r="L22" s="28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7"/>
      <c r="H23" s="8"/>
      <c r="I23" s="8"/>
      <c r="J23" s="8" t="str">
        <f t="shared" si="0"/>
        <v>借</v>
      </c>
      <c r="K23" s="9">
        <f t="shared" si="1"/>
        <v>890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7"/>
      <c r="H24" s="8"/>
      <c r="I24" s="8"/>
      <c r="J24" s="8" t="str">
        <f t="shared" si="0"/>
        <v>借</v>
      </c>
      <c r="K24" s="9">
        <f t="shared" si="1"/>
        <v>890</v>
      </c>
      <c r="L24" s="28"/>
    </row>
    <row r="25" spans="1:13" ht="20.100000000000001" customHeight="1" x14ac:dyDescent="0.15">
      <c r="A25" s="5"/>
      <c r="B25" s="5"/>
      <c r="C25" s="10"/>
      <c r="D25" s="10"/>
      <c r="E25" s="10"/>
      <c r="F25" s="8"/>
      <c r="G25" s="7"/>
      <c r="H25" s="8"/>
      <c r="I25" s="8"/>
      <c r="J25" s="8" t="str">
        <f t="shared" si="0"/>
        <v>借</v>
      </c>
      <c r="K25" s="9">
        <f t="shared" si="1"/>
        <v>890</v>
      </c>
      <c r="L25" s="28"/>
    </row>
    <row r="26" spans="1:13" ht="20.100000000000001" customHeight="1" x14ac:dyDescent="0.15">
      <c r="A26" s="5"/>
      <c r="B26" s="5"/>
      <c r="C26" s="10"/>
      <c r="D26" s="11"/>
      <c r="E26" s="10"/>
      <c r="F26" s="8"/>
      <c r="G26" s="7"/>
      <c r="H26" s="8"/>
      <c r="I26" s="8"/>
      <c r="J26" s="8" t="str">
        <f t="shared" si="0"/>
        <v>借</v>
      </c>
      <c r="K26" s="9">
        <f t="shared" si="1"/>
        <v>890</v>
      </c>
      <c r="L26" s="28"/>
    </row>
    <row r="27" spans="1:13" ht="18" customHeight="1" x14ac:dyDescent="0.15">
      <c r="A27" s="5"/>
      <c r="B27" s="5"/>
      <c r="C27" s="10"/>
      <c r="D27" s="7"/>
      <c r="E27" s="7"/>
      <c r="F27" s="7"/>
      <c r="G27" s="7"/>
      <c r="H27" s="8"/>
      <c r="I27" s="14"/>
      <c r="J27" s="8" t="str">
        <f t="shared" si="0"/>
        <v>借</v>
      </c>
      <c r="K27" s="9">
        <f t="shared" si="1"/>
        <v>890</v>
      </c>
      <c r="L27" s="28"/>
    </row>
    <row r="28" spans="1:13" ht="20.100000000000001" customHeight="1" x14ac:dyDescent="0.15">
      <c r="A28" s="5"/>
      <c r="B28" s="5"/>
      <c r="C28" s="10"/>
      <c r="D28" s="11"/>
      <c r="E28" s="7"/>
      <c r="F28" s="8"/>
      <c r="G28" s="7"/>
      <c r="H28" s="8"/>
      <c r="I28" s="14"/>
      <c r="J28" s="8" t="str">
        <f t="shared" si="0"/>
        <v>借</v>
      </c>
      <c r="K28" s="9">
        <f t="shared" si="1"/>
        <v>890</v>
      </c>
      <c r="L28" s="28"/>
    </row>
    <row r="29" spans="1:13" ht="20.100000000000001" customHeight="1" x14ac:dyDescent="0.15">
      <c r="A29" s="5"/>
      <c r="B29" s="5"/>
      <c r="C29" s="10"/>
      <c r="D29" s="11"/>
      <c r="E29" s="7"/>
      <c r="F29" s="8"/>
      <c r="G29" s="7"/>
      <c r="H29" s="8"/>
      <c r="I29" s="14"/>
      <c r="J29" s="8" t="str">
        <f t="shared" si="0"/>
        <v>借</v>
      </c>
      <c r="K29" s="9">
        <f t="shared" si="1"/>
        <v>890</v>
      </c>
      <c r="L29" s="28"/>
    </row>
    <row r="30" spans="1:13" ht="20.100000000000001" customHeight="1" x14ac:dyDescent="0.15">
      <c r="A30" s="5"/>
      <c r="B30" s="5"/>
      <c r="C30" s="10"/>
      <c r="D30" s="11"/>
      <c r="E30" s="10"/>
      <c r="F30" s="8"/>
      <c r="G30" s="7"/>
      <c r="H30" s="8"/>
      <c r="I30" s="8"/>
      <c r="J30" s="8" t="str">
        <f t="shared" si="0"/>
        <v>借</v>
      </c>
      <c r="K30" s="9">
        <f t="shared" si="1"/>
        <v>890</v>
      </c>
      <c r="L30" s="28"/>
    </row>
    <row r="31" spans="1:13" ht="20.100000000000001" customHeight="1" x14ac:dyDescent="0.15">
      <c r="A31" s="5"/>
      <c r="B31" s="5"/>
      <c r="C31" s="10"/>
      <c r="D31" s="7"/>
      <c r="E31" s="7"/>
      <c r="F31" s="7"/>
      <c r="G31" s="7"/>
      <c r="H31" s="8"/>
      <c r="I31" s="14"/>
      <c r="J31" s="8" t="str">
        <f t="shared" si="0"/>
        <v>借</v>
      </c>
      <c r="K31" s="9">
        <f t="shared" si="1"/>
        <v>890</v>
      </c>
      <c r="L31" s="28"/>
      <c r="M31" s="65"/>
    </row>
    <row r="32" spans="1:13" ht="20.100000000000001" customHeight="1" x14ac:dyDescent="0.15">
      <c r="A32" s="5"/>
      <c r="B32" s="5"/>
      <c r="C32" s="10"/>
      <c r="D32" s="7"/>
      <c r="E32" s="7"/>
      <c r="F32" s="7"/>
      <c r="G32" s="7"/>
      <c r="H32" s="8"/>
      <c r="I32" s="14"/>
      <c r="J32" s="8" t="str">
        <f t="shared" si="0"/>
        <v>借</v>
      </c>
      <c r="K32" s="9">
        <f t="shared" si="1"/>
        <v>890</v>
      </c>
      <c r="L32" s="28"/>
      <c r="M32" s="65"/>
    </row>
    <row r="33" spans="1:13" ht="20.100000000000001" customHeight="1" x14ac:dyDescent="0.15">
      <c r="A33" s="5"/>
      <c r="B33" s="5"/>
      <c r="C33" s="10"/>
      <c r="D33" s="7"/>
      <c r="E33" s="10"/>
      <c r="F33" s="7"/>
      <c r="G33" s="7"/>
      <c r="H33" s="8"/>
      <c r="I33" s="8"/>
      <c r="J33" s="8" t="str">
        <f t="shared" si="0"/>
        <v>借</v>
      </c>
      <c r="K33" s="9">
        <f t="shared" si="1"/>
        <v>890</v>
      </c>
      <c r="L33" s="28"/>
      <c r="M33" s="65"/>
    </row>
    <row r="34" spans="1:13" ht="20.100000000000001" customHeight="1" x14ac:dyDescent="0.15">
      <c r="A34" s="5"/>
      <c r="B34" s="5"/>
      <c r="C34" s="10"/>
      <c r="D34" s="7"/>
      <c r="E34" s="10"/>
      <c r="F34" s="10"/>
      <c r="G34" s="7"/>
      <c r="H34" s="8"/>
      <c r="I34" s="8"/>
      <c r="J34" s="8" t="str">
        <f t="shared" si="0"/>
        <v>借</v>
      </c>
      <c r="K34" s="9">
        <f t="shared" si="1"/>
        <v>890</v>
      </c>
      <c r="L34" s="28"/>
      <c r="M34" s="65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7"/>
      <c r="H35" s="8"/>
      <c r="I35" s="8"/>
      <c r="J35" s="8" t="str">
        <f t="shared" si="0"/>
        <v>借</v>
      </c>
      <c r="K35" s="9">
        <f t="shared" si="1"/>
        <v>890</v>
      </c>
      <c r="L35" s="28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7"/>
      <c r="H36" s="8"/>
      <c r="I36" s="8"/>
      <c r="J36" s="8" t="str">
        <f t="shared" si="0"/>
        <v>借</v>
      </c>
      <c r="K36" s="9">
        <f t="shared" si="1"/>
        <v>890</v>
      </c>
      <c r="L36" s="28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7"/>
      <c r="H37" s="8"/>
      <c r="I37" s="8"/>
      <c r="J37" s="8" t="str">
        <f t="shared" si="0"/>
        <v>借</v>
      </c>
      <c r="K37" s="9">
        <f t="shared" si="1"/>
        <v>890</v>
      </c>
      <c r="L37" s="28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7"/>
      <c r="H38" s="8"/>
      <c r="I38" s="8"/>
      <c r="J38" s="8" t="str">
        <f t="shared" si="0"/>
        <v>借</v>
      </c>
      <c r="K38" s="9">
        <f t="shared" si="1"/>
        <v>890</v>
      </c>
      <c r="L38" s="28"/>
      <c r="M38" s="71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7"/>
      <c r="H39" s="8"/>
      <c r="I39" s="8"/>
      <c r="J39" s="8" t="str">
        <f t="shared" si="0"/>
        <v>借</v>
      </c>
      <c r="K39" s="9">
        <f t="shared" si="1"/>
        <v>890</v>
      </c>
      <c r="L39" s="28"/>
      <c r="M39" s="71"/>
    </row>
    <row r="40" spans="1:13" ht="20.100000000000001" customHeight="1" x14ac:dyDescent="0.15">
      <c r="A40" s="5"/>
      <c r="B40" s="5"/>
      <c r="C40" s="10"/>
      <c r="D40" s="10"/>
      <c r="E40" s="10"/>
      <c r="F40" s="8"/>
      <c r="G40" s="7"/>
      <c r="H40" s="8"/>
      <c r="I40" s="8"/>
      <c r="J40" s="8" t="str">
        <f t="shared" si="0"/>
        <v>借</v>
      </c>
      <c r="K40" s="9">
        <f t="shared" si="1"/>
        <v>890</v>
      </c>
      <c r="L40" s="28"/>
    </row>
    <row r="41" spans="1:13" ht="20.100000000000001" customHeight="1" x14ac:dyDescent="0.15">
      <c r="A41" s="5"/>
      <c r="B41" s="5"/>
      <c r="C41" s="10"/>
      <c r="D41" s="11"/>
      <c r="E41" s="10"/>
      <c r="F41" s="8"/>
      <c r="G41" s="7"/>
      <c r="H41" s="8"/>
      <c r="I41" s="8"/>
      <c r="J41" s="8" t="str">
        <f t="shared" si="0"/>
        <v>借</v>
      </c>
      <c r="K41" s="9">
        <f t="shared" si="1"/>
        <v>890</v>
      </c>
      <c r="L41" s="28"/>
    </row>
    <row r="42" spans="1:13" ht="20.100000000000001" customHeight="1" x14ac:dyDescent="0.15">
      <c r="A42" s="5"/>
      <c r="B42" s="5"/>
      <c r="C42" s="10"/>
      <c r="D42" s="7"/>
      <c r="E42" s="7"/>
      <c r="F42" s="7"/>
      <c r="G42" s="7"/>
      <c r="H42" s="8"/>
      <c r="I42" s="8"/>
      <c r="J42" s="8" t="str">
        <f t="shared" si="0"/>
        <v>借</v>
      </c>
      <c r="K42" s="9">
        <f t="shared" si="1"/>
        <v>890</v>
      </c>
      <c r="L42" s="28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7"/>
      <c r="H43" s="8"/>
      <c r="I43" s="8"/>
      <c r="J43" s="8" t="str">
        <f t="shared" si="0"/>
        <v>借</v>
      </c>
      <c r="K43" s="9">
        <f t="shared" si="1"/>
        <v>890</v>
      </c>
      <c r="L43" s="28"/>
    </row>
    <row r="44" spans="1:13" ht="20.100000000000001" customHeight="1" x14ac:dyDescent="0.15">
      <c r="A44" s="5"/>
      <c r="B44" s="5"/>
      <c r="C44" s="10"/>
      <c r="D44" s="7"/>
      <c r="E44" s="7"/>
      <c r="F44" s="7"/>
      <c r="G44" s="7"/>
      <c r="H44" s="8"/>
      <c r="I44" s="14"/>
      <c r="J44" s="8" t="str">
        <f t="shared" si="0"/>
        <v>借</v>
      </c>
      <c r="K44" s="9">
        <f t="shared" si="1"/>
        <v>890</v>
      </c>
      <c r="L44" s="28"/>
      <c r="M44" s="65"/>
    </row>
    <row r="45" spans="1:13" ht="20.100000000000001" customHeight="1" x14ac:dyDescent="0.15">
      <c r="A45" s="5"/>
      <c r="B45" s="5"/>
      <c r="C45" s="10"/>
      <c r="D45" s="7"/>
      <c r="E45" s="7"/>
      <c r="F45" s="7"/>
      <c r="G45" s="7"/>
      <c r="H45" s="8"/>
      <c r="I45" s="14"/>
      <c r="J45" s="8" t="str">
        <f t="shared" si="0"/>
        <v>借</v>
      </c>
      <c r="K45" s="9">
        <f t="shared" si="1"/>
        <v>890</v>
      </c>
      <c r="L45" s="28"/>
      <c r="M45" s="65"/>
    </row>
    <row r="46" spans="1:13" ht="20.100000000000001" customHeight="1" x14ac:dyDescent="0.15">
      <c r="A46" s="5"/>
      <c r="B46" s="5"/>
      <c r="C46" s="10"/>
      <c r="D46" s="7"/>
      <c r="E46" s="10"/>
      <c r="F46" s="7"/>
      <c r="G46" s="7"/>
      <c r="H46" s="8"/>
      <c r="I46" s="8"/>
      <c r="J46" s="8" t="str">
        <f t="shared" si="0"/>
        <v>借</v>
      </c>
      <c r="K46" s="9">
        <f t="shared" si="1"/>
        <v>890</v>
      </c>
      <c r="L46" s="28"/>
      <c r="M46" s="65"/>
    </row>
    <row r="47" spans="1:13" ht="20.100000000000001" customHeight="1" x14ac:dyDescent="0.15">
      <c r="A47" s="5"/>
      <c r="B47" s="5"/>
      <c r="C47" s="10"/>
      <c r="D47" s="7"/>
      <c r="E47" s="10"/>
      <c r="F47" s="10"/>
      <c r="G47" s="7"/>
      <c r="H47" s="8"/>
      <c r="I47" s="8"/>
      <c r="J47" s="8" t="str">
        <f t="shared" si="0"/>
        <v>借</v>
      </c>
      <c r="K47" s="9">
        <f t="shared" si="1"/>
        <v>890</v>
      </c>
      <c r="L47" s="28"/>
      <c r="M47" s="65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7"/>
      <c r="H49" s="8"/>
      <c r="I49" s="8"/>
      <c r="J49" s="8" t="str">
        <f t="shared" si="0"/>
        <v>借</v>
      </c>
      <c r="K49" s="9">
        <f t="shared" si="1"/>
        <v>890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7"/>
      <c r="H50" s="8"/>
      <c r="I50" s="8"/>
      <c r="J50" s="8" t="str">
        <f t="shared" si="0"/>
        <v>借</v>
      </c>
      <c r="K50" s="9">
        <f t="shared" si="1"/>
        <v>890</v>
      </c>
      <c r="L50" s="28"/>
    </row>
    <row r="51" spans="1:13" ht="20.100000000000001" customHeight="1" x14ac:dyDescent="0.15">
      <c r="A51" s="5"/>
      <c r="B51" s="5"/>
      <c r="C51" s="10"/>
      <c r="D51" s="11"/>
      <c r="E51" s="10"/>
      <c r="F51" s="10"/>
      <c r="G51" s="7"/>
      <c r="H51" s="8"/>
      <c r="I51" s="8"/>
      <c r="J51" s="8" t="str">
        <f t="shared" si="0"/>
        <v>借</v>
      </c>
      <c r="K51" s="9">
        <f t="shared" si="1"/>
        <v>890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7"/>
      <c r="H52" s="8"/>
      <c r="I52" s="8"/>
      <c r="J52" s="8" t="str">
        <f t="shared" si="0"/>
        <v>借</v>
      </c>
      <c r="K52" s="9">
        <f t="shared" si="1"/>
        <v>890</v>
      </c>
      <c r="L52" s="28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7"/>
      <c r="H53" s="8"/>
      <c r="I53" s="8"/>
      <c r="J53" s="8" t="str">
        <f t="shared" si="0"/>
        <v>借</v>
      </c>
      <c r="K53" s="9">
        <f t="shared" si="1"/>
        <v>890</v>
      </c>
      <c r="L53" s="28"/>
      <c r="M53" s="65"/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7"/>
      <c r="H54" s="8"/>
      <c r="I54" s="8"/>
      <c r="J54" s="8" t="str">
        <f t="shared" si="0"/>
        <v>借</v>
      </c>
      <c r="K54" s="9">
        <f t="shared" si="1"/>
        <v>890</v>
      </c>
      <c r="L54" s="28"/>
      <c r="M54" s="65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L55" s="28"/>
      <c r="M55" s="65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7"/>
      <c r="H56" s="8"/>
      <c r="I56" s="8"/>
      <c r="J56" s="8" t="str">
        <f t="shared" si="0"/>
        <v>借</v>
      </c>
      <c r="K56" s="9">
        <f t="shared" si="1"/>
        <v>890</v>
      </c>
      <c r="L56" s="28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L57" s="28"/>
    </row>
    <row r="58" spans="1:13" ht="20.100000000000001" customHeight="1" x14ac:dyDescent="0.15">
      <c r="A58" s="10"/>
      <c r="B58" s="5"/>
      <c r="C58" s="10"/>
      <c r="D58" s="10"/>
      <c r="E58" s="10"/>
      <c r="F58" s="8"/>
      <c r="G58" s="7"/>
      <c r="H58" s="8"/>
      <c r="I58" s="8"/>
      <c r="J58" s="8" t="str">
        <f t="shared" si="0"/>
        <v>借</v>
      </c>
      <c r="K58" s="9">
        <f t="shared" si="1"/>
        <v>890</v>
      </c>
      <c r="L58" s="28"/>
    </row>
    <row r="59" spans="1:13" ht="20.100000000000001" customHeight="1" x14ac:dyDescent="0.15">
      <c r="A59" s="10"/>
      <c r="B59" s="5"/>
      <c r="C59" s="10"/>
      <c r="D59" s="11"/>
      <c r="E59" s="10"/>
      <c r="F59" s="8"/>
      <c r="G59" s="7"/>
      <c r="H59" s="8"/>
      <c r="I59" s="8"/>
      <c r="J59" s="8" t="str">
        <f t="shared" si="0"/>
        <v>借</v>
      </c>
      <c r="K59" s="9">
        <f t="shared" si="1"/>
        <v>890</v>
      </c>
      <c r="L59" s="28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7"/>
      <c r="H60" s="8"/>
      <c r="I60" s="8"/>
      <c r="J60" s="8" t="str">
        <f t="shared" si="0"/>
        <v>借</v>
      </c>
      <c r="K60" s="9">
        <f t="shared" si="1"/>
        <v>890</v>
      </c>
      <c r="L60" s="28"/>
    </row>
    <row r="61" spans="1:13" ht="20.100000000000001" customHeight="1" x14ac:dyDescent="0.15">
      <c r="A61" s="5"/>
      <c r="B61" s="5"/>
      <c r="C61" s="10"/>
      <c r="D61" s="10"/>
      <c r="E61" s="10"/>
      <c r="F61" s="10"/>
      <c r="G61" s="7"/>
      <c r="H61" s="8"/>
      <c r="I61" s="8"/>
      <c r="J61" s="8" t="str">
        <f t="shared" si="0"/>
        <v>借</v>
      </c>
      <c r="K61" s="9">
        <f t="shared" si="1"/>
        <v>890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7"/>
      <c r="H62" s="8"/>
      <c r="I62" s="8"/>
      <c r="J62" s="8" t="str">
        <f t="shared" si="0"/>
        <v>借</v>
      </c>
      <c r="K62" s="9">
        <f t="shared" si="1"/>
        <v>890</v>
      </c>
      <c r="L62" s="28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7"/>
      <c r="H63" s="8"/>
      <c r="I63" s="8"/>
      <c r="J63" s="8" t="str">
        <f t="shared" si="0"/>
        <v>借</v>
      </c>
      <c r="K63" s="9">
        <f t="shared" si="1"/>
        <v>890</v>
      </c>
      <c r="L63" s="28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7"/>
      <c r="H64" s="8"/>
      <c r="I64" s="8"/>
      <c r="J64" s="8" t="str">
        <f t="shared" si="0"/>
        <v>借</v>
      </c>
      <c r="K64" s="9">
        <f t="shared" si="1"/>
        <v>890</v>
      </c>
      <c r="L64" s="28"/>
    </row>
    <row r="65" spans="1:12" ht="20.100000000000001" customHeight="1" x14ac:dyDescent="0.15">
      <c r="A65" s="5"/>
      <c r="B65" s="5"/>
      <c r="C65" s="10"/>
      <c r="D65" s="10"/>
      <c r="E65" s="10"/>
      <c r="F65" s="10"/>
      <c r="G65" s="7"/>
      <c r="H65" s="8"/>
      <c r="I65" s="8"/>
      <c r="J65" s="8" t="str">
        <f t="shared" si="0"/>
        <v>借</v>
      </c>
      <c r="K65" s="9">
        <f t="shared" si="1"/>
        <v>890</v>
      </c>
      <c r="L65" s="28"/>
    </row>
    <row r="66" spans="1:12" ht="20.100000000000001" customHeight="1" x14ac:dyDescent="0.15">
      <c r="A66" s="5"/>
      <c r="B66" s="5"/>
      <c r="C66" s="10"/>
      <c r="D66" s="10"/>
      <c r="E66" s="10"/>
      <c r="F66" s="10"/>
      <c r="G66" s="7"/>
      <c r="H66" s="8"/>
      <c r="I66" s="8"/>
      <c r="J66" s="8" t="str">
        <f t="shared" si="0"/>
        <v>借</v>
      </c>
      <c r="K66" s="9">
        <f t="shared" si="1"/>
        <v>890</v>
      </c>
      <c r="L66" s="28"/>
    </row>
    <row r="67" spans="1:12" ht="20.100000000000001" customHeight="1" x14ac:dyDescent="0.15">
      <c r="A67" s="10"/>
      <c r="B67" s="5"/>
      <c r="C67" s="10"/>
      <c r="D67" s="11"/>
      <c r="E67" s="10"/>
      <c r="F67" s="8"/>
      <c r="G67" s="7"/>
      <c r="H67" s="8"/>
      <c r="I67" s="8"/>
      <c r="J67" s="8" t="str">
        <f t="shared" si="0"/>
        <v>借</v>
      </c>
      <c r="K67" s="9">
        <f t="shared" si="1"/>
        <v>890</v>
      </c>
      <c r="L67" s="28"/>
    </row>
    <row r="68" spans="1:12" ht="20.100000000000001" customHeight="1" x14ac:dyDescent="0.15">
      <c r="A68" s="5"/>
      <c r="B68" s="5"/>
      <c r="C68" s="10"/>
      <c r="D68" s="10"/>
      <c r="E68" s="10"/>
      <c r="F68" s="10"/>
      <c r="G68" s="7"/>
      <c r="H68" s="8"/>
      <c r="I68" s="8"/>
      <c r="J68" s="8" t="str">
        <f t="shared" ref="J68:J92" si="2">IF((K67+H68-I68)&gt;0,"借","贷")</f>
        <v>借</v>
      </c>
      <c r="K68" s="9">
        <f t="shared" ref="K68:K92" si="3">K67+H68-I68</f>
        <v>890</v>
      </c>
      <c r="L68" s="28"/>
    </row>
    <row r="69" spans="1:12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15"/>
      <c r="J69" s="8" t="str">
        <f t="shared" si="2"/>
        <v>借</v>
      </c>
      <c r="K69" s="9">
        <f t="shared" si="3"/>
        <v>890</v>
      </c>
      <c r="L69" s="28"/>
    </row>
    <row r="70" spans="1:12" ht="20.100000000000001" customHeight="1" x14ac:dyDescent="0.15">
      <c r="A70" s="5"/>
      <c r="B70" s="5"/>
      <c r="C70" s="10"/>
      <c r="D70" s="10"/>
      <c r="E70" s="10"/>
      <c r="F70" s="10"/>
      <c r="G70" s="7"/>
      <c r="H70" s="8"/>
      <c r="I70" s="15"/>
      <c r="J70" s="8" t="str">
        <f t="shared" si="2"/>
        <v>借</v>
      </c>
      <c r="K70" s="9">
        <f t="shared" si="3"/>
        <v>890</v>
      </c>
      <c r="L70" s="28"/>
    </row>
    <row r="71" spans="1:12" ht="20.100000000000001" customHeight="1" x14ac:dyDescent="0.15">
      <c r="A71" s="5"/>
      <c r="B71" s="5"/>
      <c r="C71" s="10"/>
      <c r="D71" s="10"/>
      <c r="E71" s="10"/>
      <c r="F71" s="10"/>
      <c r="G71" s="7"/>
      <c r="H71" s="8"/>
      <c r="I71" s="15"/>
      <c r="J71" s="8" t="str">
        <f t="shared" si="2"/>
        <v>借</v>
      </c>
      <c r="K71" s="9">
        <f t="shared" si="3"/>
        <v>890</v>
      </c>
      <c r="L71" s="28"/>
    </row>
    <row r="72" spans="1:12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28"/>
    </row>
    <row r="73" spans="1:12" ht="20.100000000000001" customHeight="1" x14ac:dyDescent="0.15">
      <c r="A73" s="5"/>
      <c r="B73" s="5"/>
      <c r="C73" s="10"/>
      <c r="D73" s="10"/>
      <c r="E73" s="10"/>
      <c r="F73" s="10"/>
      <c r="G73" s="7"/>
      <c r="H73" s="8"/>
      <c r="I73" s="15"/>
      <c r="J73" s="8" t="str">
        <f t="shared" si="2"/>
        <v>借</v>
      </c>
      <c r="K73" s="9">
        <f t="shared" si="3"/>
        <v>890</v>
      </c>
      <c r="L73" s="28"/>
    </row>
    <row r="74" spans="1:12" ht="20.100000000000001" customHeight="1" x14ac:dyDescent="0.15">
      <c r="A74" s="5"/>
      <c r="B74" s="5"/>
      <c r="C74" s="10"/>
      <c r="D74" s="10"/>
      <c r="E74" s="10"/>
      <c r="F74" s="10"/>
      <c r="G74" s="7"/>
      <c r="H74" s="8"/>
      <c r="I74" s="8"/>
      <c r="J74" s="8" t="str">
        <f t="shared" si="2"/>
        <v>借</v>
      </c>
      <c r="K74" s="9">
        <f t="shared" si="3"/>
        <v>890</v>
      </c>
      <c r="L74" s="28"/>
    </row>
    <row r="75" spans="1:12" ht="20.100000000000001" customHeight="1" x14ac:dyDescent="0.15">
      <c r="A75" s="5"/>
      <c r="B75" s="5"/>
      <c r="C75" s="10"/>
      <c r="D75" s="10"/>
      <c r="E75" s="10"/>
      <c r="F75" s="8"/>
      <c r="G75" s="7"/>
      <c r="H75" s="8"/>
      <c r="I75" s="8"/>
      <c r="J75" s="8" t="str">
        <f t="shared" si="2"/>
        <v>借</v>
      </c>
      <c r="K75" s="9">
        <f t="shared" si="3"/>
        <v>890</v>
      </c>
      <c r="L75" s="28"/>
    </row>
    <row r="76" spans="1:12" ht="20.100000000000001" customHeight="1" x14ac:dyDescent="0.15">
      <c r="A76" s="5"/>
      <c r="B76" s="5"/>
      <c r="C76" s="10"/>
      <c r="D76" s="11"/>
      <c r="E76" s="10"/>
      <c r="F76" s="8"/>
      <c r="G76" s="7"/>
      <c r="H76" s="8"/>
      <c r="I76" s="8"/>
      <c r="J76" s="8" t="str">
        <f t="shared" si="2"/>
        <v>借</v>
      </c>
      <c r="K76" s="9">
        <f t="shared" si="3"/>
        <v>890</v>
      </c>
      <c r="L76" s="28"/>
    </row>
    <row r="77" spans="1:12" ht="20.100000000000001" customHeight="1" x14ac:dyDescent="0.15">
      <c r="A77" s="10"/>
      <c r="B77" s="5"/>
      <c r="C77" s="10"/>
      <c r="D77" s="10"/>
      <c r="E77" s="10"/>
      <c r="F77" s="10"/>
      <c r="G77" s="7"/>
      <c r="H77" s="8"/>
      <c r="I77" s="8"/>
      <c r="J77" s="8" t="str">
        <f t="shared" si="2"/>
        <v>借</v>
      </c>
      <c r="K77" s="9">
        <f t="shared" si="3"/>
        <v>890</v>
      </c>
      <c r="L77" s="28"/>
    </row>
    <row r="78" spans="1:12" ht="20.100000000000001" customHeight="1" x14ac:dyDescent="0.15">
      <c r="A78" s="10"/>
      <c r="B78" s="5"/>
      <c r="C78" s="5"/>
      <c r="D78" s="10"/>
      <c r="E78" s="10"/>
      <c r="F78" s="14"/>
      <c r="G78" s="7"/>
      <c r="H78" s="8"/>
      <c r="I78" s="8"/>
      <c r="J78" s="8" t="str">
        <f t="shared" si="2"/>
        <v>借</v>
      </c>
      <c r="K78" s="9">
        <f t="shared" si="3"/>
        <v>890</v>
      </c>
      <c r="L78" s="28"/>
    </row>
    <row r="79" spans="1:12" ht="20.100000000000001" customHeight="1" x14ac:dyDescent="0.15">
      <c r="A79" s="5"/>
      <c r="B79" s="5"/>
      <c r="C79" s="5"/>
      <c r="D79" s="10"/>
      <c r="E79" s="10"/>
      <c r="F79" s="10"/>
      <c r="G79" s="7"/>
      <c r="H79" s="8"/>
      <c r="I79" s="8"/>
      <c r="J79" s="8" t="str">
        <f t="shared" si="2"/>
        <v>借</v>
      </c>
      <c r="K79" s="9">
        <f t="shared" si="3"/>
        <v>890</v>
      </c>
      <c r="L79" s="28"/>
    </row>
    <row r="80" spans="1:12" ht="20.100000000000001" customHeight="1" x14ac:dyDescent="0.15">
      <c r="A80" s="5"/>
      <c r="B80" s="5"/>
      <c r="C80" s="5"/>
      <c r="D80" s="11"/>
      <c r="E80" s="10"/>
      <c r="F80" s="8"/>
      <c r="G80" s="7"/>
      <c r="H80" s="8"/>
      <c r="I80" s="8"/>
      <c r="J80" s="8" t="str">
        <f t="shared" si="2"/>
        <v>借</v>
      </c>
      <c r="K80" s="9">
        <f t="shared" si="3"/>
        <v>890</v>
      </c>
      <c r="L80" s="28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7"/>
      <c r="H81" s="8"/>
      <c r="I81" s="15"/>
      <c r="J81" s="8" t="str">
        <f t="shared" si="2"/>
        <v>借</v>
      </c>
      <c r="K81" s="9">
        <f t="shared" si="3"/>
        <v>890</v>
      </c>
      <c r="L81" s="28"/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7"/>
      <c r="H82" s="8"/>
      <c r="I82" s="8"/>
      <c r="J82" s="8" t="str">
        <f t="shared" si="2"/>
        <v>借</v>
      </c>
      <c r="K82" s="9">
        <f t="shared" si="3"/>
        <v>890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7"/>
      <c r="H83" s="8"/>
      <c r="I83" s="8"/>
      <c r="J83" s="8" t="str">
        <f t="shared" si="2"/>
        <v>借</v>
      </c>
      <c r="K83" s="9">
        <f t="shared" si="3"/>
        <v>890</v>
      </c>
      <c r="L83" s="28"/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7"/>
      <c r="H84" s="8"/>
      <c r="I84" s="8"/>
      <c r="J84" s="8" t="str">
        <f t="shared" si="2"/>
        <v>借</v>
      </c>
      <c r="K84" s="9">
        <f t="shared" si="3"/>
        <v>890</v>
      </c>
      <c r="L84" s="28"/>
      <c r="M84" s="65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7"/>
      <c r="H85" s="8"/>
      <c r="I85" s="8"/>
      <c r="J85" s="8" t="str">
        <f t="shared" si="2"/>
        <v>借</v>
      </c>
      <c r="K85" s="9">
        <f t="shared" si="3"/>
        <v>890</v>
      </c>
      <c r="L85" s="28"/>
      <c r="M85" s="65"/>
    </row>
    <row r="86" spans="1:13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890</v>
      </c>
      <c r="L86" s="28"/>
      <c r="M86" s="65"/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7"/>
      <c r="H87" s="8"/>
      <c r="I87" s="8"/>
      <c r="J87" s="8" t="str">
        <f t="shared" si="2"/>
        <v>借</v>
      </c>
      <c r="K87" s="9">
        <f t="shared" si="3"/>
        <v>890</v>
      </c>
      <c r="L87" s="28"/>
    </row>
    <row r="88" spans="1:13" ht="20.100000000000001" customHeight="1" x14ac:dyDescent="0.15">
      <c r="A88" s="5"/>
      <c r="B88" s="5"/>
      <c r="C88" s="5"/>
      <c r="D88" s="10"/>
      <c r="E88" s="10"/>
      <c r="F88" s="10"/>
      <c r="G88" s="7"/>
      <c r="H88" s="8"/>
      <c r="I88" s="8"/>
      <c r="J88" s="8" t="str">
        <f t="shared" si="2"/>
        <v>借</v>
      </c>
      <c r="K88" s="9">
        <f t="shared" si="3"/>
        <v>890</v>
      </c>
      <c r="L88" s="28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7"/>
      <c r="H89" s="8"/>
      <c r="I89" s="8"/>
      <c r="J89" s="8" t="str">
        <f t="shared" si="2"/>
        <v>借</v>
      </c>
      <c r="K89" s="9">
        <f t="shared" si="3"/>
        <v>890</v>
      </c>
      <c r="L89" s="28"/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7"/>
      <c r="H90" s="8"/>
      <c r="I90" s="8"/>
      <c r="J90" s="8" t="str">
        <f t="shared" si="2"/>
        <v>借</v>
      </c>
      <c r="K90" s="9">
        <f t="shared" si="3"/>
        <v>890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7"/>
      <c r="H91" s="8"/>
      <c r="I91" s="8"/>
      <c r="J91" s="8" t="str">
        <f t="shared" si="2"/>
        <v>借</v>
      </c>
      <c r="K91" s="9">
        <f t="shared" si="3"/>
        <v>890</v>
      </c>
      <c r="L91" s="28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7"/>
      <c r="H92" s="8"/>
      <c r="I92" s="8"/>
      <c r="J92" s="8" t="str">
        <f t="shared" si="2"/>
        <v>借</v>
      </c>
      <c r="K92" s="9">
        <f t="shared" si="3"/>
        <v>890</v>
      </c>
      <c r="L92" s="28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7"/>
      <c r="H93" s="8"/>
      <c r="I93" s="8"/>
      <c r="J93" s="8" t="str">
        <f t="shared" ref="J93:J104" si="4">IF((K92+H93-I93)&gt;0,"借","贷")</f>
        <v>借</v>
      </c>
      <c r="K93" s="9">
        <f t="shared" ref="K93:K104" si="5">K92+H93-I93</f>
        <v>890</v>
      </c>
      <c r="L93" s="28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7"/>
      <c r="H94" s="8"/>
      <c r="I94" s="8"/>
      <c r="J94" s="8" t="str">
        <f t="shared" si="4"/>
        <v>借</v>
      </c>
      <c r="K94" s="9">
        <f t="shared" si="5"/>
        <v>890</v>
      </c>
      <c r="L94" s="28"/>
    </row>
    <row r="95" spans="1:13" ht="20.100000000000001" customHeight="1" x14ac:dyDescent="0.15">
      <c r="A95" s="10"/>
      <c r="B95" s="5"/>
      <c r="C95" s="5"/>
      <c r="D95" s="10"/>
      <c r="E95" s="10"/>
      <c r="F95" s="10"/>
      <c r="G95" s="7"/>
      <c r="H95" s="8"/>
      <c r="I95" s="8"/>
      <c r="J95" s="8" t="str">
        <f t="shared" si="4"/>
        <v>借</v>
      </c>
      <c r="K95" s="9">
        <f t="shared" si="5"/>
        <v>890</v>
      </c>
      <c r="L95" s="28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7"/>
      <c r="H96" s="8"/>
      <c r="I96" s="8"/>
      <c r="J96" s="8" t="str">
        <f t="shared" si="4"/>
        <v>借</v>
      </c>
      <c r="K96" s="9">
        <f t="shared" si="5"/>
        <v>890</v>
      </c>
      <c r="L96" s="28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7"/>
      <c r="H97" s="8"/>
      <c r="I97" s="8"/>
      <c r="J97" s="8" t="str">
        <f t="shared" si="4"/>
        <v>借</v>
      </c>
      <c r="K97" s="9">
        <f t="shared" si="5"/>
        <v>890</v>
      </c>
      <c r="L97" s="28"/>
      <c r="M97" s="65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890</v>
      </c>
      <c r="L98" s="28"/>
      <c r="M98" s="65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890</v>
      </c>
      <c r="L99" s="28"/>
      <c r="M99" s="65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7"/>
      <c r="H100" s="8"/>
      <c r="I100" s="8"/>
      <c r="J100" s="8" t="str">
        <f t="shared" si="4"/>
        <v>借</v>
      </c>
      <c r="K100" s="9">
        <f t="shared" si="5"/>
        <v>890</v>
      </c>
      <c r="L100" s="28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890</v>
      </c>
      <c r="L101" s="28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7"/>
      <c r="H102" s="8"/>
      <c r="I102" s="8"/>
      <c r="J102" s="8" t="str">
        <f t="shared" si="4"/>
        <v>借</v>
      </c>
      <c r="K102" s="9">
        <f t="shared" si="5"/>
        <v>890</v>
      </c>
      <c r="L102" s="28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7"/>
      <c r="H103" s="8"/>
      <c r="I103" s="8"/>
      <c r="J103" s="8" t="str">
        <f t="shared" si="4"/>
        <v>借</v>
      </c>
      <c r="K103" s="9">
        <f t="shared" si="5"/>
        <v>890</v>
      </c>
      <c r="L103" s="28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7"/>
      <c r="H104" s="8"/>
      <c r="I104" s="8"/>
      <c r="J104" s="8" t="str">
        <f t="shared" si="4"/>
        <v>借</v>
      </c>
      <c r="K104" s="9">
        <f t="shared" si="5"/>
        <v>890</v>
      </c>
      <c r="L104" s="28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ref="J105:J134" si="6">IF((K104+H105-I105)&gt;0,"借","贷")</f>
        <v>借</v>
      </c>
      <c r="K105" s="9">
        <f t="shared" ref="K105:K134" si="7">K104+H105-I105</f>
        <v>890</v>
      </c>
      <c r="L105" s="28"/>
    </row>
    <row r="106" spans="1:13" ht="20.100000000000001" customHeight="1" x14ac:dyDescent="0.15">
      <c r="A106" s="10"/>
      <c r="B106" s="5"/>
      <c r="C106" s="5"/>
      <c r="D106" s="11"/>
      <c r="E106" s="10"/>
      <c r="F106" s="8"/>
      <c r="G106" s="7"/>
      <c r="H106" s="8"/>
      <c r="I106" s="8"/>
      <c r="J106" s="8" t="str">
        <f t="shared" si="6"/>
        <v>借</v>
      </c>
      <c r="K106" s="9">
        <f t="shared" si="7"/>
        <v>890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7"/>
      <c r="H107" s="8"/>
      <c r="I107" s="8"/>
      <c r="J107" s="8" t="str">
        <f t="shared" si="6"/>
        <v>借</v>
      </c>
      <c r="K107" s="9">
        <f t="shared" si="7"/>
        <v>890</v>
      </c>
      <c r="L107" s="28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7"/>
      <c r="H108" s="8"/>
      <c r="I108" s="8"/>
      <c r="J108" s="8" t="str">
        <f t="shared" si="6"/>
        <v>借</v>
      </c>
      <c r="K108" s="9">
        <f t="shared" si="7"/>
        <v>890</v>
      </c>
      <c r="L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7"/>
      <c r="H109" s="8"/>
      <c r="I109" s="8"/>
      <c r="J109" s="8" t="str">
        <f t="shared" si="6"/>
        <v>借</v>
      </c>
      <c r="K109" s="9">
        <f t="shared" si="7"/>
        <v>890</v>
      </c>
      <c r="L109" s="28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7"/>
      <c r="H110" s="8"/>
      <c r="I110" s="8"/>
      <c r="J110" s="8" t="str">
        <f t="shared" si="6"/>
        <v>借</v>
      </c>
      <c r="K110" s="9">
        <f t="shared" si="7"/>
        <v>890</v>
      </c>
      <c r="L110" s="28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7"/>
      <c r="H111" s="8"/>
      <c r="I111" s="8"/>
      <c r="J111" s="8" t="str">
        <f t="shared" si="6"/>
        <v>借</v>
      </c>
      <c r="K111" s="9">
        <f t="shared" si="7"/>
        <v>890</v>
      </c>
      <c r="L111" s="28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7"/>
      <c r="H112" s="8"/>
      <c r="I112" s="8"/>
      <c r="J112" s="8" t="str">
        <f t="shared" si="6"/>
        <v>借</v>
      </c>
      <c r="K112" s="9">
        <f t="shared" si="7"/>
        <v>890</v>
      </c>
      <c r="L112" s="28"/>
    </row>
    <row r="113" spans="1:13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6"/>
        <v>借</v>
      </c>
      <c r="K113" s="9">
        <f t="shared" si="7"/>
        <v>890</v>
      </c>
      <c r="L113" s="28"/>
    </row>
    <row r="114" spans="1:13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6"/>
        <v>借</v>
      </c>
      <c r="K114" s="9">
        <f t="shared" si="7"/>
        <v>890</v>
      </c>
      <c r="L114" s="28"/>
    </row>
    <row r="115" spans="1:13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6"/>
        <v>借</v>
      </c>
      <c r="K115" s="9">
        <f t="shared" si="7"/>
        <v>890</v>
      </c>
      <c r="L115" s="28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7"/>
      <c r="H116" s="8"/>
      <c r="I116" s="8"/>
      <c r="J116" s="8" t="str">
        <f t="shared" si="6"/>
        <v>借</v>
      </c>
      <c r="K116" s="9">
        <f t="shared" si="7"/>
        <v>890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7"/>
      <c r="H117" s="8"/>
      <c r="I117" s="8"/>
      <c r="J117" s="8" t="str">
        <f t="shared" si="6"/>
        <v>借</v>
      </c>
      <c r="K117" s="9">
        <f t="shared" si="7"/>
        <v>890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7"/>
      <c r="H118" s="8"/>
      <c r="I118" s="8"/>
      <c r="J118" s="8" t="str">
        <f t="shared" si="6"/>
        <v>借</v>
      </c>
      <c r="K118" s="9">
        <f t="shared" si="7"/>
        <v>890</v>
      </c>
      <c r="L118" s="28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6"/>
        <v>借</v>
      </c>
      <c r="K119" s="9">
        <f t="shared" si="7"/>
        <v>890</v>
      </c>
      <c r="L119" s="28"/>
    </row>
    <row r="120" spans="1:13" ht="20.100000000000001" customHeight="1" x14ac:dyDescent="0.15">
      <c r="A120" s="5"/>
      <c r="B120" s="5"/>
      <c r="C120" s="5"/>
      <c r="D120" s="11"/>
      <c r="E120" s="10"/>
      <c r="F120" s="8"/>
      <c r="G120" s="7"/>
      <c r="H120" s="8"/>
      <c r="I120" s="8"/>
      <c r="J120" s="8" t="str">
        <f t="shared" si="6"/>
        <v>借</v>
      </c>
      <c r="K120" s="9">
        <f t="shared" si="7"/>
        <v>890</v>
      </c>
      <c r="L120" s="28"/>
    </row>
    <row r="121" spans="1:13" ht="20.100000000000001" customHeight="1" x14ac:dyDescent="0.15">
      <c r="A121" s="10"/>
      <c r="B121" s="5"/>
      <c r="C121" s="5"/>
      <c r="D121" s="10"/>
      <c r="E121" s="10"/>
      <c r="F121" s="10"/>
      <c r="G121" s="7"/>
      <c r="H121" s="8"/>
      <c r="I121" s="8"/>
      <c r="J121" s="8" t="str">
        <f t="shared" si="6"/>
        <v>借</v>
      </c>
      <c r="K121" s="9">
        <f t="shared" si="7"/>
        <v>890</v>
      </c>
      <c r="L121" s="28"/>
    </row>
    <row r="122" spans="1:13" ht="20.100000000000001" customHeight="1" x14ac:dyDescent="0.15">
      <c r="A122" s="10"/>
      <c r="B122" s="5"/>
      <c r="C122" s="5"/>
      <c r="D122" s="10"/>
      <c r="E122" s="10"/>
      <c r="F122" s="10"/>
      <c r="G122" s="7"/>
      <c r="H122" s="8"/>
      <c r="I122" s="8"/>
      <c r="J122" s="8" t="str">
        <f t="shared" si="6"/>
        <v>借</v>
      </c>
      <c r="K122" s="9">
        <f t="shared" si="7"/>
        <v>890</v>
      </c>
      <c r="L122" s="28"/>
    </row>
    <row r="123" spans="1:13" ht="20.100000000000001" customHeight="1" x14ac:dyDescent="0.15">
      <c r="A123" s="10"/>
      <c r="B123" s="5"/>
      <c r="C123" s="10"/>
      <c r="D123" s="10"/>
      <c r="E123" s="10"/>
      <c r="F123" s="10"/>
      <c r="G123" s="7"/>
      <c r="H123" s="8"/>
      <c r="I123" s="8"/>
      <c r="J123" s="8" t="str">
        <f t="shared" si="6"/>
        <v>借</v>
      </c>
      <c r="K123" s="9">
        <f t="shared" si="7"/>
        <v>890</v>
      </c>
      <c r="L123" s="28"/>
      <c r="M123" s="65"/>
    </row>
    <row r="124" spans="1:13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6"/>
        <v>借</v>
      </c>
      <c r="K124" s="9">
        <f t="shared" si="7"/>
        <v>890</v>
      </c>
      <c r="L124" s="28"/>
      <c r="M124" s="65"/>
    </row>
    <row r="125" spans="1:13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6"/>
        <v>借</v>
      </c>
      <c r="K125" s="9">
        <f t="shared" si="7"/>
        <v>890</v>
      </c>
      <c r="L125" s="28"/>
      <c r="M125" s="65"/>
    </row>
    <row r="126" spans="1:13" ht="20.100000000000001" customHeight="1" x14ac:dyDescent="0.15">
      <c r="A126" s="5"/>
      <c r="B126" s="5"/>
      <c r="C126" s="10"/>
      <c r="D126" s="10"/>
      <c r="E126" s="10"/>
      <c r="F126" s="10"/>
      <c r="G126" s="7"/>
      <c r="H126" s="8"/>
      <c r="I126" s="8"/>
      <c r="J126" s="8" t="str">
        <f t="shared" si="6"/>
        <v>借</v>
      </c>
      <c r="K126" s="9">
        <f t="shared" si="7"/>
        <v>890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7"/>
      <c r="H127" s="8"/>
      <c r="I127" s="8"/>
      <c r="J127" s="8" t="str">
        <f t="shared" si="6"/>
        <v>借</v>
      </c>
      <c r="K127" s="9">
        <f t="shared" si="7"/>
        <v>890</v>
      </c>
      <c r="L127" s="28"/>
    </row>
    <row r="128" spans="1:13" ht="20.100000000000001" customHeight="1" x14ac:dyDescent="0.15">
      <c r="A128" s="5"/>
      <c r="B128" s="5"/>
      <c r="C128" s="10"/>
      <c r="D128" s="10"/>
      <c r="E128" s="10"/>
      <c r="F128" s="10"/>
      <c r="G128" s="7"/>
      <c r="H128" s="8"/>
      <c r="I128" s="8"/>
      <c r="J128" s="8" t="str">
        <f t="shared" si="6"/>
        <v>借</v>
      </c>
      <c r="K128" s="9">
        <f t="shared" si="7"/>
        <v>890</v>
      </c>
      <c r="L128" s="28"/>
    </row>
    <row r="129" spans="1:13" ht="20.100000000000001" customHeight="1" x14ac:dyDescent="0.15">
      <c r="A129" s="5"/>
      <c r="B129" s="5"/>
      <c r="C129" s="5"/>
      <c r="D129" s="10"/>
      <c r="E129" s="10"/>
      <c r="F129" s="10"/>
      <c r="G129" s="7"/>
      <c r="H129" s="8"/>
      <c r="I129" s="8"/>
      <c r="J129" s="8" t="str">
        <f t="shared" si="6"/>
        <v>借</v>
      </c>
      <c r="K129" s="9">
        <f t="shared" si="7"/>
        <v>890</v>
      </c>
      <c r="L129" s="28"/>
    </row>
    <row r="130" spans="1:13" ht="20.100000000000001" customHeight="1" x14ac:dyDescent="0.15">
      <c r="A130" s="5"/>
      <c r="B130" s="5"/>
      <c r="C130" s="5"/>
      <c r="D130" s="10"/>
      <c r="E130" s="16"/>
      <c r="F130" s="10"/>
      <c r="G130" s="7"/>
      <c r="H130" s="8"/>
      <c r="I130" s="8"/>
      <c r="J130" s="8" t="str">
        <f t="shared" si="6"/>
        <v>借</v>
      </c>
      <c r="K130" s="9">
        <f t="shared" si="7"/>
        <v>890</v>
      </c>
      <c r="L130" s="28"/>
    </row>
    <row r="131" spans="1:13" ht="20.100000000000001" customHeight="1" x14ac:dyDescent="0.15">
      <c r="A131" s="10"/>
      <c r="B131" s="5"/>
      <c r="C131" s="5"/>
      <c r="D131" s="10"/>
      <c r="E131" s="10"/>
      <c r="F131" s="10"/>
      <c r="G131" s="7"/>
      <c r="H131" s="8"/>
      <c r="I131" s="8"/>
      <c r="J131" s="8" t="str">
        <f t="shared" si="6"/>
        <v>借</v>
      </c>
      <c r="K131" s="9">
        <f t="shared" si="7"/>
        <v>890</v>
      </c>
      <c r="L131" s="28"/>
    </row>
    <row r="132" spans="1:13" ht="20.100000000000001" customHeight="1" x14ac:dyDescent="0.15">
      <c r="A132" s="10"/>
      <c r="B132" s="5"/>
      <c r="C132" s="5"/>
      <c r="D132" s="11"/>
      <c r="E132" s="10"/>
      <c r="F132" s="8"/>
      <c r="G132" s="7"/>
      <c r="H132" s="8"/>
      <c r="I132" s="8"/>
      <c r="J132" s="8" t="str">
        <f t="shared" si="6"/>
        <v>借</v>
      </c>
      <c r="K132" s="9">
        <f t="shared" si="7"/>
        <v>890</v>
      </c>
      <c r="L132" s="28"/>
    </row>
    <row r="133" spans="1:13" ht="20.100000000000001" customHeight="1" x14ac:dyDescent="0.15">
      <c r="A133" s="5"/>
      <c r="B133" s="5"/>
      <c r="C133" s="5"/>
      <c r="D133" s="10"/>
      <c r="E133" s="10"/>
      <c r="F133" s="10"/>
      <c r="G133" s="7"/>
      <c r="H133" s="8"/>
      <c r="I133" s="8"/>
      <c r="J133" s="8" t="str">
        <f t="shared" si="6"/>
        <v>借</v>
      </c>
      <c r="K133" s="9">
        <f t="shared" si="7"/>
        <v>890</v>
      </c>
      <c r="L133" s="28"/>
    </row>
    <row r="134" spans="1:13" ht="20.100000000000001" customHeight="1" x14ac:dyDescent="0.15">
      <c r="A134" s="5"/>
      <c r="B134" s="5"/>
      <c r="C134" s="5"/>
      <c r="D134" s="10"/>
      <c r="E134" s="10"/>
      <c r="F134" s="10"/>
      <c r="G134" s="7"/>
      <c r="H134" s="8"/>
      <c r="I134" s="8"/>
      <c r="J134" s="8" t="str">
        <f t="shared" si="6"/>
        <v>借</v>
      </c>
      <c r="K134" s="9">
        <f t="shared" si="7"/>
        <v>890</v>
      </c>
      <c r="L134" s="28"/>
      <c r="M134" s="65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ref="J135:J198" si="8">IF((K134+H135-I135)&gt;0,"借","贷")</f>
        <v>借</v>
      </c>
      <c r="K135" s="9">
        <f t="shared" ref="K135:K173" si="9">K134+H135-I135</f>
        <v>890</v>
      </c>
      <c r="L135" s="28"/>
      <c r="M135" s="65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8"/>
        <v>借</v>
      </c>
      <c r="K136" s="9">
        <f t="shared" si="9"/>
        <v>890</v>
      </c>
      <c r="L136" s="28"/>
      <c r="M136" s="65"/>
    </row>
    <row r="137" spans="1:13" ht="20.100000000000001" customHeight="1" x14ac:dyDescent="0.15">
      <c r="A137" s="5"/>
      <c r="B137" s="5"/>
      <c r="C137" s="5"/>
      <c r="D137" s="11"/>
      <c r="E137" s="16"/>
      <c r="F137" s="10"/>
      <c r="G137" s="7"/>
      <c r="H137" s="8"/>
      <c r="I137" s="8"/>
      <c r="J137" s="8" t="str">
        <f t="shared" si="8"/>
        <v>借</v>
      </c>
      <c r="K137" s="9">
        <f t="shared" si="9"/>
        <v>890</v>
      </c>
      <c r="L137" s="28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7"/>
      <c r="H138" s="8"/>
      <c r="I138" s="8"/>
      <c r="J138" s="8" t="str">
        <f t="shared" si="8"/>
        <v>借</v>
      </c>
      <c r="K138" s="9">
        <f t="shared" si="9"/>
        <v>890</v>
      </c>
      <c r="L138" s="28"/>
    </row>
    <row r="139" spans="1:13" ht="20.100000000000001" customHeight="1" x14ac:dyDescent="0.15">
      <c r="A139" s="10"/>
      <c r="B139" s="5"/>
      <c r="C139" s="5"/>
      <c r="D139" s="10"/>
      <c r="E139" s="10"/>
      <c r="F139" s="10"/>
      <c r="G139" s="7"/>
      <c r="H139" s="8"/>
      <c r="I139" s="8"/>
      <c r="J139" s="8" t="str">
        <f t="shared" si="8"/>
        <v>借</v>
      </c>
      <c r="K139" s="9">
        <f t="shared" si="9"/>
        <v>890</v>
      </c>
      <c r="L139" s="28"/>
    </row>
    <row r="140" spans="1:13" ht="20.100000000000001" customHeight="1" x14ac:dyDescent="0.15">
      <c r="A140" s="10"/>
      <c r="B140" s="5"/>
      <c r="C140" s="5"/>
      <c r="D140" s="10"/>
      <c r="E140" s="10"/>
      <c r="F140" s="10"/>
      <c r="G140" s="7"/>
      <c r="H140" s="8"/>
      <c r="I140" s="8"/>
      <c r="J140" s="8" t="str">
        <f t="shared" si="8"/>
        <v>借</v>
      </c>
      <c r="K140" s="9">
        <f t="shared" si="9"/>
        <v>890</v>
      </c>
      <c r="L140" s="28"/>
    </row>
    <row r="141" spans="1:13" ht="20.100000000000001" customHeight="1" x14ac:dyDescent="0.15">
      <c r="A141" s="5"/>
      <c r="B141" s="5"/>
      <c r="C141" s="5"/>
      <c r="D141" s="10"/>
      <c r="E141" s="10"/>
      <c r="F141" s="10"/>
      <c r="G141" s="7"/>
      <c r="H141" s="8"/>
      <c r="I141" s="8"/>
      <c r="J141" s="8" t="str">
        <f t="shared" si="8"/>
        <v>借</v>
      </c>
      <c r="K141" s="9">
        <f t="shared" si="9"/>
        <v>890</v>
      </c>
      <c r="L141" s="28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7"/>
      <c r="H142" s="8"/>
      <c r="I142" s="8"/>
      <c r="J142" s="8" t="str">
        <f t="shared" si="8"/>
        <v>借</v>
      </c>
      <c r="K142" s="9">
        <f t="shared" si="9"/>
        <v>890</v>
      </c>
      <c r="L142" s="28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7"/>
      <c r="H143" s="8"/>
      <c r="I143" s="8"/>
      <c r="J143" s="8" t="str">
        <f t="shared" si="8"/>
        <v>借</v>
      </c>
      <c r="K143" s="9">
        <f t="shared" si="9"/>
        <v>890</v>
      </c>
      <c r="L143" s="28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7"/>
      <c r="H144" s="8"/>
      <c r="I144" s="8"/>
      <c r="J144" s="8" t="str">
        <f t="shared" si="8"/>
        <v>借</v>
      </c>
      <c r="K144" s="9">
        <f t="shared" si="9"/>
        <v>890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7"/>
      <c r="H145" s="8"/>
      <c r="I145" s="8"/>
      <c r="J145" s="8" t="str">
        <f t="shared" si="8"/>
        <v>借</v>
      </c>
      <c r="K145" s="9">
        <f t="shared" si="9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7"/>
      <c r="H146" s="8"/>
      <c r="I146" s="8"/>
      <c r="J146" s="8" t="str">
        <f t="shared" si="8"/>
        <v>借</v>
      </c>
      <c r="K146" s="9">
        <f t="shared" si="9"/>
        <v>890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7"/>
      <c r="H147" s="8"/>
      <c r="I147" s="8"/>
      <c r="J147" s="8" t="str">
        <f t="shared" si="8"/>
        <v>借</v>
      </c>
      <c r="K147" s="9">
        <f t="shared" si="9"/>
        <v>890</v>
      </c>
      <c r="L147" s="28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7"/>
      <c r="H148" s="8"/>
      <c r="I148" s="8"/>
      <c r="J148" s="8" t="str">
        <f t="shared" si="8"/>
        <v>借</v>
      </c>
      <c r="K148" s="9">
        <f t="shared" si="9"/>
        <v>890</v>
      </c>
      <c r="L148" s="28"/>
    </row>
    <row r="149" spans="1:13" ht="20.100000000000001" customHeight="1" x14ac:dyDescent="0.15">
      <c r="A149" s="10"/>
      <c r="B149" s="5"/>
      <c r="C149" s="5"/>
      <c r="D149" s="11"/>
      <c r="E149" s="10"/>
      <c r="F149" s="8"/>
      <c r="G149" s="7"/>
      <c r="H149" s="8"/>
      <c r="I149" s="8"/>
      <c r="J149" s="8" t="str">
        <f t="shared" si="8"/>
        <v>借</v>
      </c>
      <c r="K149" s="9">
        <f t="shared" si="9"/>
        <v>890</v>
      </c>
      <c r="L149" s="28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8"/>
        <v>借</v>
      </c>
      <c r="K150" s="9">
        <f t="shared" si="9"/>
        <v>890</v>
      </c>
      <c r="L150" s="28"/>
    </row>
    <row r="151" spans="1:13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8"/>
        <v>借</v>
      </c>
      <c r="K151" s="9">
        <f t="shared" si="9"/>
        <v>890</v>
      </c>
      <c r="L151" s="28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7"/>
      <c r="H152" s="8"/>
      <c r="I152" s="8"/>
      <c r="J152" s="8" t="str">
        <f t="shared" si="8"/>
        <v>借</v>
      </c>
      <c r="K152" s="9">
        <f t="shared" si="9"/>
        <v>890</v>
      </c>
      <c r="L152" s="28"/>
      <c r="M152" s="65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8"/>
        <v>借</v>
      </c>
      <c r="K153" s="9">
        <f t="shared" si="9"/>
        <v>890</v>
      </c>
      <c r="L153" s="28"/>
      <c r="M153" s="65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8"/>
        <v>借</v>
      </c>
      <c r="K154" s="9">
        <f t="shared" si="9"/>
        <v>890</v>
      </c>
      <c r="L154" s="28"/>
      <c r="M154" s="65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8"/>
        <v>借</v>
      </c>
      <c r="K155" s="9">
        <f t="shared" si="9"/>
        <v>890</v>
      </c>
      <c r="L155" s="28"/>
      <c r="M155" s="65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8"/>
        <v>借</v>
      </c>
      <c r="K156" s="9">
        <f t="shared" si="9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8"/>
        <v>借</v>
      </c>
      <c r="K157" s="9">
        <f t="shared" si="9"/>
        <v>890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7"/>
      <c r="H158" s="8"/>
      <c r="I158" s="8"/>
      <c r="J158" s="8" t="str">
        <f t="shared" si="8"/>
        <v>借</v>
      </c>
      <c r="K158" s="9">
        <f t="shared" si="9"/>
        <v>890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8"/>
        <v>借</v>
      </c>
      <c r="K159" s="9">
        <f t="shared" si="9"/>
        <v>890</v>
      </c>
      <c r="L159" s="28"/>
    </row>
    <row r="160" spans="1:13" ht="20.100000000000001" customHeight="1" x14ac:dyDescent="0.15">
      <c r="A160" s="10"/>
      <c r="B160" s="5"/>
      <c r="C160" s="5"/>
      <c r="D160" s="10"/>
      <c r="E160" s="10"/>
      <c r="F160" s="10"/>
      <c r="G160" s="7"/>
      <c r="H160" s="8"/>
      <c r="I160" s="8"/>
      <c r="J160" s="8" t="str">
        <f t="shared" si="8"/>
        <v>借</v>
      </c>
      <c r="K160" s="9">
        <f t="shared" si="9"/>
        <v>890</v>
      </c>
      <c r="L160" s="28"/>
    </row>
    <row r="161" spans="1:12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8"/>
        <v>借</v>
      </c>
      <c r="K161" s="9">
        <f t="shared" si="9"/>
        <v>890</v>
      </c>
      <c r="L161" s="28"/>
    </row>
    <row r="162" spans="1:12" ht="20.100000000000001" customHeight="1" x14ac:dyDescent="0.15">
      <c r="A162" s="10"/>
      <c r="B162" s="5"/>
      <c r="C162" s="5"/>
      <c r="D162" s="10"/>
      <c r="E162" s="18"/>
      <c r="F162" s="10"/>
      <c r="G162" s="10"/>
      <c r="H162" s="8"/>
      <c r="I162" s="8"/>
      <c r="J162" s="8" t="str">
        <f t="shared" si="8"/>
        <v>借</v>
      </c>
      <c r="K162" s="9">
        <f t="shared" si="9"/>
        <v>890</v>
      </c>
      <c r="L162" s="28"/>
    </row>
    <row r="163" spans="1:12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8"/>
        <v>借</v>
      </c>
      <c r="K163" s="9">
        <f t="shared" si="9"/>
        <v>890</v>
      </c>
      <c r="L163" s="28"/>
    </row>
    <row r="164" spans="1:12" ht="20.100000000000001" customHeight="1" x14ac:dyDescent="0.15">
      <c r="A164" s="10"/>
      <c r="B164" s="5"/>
      <c r="C164" s="5"/>
      <c r="D164" s="10"/>
      <c r="E164" s="10"/>
      <c r="F164" s="10"/>
      <c r="G164" s="7"/>
      <c r="H164" s="8"/>
      <c r="I164" s="8"/>
      <c r="J164" s="8" t="str">
        <f t="shared" si="8"/>
        <v>借</v>
      </c>
      <c r="K164" s="9">
        <f t="shared" si="9"/>
        <v>890</v>
      </c>
      <c r="L164" s="28"/>
    </row>
    <row r="165" spans="1:12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8"/>
        <v>借</v>
      </c>
      <c r="K165" s="9">
        <f t="shared" si="9"/>
        <v>890</v>
      </c>
      <c r="L165" s="28"/>
    </row>
    <row r="166" spans="1:12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8"/>
        <v>借</v>
      </c>
      <c r="K166" s="9">
        <f t="shared" si="9"/>
        <v>890</v>
      </c>
      <c r="L166" s="28"/>
    </row>
    <row r="167" spans="1:12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8"/>
        <v>借</v>
      </c>
      <c r="K167" s="9">
        <f t="shared" si="9"/>
        <v>890</v>
      </c>
      <c r="L167" s="28"/>
    </row>
    <row r="168" spans="1:12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8"/>
        <v>借</v>
      </c>
      <c r="K168" s="9">
        <f t="shared" si="9"/>
        <v>890</v>
      </c>
      <c r="L168" s="28"/>
    </row>
    <row r="169" spans="1:12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8"/>
        <v>借</v>
      </c>
      <c r="K169" s="9">
        <f t="shared" si="9"/>
        <v>890</v>
      </c>
      <c r="L169" s="28"/>
    </row>
    <row r="170" spans="1:12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8"/>
        <v>借</v>
      </c>
      <c r="K170" s="9">
        <f t="shared" si="9"/>
        <v>890</v>
      </c>
      <c r="L170" s="28"/>
    </row>
    <row r="171" spans="1:12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8"/>
        <v>借</v>
      </c>
      <c r="K171" s="9">
        <f t="shared" si="9"/>
        <v>890</v>
      </c>
      <c r="L171" s="28"/>
    </row>
    <row r="172" spans="1:12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8"/>
        <v>借</v>
      </c>
      <c r="K172" s="9">
        <f t="shared" si="9"/>
        <v>890</v>
      </c>
      <c r="L172" s="28"/>
    </row>
    <row r="173" spans="1:12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8"/>
        <v>借</v>
      </c>
      <c r="K173" s="9">
        <f t="shared" si="9"/>
        <v>890</v>
      </c>
      <c r="L173" s="28"/>
    </row>
    <row r="174" spans="1:12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8"/>
        <v>借</v>
      </c>
      <c r="K174" s="9">
        <f t="shared" ref="K174:K237" si="10">_xlfn.IFS(J173="借",K173+H174-I174,J173="贷",H174-I174-K173)</f>
        <v>890</v>
      </c>
      <c r="L174" s="28"/>
    </row>
    <row r="175" spans="1:12" ht="20.100000000000001" customHeight="1" x14ac:dyDescent="0.15">
      <c r="A175" s="10"/>
      <c r="B175" s="5"/>
      <c r="C175" s="10"/>
      <c r="D175" s="10"/>
      <c r="E175" s="10"/>
      <c r="F175" s="10"/>
      <c r="G175" s="7"/>
      <c r="H175" s="8"/>
      <c r="I175" s="8"/>
      <c r="J175" s="8" t="str">
        <f t="shared" si="8"/>
        <v>借</v>
      </c>
      <c r="K175" s="9">
        <f t="shared" si="10"/>
        <v>890</v>
      </c>
      <c r="L175" s="28"/>
    </row>
    <row r="176" spans="1:12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8"/>
        <v>借</v>
      </c>
      <c r="K176" s="9">
        <f t="shared" si="10"/>
        <v>890</v>
      </c>
      <c r="L176" s="28"/>
    </row>
    <row r="177" spans="1:12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8"/>
        <v>借</v>
      </c>
      <c r="K177" s="9">
        <f t="shared" si="10"/>
        <v>890</v>
      </c>
      <c r="L177" s="28"/>
    </row>
    <row r="178" spans="1:12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8"/>
        <v>借</v>
      </c>
      <c r="K178" s="9">
        <f t="shared" si="10"/>
        <v>890</v>
      </c>
      <c r="L178" s="28"/>
    </row>
    <row r="179" spans="1:12" ht="20.100000000000001" customHeight="1" x14ac:dyDescent="0.15">
      <c r="A179" s="10"/>
      <c r="B179" s="5"/>
      <c r="C179" s="10"/>
      <c r="D179" s="10"/>
      <c r="E179" s="10"/>
      <c r="F179" s="10"/>
      <c r="G179" s="7"/>
      <c r="H179" s="8"/>
      <c r="I179" s="8"/>
      <c r="J179" s="8" t="str">
        <f t="shared" si="8"/>
        <v>借</v>
      </c>
      <c r="K179" s="9">
        <f t="shared" si="10"/>
        <v>890</v>
      </c>
      <c r="L179" s="28"/>
    </row>
    <row r="180" spans="1:12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8"/>
        <v>借</v>
      </c>
      <c r="K180" s="9">
        <f t="shared" si="10"/>
        <v>890</v>
      </c>
      <c r="L180" s="28"/>
    </row>
    <row r="181" spans="1:12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8"/>
        <v>借</v>
      </c>
      <c r="K181" s="9">
        <f t="shared" si="10"/>
        <v>890</v>
      </c>
      <c r="L181" s="28"/>
    </row>
    <row r="182" spans="1:12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8"/>
        <v>借</v>
      </c>
      <c r="K182" s="9">
        <f t="shared" si="10"/>
        <v>890</v>
      </c>
      <c r="L182" s="28"/>
    </row>
    <row r="183" spans="1:12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10"/>
        <v>890</v>
      </c>
      <c r="L183" s="28"/>
    </row>
    <row r="184" spans="1:12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10"/>
        <v>890</v>
      </c>
      <c r="L184" s="28"/>
    </row>
    <row r="185" spans="1:12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10"/>
        <v>890</v>
      </c>
      <c r="L185" s="28"/>
    </row>
    <row r="186" spans="1:12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10"/>
        <v>890</v>
      </c>
      <c r="L186" s="28"/>
    </row>
    <row r="187" spans="1:12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10"/>
        <v>890</v>
      </c>
      <c r="L187" s="28"/>
    </row>
    <row r="188" spans="1:12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8"/>
        <v>借</v>
      </c>
      <c r="K188" s="9">
        <f t="shared" si="10"/>
        <v>890</v>
      </c>
      <c r="L188" s="28"/>
    </row>
    <row r="189" spans="1:12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10"/>
        <v>890</v>
      </c>
      <c r="L189" s="28"/>
    </row>
    <row r="190" spans="1:12" ht="20.100000000000001" customHeight="1" x14ac:dyDescent="0.15">
      <c r="A190" s="10"/>
      <c r="B190" s="5"/>
      <c r="C190" s="10"/>
      <c r="D190" s="10"/>
      <c r="E190" s="10"/>
      <c r="F190" s="10"/>
      <c r="G190" s="7"/>
      <c r="H190" s="8"/>
      <c r="I190" s="8"/>
      <c r="J190" s="8" t="str">
        <f t="shared" si="8"/>
        <v>借</v>
      </c>
      <c r="K190" s="9">
        <f t="shared" si="10"/>
        <v>890</v>
      </c>
      <c r="L190" s="28"/>
    </row>
    <row r="191" spans="1:12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10"/>
        <v>890</v>
      </c>
      <c r="L191" s="28"/>
    </row>
    <row r="192" spans="1:12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10"/>
        <v>890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10"/>
        <v>890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10"/>
        <v>890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10"/>
        <v>890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10"/>
        <v>890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10"/>
        <v>890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10"/>
        <v>890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62" si="11">IF((K198+H199-I199)&gt;0,"借","贷")</f>
        <v>借</v>
      </c>
      <c r="K199" s="9">
        <f t="shared" si="10"/>
        <v>890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890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890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890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890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890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1"/>
        <v>借</v>
      </c>
      <c r="K205" s="9">
        <f t="shared" si="10"/>
        <v>890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890</v>
      </c>
      <c r="L206" s="28"/>
    </row>
    <row r="207" spans="1:12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890</v>
      </c>
      <c r="L207" s="28"/>
    </row>
    <row r="208" spans="1:12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890</v>
      </c>
      <c r="L208" s="28"/>
    </row>
    <row r="209" spans="1:12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890</v>
      </c>
      <c r="L209" s="28"/>
    </row>
    <row r="210" spans="1:12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890</v>
      </c>
      <c r="L210" s="28"/>
    </row>
    <row r="211" spans="1:12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890</v>
      </c>
      <c r="L211" s="28"/>
    </row>
    <row r="212" spans="1:12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890</v>
      </c>
      <c r="L212" s="28"/>
    </row>
    <row r="213" spans="1:12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1"/>
        <v>借</v>
      </c>
      <c r="K213" s="9">
        <f t="shared" si="10"/>
        <v>890</v>
      </c>
      <c r="L213" s="28"/>
    </row>
    <row r="214" spans="1:12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890</v>
      </c>
      <c r="L214" s="28"/>
    </row>
    <row r="215" spans="1:12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si="10"/>
        <v>890</v>
      </c>
      <c r="L215" s="28"/>
    </row>
    <row r="216" spans="1:12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0"/>
        <v>890</v>
      </c>
      <c r="L216" s="28"/>
    </row>
    <row r="217" spans="1:12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0"/>
        <v>890</v>
      </c>
      <c r="L217" s="28"/>
    </row>
    <row r="218" spans="1:12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0"/>
        <v>890</v>
      </c>
      <c r="L218" s="28"/>
    </row>
    <row r="219" spans="1:12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0"/>
        <v>890</v>
      </c>
      <c r="L219" s="28"/>
    </row>
    <row r="220" spans="1:12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0"/>
        <v>890</v>
      </c>
      <c r="L220" s="28"/>
    </row>
    <row r="221" spans="1:12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0"/>
        <v>890</v>
      </c>
      <c r="L221" s="28"/>
    </row>
    <row r="222" spans="1:12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0"/>
        <v>890</v>
      </c>
      <c r="L222" s="28"/>
    </row>
    <row r="223" spans="1:12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0"/>
        <v>890</v>
      </c>
      <c r="L223" s="28"/>
    </row>
    <row r="224" spans="1:12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0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0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0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0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0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0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0"/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21">
        <f t="shared" si="10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0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0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0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1"/>
        <v>借</v>
      </c>
      <c r="K235" s="21">
        <f t="shared" si="10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1"/>
        <v>借</v>
      </c>
      <c r="K236" s="9">
        <f t="shared" si="10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1"/>
        <v>借</v>
      </c>
      <c r="K237" s="9">
        <f t="shared" si="10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1"/>
        <v>借</v>
      </c>
      <c r="K238" s="9">
        <f t="shared" ref="K238:K301" si="12">_xlfn.IFS(J237="借",K237+H238-I238,J237="贷",H238-I238-K237)</f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1"/>
        <v>借</v>
      </c>
      <c r="K239" s="9">
        <f t="shared" si="12"/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1"/>
        <v>借</v>
      </c>
      <c r="K240" s="9">
        <f t="shared" si="12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1"/>
        <v>借</v>
      </c>
      <c r="K241" s="9">
        <f t="shared" si="12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1"/>
        <v>借</v>
      </c>
      <c r="K242" s="9">
        <f t="shared" si="12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11"/>
        <v>借</v>
      </c>
      <c r="K243" s="9">
        <f t="shared" si="12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1"/>
        <v>借</v>
      </c>
      <c r="K244" s="9">
        <f t="shared" si="12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1"/>
        <v>借</v>
      </c>
      <c r="K245" s="9">
        <f t="shared" si="12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1"/>
        <v>借</v>
      </c>
      <c r="K246" s="9">
        <f t="shared" si="12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1"/>
        <v>借</v>
      </c>
      <c r="K247" s="9">
        <f t="shared" si="12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1"/>
        <v>借</v>
      </c>
      <c r="K248" s="9">
        <f t="shared" si="12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2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2"/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2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2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2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2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1"/>
        <v>借</v>
      </c>
      <c r="K255" s="9">
        <f t="shared" si="12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1"/>
        <v>借</v>
      </c>
      <c r="K256" s="9">
        <f t="shared" si="12"/>
        <v>890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1"/>
        <v>借</v>
      </c>
      <c r="K257" s="9">
        <f t="shared" si="12"/>
        <v>890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1"/>
        <v>借</v>
      </c>
      <c r="K258" s="9">
        <f t="shared" si="12"/>
        <v>890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1"/>
        <v>借</v>
      </c>
      <c r="K259" s="9">
        <f t="shared" si="12"/>
        <v>890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1"/>
        <v>借</v>
      </c>
      <c r="K260" s="9">
        <f t="shared" si="12"/>
        <v>890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1"/>
        <v>借</v>
      </c>
      <c r="K261" s="9">
        <f t="shared" si="12"/>
        <v>890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1"/>
        <v>借</v>
      </c>
      <c r="K262" s="9">
        <f t="shared" si="12"/>
        <v>890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ref="J263:J326" si="13">IF((K262+H263-I263)&gt;0,"借","贷")</f>
        <v>借</v>
      </c>
      <c r="K263" s="9">
        <f t="shared" si="12"/>
        <v>890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890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890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890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890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890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890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890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890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si="12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2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2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2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2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2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2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2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2"/>
        <v>890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2"/>
        <v>890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2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2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2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2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2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2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2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2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2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2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2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2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2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ref="K302:K365" si="14">_xlfn.IFS(J301="借",K301+H302-I302,J301="贷",H302-I302-K301)</f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4"/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4"/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4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4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4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4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4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4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4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4"/>
        <v>890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4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4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4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4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4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4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3"/>
        <v>借</v>
      </c>
      <c r="K319" s="9">
        <f t="shared" si="14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3"/>
        <v>借</v>
      </c>
      <c r="K320" s="9">
        <f t="shared" si="14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3"/>
        <v>借</v>
      </c>
      <c r="K321" s="9">
        <f t="shared" si="14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3"/>
        <v>借</v>
      </c>
      <c r="K322" s="9">
        <f t="shared" si="14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3"/>
        <v>借</v>
      </c>
      <c r="K323" s="9">
        <f t="shared" si="14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3"/>
        <v>借</v>
      </c>
      <c r="K324" s="9">
        <f t="shared" si="14"/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3"/>
        <v>借</v>
      </c>
      <c r="K325" s="9">
        <f t="shared" si="14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3"/>
        <v>借</v>
      </c>
      <c r="K326" s="9">
        <f t="shared" si="14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ref="J327:J390" si="15">IF((K326+H327-I327)&gt;0,"借","贷")</f>
        <v>借</v>
      </c>
      <c r="K327" s="9">
        <f t="shared" si="14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si="14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4"/>
        <v>890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4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4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4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4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4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4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4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4"/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4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4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4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4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4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4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4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4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4"/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4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4"/>
        <v>890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4"/>
        <v>890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4"/>
        <v>890</v>
      </c>
      <c r="L365" s="28"/>
    </row>
    <row r="366" spans="1:12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ref="K366:K429" si="16">_xlfn.IFS(J365="借",K365+H366-I366,J365="贷",H366-I366-K365)</f>
        <v>890</v>
      </c>
      <c r="L366" s="28"/>
    </row>
    <row r="367" spans="1:12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6"/>
        <v>890</v>
      </c>
      <c r="L367" s="28"/>
    </row>
    <row r="368" spans="1:12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6"/>
        <v>890</v>
      </c>
      <c r="L368" s="28"/>
    </row>
    <row r="369" spans="2:12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6"/>
        <v>890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6"/>
        <v>890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6"/>
        <v>890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6"/>
        <v>890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6"/>
        <v>890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6"/>
        <v>890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6"/>
        <v>890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6"/>
        <v>890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6"/>
        <v>890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6"/>
        <v>890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6"/>
        <v>890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6"/>
        <v>890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6"/>
        <v>890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6"/>
        <v>890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5"/>
        <v>借</v>
      </c>
      <c r="K383" s="9">
        <f t="shared" si="16"/>
        <v>890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5"/>
        <v>借</v>
      </c>
      <c r="K384" s="9">
        <f t="shared" si="16"/>
        <v>890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5"/>
        <v>借</v>
      </c>
      <c r="K385" s="9">
        <f t="shared" si="16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5"/>
        <v>借</v>
      </c>
      <c r="K386" s="9">
        <f t="shared" si="16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5"/>
        <v>借</v>
      </c>
      <c r="K387" s="9">
        <f t="shared" si="16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5"/>
        <v>借</v>
      </c>
      <c r="K388" s="9">
        <f t="shared" si="16"/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5"/>
        <v>借</v>
      </c>
      <c r="K389" s="9">
        <f t="shared" si="16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5"/>
        <v>借</v>
      </c>
      <c r="K390" s="9">
        <f t="shared" si="16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ref="J391:J454" si="17">IF((K390+H391-I391)&gt;0,"借","贷")</f>
        <v>借</v>
      </c>
      <c r="K391" s="9">
        <f t="shared" si="16"/>
        <v>890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890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890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890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890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890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890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890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890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890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890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si="16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6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6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6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6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6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6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6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6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6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6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6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6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6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6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6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6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6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6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6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6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6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6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ref="K430:K493" si="18">_xlfn.IFS(J429="借",K429+H430-I430,J429="贷",H430-I430-K429)</f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8"/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8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8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8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8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8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8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8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8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8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8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8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8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8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8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8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7"/>
        <v>借</v>
      </c>
      <c r="K447" s="9">
        <f t="shared" si="18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7"/>
        <v>借</v>
      </c>
      <c r="K448" s="9">
        <f t="shared" si="18"/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7"/>
        <v>借</v>
      </c>
      <c r="K449" s="9">
        <f t="shared" si="18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7"/>
        <v>借</v>
      </c>
      <c r="K450" s="9">
        <f t="shared" si="18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7"/>
        <v>借</v>
      </c>
      <c r="K451" s="9">
        <f t="shared" si="18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7"/>
        <v>借</v>
      </c>
      <c r="K452" s="9">
        <f t="shared" si="18"/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7"/>
        <v>借</v>
      </c>
      <c r="K453" s="9">
        <f t="shared" si="18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7"/>
        <v>借</v>
      </c>
      <c r="K454" s="9">
        <f t="shared" si="18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ref="J455:J498" si="19">IF((K454+H455-I455)&gt;0,"借","贷")</f>
        <v>借</v>
      </c>
      <c r="K455" s="9">
        <f t="shared" si="18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si="18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18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18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18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18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18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18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18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18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18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18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18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18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18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18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18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18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18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18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18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9"/>
        <v>借</v>
      </c>
      <c r="K491" s="9">
        <f t="shared" si="18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9"/>
        <v>借</v>
      </c>
      <c r="K492" s="9">
        <f t="shared" si="18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9"/>
        <v>借</v>
      </c>
      <c r="K493" s="9">
        <f t="shared" si="18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9"/>
        <v>借</v>
      </c>
      <c r="K494" s="9">
        <f t="shared" ref="K494:K498" si="20">_xlfn.IFS(J493="借",K493+H494-I494,J493="贷",H494-I494-K493)</f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9"/>
        <v>借</v>
      </c>
      <c r="K495" s="9">
        <f t="shared" si="20"/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9"/>
        <v>借</v>
      </c>
      <c r="K496" s="9">
        <f t="shared" si="20"/>
        <v>890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9"/>
        <v>借</v>
      </c>
      <c r="K497" s="9">
        <f t="shared" si="20"/>
        <v>890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9"/>
        <v>借</v>
      </c>
      <c r="K498" s="9">
        <f t="shared" si="20"/>
        <v>890</v>
      </c>
      <c r="L498" s="28"/>
    </row>
  </sheetData>
  <autoFilter ref="A4:M498" xr:uid="{00000000-0009-0000-0000-00000C000000}"/>
  <mergeCells count="11">
    <mergeCell ref="A1:K1"/>
    <mergeCell ref="M14:M17"/>
    <mergeCell ref="M31:M34"/>
    <mergeCell ref="M38:M39"/>
    <mergeCell ref="M44:M47"/>
    <mergeCell ref="M152:M155"/>
    <mergeCell ref="M53:M55"/>
    <mergeCell ref="M84:M86"/>
    <mergeCell ref="M97:M99"/>
    <mergeCell ref="M123:M125"/>
    <mergeCell ref="M134:M136"/>
  </mergeCells>
  <phoneticPr fontId="21" type="noConversion"/>
  <dataValidations count="1">
    <dataValidation type="list" allowBlank="1" showInputMessage="1" showErrorMessage="1" sqref="G5:G1048576 A1:L1" xr:uid="{00000000-0002-0000-0C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9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67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65"/>
      <c r="M27" s="65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65"/>
      <c r="M28" s="65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65"/>
      <c r="M29" s="65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65"/>
      <c r="M30" s="65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65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65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65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65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65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65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65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1" type="noConversion"/>
  <dataValidations count="2">
    <dataValidation allowBlank="1" showInputMessage="1" showErrorMessage="1" sqref="G1 A2:XFD2 G3:G4 L72:L73" xr:uid="{00000000-0002-0000-0D00-000000000000}"/>
    <dataValidation type="list" allowBlank="1" showInputMessage="1" showErrorMessage="1" sqref="G5:G1048576" xr:uid="{00000000-0002-0000-0D00-000001000000}">
      <formula1>#REF!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96"/>
  <sheetViews>
    <sheetView workbookViewId="0">
      <selection activeCell="D17" sqref="D17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  <c r="L1" s="2"/>
    </row>
    <row r="2" spans="1:13" ht="20.100000000000001" customHeight="1" x14ac:dyDescent="0.15">
      <c r="A2" t="s">
        <v>68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SUM(H5:H149999)</f>
        <v>10000</v>
      </c>
      <c r="I3" s="4">
        <f>SUM(I5:I149999)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74" si="0">IF((K5+H6-I6)&gt;0,"借","贷")</f>
        <v>借</v>
      </c>
      <c r="K6" s="9">
        <f>K5+H6-I6</f>
        <v>11000</v>
      </c>
      <c r="L6" s="28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ref="K7:K70" si="1">K6+H7-I7</f>
        <v>10900</v>
      </c>
      <c r="L7" s="28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5"/>
      <c r="D10" s="7"/>
      <c r="E10" s="7"/>
      <c r="F10" s="7"/>
      <c r="G10" s="7"/>
      <c r="H10" s="8"/>
      <c r="I10" s="14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7"/>
      <c r="E11" s="7"/>
      <c r="F11" s="7"/>
      <c r="G11" s="7"/>
      <c r="H11" s="8"/>
      <c r="I11" s="14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  <c r="L15" s="28"/>
      <c r="M15" s="65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  <c r="L16" s="28"/>
      <c r="M16" s="65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  <c r="L17" s="28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  <c r="L20" s="28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  <c r="L21" s="28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  <c r="L22" s="28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  <c r="L24" s="28"/>
      <c r="M24" s="65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  <c r="L25" s="28"/>
      <c r="M25" s="65"/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  <c r="L26" s="28"/>
      <c r="M26" s="65"/>
    </row>
    <row r="27" spans="1:13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28"/>
    </row>
    <row r="28" spans="1:13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28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28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ref="J30:J40" si="2">IF((K29+H30-I30)&gt;0,"借","贷")</f>
        <v>借</v>
      </c>
      <c r="K30" s="9">
        <f t="shared" si="1"/>
        <v>890</v>
      </c>
      <c r="L30" s="28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1"/>
        <v>890</v>
      </c>
      <c r="L31" s="28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1"/>
        <v>890</v>
      </c>
      <c r="L32" s="28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1"/>
        <v>890</v>
      </c>
      <c r="L33" s="28"/>
    </row>
    <row r="34" spans="1:13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1"/>
        <v>890</v>
      </c>
      <c r="L34" s="28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1"/>
        <v>890</v>
      </c>
      <c r="L35" s="28"/>
      <c r="M35" s="65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1"/>
        <v>890</v>
      </c>
      <c r="L36" s="28"/>
      <c r="M36" s="65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1"/>
        <v>890</v>
      </c>
      <c r="L37" s="28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1"/>
        <v>890</v>
      </c>
      <c r="L38" s="28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1"/>
        <v>890</v>
      </c>
      <c r="L39" s="28"/>
      <c r="M39" s="65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1"/>
        <v>890</v>
      </c>
      <c r="L40" s="28"/>
      <c r="M40" s="65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ref="J41:J57" si="3">IF((K40+H41-I41)&gt;0,"借","贷")</f>
        <v>借</v>
      </c>
      <c r="K41" s="9">
        <f t="shared" si="1"/>
        <v>890</v>
      </c>
      <c r="L41" s="28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3"/>
        <v>借</v>
      </c>
      <c r="K42" s="9">
        <f t="shared" si="1"/>
        <v>890</v>
      </c>
      <c r="L42" s="28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3"/>
        <v>借</v>
      </c>
      <c r="K43" s="9">
        <f t="shared" si="1"/>
        <v>890</v>
      </c>
      <c r="L43" s="28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3"/>
        <v>借</v>
      </c>
      <c r="K44" s="9">
        <f t="shared" si="1"/>
        <v>890</v>
      </c>
      <c r="L44" s="28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3"/>
        <v>借</v>
      </c>
      <c r="K45" s="9">
        <f t="shared" si="1"/>
        <v>890</v>
      </c>
      <c r="L45" s="28"/>
      <c r="M45" s="65"/>
    </row>
    <row r="46" spans="1:13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3"/>
        <v>借</v>
      </c>
      <c r="K46" s="9">
        <f t="shared" si="1"/>
        <v>890</v>
      </c>
      <c r="L46" s="28"/>
      <c r="M46" s="65"/>
    </row>
    <row r="47" spans="1:13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3"/>
        <v>借</v>
      </c>
      <c r="K47" s="9">
        <f t="shared" si="1"/>
        <v>890</v>
      </c>
      <c r="L47" s="28"/>
      <c r="M47" s="65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3"/>
        <v>借</v>
      </c>
      <c r="K48" s="9">
        <f t="shared" si="1"/>
        <v>890</v>
      </c>
      <c r="L48" s="28"/>
      <c r="M48" s="65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3"/>
        <v>借</v>
      </c>
      <c r="K49" s="9">
        <f t="shared" si="1"/>
        <v>890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3"/>
        <v>借</v>
      </c>
      <c r="K50" s="9">
        <f t="shared" si="1"/>
        <v>890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3"/>
        <v>借</v>
      </c>
      <c r="K51" s="9">
        <f t="shared" si="1"/>
        <v>890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3"/>
        <v>借</v>
      </c>
      <c r="K52" s="9">
        <f t="shared" si="1"/>
        <v>890</v>
      </c>
      <c r="L52" s="28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3"/>
        <v>借</v>
      </c>
      <c r="K53" s="9">
        <f t="shared" si="1"/>
        <v>890</v>
      </c>
      <c r="L53" s="28"/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3"/>
        <v>借</v>
      </c>
      <c r="K54" s="9">
        <f t="shared" si="1"/>
        <v>890</v>
      </c>
      <c r="L54" s="28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3"/>
        <v>借</v>
      </c>
      <c r="K55" s="9">
        <f t="shared" si="1"/>
        <v>890</v>
      </c>
      <c r="L55" s="28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3"/>
        <v>借</v>
      </c>
      <c r="K56" s="9">
        <f t="shared" si="1"/>
        <v>890</v>
      </c>
      <c r="L56" s="28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3"/>
        <v>借</v>
      </c>
      <c r="K57" s="9">
        <f t="shared" si="1"/>
        <v>890</v>
      </c>
      <c r="L57" s="28"/>
      <c r="M57" s="65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  <c r="L58" s="28"/>
      <c r="M58" s="65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  <c r="L59" s="28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  <c r="L60" s="28"/>
    </row>
    <row r="61" spans="1:13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890</v>
      </c>
      <c r="L62" s="28"/>
      <c r="M62" s="65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890</v>
      </c>
      <c r="L63" s="28"/>
      <c r="M63" s="65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890</v>
      </c>
      <c r="L64" s="28"/>
      <c r="M64" s="65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890</v>
      </c>
      <c r="L65" s="28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890</v>
      </c>
      <c r="L66" s="28"/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890</v>
      </c>
      <c r="L67" s="28"/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890</v>
      </c>
      <c r="L68" s="28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890</v>
      </c>
      <c r="L69" s="28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si="0"/>
        <v>借</v>
      </c>
      <c r="K70" s="9">
        <f t="shared" si="1"/>
        <v>890</v>
      </c>
      <c r="L70" s="28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0"/>
        <v>借</v>
      </c>
      <c r="K71" s="9">
        <f>K70+H71-I71</f>
        <v>890</v>
      </c>
      <c r="L71" s="28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0"/>
        <v>借</v>
      </c>
      <c r="K72" s="9">
        <f>K71+H72-I72</f>
        <v>890</v>
      </c>
      <c r="L72" s="28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0"/>
        <v>借</v>
      </c>
      <c r="K73" s="9">
        <f>K72+H73-I73</f>
        <v>890</v>
      </c>
      <c r="L73" s="28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0"/>
        <v>借</v>
      </c>
      <c r="K74" s="9">
        <f>K73+H74-I74</f>
        <v>890</v>
      </c>
      <c r="L74" s="28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ref="J75:J80" si="4">IF((K74+H75-I75)&gt;0,"借","贷")</f>
        <v>借</v>
      </c>
      <c r="K75" s="9">
        <f t="shared" ref="K75:K81" si="5">K74+H75-I75</f>
        <v>890</v>
      </c>
      <c r="L75" s="28"/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15"/>
      <c r="J76" s="8" t="str">
        <f t="shared" si="4"/>
        <v>借</v>
      </c>
      <c r="K76" s="9">
        <f t="shared" si="5"/>
        <v>890</v>
      </c>
      <c r="L76" s="28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15"/>
      <c r="J77" s="8" t="str">
        <f t="shared" si="4"/>
        <v>借</v>
      </c>
      <c r="K77" s="9">
        <f t="shared" si="5"/>
        <v>890</v>
      </c>
      <c r="L77" s="28"/>
    </row>
    <row r="78" spans="1:13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15"/>
      <c r="J78" s="8" t="str">
        <f t="shared" si="4"/>
        <v>借</v>
      </c>
      <c r="K78" s="9">
        <f t="shared" si="5"/>
        <v>890</v>
      </c>
      <c r="L78" s="28"/>
    </row>
    <row r="79" spans="1:13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4"/>
        <v>借</v>
      </c>
      <c r="K79" s="9">
        <f t="shared" si="5"/>
        <v>890</v>
      </c>
      <c r="L79" s="28"/>
      <c r="M79" s="65"/>
    </row>
    <row r="80" spans="1:13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8"/>
      <c r="J80" s="8" t="str">
        <f t="shared" si="4"/>
        <v>借</v>
      </c>
      <c r="K80" s="9">
        <f t="shared" si="5"/>
        <v>890</v>
      </c>
      <c r="L80" s="28"/>
      <c r="M80" s="65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ref="J81:J132" si="6">IF((K80+H81-I81)&gt;0,"借","贷")</f>
        <v>借</v>
      </c>
      <c r="K81" s="9">
        <f t="shared" si="5"/>
        <v>890</v>
      </c>
      <c r="L81" s="28"/>
      <c r="M81" s="65"/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6"/>
        <v>借</v>
      </c>
      <c r="K82" s="9">
        <f t="shared" ref="K82:K131" si="7">K81+H82-I82</f>
        <v>890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6"/>
        <v>借</v>
      </c>
      <c r="K83" s="9">
        <f t="shared" si="7"/>
        <v>890</v>
      </c>
      <c r="L83" s="28"/>
    </row>
    <row r="84" spans="1:13" ht="20.100000000000001" customHeight="1" x14ac:dyDescent="0.15">
      <c r="A84" s="10"/>
      <c r="B84" s="5"/>
      <c r="C84" s="10"/>
      <c r="D84" s="10"/>
      <c r="E84" s="10"/>
      <c r="F84" s="10"/>
      <c r="G84" s="10"/>
      <c r="H84" s="8"/>
      <c r="I84" s="15"/>
      <c r="J84" s="8" t="str">
        <f t="shared" si="6"/>
        <v>借</v>
      </c>
      <c r="K84" s="9">
        <f t="shared" si="7"/>
        <v>890</v>
      </c>
      <c r="L84" s="28"/>
    </row>
    <row r="85" spans="1:13" ht="20.100000000000001" customHeight="1" x14ac:dyDescent="0.15">
      <c r="A85" s="10"/>
      <c r="B85" s="5"/>
      <c r="C85" s="10"/>
      <c r="D85" s="10"/>
      <c r="E85" s="10"/>
      <c r="F85" s="10"/>
      <c r="G85" s="10"/>
      <c r="H85" s="8"/>
      <c r="I85" s="15"/>
      <c r="J85" s="8" t="str">
        <f t="shared" si="6"/>
        <v>借</v>
      </c>
      <c r="K85" s="9">
        <f t="shared" si="7"/>
        <v>890</v>
      </c>
      <c r="L85" s="28"/>
    </row>
    <row r="86" spans="1:13" ht="20.100000000000001" customHeight="1" x14ac:dyDescent="0.15">
      <c r="A86" s="5"/>
      <c r="B86" s="5"/>
      <c r="C86" s="10"/>
      <c r="D86" s="10"/>
      <c r="E86" s="10"/>
      <c r="F86" s="10"/>
      <c r="G86" s="10"/>
      <c r="H86" s="8"/>
      <c r="I86" s="15"/>
      <c r="J86" s="8" t="str">
        <f t="shared" si="6"/>
        <v>借</v>
      </c>
      <c r="K86" s="9">
        <f t="shared" si="7"/>
        <v>890</v>
      </c>
      <c r="L86" s="28"/>
    </row>
    <row r="87" spans="1:13" ht="20.100000000000001" customHeight="1" x14ac:dyDescent="0.15">
      <c r="A87" s="5"/>
      <c r="B87" s="5"/>
      <c r="C87" s="10"/>
      <c r="D87" s="10"/>
      <c r="E87" s="10"/>
      <c r="F87" s="10"/>
      <c r="G87" s="10"/>
      <c r="H87" s="8"/>
      <c r="I87" s="15"/>
      <c r="J87" s="8" t="str">
        <f t="shared" si="6"/>
        <v>借</v>
      </c>
      <c r="K87" s="9">
        <f t="shared" si="7"/>
        <v>890</v>
      </c>
      <c r="L87" s="28"/>
    </row>
    <row r="88" spans="1:13" ht="20.100000000000001" customHeight="1" x14ac:dyDescent="0.15">
      <c r="A88" s="5"/>
      <c r="B88" s="5"/>
      <c r="C88" s="10"/>
      <c r="D88" s="10"/>
      <c r="E88" s="10"/>
      <c r="F88" s="10"/>
      <c r="G88" s="10"/>
      <c r="H88" s="8"/>
      <c r="I88" s="8"/>
      <c r="J88" s="8" t="str">
        <f t="shared" si="6"/>
        <v>借</v>
      </c>
      <c r="K88" s="9">
        <f t="shared" si="7"/>
        <v>890</v>
      </c>
      <c r="L88" s="28"/>
    </row>
    <row r="89" spans="1:13" ht="20.100000000000001" customHeight="1" x14ac:dyDescent="0.15">
      <c r="A89" s="5"/>
      <c r="B89" s="5"/>
      <c r="C89" s="10"/>
      <c r="D89" s="10"/>
      <c r="E89" s="10"/>
      <c r="F89" s="10"/>
      <c r="G89" s="10"/>
      <c r="H89" s="8"/>
      <c r="I89" s="15"/>
      <c r="J89" s="8" t="str">
        <f t="shared" si="6"/>
        <v>借</v>
      </c>
      <c r="K89" s="9">
        <f t="shared" si="7"/>
        <v>890</v>
      </c>
      <c r="L89" s="28"/>
    </row>
    <row r="90" spans="1:13" ht="2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6"/>
        <v>借</v>
      </c>
      <c r="K90" s="9">
        <f t="shared" si="7"/>
        <v>890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6"/>
        <v>借</v>
      </c>
      <c r="K91" s="9">
        <f t="shared" si="7"/>
        <v>890</v>
      </c>
      <c r="L91" s="28"/>
    </row>
    <row r="92" spans="1:13" ht="20.100000000000001" customHeight="1" x14ac:dyDescent="0.15">
      <c r="A92" s="10"/>
      <c r="B92" s="5"/>
      <c r="C92" s="5"/>
      <c r="D92" s="10"/>
      <c r="F92" s="10"/>
      <c r="G92" s="10"/>
      <c r="H92" s="8"/>
      <c r="I92" s="8"/>
      <c r="J92" s="8" t="str">
        <f t="shared" si="6"/>
        <v>借</v>
      </c>
      <c r="K92" s="9">
        <f t="shared" si="7"/>
        <v>890</v>
      </c>
      <c r="L92" s="28"/>
    </row>
    <row r="93" spans="1:13" ht="20.100000000000001" customHeight="1" x14ac:dyDescent="0.15">
      <c r="A93" s="10"/>
      <c r="B93" s="5"/>
      <c r="C93" s="5"/>
      <c r="D93" s="10"/>
      <c r="E93" s="10"/>
      <c r="F93" s="10"/>
      <c r="G93" s="10"/>
      <c r="H93" s="8"/>
      <c r="I93" s="8"/>
      <c r="J93" s="8" t="str">
        <f t="shared" si="6"/>
        <v>借</v>
      </c>
      <c r="K93" s="9">
        <f t="shared" si="7"/>
        <v>890</v>
      </c>
      <c r="L93" s="28"/>
    </row>
    <row r="94" spans="1:13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6"/>
        <v>借</v>
      </c>
      <c r="K94" s="9">
        <f t="shared" si="7"/>
        <v>890</v>
      </c>
      <c r="L94" s="28"/>
      <c r="M94" s="65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6"/>
        <v>借</v>
      </c>
      <c r="K95" s="9">
        <f t="shared" si="7"/>
        <v>890</v>
      </c>
      <c r="L95" s="28"/>
      <c r="M95" s="65"/>
    </row>
    <row r="96" spans="1:13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6"/>
        <v>借</v>
      </c>
      <c r="K96" s="9">
        <f t="shared" si="7"/>
        <v>890</v>
      </c>
      <c r="L96" s="28"/>
      <c r="M96" s="65"/>
    </row>
    <row r="97" spans="1:13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6"/>
        <v>借</v>
      </c>
      <c r="K97" s="9">
        <f t="shared" si="7"/>
        <v>890</v>
      </c>
      <c r="L97" s="28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6"/>
        <v>借</v>
      </c>
      <c r="K98" s="9">
        <f t="shared" si="7"/>
        <v>890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6"/>
        <v>借</v>
      </c>
      <c r="K99" s="9">
        <f t="shared" si="7"/>
        <v>890</v>
      </c>
      <c r="L99" s="28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6"/>
        <v>借</v>
      </c>
      <c r="K100" s="9">
        <f t="shared" si="7"/>
        <v>890</v>
      </c>
      <c r="L100" s="28"/>
      <c r="M100" s="65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6"/>
        <v>借</v>
      </c>
      <c r="K101" s="9">
        <f t="shared" si="7"/>
        <v>890</v>
      </c>
      <c r="L101" s="28"/>
      <c r="M101" s="65"/>
    </row>
    <row r="102" spans="1:13" ht="20.100000000000001" customHeight="1" x14ac:dyDescent="0.15">
      <c r="A102" s="10"/>
      <c r="B102" s="5"/>
      <c r="C102" s="5"/>
      <c r="D102" s="10"/>
      <c r="E102" s="10"/>
      <c r="F102" s="10"/>
      <c r="G102" s="10"/>
      <c r="H102" s="8"/>
      <c r="I102" s="8"/>
      <c r="J102" s="8" t="str">
        <f t="shared" si="6"/>
        <v>借</v>
      </c>
      <c r="K102" s="9">
        <f t="shared" si="7"/>
        <v>890</v>
      </c>
      <c r="L102" s="28"/>
    </row>
    <row r="103" spans="1:13" ht="20.100000000000001" customHeight="1" x14ac:dyDescent="0.15">
      <c r="A103" s="10"/>
      <c r="B103" s="5"/>
      <c r="C103" s="5"/>
      <c r="D103" s="10"/>
      <c r="E103" s="10"/>
      <c r="F103" s="14"/>
      <c r="G103" s="14"/>
      <c r="H103" s="8"/>
      <c r="I103" s="8"/>
      <c r="J103" s="8" t="str">
        <f t="shared" si="6"/>
        <v>借</v>
      </c>
      <c r="K103" s="9">
        <f t="shared" si="7"/>
        <v>890</v>
      </c>
      <c r="L103" s="28"/>
      <c r="M103" s="65"/>
    </row>
    <row r="104" spans="1:13" ht="20.100000000000001" customHeight="1" x14ac:dyDescent="0.15">
      <c r="A104" s="5"/>
      <c r="B104" s="5"/>
      <c r="C104" s="5"/>
      <c r="D104" s="10"/>
      <c r="E104" s="10"/>
      <c r="F104" s="14"/>
      <c r="G104" s="14"/>
      <c r="H104" s="8"/>
      <c r="I104" s="8"/>
      <c r="J104" s="8" t="str">
        <f t="shared" si="6"/>
        <v>借</v>
      </c>
      <c r="K104" s="9">
        <f t="shared" si="7"/>
        <v>890</v>
      </c>
      <c r="L104" s="28"/>
      <c r="M104" s="65"/>
    </row>
    <row r="105" spans="1:13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si="7"/>
        <v>890</v>
      </c>
      <c r="L105" s="28"/>
    </row>
    <row r="106" spans="1:13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890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890</v>
      </c>
      <c r="L107" s="28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890</v>
      </c>
      <c r="L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890</v>
      </c>
      <c r="L109" s="28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6"/>
        <v>借</v>
      </c>
      <c r="K110" s="9">
        <f t="shared" si="7"/>
        <v>890</v>
      </c>
      <c r="L110" s="28"/>
    </row>
    <row r="111" spans="1:13" ht="20.100000000000001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6"/>
        <v>借</v>
      </c>
      <c r="K111" s="9">
        <f t="shared" si="7"/>
        <v>890</v>
      </c>
      <c r="L111" s="28"/>
    </row>
    <row r="112" spans="1:13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890</v>
      </c>
      <c r="L112" s="28"/>
    </row>
    <row r="113" spans="1:13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6"/>
        <v>借</v>
      </c>
      <c r="K113" s="9">
        <f t="shared" si="7"/>
        <v>890</v>
      </c>
      <c r="L113" s="28"/>
    </row>
    <row r="114" spans="1:13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6"/>
        <v>借</v>
      </c>
      <c r="K114" s="9">
        <f t="shared" si="7"/>
        <v>890</v>
      </c>
      <c r="L114" s="28"/>
      <c r="M114" s="65"/>
    </row>
    <row r="115" spans="1:13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6"/>
        <v>借</v>
      </c>
      <c r="K115" s="9">
        <f t="shared" si="7"/>
        <v>890</v>
      </c>
      <c r="L115" s="28"/>
      <c r="M115" s="65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6"/>
        <v>借</v>
      </c>
      <c r="K116" s="9">
        <f t="shared" si="7"/>
        <v>890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6"/>
        <v>借</v>
      </c>
      <c r="K117" s="9">
        <f t="shared" si="7"/>
        <v>890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6"/>
        <v>借</v>
      </c>
      <c r="K118" s="9">
        <f t="shared" si="7"/>
        <v>890</v>
      </c>
      <c r="L118" s="28"/>
    </row>
    <row r="119" spans="1:13" ht="20.100000000000001" customHeight="1" x14ac:dyDescent="0.15">
      <c r="A119" s="10"/>
      <c r="B119" s="5"/>
      <c r="C119" s="5"/>
      <c r="D119" s="10"/>
      <c r="E119" s="10"/>
      <c r="F119" s="10"/>
      <c r="G119" s="10"/>
      <c r="H119" s="8"/>
      <c r="I119" s="8"/>
      <c r="J119" s="8" t="str">
        <f t="shared" si="6"/>
        <v>借</v>
      </c>
      <c r="K119" s="9">
        <f t="shared" si="7"/>
        <v>890</v>
      </c>
      <c r="L119" s="28"/>
      <c r="M119" s="65"/>
    </row>
    <row r="120" spans="1:13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6"/>
        <v>借</v>
      </c>
      <c r="K120" s="9">
        <f t="shared" si="7"/>
        <v>890</v>
      </c>
      <c r="L120" s="28"/>
      <c r="M120" s="65"/>
    </row>
    <row r="121" spans="1:13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6"/>
        <v>借</v>
      </c>
      <c r="K121" s="9">
        <f t="shared" si="7"/>
        <v>890</v>
      </c>
      <c r="L121" s="28"/>
      <c r="M121" s="65"/>
    </row>
    <row r="122" spans="1:13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6"/>
        <v>借</v>
      </c>
      <c r="K122" s="9">
        <f t="shared" si="7"/>
        <v>890</v>
      </c>
      <c r="L122" s="28"/>
    </row>
    <row r="123" spans="1:13" ht="20.100000000000001" customHeight="1" x14ac:dyDescent="0.15">
      <c r="A123" s="5"/>
      <c r="B123" s="5"/>
      <c r="C123" s="10"/>
      <c r="D123" s="10"/>
      <c r="E123" s="10"/>
      <c r="F123" s="10"/>
      <c r="G123" s="10"/>
      <c r="H123" s="8"/>
      <c r="I123" s="8"/>
      <c r="J123" s="8" t="str">
        <f t="shared" si="6"/>
        <v>借</v>
      </c>
      <c r="K123" s="9">
        <f t="shared" si="7"/>
        <v>890</v>
      </c>
      <c r="L123" s="28"/>
    </row>
    <row r="124" spans="1:13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6"/>
        <v>借</v>
      </c>
      <c r="K124" s="9">
        <f t="shared" si="7"/>
        <v>890</v>
      </c>
      <c r="L124" s="28"/>
    </row>
    <row r="125" spans="1:13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6"/>
        <v>借</v>
      </c>
      <c r="K125" s="9">
        <f t="shared" si="7"/>
        <v>890</v>
      </c>
      <c r="L125" s="28"/>
    </row>
    <row r="126" spans="1:13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6"/>
        <v>借</v>
      </c>
      <c r="K126" s="9">
        <f t="shared" si="7"/>
        <v>890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6"/>
        <v>借</v>
      </c>
      <c r="K127" s="9">
        <f t="shared" si="7"/>
        <v>890</v>
      </c>
      <c r="L127" s="28"/>
      <c r="M127" s="65"/>
    </row>
    <row r="128" spans="1:13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6"/>
        <v>借</v>
      </c>
      <c r="K128" s="9">
        <f t="shared" si="7"/>
        <v>890</v>
      </c>
      <c r="L128" s="28"/>
      <c r="M128" s="65"/>
    </row>
    <row r="129" spans="1:13" ht="20.100000000000001" customHeight="1" x14ac:dyDescent="0.15">
      <c r="A129" s="10"/>
      <c r="B129" s="5"/>
      <c r="C129" s="5"/>
      <c r="D129" s="10"/>
      <c r="E129" s="16"/>
      <c r="F129" s="10"/>
      <c r="G129" s="10"/>
      <c r="H129" s="8"/>
      <c r="I129" s="8"/>
      <c r="J129" s="8" t="str">
        <f t="shared" si="6"/>
        <v>借</v>
      </c>
      <c r="K129" s="9">
        <f t="shared" si="7"/>
        <v>890</v>
      </c>
      <c r="L129" s="28"/>
    </row>
    <row r="130" spans="1:13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6"/>
        <v>借</v>
      </c>
      <c r="K130" s="9">
        <f t="shared" si="7"/>
        <v>890</v>
      </c>
      <c r="L130" s="28"/>
    </row>
    <row r="131" spans="1:13" ht="20.100000000000001" customHeight="1" x14ac:dyDescent="0.15">
      <c r="A131" s="5"/>
      <c r="B131" s="5"/>
      <c r="C131" s="5"/>
      <c r="D131" s="13"/>
      <c r="E131" s="16"/>
      <c r="F131" s="10"/>
      <c r="G131" s="10"/>
      <c r="H131" s="8"/>
      <c r="I131" s="8"/>
      <c r="J131" s="8" t="str">
        <f t="shared" si="6"/>
        <v>借</v>
      </c>
      <c r="K131" s="9">
        <f t="shared" si="7"/>
        <v>890</v>
      </c>
      <c r="L131" s="28"/>
    </row>
    <row r="132" spans="1:13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6"/>
        <v>借</v>
      </c>
      <c r="K132" s="9">
        <f t="shared" ref="K132:K195" si="8">K131+H132-I132</f>
        <v>890</v>
      </c>
      <c r="L132" s="28"/>
    </row>
    <row r="133" spans="1:13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ref="J133:J196" si="9">IF((K132+H133-I133)&gt;0,"借","贷")</f>
        <v>借</v>
      </c>
      <c r="K133" s="9">
        <f t="shared" si="8"/>
        <v>890</v>
      </c>
      <c r="L133" s="28"/>
      <c r="M133" s="65"/>
    </row>
    <row r="134" spans="1:13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9"/>
        <v>借</v>
      </c>
      <c r="K134" s="9">
        <f t="shared" si="8"/>
        <v>890</v>
      </c>
      <c r="L134" s="28"/>
      <c r="M134" s="65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9"/>
        <v>借</v>
      </c>
      <c r="K135" s="9">
        <f t="shared" si="8"/>
        <v>890</v>
      </c>
      <c r="L135" s="28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9"/>
        <v>借</v>
      </c>
      <c r="K136" s="9">
        <f t="shared" si="8"/>
        <v>890</v>
      </c>
      <c r="L136" s="28"/>
    </row>
    <row r="137" spans="1:13" ht="20.100000000000001" customHeight="1" x14ac:dyDescent="0.15">
      <c r="A137" s="10"/>
      <c r="B137" s="5"/>
      <c r="C137" s="5"/>
      <c r="D137" s="10"/>
      <c r="E137" s="10"/>
      <c r="F137" s="10"/>
      <c r="G137" s="10"/>
      <c r="H137" s="8"/>
      <c r="I137" s="8"/>
      <c r="J137" s="8" t="str">
        <f t="shared" si="9"/>
        <v>借</v>
      </c>
      <c r="K137" s="9">
        <f t="shared" si="8"/>
        <v>890</v>
      </c>
      <c r="L137" s="28"/>
    </row>
    <row r="138" spans="1:13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9"/>
        <v>借</v>
      </c>
      <c r="K138" s="9">
        <f t="shared" si="8"/>
        <v>890</v>
      </c>
      <c r="L138" s="28"/>
    </row>
    <row r="139" spans="1:13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10"/>
      <c r="J139" s="8" t="str">
        <f t="shared" si="9"/>
        <v>借</v>
      </c>
      <c r="K139" s="9">
        <f t="shared" si="8"/>
        <v>890</v>
      </c>
      <c r="L139" s="28"/>
      <c r="M139" s="65"/>
    </row>
    <row r="140" spans="1:13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10"/>
      <c r="J140" s="8" t="str">
        <f t="shared" si="9"/>
        <v>借</v>
      </c>
      <c r="K140" s="9">
        <f t="shared" si="8"/>
        <v>890</v>
      </c>
      <c r="L140" s="28"/>
      <c r="M140" s="65"/>
    </row>
    <row r="141" spans="1:13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10"/>
      <c r="J141" s="8" t="str">
        <f t="shared" si="9"/>
        <v>借</v>
      </c>
      <c r="K141" s="9">
        <f t="shared" si="8"/>
        <v>890</v>
      </c>
      <c r="L141" s="28"/>
      <c r="M141" s="65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9"/>
        <v>借</v>
      </c>
      <c r="K142" s="9">
        <f t="shared" si="8"/>
        <v>890</v>
      </c>
      <c r="L142" s="28"/>
      <c r="M142" s="65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9"/>
        <v>借</v>
      </c>
      <c r="K143" s="9">
        <f t="shared" si="8"/>
        <v>890</v>
      </c>
      <c r="L143" s="28"/>
      <c r="M143" s="65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9"/>
        <v>借</v>
      </c>
      <c r="K144" s="9">
        <f t="shared" si="8"/>
        <v>890</v>
      </c>
      <c r="L144" s="28"/>
      <c r="M144" s="65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9"/>
        <v>借</v>
      </c>
      <c r="K145" s="9">
        <f t="shared" si="8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9"/>
        <v>借</v>
      </c>
      <c r="K146" s="9">
        <f t="shared" si="8"/>
        <v>890</v>
      </c>
      <c r="L146" s="28"/>
    </row>
    <row r="147" spans="1:13" ht="20.100000000000001" customHeight="1" x14ac:dyDescent="0.15">
      <c r="A147" s="10"/>
      <c r="B147" s="5"/>
      <c r="C147" s="5"/>
      <c r="D147" s="10"/>
      <c r="E147" s="10"/>
      <c r="F147" s="10"/>
      <c r="G147" s="10"/>
      <c r="H147" s="8"/>
      <c r="I147" s="8"/>
      <c r="J147" s="8" t="str">
        <f t="shared" si="9"/>
        <v>借</v>
      </c>
      <c r="K147" s="9">
        <f t="shared" si="8"/>
        <v>890</v>
      </c>
      <c r="L147" s="28"/>
    </row>
    <row r="148" spans="1:13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9"/>
        <v>借</v>
      </c>
      <c r="K148" s="9">
        <f t="shared" si="8"/>
        <v>890</v>
      </c>
      <c r="L148" s="28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9"/>
        <v>借</v>
      </c>
      <c r="K149" s="9">
        <f t="shared" si="8"/>
        <v>890</v>
      </c>
      <c r="L149" s="28"/>
      <c r="M149" s="65"/>
    </row>
    <row r="150" spans="1:13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9"/>
        <v>借</v>
      </c>
      <c r="K150" s="9">
        <f t="shared" si="8"/>
        <v>890</v>
      </c>
      <c r="L150" s="28"/>
      <c r="M150" s="65"/>
    </row>
    <row r="151" spans="1:13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9"/>
        <v>借</v>
      </c>
      <c r="K151" s="9">
        <f t="shared" si="8"/>
        <v>890</v>
      </c>
      <c r="L151" s="28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9"/>
        <v>借</v>
      </c>
      <c r="K152" s="9">
        <f t="shared" si="8"/>
        <v>890</v>
      </c>
      <c r="L152" s="28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9"/>
        <v>借</v>
      </c>
      <c r="K153" s="9">
        <f t="shared" si="8"/>
        <v>890</v>
      </c>
      <c r="L153" s="28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9"/>
        <v>借</v>
      </c>
      <c r="K154" s="9">
        <f t="shared" si="8"/>
        <v>890</v>
      </c>
      <c r="L154" s="28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9"/>
        <v>借</v>
      </c>
      <c r="K155" s="9">
        <f t="shared" si="8"/>
        <v>890</v>
      </c>
      <c r="L155" s="28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9"/>
        <v>借</v>
      </c>
      <c r="K156" s="9">
        <f t="shared" si="8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9"/>
        <v>借</v>
      </c>
      <c r="K157" s="9">
        <f t="shared" si="8"/>
        <v>890</v>
      </c>
      <c r="L157" s="28"/>
    </row>
    <row r="158" spans="1:13" ht="20.100000000000001" customHeight="1" x14ac:dyDescent="0.15">
      <c r="A158" s="10"/>
      <c r="B158" s="5"/>
      <c r="C158" s="5"/>
      <c r="D158" s="10"/>
      <c r="E158" s="10"/>
      <c r="F158" s="10"/>
      <c r="G158" s="10"/>
      <c r="H158" s="8"/>
      <c r="I158" s="8"/>
      <c r="J158" s="8" t="str">
        <f t="shared" si="9"/>
        <v>借</v>
      </c>
      <c r="K158" s="9">
        <f t="shared" si="8"/>
        <v>890</v>
      </c>
      <c r="L158" s="28"/>
    </row>
    <row r="159" spans="1:13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9"/>
        <v>借</v>
      </c>
      <c r="K159" s="9">
        <f t="shared" si="8"/>
        <v>890</v>
      </c>
      <c r="L159" s="28"/>
    </row>
    <row r="160" spans="1:13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9"/>
        <v>借</v>
      </c>
      <c r="K160" s="9">
        <f t="shared" si="8"/>
        <v>890</v>
      </c>
      <c r="L160" s="28"/>
    </row>
    <row r="161" spans="1:13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9"/>
        <v>借</v>
      </c>
      <c r="K161" s="9">
        <f t="shared" si="8"/>
        <v>890</v>
      </c>
      <c r="L161" s="28"/>
      <c r="M161" s="65"/>
    </row>
    <row r="162" spans="1:13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9"/>
        <v>借</v>
      </c>
      <c r="K162" s="9">
        <f t="shared" si="8"/>
        <v>890</v>
      </c>
      <c r="L162" s="28"/>
      <c r="M162" s="65"/>
    </row>
    <row r="163" spans="1:13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9"/>
        <v>借</v>
      </c>
      <c r="K163" s="9">
        <f t="shared" si="8"/>
        <v>890</v>
      </c>
      <c r="L163" s="28"/>
    </row>
    <row r="164" spans="1:13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9"/>
        <v>借</v>
      </c>
      <c r="K164" s="9">
        <f t="shared" si="8"/>
        <v>890</v>
      </c>
      <c r="L164" s="28"/>
    </row>
    <row r="165" spans="1:13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9"/>
        <v>借</v>
      </c>
      <c r="K165" s="9">
        <f t="shared" si="8"/>
        <v>890</v>
      </c>
      <c r="L165" s="28"/>
    </row>
    <row r="166" spans="1:13" ht="20.100000000000001" customHeight="1" x14ac:dyDescent="0.15">
      <c r="A166" s="10"/>
      <c r="B166" s="5"/>
      <c r="C166" s="10"/>
      <c r="D166" s="10"/>
      <c r="E166" s="17"/>
      <c r="F166" s="10"/>
      <c r="G166" s="10"/>
      <c r="H166" s="8"/>
      <c r="I166" s="8"/>
      <c r="J166" s="8" t="str">
        <f t="shared" si="9"/>
        <v>借</v>
      </c>
      <c r="K166" s="9">
        <f t="shared" si="8"/>
        <v>890</v>
      </c>
      <c r="L166" s="28"/>
    </row>
    <row r="167" spans="1:13" ht="20.100000000000001" customHeight="1" x14ac:dyDescent="0.15">
      <c r="A167" s="10"/>
      <c r="B167" s="5"/>
      <c r="C167" s="10"/>
      <c r="D167" s="10"/>
      <c r="E167" s="37"/>
      <c r="F167" s="10"/>
      <c r="G167" s="10"/>
      <c r="H167" s="8"/>
      <c r="I167" s="8"/>
      <c r="J167" s="8" t="str">
        <f t="shared" si="9"/>
        <v>借</v>
      </c>
      <c r="K167" s="9">
        <f t="shared" si="8"/>
        <v>890</v>
      </c>
      <c r="L167" s="28"/>
    </row>
    <row r="168" spans="1:13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9"/>
        <v>借</v>
      </c>
      <c r="K168" s="9">
        <f t="shared" si="8"/>
        <v>890</v>
      </c>
      <c r="L168" s="28"/>
    </row>
    <row r="169" spans="1:13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9"/>
        <v>借</v>
      </c>
      <c r="K169" s="9">
        <f t="shared" si="8"/>
        <v>890</v>
      </c>
      <c r="L169" s="28"/>
      <c r="M169" s="65"/>
    </row>
    <row r="170" spans="1:13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9"/>
        <v>借</v>
      </c>
      <c r="K170" s="9">
        <f t="shared" si="8"/>
        <v>890</v>
      </c>
      <c r="L170" s="28"/>
      <c r="M170" s="65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9"/>
        <v>借</v>
      </c>
      <c r="K171" s="9">
        <f t="shared" si="8"/>
        <v>890</v>
      </c>
      <c r="L171" s="28"/>
    </row>
    <row r="172" spans="1:13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9"/>
        <v>借</v>
      </c>
      <c r="K172" s="9">
        <f t="shared" si="8"/>
        <v>890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9"/>
        <v>借</v>
      </c>
      <c r="K173" s="9">
        <f t="shared" si="8"/>
        <v>890</v>
      </c>
      <c r="L173" s="28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9"/>
        <v>借</v>
      </c>
      <c r="K174" s="9">
        <f t="shared" si="8"/>
        <v>890</v>
      </c>
      <c r="L174" s="28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9"/>
        <v>借</v>
      </c>
      <c r="K175" s="9">
        <f t="shared" si="8"/>
        <v>890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9"/>
        <v>借</v>
      </c>
      <c r="K176" s="9">
        <f t="shared" si="8"/>
        <v>890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9"/>
        <v>借</v>
      </c>
      <c r="K177" s="9">
        <f t="shared" si="8"/>
        <v>890</v>
      </c>
      <c r="L177" s="28"/>
      <c r="M177" s="65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9"/>
        <v>借</v>
      </c>
      <c r="K178" s="9">
        <f t="shared" si="8"/>
        <v>890</v>
      </c>
      <c r="L178" s="28"/>
      <c r="M178" s="65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9"/>
        <v>借</v>
      </c>
      <c r="K179" s="9">
        <f t="shared" si="8"/>
        <v>890</v>
      </c>
      <c r="L179" s="28"/>
    </row>
    <row r="180" spans="1:13" ht="20.100000000000001" customHeight="1" x14ac:dyDescent="0.15">
      <c r="A180" s="10"/>
      <c r="B180" s="5"/>
      <c r="C180" s="10"/>
      <c r="D180" s="11"/>
      <c r="E180" s="10"/>
      <c r="F180" s="10"/>
      <c r="G180" s="10"/>
      <c r="H180" s="8"/>
      <c r="I180" s="8"/>
      <c r="J180" s="8" t="str">
        <f t="shared" si="9"/>
        <v>借</v>
      </c>
      <c r="K180" s="9">
        <f t="shared" si="8"/>
        <v>890</v>
      </c>
      <c r="L180" s="28"/>
    </row>
    <row r="181" spans="1:13" ht="20.100000000000001" customHeight="1" x14ac:dyDescent="0.15">
      <c r="A181" s="10"/>
      <c r="B181" s="5"/>
      <c r="C181" s="10"/>
      <c r="D181" s="11"/>
      <c r="E181" s="10"/>
      <c r="F181" s="10"/>
      <c r="G181" s="10"/>
      <c r="H181" s="8"/>
      <c r="I181" s="8"/>
      <c r="J181" s="8" t="str">
        <f t="shared" si="9"/>
        <v>借</v>
      </c>
      <c r="K181" s="9">
        <f t="shared" si="8"/>
        <v>890</v>
      </c>
      <c r="L181" s="28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9"/>
        <v>借</v>
      </c>
      <c r="K182" s="9">
        <f t="shared" si="8"/>
        <v>890</v>
      </c>
      <c r="L182" s="28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9"/>
        <v>借</v>
      </c>
      <c r="K183" s="9">
        <f t="shared" si="8"/>
        <v>890</v>
      </c>
      <c r="L183" s="28"/>
    </row>
    <row r="184" spans="1:13" ht="20.100000000000001" customHeight="1" x14ac:dyDescent="0.15">
      <c r="A184" s="10"/>
      <c r="B184" s="5"/>
      <c r="C184" s="10"/>
      <c r="E184" s="10"/>
      <c r="F184" s="10"/>
      <c r="G184" s="10"/>
      <c r="H184" s="8"/>
      <c r="I184" s="8"/>
      <c r="J184" s="8" t="str">
        <f t="shared" si="9"/>
        <v>借</v>
      </c>
      <c r="K184" s="9">
        <f t="shared" si="8"/>
        <v>890</v>
      </c>
      <c r="L184" s="28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9"/>
        <v>借</v>
      </c>
      <c r="K185" s="9">
        <f t="shared" si="8"/>
        <v>890</v>
      </c>
      <c r="L185" s="28"/>
      <c r="M185" s="65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9"/>
        <v>借</v>
      </c>
      <c r="K186" s="9">
        <f t="shared" si="8"/>
        <v>890</v>
      </c>
      <c r="L186" s="28"/>
      <c r="M186" s="65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9"/>
        <v>借</v>
      </c>
      <c r="K187" s="9">
        <f t="shared" si="8"/>
        <v>890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9"/>
        <v>借</v>
      </c>
      <c r="K188" s="9">
        <f t="shared" si="8"/>
        <v>890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9"/>
        <v>借</v>
      </c>
      <c r="K189" s="9">
        <f t="shared" si="8"/>
        <v>890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9"/>
        <v>借</v>
      </c>
      <c r="K190" s="9">
        <f t="shared" si="8"/>
        <v>890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9"/>
        <v>借</v>
      </c>
      <c r="K191" s="9">
        <f t="shared" si="8"/>
        <v>890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9"/>
        <v>借</v>
      </c>
      <c r="K192" s="9">
        <f t="shared" si="8"/>
        <v>890</v>
      </c>
      <c r="L192" s="28"/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9"/>
        <v>借</v>
      </c>
      <c r="K193" s="9">
        <f t="shared" si="8"/>
        <v>890</v>
      </c>
      <c r="L193" s="28"/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9"/>
        <v>借</v>
      </c>
      <c r="K194" s="9">
        <f t="shared" si="8"/>
        <v>890</v>
      </c>
      <c r="L194" s="28"/>
    </row>
    <row r="195" spans="1:13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9"/>
        <v>借</v>
      </c>
      <c r="K195" s="9">
        <f t="shared" si="8"/>
        <v>890</v>
      </c>
      <c r="L195" s="28"/>
    </row>
    <row r="196" spans="1:13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9"/>
        <v>借</v>
      </c>
      <c r="K196" s="9">
        <f t="shared" ref="K196:K259" si="10">K195+H196-I196</f>
        <v>890</v>
      </c>
      <c r="L196" s="28"/>
    </row>
    <row r="197" spans="1:13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ref="J197:J260" si="11">IF((K196+H197-I197)&gt;0,"借","贷")</f>
        <v>借</v>
      </c>
      <c r="K197" s="9">
        <f t="shared" si="10"/>
        <v>890</v>
      </c>
      <c r="L197" s="28"/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11"/>
        <v>借</v>
      </c>
      <c r="K198" s="9">
        <f t="shared" si="10"/>
        <v>890</v>
      </c>
      <c r="L198" s="28"/>
    </row>
    <row r="199" spans="1:13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11"/>
        <v>借</v>
      </c>
      <c r="K199" s="9">
        <f t="shared" si="10"/>
        <v>890</v>
      </c>
      <c r="L199" s="28"/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890</v>
      </c>
      <c r="L200" s="28"/>
    </row>
    <row r="201" spans="1:13" ht="20.100000000000001" customHeight="1" x14ac:dyDescent="0.15">
      <c r="A201" s="10"/>
      <c r="B201" s="5"/>
      <c r="C201" s="10"/>
      <c r="D201" s="11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890</v>
      </c>
      <c r="L201" s="28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890</v>
      </c>
      <c r="L202" s="28"/>
      <c r="M202" s="65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890</v>
      </c>
      <c r="L203" s="28"/>
      <c r="M203" s="65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890</v>
      </c>
      <c r="L204" s="28"/>
    </row>
    <row r="205" spans="1:13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1"/>
        <v>借</v>
      </c>
      <c r="K205" s="9">
        <f t="shared" si="10"/>
        <v>890</v>
      </c>
      <c r="L205" s="28"/>
    </row>
    <row r="206" spans="1:13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890</v>
      </c>
      <c r="L206" s="28"/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890</v>
      </c>
      <c r="L207" s="28"/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890</v>
      </c>
      <c r="L208" s="28"/>
    </row>
    <row r="209" spans="1:12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890</v>
      </c>
      <c r="L209" s="28"/>
    </row>
    <row r="210" spans="1:12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890</v>
      </c>
      <c r="L210" s="28"/>
    </row>
    <row r="211" spans="1:12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890</v>
      </c>
      <c r="L211" s="28"/>
    </row>
    <row r="212" spans="1:12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890</v>
      </c>
      <c r="L212" s="28"/>
    </row>
    <row r="213" spans="1:12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1"/>
        <v>借</v>
      </c>
      <c r="K213" s="9">
        <f t="shared" si="10"/>
        <v>890</v>
      </c>
      <c r="L213" s="28"/>
    </row>
    <row r="214" spans="1:12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890</v>
      </c>
      <c r="L214" s="28"/>
    </row>
    <row r="215" spans="1:12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si="10"/>
        <v>890</v>
      </c>
      <c r="L215" s="28"/>
    </row>
    <row r="216" spans="1:12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0"/>
        <v>890</v>
      </c>
      <c r="L216" s="28"/>
    </row>
    <row r="217" spans="1:12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0"/>
        <v>890</v>
      </c>
      <c r="L217" s="28"/>
    </row>
    <row r="218" spans="1:12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0"/>
        <v>890</v>
      </c>
      <c r="L218" s="28"/>
    </row>
    <row r="219" spans="1:12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0"/>
        <v>890</v>
      </c>
      <c r="L219" s="28"/>
    </row>
    <row r="220" spans="1:12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0"/>
        <v>890</v>
      </c>
      <c r="L220" s="28"/>
    </row>
    <row r="221" spans="1:12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0"/>
        <v>890</v>
      </c>
      <c r="L221" s="28"/>
    </row>
    <row r="222" spans="1:12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0"/>
        <v>890</v>
      </c>
      <c r="L222" s="28"/>
    </row>
    <row r="223" spans="1:12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0"/>
        <v>890</v>
      </c>
      <c r="L223" s="28"/>
    </row>
    <row r="224" spans="1:12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0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0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0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0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0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0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0"/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9">
        <f t="shared" si="10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0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0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0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1"/>
        <v>借</v>
      </c>
      <c r="K235" s="9">
        <f t="shared" si="10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1"/>
        <v>借</v>
      </c>
      <c r="K236" s="9">
        <f t="shared" si="10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1"/>
        <v>借</v>
      </c>
      <c r="K237" s="9">
        <f t="shared" si="10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1"/>
        <v>借</v>
      </c>
      <c r="K238" s="9">
        <f t="shared" si="10"/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1"/>
        <v>借</v>
      </c>
      <c r="K239" s="9">
        <f t="shared" si="10"/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1"/>
        <v>借</v>
      </c>
      <c r="K240" s="9">
        <f t="shared" si="10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23" t="str">
        <f t="shared" si="11"/>
        <v>借</v>
      </c>
      <c r="K241" s="9">
        <f t="shared" si="10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11"/>
        <v>借</v>
      </c>
      <c r="K242" s="9">
        <f t="shared" si="10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11"/>
        <v>借</v>
      </c>
      <c r="K243" s="9">
        <f t="shared" si="10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1"/>
        <v>借</v>
      </c>
      <c r="K244" s="9">
        <f t="shared" si="10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1"/>
        <v>借</v>
      </c>
      <c r="K245" s="9">
        <f t="shared" si="10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1"/>
        <v>借</v>
      </c>
      <c r="K246" s="9">
        <f t="shared" si="10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1"/>
        <v>借</v>
      </c>
      <c r="K247" s="9">
        <f t="shared" si="10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1"/>
        <v>借</v>
      </c>
      <c r="K248" s="9">
        <f t="shared" si="10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0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0"/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0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0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0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0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1"/>
        <v>借</v>
      </c>
      <c r="K255" s="9">
        <f t="shared" si="10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1"/>
        <v>借</v>
      </c>
      <c r="K256" s="9">
        <f t="shared" si="10"/>
        <v>890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1"/>
        <v>借</v>
      </c>
      <c r="K257" s="9">
        <f t="shared" si="10"/>
        <v>890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1"/>
        <v>借</v>
      </c>
      <c r="K258" s="9">
        <f t="shared" si="10"/>
        <v>890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1"/>
        <v>借</v>
      </c>
      <c r="K259" s="9">
        <f t="shared" si="10"/>
        <v>890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1"/>
        <v>借</v>
      </c>
      <c r="K260" s="9">
        <f t="shared" ref="K260:K323" si="12">K259+H260-I260</f>
        <v>890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ref="J261:J324" si="13">IF((K260+H261-I261)&gt;0,"借","贷")</f>
        <v>借</v>
      </c>
      <c r="K261" s="9">
        <f t="shared" si="12"/>
        <v>890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2"/>
        <v>890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2"/>
        <v>890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890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890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890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890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890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890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890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890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si="12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2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2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2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2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2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2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2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2"/>
        <v>890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2"/>
        <v>890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2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2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2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2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2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2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2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2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2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2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2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2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2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si="12"/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2"/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2"/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2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2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2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2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2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2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2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2"/>
        <v>890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2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2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2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2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2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2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3"/>
        <v>借</v>
      </c>
      <c r="K319" s="9">
        <f t="shared" si="12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3"/>
        <v>借</v>
      </c>
      <c r="K320" s="9">
        <f t="shared" si="12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3"/>
        <v>借</v>
      </c>
      <c r="K321" s="9">
        <f t="shared" si="12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3"/>
        <v>借</v>
      </c>
      <c r="K322" s="9">
        <f t="shared" si="12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3"/>
        <v>借</v>
      </c>
      <c r="K323" s="9">
        <f t="shared" si="12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3"/>
        <v>借</v>
      </c>
      <c r="K324" s="9">
        <f t="shared" ref="K324:K387" si="14">K323+H324-I324</f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ref="J325:J388" si="15">IF((K324+H325-I325)&gt;0,"借","贷")</f>
        <v>借</v>
      </c>
      <c r="K325" s="9">
        <f t="shared" si="14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4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4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si="14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4"/>
        <v>890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4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4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4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4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4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4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4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4"/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4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4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4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4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4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4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4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4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4"/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4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4"/>
        <v>890</v>
      </c>
      <c r="L363" s="28"/>
    </row>
    <row r="364" spans="1:12" ht="20.100000000000001" customHeight="1" x14ac:dyDescent="0.15">
      <c r="B364" s="5"/>
      <c r="C364" s="10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4"/>
        <v>890</v>
      </c>
      <c r="L364" s="28"/>
    </row>
    <row r="365" spans="1:12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4"/>
        <v>890</v>
      </c>
      <c r="L365" s="28"/>
    </row>
    <row r="366" spans="1:12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si="14"/>
        <v>890</v>
      </c>
      <c r="L366" s="28"/>
    </row>
    <row r="367" spans="1:12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4"/>
        <v>890</v>
      </c>
      <c r="L367" s="28"/>
    </row>
    <row r="368" spans="1:12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4"/>
        <v>890</v>
      </c>
      <c r="L368" s="28"/>
    </row>
    <row r="369" spans="2:12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4"/>
        <v>890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4"/>
        <v>890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4"/>
        <v>890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4"/>
        <v>890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4"/>
        <v>890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4"/>
        <v>890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4"/>
        <v>890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4"/>
        <v>890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4"/>
        <v>890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4"/>
        <v>890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4"/>
        <v>890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4"/>
        <v>890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4"/>
        <v>890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4"/>
        <v>890</v>
      </c>
      <c r="L382" s="28"/>
    </row>
    <row r="383" spans="2:12" ht="20.100000000000001" customHeight="1" x14ac:dyDescent="0.15">
      <c r="B383" s="5"/>
      <c r="C383" s="10"/>
      <c r="D383" s="10"/>
      <c r="E383" s="10"/>
      <c r="F383" s="10"/>
      <c r="G383" s="10"/>
      <c r="H383" s="8"/>
      <c r="I383" s="8"/>
      <c r="J383" s="8" t="str">
        <f t="shared" si="15"/>
        <v>借</v>
      </c>
      <c r="K383" s="9">
        <f t="shared" si="14"/>
        <v>890</v>
      </c>
      <c r="L383" s="28"/>
    </row>
    <row r="384" spans="2:12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5"/>
        <v>借</v>
      </c>
      <c r="K384" s="9">
        <f t="shared" si="14"/>
        <v>890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5"/>
        <v>借</v>
      </c>
      <c r="K385" s="9">
        <f t="shared" si="14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5"/>
        <v>借</v>
      </c>
      <c r="K386" s="9">
        <f t="shared" si="14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5"/>
        <v>借</v>
      </c>
      <c r="K387" s="9">
        <f t="shared" si="14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5"/>
        <v>借</v>
      </c>
      <c r="K388" s="9">
        <f t="shared" ref="K388:K451" si="16">K387+H388-I388</f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ref="J389:J452" si="17">IF((K388+H389-I389)&gt;0,"借","贷")</f>
        <v>借</v>
      </c>
      <c r="K389" s="9">
        <f t="shared" si="16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7"/>
        <v>借</v>
      </c>
      <c r="K390" s="9">
        <f t="shared" si="16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7"/>
        <v>借</v>
      </c>
      <c r="K391" s="9">
        <f t="shared" si="16"/>
        <v>890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890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890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890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890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890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890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890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890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890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890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si="16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6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6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6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6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6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6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6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6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6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6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6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6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6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6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6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6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6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6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6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6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6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6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si="16"/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6"/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6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6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6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6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6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6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6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6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6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6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6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6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6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6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6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7"/>
        <v>借</v>
      </c>
      <c r="K447" s="9">
        <f t="shared" si="16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7"/>
        <v>借</v>
      </c>
      <c r="K448" s="9">
        <f t="shared" si="16"/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7"/>
        <v>借</v>
      </c>
      <c r="K449" s="9">
        <f t="shared" si="16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7"/>
        <v>借</v>
      </c>
      <c r="K450" s="9">
        <f t="shared" si="16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7"/>
        <v>借</v>
      </c>
      <c r="K451" s="9">
        <f t="shared" si="16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7"/>
        <v>借</v>
      </c>
      <c r="K452" s="9">
        <f t="shared" ref="K452:K496" si="18">K451+H452-I452</f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ref="J453:J496" si="19">IF((K452+H453-I453)&gt;0,"借","贷")</f>
        <v>借</v>
      </c>
      <c r="K453" s="9">
        <f t="shared" si="18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9"/>
        <v>借</v>
      </c>
      <c r="K454" s="9">
        <f t="shared" si="18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9"/>
        <v>借</v>
      </c>
      <c r="K455" s="9">
        <f t="shared" si="18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si="18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18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18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18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18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18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18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18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18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18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18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18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18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18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18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18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18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18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18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18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9"/>
        <v>借</v>
      </c>
      <c r="K491" s="9">
        <f t="shared" si="18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9"/>
        <v>借</v>
      </c>
      <c r="K492" s="9">
        <f t="shared" si="18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9"/>
        <v>借</v>
      </c>
      <c r="K493" s="9">
        <f t="shared" si="18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9"/>
        <v>借</v>
      </c>
      <c r="K494" s="9">
        <f t="shared" si="18"/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9"/>
        <v>借</v>
      </c>
      <c r="K495" s="9">
        <f t="shared" si="18"/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9"/>
        <v>借</v>
      </c>
      <c r="K496" s="9">
        <f t="shared" si="18"/>
        <v>890</v>
      </c>
      <c r="L496" s="28"/>
    </row>
  </sheetData>
  <autoFilter ref="A4:M496" xr:uid="{00000000-0009-0000-0000-00000E000000}"/>
  <mergeCells count="24">
    <mergeCell ref="A1:K1"/>
    <mergeCell ref="M15:M16"/>
    <mergeCell ref="M24:M26"/>
    <mergeCell ref="M35:M36"/>
    <mergeCell ref="M39:M40"/>
    <mergeCell ref="M45:M46"/>
    <mergeCell ref="M47:M48"/>
    <mergeCell ref="M57:M58"/>
    <mergeCell ref="M62:M64"/>
    <mergeCell ref="M79:M81"/>
    <mergeCell ref="M94:M96"/>
    <mergeCell ref="M100:M101"/>
    <mergeCell ref="M103:M104"/>
    <mergeCell ref="M114:M115"/>
    <mergeCell ref="M119:M121"/>
    <mergeCell ref="M169:M170"/>
    <mergeCell ref="M177:M178"/>
    <mergeCell ref="M185:M186"/>
    <mergeCell ref="M202:M203"/>
    <mergeCell ref="M127:M128"/>
    <mergeCell ref="M133:M134"/>
    <mergeCell ref="M139:M144"/>
    <mergeCell ref="M149:M150"/>
    <mergeCell ref="M161:M162"/>
  </mergeCells>
  <phoneticPr fontId="21" type="noConversion"/>
  <dataValidations count="1">
    <dataValidation type="list" allowBlank="1" showInputMessage="1" showErrorMessage="1" sqref="A1:F1 H1:L1 G1:G2 G5:G190 G195:G1048576" xr:uid="{00000000-0002-0000-0E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9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70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65"/>
      <c r="M27" s="65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65"/>
      <c r="M28" s="65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65"/>
      <c r="M29" s="65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65"/>
      <c r="M30" s="65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65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65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65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65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65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65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65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1" type="noConversion"/>
  <dataValidations count="2">
    <dataValidation allowBlank="1" showInputMessage="1" showErrorMessage="1" sqref="G1 A2:XFD2 G3:G4 L72:L73" xr:uid="{00000000-0002-0000-0F00-000000000000}"/>
    <dataValidation type="list" allowBlank="1" showInputMessage="1" showErrorMessage="1" sqref="G5:G1048576" xr:uid="{00000000-0002-0000-0F00-000001000000}">
      <formula1>#REF!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99"/>
  <sheetViews>
    <sheetView topLeftCell="B1" workbookViewId="0">
      <selection activeCell="H10" sqref="H10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0.5" customWidth="1"/>
    <col min="13" max="13" width="11.625" customWidth="1"/>
  </cols>
  <sheetData>
    <row r="1" spans="1:13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  <c r="L1" s="2"/>
    </row>
    <row r="2" spans="1:13" ht="20.100000000000001" customHeight="1" x14ac:dyDescent="0.15">
      <c r="B2" t="s">
        <v>71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SUM(H5:H190002)</f>
        <v>10000</v>
      </c>
      <c r="I3" s="4">
        <f>SUM(I5:I190002)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26" si="0">IF((K5+H6-I6)&gt;0,"借","贷")</f>
        <v>借</v>
      </c>
      <c r="K6" s="9">
        <f t="shared" ref="K6:K26" si="1">K5+H6-I6</f>
        <v>11000</v>
      </c>
      <c r="L6" s="28"/>
      <c r="M6" s="65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  <c r="L7" s="28"/>
      <c r="M7" s="65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5"/>
      <c r="D10" s="7"/>
      <c r="E10" s="7"/>
      <c r="F10" s="7"/>
      <c r="G10" s="7"/>
      <c r="H10" s="8"/>
      <c r="I10" s="14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7"/>
      <c r="E11" s="7"/>
      <c r="F11" s="7"/>
      <c r="G11" s="7"/>
      <c r="H11" s="8"/>
      <c r="I11" s="14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10"/>
      <c r="C12" s="10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  <c r="L12" s="28"/>
      <c r="M12" s="65"/>
    </row>
    <row r="13" spans="1:13" ht="20.100000000000001" customHeight="1" x14ac:dyDescent="0.15">
      <c r="A13" s="5"/>
      <c r="B13" s="10"/>
      <c r="C13" s="10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  <c r="L13" s="28"/>
      <c r="M13" s="65"/>
    </row>
    <row r="14" spans="1:13" ht="20.100000000000001" customHeight="1" x14ac:dyDescent="0.15">
      <c r="A14" s="5"/>
      <c r="B14" s="10"/>
      <c r="C14" s="10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  <c r="L14" s="28"/>
      <c r="M14" s="65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  <c r="L16" s="28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  <c r="L17" s="28"/>
      <c r="M17" s="65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  <c r="L18" s="28"/>
      <c r="M18" s="65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  <c r="L19" s="28"/>
      <c r="M19" s="65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  <c r="L20" s="28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  <c r="L21" s="28"/>
      <c r="M21" s="65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  <c r="L22" s="28"/>
      <c r="M22" s="65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  <c r="L24" s="28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  <c r="L25" s="28"/>
      <c r="M25" s="65"/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  <c r="L26" s="28"/>
      <c r="M26" s="65"/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ref="J27:J70" si="2">IF((K26+H27-I27)&gt;0,"借","贷")</f>
        <v>借</v>
      </c>
      <c r="K27" s="9">
        <f t="shared" ref="K27:K70" si="3">K26+H27-I27</f>
        <v>890</v>
      </c>
      <c r="L27" s="28"/>
      <c r="M27" s="65"/>
    </row>
    <row r="28" spans="1:13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2"/>
        <v>借</v>
      </c>
      <c r="K28" s="9">
        <f t="shared" si="3"/>
        <v>890</v>
      </c>
      <c r="L28" s="28"/>
      <c r="M28" s="65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890</v>
      </c>
      <c r="L29" s="28"/>
      <c r="M29" s="65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890</v>
      </c>
      <c r="L30" s="28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890</v>
      </c>
      <c r="L31" s="28"/>
      <c r="M31" s="65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890</v>
      </c>
      <c r="L32" s="28"/>
      <c r="M32" s="65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890</v>
      </c>
      <c r="L33" s="28"/>
      <c r="M33" s="65"/>
    </row>
    <row r="34" spans="1:13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890</v>
      </c>
      <c r="L34" s="28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890</v>
      </c>
      <c r="L35" s="28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890</v>
      </c>
      <c r="L36" s="28"/>
      <c r="M36" s="65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890</v>
      </c>
      <c r="L37" s="28"/>
      <c r="M37" s="65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890</v>
      </c>
      <c r="L38" s="28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890</v>
      </c>
      <c r="L39" s="28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890</v>
      </c>
      <c r="L40" s="28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890</v>
      </c>
      <c r="L41" s="28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890</v>
      </c>
      <c r="L42" s="28"/>
      <c r="M42" s="65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890</v>
      </c>
      <c r="L43" s="28"/>
      <c r="M43" s="65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890</v>
      </c>
      <c r="L44" s="28"/>
      <c r="M44" s="65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890</v>
      </c>
      <c r="L45" s="28"/>
    </row>
    <row r="46" spans="1:13" ht="20.100000000000001" customHeight="1" x14ac:dyDescent="0.15">
      <c r="A46" s="5"/>
      <c r="B46" s="5"/>
      <c r="C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890</v>
      </c>
      <c r="L46" s="28"/>
    </row>
    <row r="47" spans="1:13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890</v>
      </c>
      <c r="L47" s="28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890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890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890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890</v>
      </c>
      <c r="L51" s="28"/>
      <c r="M51" s="65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890</v>
      </c>
      <c r="L52" s="28"/>
      <c r="M52" s="65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890</v>
      </c>
      <c r="L53" s="28"/>
      <c r="M53" s="72"/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890</v>
      </c>
      <c r="L54" s="28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890</v>
      </c>
      <c r="L55" s="28"/>
      <c r="M55" s="65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890</v>
      </c>
      <c r="L56" s="28"/>
      <c r="M56" s="65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890</v>
      </c>
      <c r="L57" s="28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890</v>
      </c>
      <c r="L58" s="28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890</v>
      </c>
      <c r="L59" s="28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890</v>
      </c>
      <c r="L60" s="28"/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890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890</v>
      </c>
      <c r="L62" s="28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890</v>
      </c>
      <c r="L63" s="28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890</v>
      </c>
      <c r="L64" s="28"/>
      <c r="M64" s="65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890</v>
      </c>
      <c r="L65" s="28"/>
      <c r="M65" s="65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890</v>
      </c>
      <c r="L66" s="28"/>
      <c r="M66" s="65"/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890</v>
      </c>
      <c r="L67" s="28"/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890</v>
      </c>
      <c r="L68" s="28"/>
      <c r="M68" s="65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890</v>
      </c>
      <c r="L69" s="28"/>
      <c r="M69" s="65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si="2"/>
        <v>借</v>
      </c>
      <c r="K70" s="9">
        <f t="shared" si="3"/>
        <v>890</v>
      </c>
      <c r="L70" s="28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ref="J71:J134" si="4">IF((K70+H71-I71)&gt;0,"借","贷")</f>
        <v>借</v>
      </c>
      <c r="K71" s="9">
        <f t="shared" ref="K71:K134" si="5">K70+H71-I71</f>
        <v>890</v>
      </c>
      <c r="L71" s="28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4"/>
        <v>借</v>
      </c>
      <c r="K72" s="9">
        <f t="shared" si="5"/>
        <v>890</v>
      </c>
      <c r="L72" s="28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890</v>
      </c>
      <c r="L73" s="28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890</v>
      </c>
      <c r="L74" s="28"/>
      <c r="M74" s="65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4"/>
        <v>借</v>
      </c>
      <c r="K75" s="9">
        <f t="shared" si="5"/>
        <v>890</v>
      </c>
      <c r="L75" s="28"/>
      <c r="M75" s="65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890</v>
      </c>
      <c r="L76" s="28"/>
      <c r="M76" s="65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890</v>
      </c>
      <c r="L77" s="28"/>
      <c r="M77" s="65"/>
    </row>
    <row r="78" spans="1:13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890</v>
      </c>
      <c r="L78" s="28"/>
    </row>
    <row r="79" spans="1:13" ht="20.100000000000001" customHeight="1" x14ac:dyDescent="0.15">
      <c r="A79" s="10"/>
      <c r="B79" s="5"/>
      <c r="C79" s="5"/>
      <c r="D79" s="10"/>
      <c r="E79" s="10"/>
      <c r="F79" s="14"/>
      <c r="G79" s="10"/>
      <c r="H79" s="8"/>
      <c r="I79" s="8"/>
      <c r="J79" s="8" t="str">
        <f t="shared" si="4"/>
        <v>借</v>
      </c>
      <c r="K79" s="9">
        <f t="shared" si="5"/>
        <v>890</v>
      </c>
      <c r="L79" s="28"/>
    </row>
    <row r="80" spans="1:13" ht="20.100000000000001" customHeight="1" x14ac:dyDescent="0.15">
      <c r="A80" s="5"/>
      <c r="B80" s="5"/>
      <c r="C80" s="5"/>
      <c r="D80" s="10"/>
      <c r="E80" s="10"/>
      <c r="F80" s="14"/>
      <c r="G80" s="10"/>
      <c r="H80" s="8"/>
      <c r="I80" s="15"/>
      <c r="J80" s="8" t="str">
        <f t="shared" si="4"/>
        <v>借</v>
      </c>
      <c r="K80" s="9">
        <f t="shared" si="5"/>
        <v>890</v>
      </c>
      <c r="L80" s="28"/>
      <c r="M80" s="65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4"/>
        <v>借</v>
      </c>
      <c r="K81" s="9">
        <f t="shared" si="5"/>
        <v>890</v>
      </c>
      <c r="L81" s="28"/>
      <c r="M81" s="65"/>
    </row>
    <row r="82" spans="1:13" ht="20.100000000000001" customHeight="1" x14ac:dyDescent="0.15">
      <c r="A82" s="5"/>
      <c r="B82" s="5"/>
      <c r="C82" s="5"/>
      <c r="D82" s="10"/>
      <c r="E82" s="10"/>
      <c r="F82" s="14"/>
      <c r="G82" s="10"/>
      <c r="H82" s="8"/>
      <c r="I82" s="15"/>
      <c r="J82" s="8" t="str">
        <f t="shared" si="4"/>
        <v>借</v>
      </c>
      <c r="K82" s="9">
        <f t="shared" si="5"/>
        <v>890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4"/>
      <c r="G83" s="10"/>
      <c r="H83" s="8"/>
      <c r="I83" s="8"/>
      <c r="J83" s="8" t="str">
        <f t="shared" si="4"/>
        <v>借</v>
      </c>
      <c r="K83" s="9">
        <f t="shared" si="5"/>
        <v>890</v>
      </c>
      <c r="L83" s="28"/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4"/>
        <v>借</v>
      </c>
      <c r="K84" s="9">
        <f t="shared" si="5"/>
        <v>890</v>
      </c>
      <c r="L84" s="28"/>
      <c r="M84" s="65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4"/>
        <v>借</v>
      </c>
      <c r="K85" s="9">
        <f t="shared" si="5"/>
        <v>890</v>
      </c>
      <c r="L85" s="28"/>
      <c r="M85" s="65"/>
    </row>
    <row r="86" spans="1:13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4"/>
        <v>借</v>
      </c>
      <c r="K86" s="9">
        <f t="shared" si="5"/>
        <v>890</v>
      </c>
      <c r="L86" s="28"/>
      <c r="M86" s="65"/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4"/>
        <v>借</v>
      </c>
      <c r="K87" s="9">
        <f t="shared" si="5"/>
        <v>890</v>
      </c>
      <c r="L87" s="28"/>
    </row>
    <row r="88" spans="1:13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4"/>
        <v>借</v>
      </c>
      <c r="K88" s="9">
        <f t="shared" si="5"/>
        <v>890</v>
      </c>
      <c r="L88" s="28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4"/>
        <v>借</v>
      </c>
      <c r="K89" s="9">
        <f t="shared" si="5"/>
        <v>890</v>
      </c>
      <c r="L89" s="28"/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4"/>
        <v>借</v>
      </c>
      <c r="K90" s="9">
        <f t="shared" si="5"/>
        <v>890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4"/>
        <v>借</v>
      </c>
      <c r="K91" s="9">
        <f t="shared" si="5"/>
        <v>890</v>
      </c>
      <c r="L91" s="28"/>
      <c r="M91" s="65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4"/>
        <v>借</v>
      </c>
      <c r="K92" s="9">
        <f t="shared" si="5"/>
        <v>890</v>
      </c>
      <c r="L92" s="28"/>
      <c r="M92" s="65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4"/>
        <v>借</v>
      </c>
      <c r="K93" s="9">
        <f t="shared" si="5"/>
        <v>890</v>
      </c>
      <c r="L93" s="28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4"/>
        <v>借</v>
      </c>
      <c r="K94" s="9">
        <f t="shared" si="5"/>
        <v>890</v>
      </c>
      <c r="L94" s="28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4"/>
        <v>借</v>
      </c>
      <c r="K95" s="9">
        <f t="shared" si="5"/>
        <v>890</v>
      </c>
      <c r="L95" s="28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4"/>
        <v>借</v>
      </c>
      <c r="K96" s="9">
        <f t="shared" si="5"/>
        <v>890</v>
      </c>
      <c r="L96" s="28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4"/>
        <v>借</v>
      </c>
      <c r="K97" s="9">
        <f t="shared" si="5"/>
        <v>890</v>
      </c>
      <c r="L97" s="28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890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890</v>
      </c>
      <c r="L99" s="28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4"/>
        <v>借</v>
      </c>
      <c r="K100" s="9">
        <f t="shared" si="5"/>
        <v>890</v>
      </c>
      <c r="L100" s="28"/>
      <c r="M100" s="65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890</v>
      </c>
      <c r="L101" s="28"/>
      <c r="M101" s="65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890</v>
      </c>
      <c r="L102" s="28"/>
      <c r="M102" s="65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890</v>
      </c>
      <c r="L103" s="28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890</v>
      </c>
      <c r="L104" s="28"/>
      <c r="M104" s="65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890</v>
      </c>
      <c r="L105" s="28"/>
      <c r="M105" s="65"/>
    </row>
    <row r="106" spans="1:13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890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4"/>
        <v>借</v>
      </c>
      <c r="K107" s="9">
        <f t="shared" si="5"/>
        <v>890</v>
      </c>
      <c r="L107" s="28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5"/>
      <c r="J108" s="8" t="str">
        <f t="shared" si="4"/>
        <v>借</v>
      </c>
      <c r="K108" s="9">
        <f t="shared" si="5"/>
        <v>890</v>
      </c>
      <c r="L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15"/>
      <c r="J109" s="8" t="str">
        <f t="shared" si="4"/>
        <v>借</v>
      </c>
      <c r="K109" s="9">
        <f t="shared" si="5"/>
        <v>890</v>
      </c>
      <c r="L109" s="28"/>
      <c r="M109" s="65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4"/>
        <v>借</v>
      </c>
      <c r="K110" s="9">
        <f t="shared" si="5"/>
        <v>890</v>
      </c>
      <c r="L110" s="28"/>
      <c r="M110" s="65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4"/>
        <v>借</v>
      </c>
      <c r="K111" s="9">
        <f t="shared" si="5"/>
        <v>890</v>
      </c>
      <c r="L111" s="28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890</v>
      </c>
      <c r="L112" s="28"/>
    </row>
    <row r="113" spans="1:13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890</v>
      </c>
      <c r="L113" s="28"/>
      <c r="M113" s="72"/>
    </row>
    <row r="114" spans="1:13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890</v>
      </c>
      <c r="L114" s="28"/>
      <c r="M114" s="72"/>
    </row>
    <row r="115" spans="1:13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890</v>
      </c>
      <c r="L115" s="28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890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890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890</v>
      </c>
      <c r="L118" s="28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890</v>
      </c>
      <c r="L119" s="28"/>
    </row>
    <row r="120" spans="1:13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890</v>
      </c>
      <c r="L120" s="28"/>
    </row>
    <row r="121" spans="1:13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890</v>
      </c>
      <c r="L121" s="28"/>
    </row>
    <row r="122" spans="1:13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890</v>
      </c>
      <c r="L122" s="28"/>
      <c r="M122" s="65"/>
    </row>
    <row r="123" spans="1:13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890</v>
      </c>
      <c r="L123" s="28"/>
      <c r="M123" s="65"/>
    </row>
    <row r="124" spans="1:13" ht="20.100000000000001" customHeight="1" x14ac:dyDescent="0.15">
      <c r="A124" s="10"/>
      <c r="B124" s="5"/>
      <c r="C124" s="10"/>
      <c r="D124" s="10"/>
      <c r="E124" s="17"/>
      <c r="F124" s="10"/>
      <c r="G124" s="10"/>
      <c r="H124" s="8"/>
      <c r="I124" s="8"/>
      <c r="J124" s="8" t="str">
        <f t="shared" si="4"/>
        <v>借</v>
      </c>
      <c r="K124" s="9">
        <f t="shared" si="5"/>
        <v>890</v>
      </c>
      <c r="L124" s="28"/>
      <c r="M124" s="65"/>
    </row>
    <row r="125" spans="1:13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4"/>
        <v>借</v>
      </c>
      <c r="K125" s="9">
        <f t="shared" si="5"/>
        <v>890</v>
      </c>
      <c r="L125" s="28"/>
    </row>
    <row r="126" spans="1:13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890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890</v>
      </c>
      <c r="L127" s="28"/>
    </row>
    <row r="128" spans="1:13" ht="20.100000000000001" customHeight="1" x14ac:dyDescent="0.15">
      <c r="A128" s="5"/>
      <c r="B128" s="5"/>
      <c r="C128" s="10"/>
      <c r="E128" s="10"/>
      <c r="F128" s="10"/>
      <c r="G128" s="10"/>
      <c r="H128" s="8"/>
      <c r="I128" s="8"/>
      <c r="J128" s="8" t="str">
        <f t="shared" si="4"/>
        <v>借</v>
      </c>
      <c r="K128" s="9">
        <f t="shared" si="5"/>
        <v>890</v>
      </c>
      <c r="L128" s="28"/>
    </row>
    <row r="129" spans="1:13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5"/>
        <v>890</v>
      </c>
      <c r="L129" s="28"/>
    </row>
    <row r="130" spans="1:13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5"/>
        <v>890</v>
      </c>
      <c r="L130" s="28"/>
    </row>
    <row r="131" spans="1:13" ht="20.100000000000001" customHeight="1" x14ac:dyDescent="0.15">
      <c r="A131" s="10"/>
      <c r="B131" s="5"/>
      <c r="C131" s="5"/>
      <c r="D131" s="10"/>
      <c r="E131" s="10"/>
      <c r="F131" s="10"/>
      <c r="G131" s="10"/>
      <c r="H131" s="8"/>
      <c r="I131" s="8"/>
      <c r="J131" s="8" t="str">
        <f t="shared" si="4"/>
        <v>借</v>
      </c>
      <c r="K131" s="9">
        <f t="shared" si="5"/>
        <v>890</v>
      </c>
      <c r="L131" s="28"/>
      <c r="M131" s="65"/>
    </row>
    <row r="132" spans="1:13" ht="20.100000000000001" customHeight="1" x14ac:dyDescent="0.15">
      <c r="A132" s="10"/>
      <c r="B132" s="5"/>
      <c r="C132" s="5"/>
      <c r="D132" s="10"/>
      <c r="E132" s="10"/>
      <c r="F132" s="10"/>
      <c r="G132" s="10"/>
      <c r="H132" s="8"/>
      <c r="I132" s="8"/>
      <c r="J132" s="8" t="str">
        <f t="shared" si="4"/>
        <v>借</v>
      </c>
      <c r="K132" s="9">
        <f t="shared" si="5"/>
        <v>890</v>
      </c>
      <c r="L132" s="28"/>
      <c r="M132" s="65"/>
    </row>
    <row r="133" spans="1:13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4"/>
        <v>借</v>
      </c>
      <c r="K133" s="9">
        <f t="shared" si="5"/>
        <v>890</v>
      </c>
      <c r="L133" s="28"/>
    </row>
    <row r="134" spans="1:13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4"/>
        <v>借</v>
      </c>
      <c r="K134" s="9">
        <f t="shared" si="5"/>
        <v>890</v>
      </c>
      <c r="L134" s="28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ref="J135:J182" si="6">IF((K134+H135-I135)&gt;0,"借","贷")</f>
        <v>借</v>
      </c>
      <c r="K135" s="9">
        <f t="shared" ref="K135:K173" si="7">K134+H135-I135</f>
        <v>890</v>
      </c>
      <c r="L135" s="28"/>
      <c r="M135" s="65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6"/>
        <v>借</v>
      </c>
      <c r="K136" s="9">
        <f t="shared" si="7"/>
        <v>890</v>
      </c>
      <c r="L136" s="28"/>
      <c r="M136" s="65"/>
    </row>
    <row r="137" spans="1:13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6"/>
        <v>借</v>
      </c>
      <c r="K137" s="9">
        <f t="shared" si="7"/>
        <v>890</v>
      </c>
      <c r="L137" s="28"/>
      <c r="M137" s="65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6"/>
        <v>借</v>
      </c>
      <c r="K138" s="9">
        <f t="shared" si="7"/>
        <v>890</v>
      </c>
      <c r="L138" s="28"/>
      <c r="M138" s="65"/>
    </row>
    <row r="139" spans="1:13" ht="20.100000000000001" customHeight="1" x14ac:dyDescent="0.15">
      <c r="A139" s="10"/>
      <c r="B139" s="5"/>
      <c r="C139" s="5"/>
      <c r="D139" s="10"/>
      <c r="E139" s="17"/>
      <c r="F139" s="10"/>
      <c r="G139" s="10"/>
      <c r="H139" s="8"/>
      <c r="I139" s="8"/>
      <c r="J139" s="8" t="str">
        <f t="shared" si="6"/>
        <v>借</v>
      </c>
      <c r="K139" s="9">
        <f t="shared" si="7"/>
        <v>890</v>
      </c>
      <c r="L139" s="28"/>
      <c r="M139" s="65"/>
    </row>
    <row r="140" spans="1:13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890</v>
      </c>
      <c r="L140" s="28"/>
    </row>
    <row r="141" spans="1:13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890</v>
      </c>
      <c r="L141" s="28"/>
      <c r="M141" s="65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6"/>
        <v>借</v>
      </c>
      <c r="K142" s="9">
        <f t="shared" si="7"/>
        <v>890</v>
      </c>
      <c r="L142" s="28"/>
      <c r="M142" s="65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6"/>
        <v>借</v>
      </c>
      <c r="K143" s="9">
        <f t="shared" si="7"/>
        <v>890</v>
      </c>
      <c r="L143" s="28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6"/>
        <v>借</v>
      </c>
      <c r="K144" s="9">
        <f t="shared" si="7"/>
        <v>890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6"/>
        <v>借</v>
      </c>
      <c r="K145" s="9">
        <f t="shared" si="7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6"/>
        <v>借</v>
      </c>
      <c r="K146" s="9">
        <f t="shared" si="7"/>
        <v>890</v>
      </c>
      <c r="L146" s="28"/>
      <c r="M146" s="65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6"/>
        <v>借</v>
      </c>
      <c r="K147" s="9">
        <f t="shared" si="7"/>
        <v>890</v>
      </c>
      <c r="L147" s="28"/>
      <c r="M147" s="65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6"/>
        <v>借</v>
      </c>
      <c r="K148" s="9">
        <f t="shared" si="7"/>
        <v>890</v>
      </c>
      <c r="L148" s="28"/>
      <c r="M148" s="65"/>
    </row>
    <row r="149" spans="1:13" ht="20.100000000000001" customHeight="1" x14ac:dyDescent="0.15">
      <c r="A149" s="10"/>
      <c r="B149" s="5"/>
      <c r="C149" s="5"/>
      <c r="E149" s="10"/>
      <c r="F149" s="10"/>
      <c r="G149" s="10"/>
      <c r="H149" s="8"/>
      <c r="I149" s="8"/>
      <c r="J149" s="8" t="str">
        <f t="shared" si="6"/>
        <v>借</v>
      </c>
      <c r="K149" s="9">
        <f t="shared" si="7"/>
        <v>890</v>
      </c>
      <c r="L149" s="28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6"/>
        <v>借</v>
      </c>
      <c r="K150" s="9">
        <f t="shared" si="7"/>
        <v>890</v>
      </c>
      <c r="L150" s="28"/>
    </row>
    <row r="151" spans="1:13" ht="20.100000000000001" customHeight="1" x14ac:dyDescent="0.15">
      <c r="A151" s="5"/>
      <c r="B151" s="5"/>
      <c r="C151" s="5"/>
      <c r="E151" s="10"/>
      <c r="F151" s="10"/>
      <c r="G151" s="10"/>
      <c r="H151" s="8"/>
      <c r="I151" s="8"/>
      <c r="J151" s="8" t="str">
        <f t="shared" si="6"/>
        <v>借</v>
      </c>
      <c r="K151" s="9">
        <f t="shared" si="7"/>
        <v>890</v>
      </c>
      <c r="L151" s="28"/>
      <c r="M151" s="65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6"/>
        <v>借</v>
      </c>
      <c r="K152" s="9">
        <f t="shared" si="7"/>
        <v>890</v>
      </c>
      <c r="L152" s="28"/>
      <c r="M152" s="65"/>
    </row>
    <row r="153" spans="1:13" ht="20.100000000000001" customHeight="1" x14ac:dyDescent="0.15">
      <c r="A153" s="5"/>
      <c r="B153" s="5"/>
      <c r="C153" s="5"/>
      <c r="D153" s="10"/>
      <c r="E153" s="17"/>
      <c r="F153" s="10"/>
      <c r="G153" s="10"/>
      <c r="H153" s="8"/>
      <c r="I153" s="8"/>
      <c r="J153" s="8" t="str">
        <f t="shared" si="6"/>
        <v>借</v>
      </c>
      <c r="K153" s="9">
        <f t="shared" si="7"/>
        <v>890</v>
      </c>
      <c r="L153" s="28"/>
      <c r="M153" s="65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890</v>
      </c>
      <c r="L154" s="28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890</v>
      </c>
      <c r="L155" s="28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890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890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890</v>
      </c>
      <c r="L159" s="28"/>
      <c r="M159" s="65"/>
    </row>
    <row r="160" spans="1:13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890</v>
      </c>
      <c r="L160" s="28"/>
      <c r="M160" s="65"/>
    </row>
    <row r="161" spans="1:13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890</v>
      </c>
      <c r="L161" s="28"/>
    </row>
    <row r="162" spans="1:13" ht="20.100000000000001" customHeight="1" x14ac:dyDescent="0.15">
      <c r="A162" s="10"/>
      <c r="B162" s="5"/>
      <c r="C162" s="5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890</v>
      </c>
      <c r="L162" s="28"/>
    </row>
    <row r="163" spans="1:13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6"/>
        <v>借</v>
      </c>
      <c r="K163" s="9">
        <f t="shared" si="7"/>
        <v>890</v>
      </c>
      <c r="L163" s="28"/>
    </row>
    <row r="164" spans="1:13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6"/>
        <v>借</v>
      </c>
      <c r="K164" s="9">
        <f t="shared" si="7"/>
        <v>890</v>
      </c>
      <c r="L164" s="28"/>
      <c r="M164" s="65"/>
    </row>
    <row r="165" spans="1:13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6"/>
        <v>借</v>
      </c>
      <c r="K165" s="9">
        <f t="shared" si="7"/>
        <v>890</v>
      </c>
      <c r="L165" s="28"/>
      <c r="M165" s="65"/>
    </row>
    <row r="166" spans="1:13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6"/>
        <v>借</v>
      </c>
      <c r="K166" s="9">
        <f t="shared" si="7"/>
        <v>890</v>
      </c>
      <c r="L166" s="28"/>
      <c r="M166" s="65"/>
    </row>
    <row r="167" spans="1:13" ht="20.100000000000001" customHeight="1" x14ac:dyDescent="0.15">
      <c r="A167" s="10"/>
      <c r="B167" s="5"/>
      <c r="C167" s="10"/>
      <c r="D167" s="10"/>
      <c r="E167" s="17"/>
      <c r="F167" s="10"/>
      <c r="G167" s="10"/>
      <c r="H167" s="8"/>
      <c r="I167" s="8"/>
      <c r="J167" s="8" t="str">
        <f t="shared" si="6"/>
        <v>借</v>
      </c>
      <c r="K167" s="9">
        <f t="shared" si="7"/>
        <v>890</v>
      </c>
      <c r="L167" s="28"/>
    </row>
    <row r="168" spans="1:13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6"/>
        <v>借</v>
      </c>
      <c r="K168" s="9">
        <f t="shared" si="7"/>
        <v>890</v>
      </c>
      <c r="L168" s="28"/>
    </row>
    <row r="169" spans="1:13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6"/>
        <v>借</v>
      </c>
      <c r="K169" s="9">
        <f t="shared" si="7"/>
        <v>890</v>
      </c>
      <c r="L169" s="28"/>
    </row>
    <row r="170" spans="1:13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6"/>
        <v>借</v>
      </c>
      <c r="K170" s="9">
        <f t="shared" si="7"/>
        <v>890</v>
      </c>
      <c r="L170" s="28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6"/>
        <v>借</v>
      </c>
      <c r="K171" s="9">
        <f t="shared" si="7"/>
        <v>890</v>
      </c>
      <c r="L171" s="28"/>
    </row>
    <row r="172" spans="1:13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6"/>
        <v>借</v>
      </c>
      <c r="K172" s="9">
        <f t="shared" si="7"/>
        <v>890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6"/>
        <v>借</v>
      </c>
      <c r="K173" s="9">
        <f t="shared" si="7"/>
        <v>890</v>
      </c>
      <c r="L173" s="28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6"/>
        <v>借</v>
      </c>
      <c r="K174" s="9">
        <f t="shared" ref="K174:K182" si="8">_xlfn.IFS(J173="借",K173+H174-I174,J173="贷",H174-I174-K173)</f>
        <v>890</v>
      </c>
      <c r="L174" s="28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6"/>
        <v>借</v>
      </c>
      <c r="K175" s="9">
        <f t="shared" si="8"/>
        <v>890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6"/>
        <v>借</v>
      </c>
      <c r="K176" s="9">
        <f t="shared" si="8"/>
        <v>890</v>
      </c>
      <c r="L176" s="28"/>
      <c r="M176" s="65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6"/>
        <v>借</v>
      </c>
      <c r="K177" s="9">
        <f t="shared" si="8"/>
        <v>890</v>
      </c>
      <c r="L177" s="28"/>
      <c r="M177" s="65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6"/>
        <v>借</v>
      </c>
      <c r="K178" s="9">
        <f t="shared" si="8"/>
        <v>890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6"/>
        <v>借</v>
      </c>
      <c r="K179" s="9">
        <f t="shared" si="8"/>
        <v>890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6"/>
        <v>借</v>
      </c>
      <c r="K180" s="9">
        <f t="shared" si="8"/>
        <v>890</v>
      </c>
      <c r="L180" s="28"/>
      <c r="M180" s="65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6"/>
        <v>借</v>
      </c>
      <c r="K181" s="9">
        <f t="shared" si="8"/>
        <v>890</v>
      </c>
      <c r="L181" s="28"/>
      <c r="M181" s="65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6"/>
        <v>借</v>
      </c>
      <c r="K182" s="9">
        <f t="shared" si="8"/>
        <v>890</v>
      </c>
      <c r="L182" s="28"/>
      <c r="M182" s="65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ref="J183:J199" si="9">IF((K182+H183-I183)&gt;0,"借","贷")</f>
        <v>借</v>
      </c>
      <c r="K183" s="9">
        <f t="shared" ref="K183:K190" si="10">_xlfn.IFS(J182="借",K182+H183-I183,J182="贷",H183-I183-K182)</f>
        <v>890</v>
      </c>
      <c r="L183" s="28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9"/>
        <v>借</v>
      </c>
      <c r="K184" s="9">
        <f t="shared" si="10"/>
        <v>890</v>
      </c>
      <c r="L184" s="28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9"/>
        <v>借</v>
      </c>
      <c r="K185" s="9">
        <f t="shared" si="10"/>
        <v>890</v>
      </c>
      <c r="L185" s="28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9"/>
        <v>借</v>
      </c>
      <c r="K186" s="9">
        <f t="shared" si="10"/>
        <v>890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9"/>
        <v>借</v>
      </c>
      <c r="K187" s="9">
        <f t="shared" si="10"/>
        <v>890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9"/>
        <v>借</v>
      </c>
      <c r="K188" s="9">
        <f t="shared" si="10"/>
        <v>890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9"/>
        <v>借</v>
      </c>
      <c r="K189" s="9">
        <f t="shared" si="10"/>
        <v>890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9"/>
        <v>借</v>
      </c>
      <c r="K190" s="9">
        <f t="shared" si="10"/>
        <v>890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9"/>
        <v>借</v>
      </c>
      <c r="K191" s="9">
        <f t="shared" ref="K191:K238" si="11">_xlfn.IFS(J190="借",K190+H191-I191,J190="贷",H191-I191-K190)</f>
        <v>890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9"/>
        <v>借</v>
      </c>
      <c r="K192" s="9">
        <f t="shared" si="11"/>
        <v>890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9"/>
        <v>借</v>
      </c>
      <c r="K193" s="9">
        <f t="shared" si="11"/>
        <v>890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9"/>
        <v>借</v>
      </c>
      <c r="K194" s="9">
        <f t="shared" si="11"/>
        <v>890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9"/>
        <v>借</v>
      </c>
      <c r="K195" s="9">
        <f t="shared" si="11"/>
        <v>890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9"/>
        <v>借</v>
      </c>
      <c r="K196" s="9">
        <f t="shared" si="11"/>
        <v>890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9"/>
        <v>借</v>
      </c>
      <c r="K197" s="9">
        <f t="shared" si="11"/>
        <v>890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9"/>
        <v>借</v>
      </c>
      <c r="K198" s="9">
        <f t="shared" si="11"/>
        <v>890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9"/>
        <v>借</v>
      </c>
      <c r="K199" s="9">
        <f t="shared" si="11"/>
        <v>890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ref="J200:J263" si="12">IF((K199+H200-I200)&gt;0,"借","贷")</f>
        <v>借</v>
      </c>
      <c r="K200" s="9">
        <f t="shared" si="11"/>
        <v>890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2"/>
        <v>借</v>
      </c>
      <c r="K201" s="9">
        <f t="shared" si="11"/>
        <v>890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2"/>
        <v>借</v>
      </c>
      <c r="K202" s="9">
        <f t="shared" si="11"/>
        <v>890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2"/>
        <v>借</v>
      </c>
      <c r="K203" s="9">
        <f t="shared" si="11"/>
        <v>890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2"/>
        <v>借</v>
      </c>
      <c r="K204" s="9">
        <f t="shared" si="11"/>
        <v>890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2"/>
        <v>借</v>
      </c>
      <c r="K205" s="9">
        <f t="shared" si="11"/>
        <v>890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2"/>
        <v>借</v>
      </c>
      <c r="K206" s="9">
        <f t="shared" si="11"/>
        <v>890</v>
      </c>
      <c r="L206" s="28"/>
    </row>
    <row r="207" spans="1:12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2"/>
        <v>借</v>
      </c>
      <c r="K207" s="9">
        <f t="shared" si="11"/>
        <v>890</v>
      </c>
      <c r="L207" s="28"/>
    </row>
    <row r="208" spans="1:12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2"/>
        <v>借</v>
      </c>
      <c r="K208" s="9">
        <f t="shared" si="11"/>
        <v>890</v>
      </c>
      <c r="L208" s="28"/>
    </row>
    <row r="209" spans="1:12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2"/>
        <v>借</v>
      </c>
      <c r="K209" s="9">
        <f t="shared" si="11"/>
        <v>890</v>
      </c>
      <c r="L209" s="28"/>
    </row>
    <row r="210" spans="1:12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2"/>
        <v>借</v>
      </c>
      <c r="K210" s="9">
        <f t="shared" si="11"/>
        <v>890</v>
      </c>
      <c r="L210" s="28"/>
    </row>
    <row r="211" spans="1:12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2"/>
        <v>借</v>
      </c>
      <c r="K211" s="9">
        <f t="shared" si="11"/>
        <v>890</v>
      </c>
      <c r="L211" s="28"/>
    </row>
    <row r="212" spans="1:12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2"/>
        <v>借</v>
      </c>
      <c r="K212" s="9">
        <f t="shared" si="11"/>
        <v>890</v>
      </c>
      <c r="L212" s="28"/>
    </row>
    <row r="213" spans="1:12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2"/>
        <v>借</v>
      </c>
      <c r="K213" s="9">
        <f t="shared" si="11"/>
        <v>890</v>
      </c>
      <c r="L213" s="28"/>
    </row>
    <row r="214" spans="1:12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12"/>
        <v>借</v>
      </c>
      <c r="K214" s="9">
        <f t="shared" si="11"/>
        <v>890</v>
      </c>
      <c r="L214" s="28"/>
    </row>
    <row r="215" spans="1:12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2"/>
        <v>借</v>
      </c>
      <c r="K215" s="9">
        <f t="shared" si="11"/>
        <v>890</v>
      </c>
      <c r="L215" s="28"/>
    </row>
    <row r="216" spans="1:12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2"/>
        <v>借</v>
      </c>
      <c r="K216" s="9">
        <f t="shared" si="11"/>
        <v>890</v>
      </c>
      <c r="L216" s="28"/>
    </row>
    <row r="217" spans="1:12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2"/>
        <v>借</v>
      </c>
      <c r="K217" s="9">
        <f t="shared" si="11"/>
        <v>890</v>
      </c>
      <c r="L217" s="28"/>
    </row>
    <row r="218" spans="1:12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2"/>
        <v>借</v>
      </c>
      <c r="K218" s="9">
        <f t="shared" si="11"/>
        <v>890</v>
      </c>
      <c r="L218" s="28"/>
    </row>
    <row r="219" spans="1:12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2"/>
        <v>借</v>
      </c>
      <c r="K219" s="9">
        <f t="shared" si="11"/>
        <v>890</v>
      </c>
      <c r="L219" s="28"/>
    </row>
    <row r="220" spans="1:12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2"/>
        <v>借</v>
      </c>
      <c r="K220" s="9">
        <f t="shared" si="11"/>
        <v>890</v>
      </c>
      <c r="L220" s="28"/>
    </row>
    <row r="221" spans="1:12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2"/>
        <v>借</v>
      </c>
      <c r="K221" s="9">
        <f t="shared" si="11"/>
        <v>890</v>
      </c>
      <c r="L221" s="28"/>
    </row>
    <row r="222" spans="1:12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2"/>
        <v>借</v>
      </c>
      <c r="K222" s="9">
        <f t="shared" si="11"/>
        <v>890</v>
      </c>
      <c r="L222" s="28"/>
    </row>
    <row r="223" spans="1:12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2"/>
        <v>借</v>
      </c>
      <c r="K223" s="9">
        <f t="shared" si="11"/>
        <v>890</v>
      </c>
      <c r="L223" s="28"/>
    </row>
    <row r="224" spans="1:12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2"/>
        <v>借</v>
      </c>
      <c r="K224" s="9">
        <f t="shared" si="11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2"/>
        <v>借</v>
      </c>
      <c r="K225" s="9">
        <f t="shared" si="11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2"/>
        <v>借</v>
      </c>
      <c r="K226" s="9">
        <f t="shared" si="11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2"/>
        <v>借</v>
      </c>
      <c r="K227" s="9">
        <f t="shared" si="11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2"/>
        <v>借</v>
      </c>
      <c r="K228" s="9">
        <f t="shared" si="11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2"/>
        <v>借</v>
      </c>
      <c r="K229" s="9">
        <f t="shared" si="11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2"/>
        <v>借</v>
      </c>
      <c r="K230" s="9">
        <f t="shared" si="11"/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2"/>
        <v>借</v>
      </c>
      <c r="K231" s="9">
        <f t="shared" si="11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2"/>
        <v>借</v>
      </c>
      <c r="K232" s="21">
        <f t="shared" si="11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2"/>
        <v>借</v>
      </c>
      <c r="K233" s="9">
        <f t="shared" si="11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2"/>
        <v>借</v>
      </c>
      <c r="K234" s="9">
        <f t="shared" si="11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2"/>
        <v>借</v>
      </c>
      <c r="K235" s="9">
        <f t="shared" si="11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2"/>
        <v>借</v>
      </c>
      <c r="K236" s="21">
        <f t="shared" si="11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2"/>
        <v>借</v>
      </c>
      <c r="K237" s="9">
        <f t="shared" si="11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2"/>
        <v>借</v>
      </c>
      <c r="K238" s="9">
        <f t="shared" si="11"/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2"/>
        <v>借</v>
      </c>
      <c r="K239" s="9">
        <f t="shared" ref="K239:K302" si="13">_xlfn.IFS(J238="借",K238+H239-I239,J238="贷",H239-I239-K238)</f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2"/>
        <v>借</v>
      </c>
      <c r="K240" s="9">
        <f t="shared" si="13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2"/>
        <v>借</v>
      </c>
      <c r="K241" s="9">
        <f t="shared" si="13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2"/>
        <v>借</v>
      </c>
      <c r="K242" s="9">
        <f t="shared" si="13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2"/>
        <v>借</v>
      </c>
      <c r="K243" s="9">
        <f t="shared" si="13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2"/>
        <v>借</v>
      </c>
      <c r="K244" s="9">
        <f t="shared" si="13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2"/>
        <v>借</v>
      </c>
      <c r="K245" s="9">
        <f t="shared" si="13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2"/>
        <v>借</v>
      </c>
      <c r="K246" s="9">
        <f t="shared" si="13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2"/>
        <v>借</v>
      </c>
      <c r="K247" s="9">
        <f t="shared" si="13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2"/>
        <v>借</v>
      </c>
      <c r="K248" s="9">
        <f t="shared" si="13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12"/>
        <v>借</v>
      </c>
      <c r="K249" s="9">
        <f t="shared" si="13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2"/>
        <v>借</v>
      </c>
      <c r="K250" s="9">
        <f t="shared" si="13"/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2"/>
        <v>借</v>
      </c>
      <c r="K251" s="9">
        <f t="shared" si="13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2"/>
        <v>借</v>
      </c>
      <c r="K252" s="9">
        <f t="shared" si="13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2"/>
        <v>借</v>
      </c>
      <c r="K253" s="9">
        <f t="shared" si="13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2"/>
        <v>借</v>
      </c>
      <c r="K254" s="9">
        <f t="shared" si="13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2"/>
        <v>借</v>
      </c>
      <c r="K255" s="9">
        <f t="shared" si="13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2"/>
        <v>借</v>
      </c>
      <c r="K256" s="9">
        <f t="shared" si="13"/>
        <v>890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2"/>
        <v>借</v>
      </c>
      <c r="K257" s="9">
        <f t="shared" si="13"/>
        <v>890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2"/>
        <v>借</v>
      </c>
      <c r="K258" s="9">
        <f t="shared" si="13"/>
        <v>890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2"/>
        <v>借</v>
      </c>
      <c r="K259" s="9">
        <f t="shared" si="13"/>
        <v>890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2"/>
        <v>借</v>
      </c>
      <c r="K260" s="9">
        <f t="shared" si="13"/>
        <v>890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2"/>
        <v>借</v>
      </c>
      <c r="K261" s="9">
        <f t="shared" si="13"/>
        <v>890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2"/>
        <v>借</v>
      </c>
      <c r="K262" s="9">
        <f t="shared" si="13"/>
        <v>890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2"/>
        <v>借</v>
      </c>
      <c r="K263" s="9">
        <f t="shared" si="13"/>
        <v>890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327" si="14">IF((K263+H264-I264)&gt;0,"借","贷")</f>
        <v>借</v>
      </c>
      <c r="K264" s="9">
        <f t="shared" si="13"/>
        <v>890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4"/>
        <v>借</v>
      </c>
      <c r="K265" s="9">
        <f t="shared" si="13"/>
        <v>890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4"/>
        <v>借</v>
      </c>
      <c r="K266" s="9">
        <f t="shared" si="13"/>
        <v>890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4"/>
        <v>借</v>
      </c>
      <c r="K267" s="9">
        <f t="shared" si="13"/>
        <v>890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4"/>
        <v>借</v>
      </c>
      <c r="K268" s="9">
        <f t="shared" si="13"/>
        <v>890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4"/>
        <v>借</v>
      </c>
      <c r="K269" s="9">
        <f t="shared" si="13"/>
        <v>890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4"/>
        <v>借</v>
      </c>
      <c r="K270" s="9">
        <f t="shared" si="13"/>
        <v>890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4"/>
        <v>借</v>
      </c>
      <c r="K271" s="9">
        <f t="shared" si="13"/>
        <v>890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4"/>
        <v>借</v>
      </c>
      <c r="K272" s="9">
        <f t="shared" si="13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4"/>
        <v>借</v>
      </c>
      <c r="K273" s="9">
        <f t="shared" si="13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4"/>
        <v>借</v>
      </c>
      <c r="K274" s="9">
        <f t="shared" si="13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4"/>
        <v>借</v>
      </c>
      <c r="K275" s="9">
        <f t="shared" si="13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4"/>
        <v>借</v>
      </c>
      <c r="K276" s="9">
        <f t="shared" si="13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4"/>
        <v>借</v>
      </c>
      <c r="K277" s="9">
        <f t="shared" si="13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4"/>
        <v>借</v>
      </c>
      <c r="K278" s="9">
        <f t="shared" si="13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4"/>
        <v>借</v>
      </c>
      <c r="K279" s="9">
        <f t="shared" si="13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4"/>
        <v>借</v>
      </c>
      <c r="K280" s="9">
        <f t="shared" si="13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4"/>
        <v>借</v>
      </c>
      <c r="K281" s="9">
        <f t="shared" si="13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4"/>
        <v>借</v>
      </c>
      <c r="K282" s="9">
        <f t="shared" si="13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4"/>
        <v>借</v>
      </c>
      <c r="K283" s="9">
        <f t="shared" si="13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4"/>
        <v>借</v>
      </c>
      <c r="K284" s="9">
        <f t="shared" si="13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4"/>
        <v>借</v>
      </c>
      <c r="K285" s="9">
        <f t="shared" si="13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4"/>
        <v>借</v>
      </c>
      <c r="K286" s="9">
        <f t="shared" si="13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4"/>
        <v>借</v>
      </c>
      <c r="K287" s="9">
        <f t="shared" si="13"/>
        <v>890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4"/>
        <v>借</v>
      </c>
      <c r="K288" s="9">
        <f t="shared" si="13"/>
        <v>890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4"/>
        <v>借</v>
      </c>
      <c r="K289" s="9">
        <f t="shared" si="13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4"/>
        <v>借</v>
      </c>
      <c r="K290" s="9">
        <f t="shared" si="13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4"/>
        <v>借</v>
      </c>
      <c r="K291" s="9">
        <f t="shared" si="13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4"/>
        <v>借</v>
      </c>
      <c r="K292" s="9">
        <f t="shared" si="13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4"/>
        <v>借</v>
      </c>
      <c r="K293" s="9">
        <f t="shared" si="13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4"/>
        <v>借</v>
      </c>
      <c r="K294" s="9">
        <f t="shared" si="13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4"/>
        <v>借</v>
      </c>
      <c r="K295" s="9">
        <f t="shared" si="13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4"/>
        <v>借</v>
      </c>
      <c r="K296" s="9">
        <f t="shared" si="13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4"/>
        <v>借</v>
      </c>
      <c r="K297" s="9">
        <f t="shared" si="13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4"/>
        <v>借</v>
      </c>
      <c r="K298" s="9">
        <f t="shared" si="13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4"/>
        <v>借</v>
      </c>
      <c r="K299" s="9">
        <f t="shared" si="13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4"/>
        <v>借</v>
      </c>
      <c r="K300" s="9">
        <f t="shared" si="13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4"/>
        <v>借</v>
      </c>
      <c r="K301" s="9">
        <f t="shared" si="13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4"/>
        <v>借</v>
      </c>
      <c r="K302" s="9">
        <f t="shared" si="13"/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4"/>
        <v>借</v>
      </c>
      <c r="K303" s="9">
        <f t="shared" ref="K303:K366" si="15">_xlfn.IFS(J302="借",K302+H303-I303,J302="贷",H303-I303-K302)</f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4"/>
        <v>借</v>
      </c>
      <c r="K304" s="9">
        <f t="shared" si="15"/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4"/>
        <v>借</v>
      </c>
      <c r="K305" s="9">
        <f t="shared" si="15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4"/>
        <v>借</v>
      </c>
      <c r="K306" s="9">
        <f t="shared" si="15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4"/>
        <v>借</v>
      </c>
      <c r="K307" s="9">
        <f t="shared" si="15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4"/>
        <v>借</v>
      </c>
      <c r="K308" s="9">
        <f t="shared" si="15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4"/>
        <v>借</v>
      </c>
      <c r="K309" s="9">
        <f t="shared" si="15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4"/>
        <v>借</v>
      </c>
      <c r="K310" s="9">
        <f t="shared" si="15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4"/>
        <v>借</v>
      </c>
      <c r="K311" s="9">
        <f t="shared" si="15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4"/>
        <v>借</v>
      </c>
      <c r="K312" s="9">
        <f t="shared" si="15"/>
        <v>890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4"/>
        <v>借</v>
      </c>
      <c r="K313" s="9">
        <f t="shared" si="15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4"/>
        <v>借</v>
      </c>
      <c r="K314" s="9">
        <f t="shared" si="15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4"/>
        <v>借</v>
      </c>
      <c r="K315" s="9">
        <f t="shared" si="15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4"/>
        <v>借</v>
      </c>
      <c r="K316" s="9">
        <f t="shared" si="15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4"/>
        <v>借</v>
      </c>
      <c r="K317" s="9">
        <f t="shared" si="15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4"/>
        <v>借</v>
      </c>
      <c r="K318" s="9">
        <f t="shared" si="15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4"/>
        <v>借</v>
      </c>
      <c r="K319" s="9">
        <f t="shared" si="15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4"/>
        <v>借</v>
      </c>
      <c r="K320" s="9">
        <f t="shared" si="15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4"/>
        <v>借</v>
      </c>
      <c r="K321" s="9">
        <f t="shared" si="15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4"/>
        <v>借</v>
      </c>
      <c r="K322" s="9">
        <f t="shared" si="15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4"/>
        <v>借</v>
      </c>
      <c r="K323" s="9">
        <f t="shared" si="15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4"/>
        <v>借</v>
      </c>
      <c r="K324" s="9">
        <f t="shared" si="15"/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4"/>
        <v>借</v>
      </c>
      <c r="K325" s="9">
        <f t="shared" si="15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4"/>
        <v>借</v>
      </c>
      <c r="K326" s="9">
        <f t="shared" si="15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4"/>
        <v>借</v>
      </c>
      <c r="K327" s="9">
        <f t="shared" si="15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ref="J328:J391" si="16">IF((K327+H328-I328)&gt;0,"借","贷")</f>
        <v>借</v>
      </c>
      <c r="K328" s="9">
        <f t="shared" si="15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6"/>
        <v>借</v>
      </c>
      <c r="K329" s="9">
        <f t="shared" si="15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6"/>
        <v>借</v>
      </c>
      <c r="K330" s="9">
        <f t="shared" si="15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6"/>
        <v>借</v>
      </c>
      <c r="K331" s="9">
        <f t="shared" si="15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6"/>
        <v>借</v>
      </c>
      <c r="K332" s="9">
        <f t="shared" si="15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6"/>
        <v>借</v>
      </c>
      <c r="K333" s="9">
        <f t="shared" si="15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6"/>
        <v>借</v>
      </c>
      <c r="K334" s="9">
        <f t="shared" si="15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6"/>
        <v>借</v>
      </c>
      <c r="K335" s="9">
        <f t="shared" si="15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6"/>
        <v>借</v>
      </c>
      <c r="K336" s="9">
        <f t="shared" si="15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6"/>
        <v>借</v>
      </c>
      <c r="K337" s="9">
        <f t="shared" si="15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6"/>
        <v>借</v>
      </c>
      <c r="K338" s="9">
        <f t="shared" si="15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6"/>
        <v>借</v>
      </c>
      <c r="K339" s="9">
        <f t="shared" si="15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6"/>
        <v>借</v>
      </c>
      <c r="K340" s="9">
        <f t="shared" si="15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6"/>
        <v>借</v>
      </c>
      <c r="K341" s="9">
        <f t="shared" si="15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6"/>
        <v>借</v>
      </c>
      <c r="K342" s="9">
        <f t="shared" si="15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6"/>
        <v>借</v>
      </c>
      <c r="K343" s="9">
        <f t="shared" si="15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6"/>
        <v>借</v>
      </c>
      <c r="K344" s="9">
        <f t="shared" si="15"/>
        <v>890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6"/>
        <v>借</v>
      </c>
      <c r="K345" s="9">
        <f t="shared" si="15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6"/>
        <v>借</v>
      </c>
      <c r="K346" s="9">
        <f t="shared" si="15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6"/>
        <v>借</v>
      </c>
      <c r="K347" s="9">
        <f t="shared" si="15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6"/>
        <v>借</v>
      </c>
      <c r="K348" s="9">
        <f t="shared" si="15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6"/>
        <v>借</v>
      </c>
      <c r="K349" s="9">
        <f t="shared" si="15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6"/>
        <v>借</v>
      </c>
      <c r="K350" s="9">
        <f t="shared" si="15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6"/>
        <v>借</v>
      </c>
      <c r="K351" s="9">
        <f t="shared" si="15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6"/>
        <v>借</v>
      </c>
      <c r="K352" s="9">
        <f t="shared" si="15"/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6"/>
        <v>借</v>
      </c>
      <c r="K353" s="9">
        <f t="shared" si="15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6"/>
        <v>借</v>
      </c>
      <c r="K354" s="9">
        <f t="shared" si="15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6"/>
        <v>借</v>
      </c>
      <c r="K355" s="9">
        <f t="shared" si="15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6"/>
        <v>借</v>
      </c>
      <c r="K356" s="9">
        <f t="shared" si="15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6"/>
        <v>借</v>
      </c>
      <c r="K357" s="9">
        <f t="shared" si="15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6"/>
        <v>借</v>
      </c>
      <c r="K358" s="9">
        <f t="shared" si="15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6"/>
        <v>借</v>
      </c>
      <c r="K359" s="9">
        <f t="shared" si="15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6"/>
        <v>借</v>
      </c>
      <c r="K360" s="9">
        <f t="shared" si="15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6"/>
        <v>借</v>
      </c>
      <c r="K361" s="9">
        <f t="shared" si="15"/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6"/>
        <v>借</v>
      </c>
      <c r="K362" s="9">
        <f t="shared" si="15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6"/>
        <v>借</v>
      </c>
      <c r="K363" s="9">
        <f t="shared" si="15"/>
        <v>890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6"/>
        <v>借</v>
      </c>
      <c r="K364" s="9">
        <f t="shared" si="15"/>
        <v>890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6"/>
        <v>借</v>
      </c>
      <c r="K365" s="9">
        <f t="shared" si="15"/>
        <v>890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6"/>
        <v>借</v>
      </c>
      <c r="K366" s="9">
        <f t="shared" si="15"/>
        <v>890</v>
      </c>
      <c r="L366" s="28"/>
    </row>
    <row r="367" spans="1:12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6"/>
        <v>借</v>
      </c>
      <c r="K367" s="9">
        <f t="shared" ref="K367:K430" si="17">_xlfn.IFS(J366="借",K366+H367-I367,J366="贷",H367-I367-K366)</f>
        <v>890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6"/>
        <v>借</v>
      </c>
      <c r="K368" s="9">
        <f t="shared" si="17"/>
        <v>890</v>
      </c>
      <c r="L368" s="28"/>
    </row>
    <row r="369" spans="2:12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6"/>
        <v>借</v>
      </c>
      <c r="K369" s="9">
        <f t="shared" si="17"/>
        <v>890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6"/>
        <v>借</v>
      </c>
      <c r="K370" s="9">
        <f t="shared" si="17"/>
        <v>890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6"/>
        <v>借</v>
      </c>
      <c r="K371" s="9">
        <f t="shared" si="17"/>
        <v>890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6"/>
        <v>借</v>
      </c>
      <c r="K372" s="9">
        <f t="shared" si="17"/>
        <v>890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6"/>
        <v>借</v>
      </c>
      <c r="K373" s="9">
        <f t="shared" si="17"/>
        <v>890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6"/>
        <v>借</v>
      </c>
      <c r="K374" s="9">
        <f t="shared" si="17"/>
        <v>890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6"/>
        <v>借</v>
      </c>
      <c r="K375" s="9">
        <f t="shared" si="17"/>
        <v>890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6"/>
        <v>借</v>
      </c>
      <c r="K376" s="9">
        <f t="shared" si="17"/>
        <v>890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6"/>
        <v>借</v>
      </c>
      <c r="K377" s="9">
        <f t="shared" si="17"/>
        <v>890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6"/>
        <v>借</v>
      </c>
      <c r="K378" s="9">
        <f t="shared" si="17"/>
        <v>890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6"/>
        <v>借</v>
      </c>
      <c r="K379" s="9">
        <f t="shared" si="17"/>
        <v>890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6"/>
        <v>借</v>
      </c>
      <c r="K380" s="9">
        <f t="shared" si="17"/>
        <v>890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6"/>
        <v>借</v>
      </c>
      <c r="K381" s="9">
        <f t="shared" si="17"/>
        <v>890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6"/>
        <v>借</v>
      </c>
      <c r="K382" s="9">
        <f t="shared" si="17"/>
        <v>890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6"/>
        <v>借</v>
      </c>
      <c r="K383" s="9">
        <f t="shared" si="17"/>
        <v>890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6"/>
        <v>借</v>
      </c>
      <c r="K384" s="9">
        <f t="shared" si="17"/>
        <v>890</v>
      </c>
      <c r="L384" s="28"/>
    </row>
    <row r="385" spans="2:12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6"/>
        <v>借</v>
      </c>
      <c r="K385" s="9">
        <f t="shared" si="17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6"/>
        <v>借</v>
      </c>
      <c r="K386" s="9">
        <f t="shared" si="17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6"/>
        <v>借</v>
      </c>
      <c r="K387" s="9">
        <f t="shared" si="17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6"/>
        <v>借</v>
      </c>
      <c r="K388" s="9">
        <f t="shared" si="17"/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6"/>
        <v>借</v>
      </c>
      <c r="K389" s="9">
        <f t="shared" si="17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6"/>
        <v>借</v>
      </c>
      <c r="K390" s="9">
        <f t="shared" si="17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6"/>
        <v>借</v>
      </c>
      <c r="K391" s="9">
        <f t="shared" si="17"/>
        <v>890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ref="J392:J455" si="18">IF((K391+H392-I392)&gt;0,"借","贷")</f>
        <v>借</v>
      </c>
      <c r="K392" s="9">
        <f t="shared" si="17"/>
        <v>890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8"/>
        <v>借</v>
      </c>
      <c r="K393" s="9">
        <f t="shared" si="17"/>
        <v>890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8"/>
        <v>借</v>
      </c>
      <c r="K394" s="9">
        <f t="shared" si="17"/>
        <v>890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8"/>
        <v>借</v>
      </c>
      <c r="K395" s="9">
        <f t="shared" si="17"/>
        <v>890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8"/>
        <v>借</v>
      </c>
      <c r="K396" s="9">
        <f t="shared" si="17"/>
        <v>890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8"/>
        <v>借</v>
      </c>
      <c r="K397" s="9">
        <f t="shared" si="17"/>
        <v>890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8"/>
        <v>借</v>
      </c>
      <c r="K398" s="9">
        <f t="shared" si="17"/>
        <v>890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8"/>
        <v>借</v>
      </c>
      <c r="K399" s="9">
        <f t="shared" si="17"/>
        <v>890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8"/>
        <v>借</v>
      </c>
      <c r="K400" s="9">
        <f t="shared" si="17"/>
        <v>890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8"/>
        <v>借</v>
      </c>
      <c r="K401" s="9">
        <f t="shared" si="17"/>
        <v>890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8"/>
        <v>借</v>
      </c>
      <c r="K402" s="9">
        <f t="shared" si="17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8"/>
        <v>借</v>
      </c>
      <c r="K403" s="9">
        <f t="shared" si="17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8"/>
        <v>借</v>
      </c>
      <c r="K404" s="9">
        <f t="shared" si="17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8"/>
        <v>借</v>
      </c>
      <c r="K405" s="9">
        <f t="shared" si="17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8"/>
        <v>借</v>
      </c>
      <c r="K406" s="9">
        <f t="shared" si="17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8"/>
        <v>借</v>
      </c>
      <c r="K407" s="9">
        <f t="shared" si="17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8"/>
        <v>借</v>
      </c>
      <c r="K408" s="9">
        <f t="shared" si="17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8"/>
        <v>借</v>
      </c>
      <c r="K409" s="9">
        <f t="shared" si="17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8"/>
        <v>借</v>
      </c>
      <c r="K410" s="9">
        <f t="shared" si="17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8"/>
        <v>借</v>
      </c>
      <c r="K411" s="9">
        <f t="shared" si="17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8"/>
        <v>借</v>
      </c>
      <c r="K412" s="9">
        <f t="shared" si="17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8"/>
        <v>借</v>
      </c>
      <c r="K413" s="9">
        <f t="shared" si="17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8"/>
        <v>借</v>
      </c>
      <c r="K414" s="9">
        <f t="shared" si="17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8"/>
        <v>借</v>
      </c>
      <c r="K415" s="9">
        <f t="shared" si="17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8"/>
        <v>借</v>
      </c>
      <c r="K416" s="9">
        <f t="shared" si="17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8"/>
        <v>借</v>
      </c>
      <c r="K417" s="9">
        <f t="shared" si="17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8"/>
        <v>借</v>
      </c>
      <c r="K418" s="9">
        <f t="shared" si="17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8"/>
        <v>借</v>
      </c>
      <c r="K419" s="9">
        <f t="shared" si="17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8"/>
        <v>借</v>
      </c>
      <c r="K420" s="9">
        <f t="shared" si="17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8"/>
        <v>借</v>
      </c>
      <c r="K421" s="9">
        <f t="shared" si="17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8"/>
        <v>借</v>
      </c>
      <c r="K422" s="9">
        <f t="shared" si="17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8"/>
        <v>借</v>
      </c>
      <c r="K423" s="9">
        <f t="shared" si="17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8"/>
        <v>借</v>
      </c>
      <c r="K424" s="9">
        <f t="shared" si="17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8"/>
        <v>借</v>
      </c>
      <c r="K425" s="9">
        <f t="shared" si="17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8"/>
        <v>借</v>
      </c>
      <c r="K426" s="9">
        <f t="shared" si="17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8"/>
        <v>借</v>
      </c>
      <c r="K427" s="9">
        <f t="shared" si="17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8"/>
        <v>借</v>
      </c>
      <c r="K428" s="9">
        <f t="shared" si="17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8"/>
        <v>借</v>
      </c>
      <c r="K429" s="9">
        <f t="shared" si="17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8"/>
        <v>借</v>
      </c>
      <c r="K430" s="9">
        <f t="shared" si="17"/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8"/>
        <v>借</v>
      </c>
      <c r="K431" s="9">
        <f t="shared" ref="K431:K494" si="19">_xlfn.IFS(J430="借",K430+H431-I431,J430="贷",H431-I431-K430)</f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8"/>
        <v>借</v>
      </c>
      <c r="K432" s="9">
        <f t="shared" si="19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8"/>
        <v>借</v>
      </c>
      <c r="K433" s="9">
        <f t="shared" si="19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8"/>
        <v>借</v>
      </c>
      <c r="K434" s="9">
        <f t="shared" si="19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8"/>
        <v>借</v>
      </c>
      <c r="K435" s="9">
        <f t="shared" si="19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8"/>
        <v>借</v>
      </c>
      <c r="K436" s="9">
        <f t="shared" si="19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8"/>
        <v>借</v>
      </c>
      <c r="K437" s="9">
        <f t="shared" si="19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8"/>
        <v>借</v>
      </c>
      <c r="K438" s="9">
        <f t="shared" si="19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8"/>
        <v>借</v>
      </c>
      <c r="K439" s="9">
        <f t="shared" si="19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8"/>
        <v>借</v>
      </c>
      <c r="K440" s="9">
        <f t="shared" si="19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8"/>
        <v>借</v>
      </c>
      <c r="K441" s="9">
        <f t="shared" si="19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8"/>
        <v>借</v>
      </c>
      <c r="K442" s="9">
        <f t="shared" si="19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8"/>
        <v>借</v>
      </c>
      <c r="K443" s="9">
        <f t="shared" si="19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8"/>
        <v>借</v>
      </c>
      <c r="K444" s="9">
        <f t="shared" si="19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8"/>
        <v>借</v>
      </c>
      <c r="K445" s="9">
        <f t="shared" si="19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8"/>
        <v>借</v>
      </c>
      <c r="K446" s="9">
        <f t="shared" si="19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8"/>
        <v>借</v>
      </c>
      <c r="K447" s="9">
        <f t="shared" si="19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8"/>
        <v>借</v>
      </c>
      <c r="K448" s="9">
        <f t="shared" si="19"/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8"/>
        <v>借</v>
      </c>
      <c r="K449" s="9">
        <f t="shared" si="19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8"/>
        <v>借</v>
      </c>
      <c r="K450" s="9">
        <f t="shared" si="19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8"/>
        <v>借</v>
      </c>
      <c r="K451" s="9">
        <f t="shared" si="19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8"/>
        <v>借</v>
      </c>
      <c r="K452" s="9">
        <f t="shared" si="19"/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8"/>
        <v>借</v>
      </c>
      <c r="K453" s="9">
        <f t="shared" si="19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8"/>
        <v>借</v>
      </c>
      <c r="K454" s="9">
        <f t="shared" si="19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8"/>
        <v>借</v>
      </c>
      <c r="K455" s="9">
        <f t="shared" si="19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ref="J456:J499" si="20">IF((K455+H456-I456)&gt;0,"借","贷")</f>
        <v>借</v>
      </c>
      <c r="K456" s="9">
        <f t="shared" si="19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20"/>
        <v>借</v>
      </c>
      <c r="K457" s="9">
        <f t="shared" si="19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0"/>
        <v>借</v>
      </c>
      <c r="K458" s="9">
        <f t="shared" si="19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0"/>
        <v>借</v>
      </c>
      <c r="K459" s="9">
        <f t="shared" si="19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0"/>
        <v>借</v>
      </c>
      <c r="K460" s="9">
        <f t="shared" si="19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0"/>
        <v>借</v>
      </c>
      <c r="K461" s="9">
        <f t="shared" si="19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0"/>
        <v>借</v>
      </c>
      <c r="K462" s="9">
        <f t="shared" si="19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20"/>
        <v>借</v>
      </c>
      <c r="K463" s="9">
        <f t="shared" si="19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0"/>
        <v>借</v>
      </c>
      <c r="K464" s="9">
        <f t="shared" si="19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0"/>
        <v>借</v>
      </c>
      <c r="K465" s="9">
        <f t="shared" si="19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0"/>
        <v>借</v>
      </c>
      <c r="K466" s="9">
        <f t="shared" si="19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0"/>
        <v>借</v>
      </c>
      <c r="K467" s="9">
        <f t="shared" si="19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0"/>
        <v>借</v>
      </c>
      <c r="K468" s="9">
        <f t="shared" si="19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20"/>
        <v>借</v>
      </c>
      <c r="K469" s="9">
        <f t="shared" si="19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0"/>
        <v>借</v>
      </c>
      <c r="K470" s="9">
        <f t="shared" si="19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0"/>
        <v>借</v>
      </c>
      <c r="K471" s="9">
        <f t="shared" si="19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0"/>
        <v>借</v>
      </c>
      <c r="K472" s="9">
        <f t="shared" si="19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0"/>
        <v>借</v>
      </c>
      <c r="K473" s="9">
        <f t="shared" si="19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0"/>
        <v>借</v>
      </c>
      <c r="K474" s="9">
        <f t="shared" si="19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0"/>
        <v>借</v>
      </c>
      <c r="K475" s="9">
        <f t="shared" si="19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0"/>
        <v>借</v>
      </c>
      <c r="K476" s="9">
        <f t="shared" si="19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0"/>
        <v>借</v>
      </c>
      <c r="K477" s="9">
        <f t="shared" si="19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0"/>
        <v>借</v>
      </c>
      <c r="K478" s="9">
        <f t="shared" si="19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0"/>
        <v>借</v>
      </c>
      <c r="K479" s="9">
        <f t="shared" si="19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0"/>
        <v>借</v>
      </c>
      <c r="K480" s="9">
        <f t="shared" si="19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0"/>
        <v>借</v>
      </c>
      <c r="K481" s="9">
        <f t="shared" si="19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0"/>
        <v>借</v>
      </c>
      <c r="K482" s="9">
        <f t="shared" si="19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0"/>
        <v>借</v>
      </c>
      <c r="K483" s="9">
        <f t="shared" si="19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0"/>
        <v>借</v>
      </c>
      <c r="K484" s="9">
        <f t="shared" si="19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0"/>
        <v>借</v>
      </c>
      <c r="K485" s="9">
        <f t="shared" si="19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0"/>
        <v>借</v>
      </c>
      <c r="K486" s="9">
        <f t="shared" si="19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0"/>
        <v>借</v>
      </c>
      <c r="K487" s="9">
        <f t="shared" si="19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0"/>
        <v>借</v>
      </c>
      <c r="K488" s="9">
        <f t="shared" si="19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0"/>
        <v>借</v>
      </c>
      <c r="K489" s="9">
        <f t="shared" si="19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0"/>
        <v>借</v>
      </c>
      <c r="K490" s="9">
        <f t="shared" si="19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0"/>
        <v>借</v>
      </c>
      <c r="K491" s="9">
        <f t="shared" si="19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0"/>
        <v>借</v>
      </c>
      <c r="K492" s="9">
        <f t="shared" si="19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0"/>
        <v>借</v>
      </c>
      <c r="K493" s="9">
        <f t="shared" si="19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0"/>
        <v>借</v>
      </c>
      <c r="K494" s="9">
        <f t="shared" si="19"/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0"/>
        <v>借</v>
      </c>
      <c r="K495" s="9">
        <f t="shared" ref="K495:K499" si="21">_xlfn.IFS(J494="借",K494+H495-I495,J494="贷",H495-I495-K494)</f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0"/>
        <v>借</v>
      </c>
      <c r="K496" s="9">
        <f t="shared" si="21"/>
        <v>890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0"/>
        <v>借</v>
      </c>
      <c r="K497" s="9">
        <f t="shared" si="21"/>
        <v>890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0"/>
        <v>借</v>
      </c>
      <c r="K498" s="9">
        <f t="shared" si="21"/>
        <v>890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0"/>
        <v>借</v>
      </c>
      <c r="K499" s="9">
        <f t="shared" si="21"/>
        <v>890</v>
      </c>
      <c r="L499" s="28"/>
    </row>
  </sheetData>
  <autoFilter ref="A4:M499" xr:uid="{00000000-0009-0000-0000-000010000000}"/>
  <mergeCells count="34">
    <mergeCell ref="A1:K1"/>
    <mergeCell ref="M6:M7"/>
    <mergeCell ref="M12:M14"/>
    <mergeCell ref="M17:M19"/>
    <mergeCell ref="M21:M22"/>
    <mergeCell ref="M25:M26"/>
    <mergeCell ref="M27:M29"/>
    <mergeCell ref="M31:M33"/>
    <mergeCell ref="M36:M37"/>
    <mergeCell ref="M42:M44"/>
    <mergeCell ref="M51:M53"/>
    <mergeCell ref="M55:M56"/>
    <mergeCell ref="M64:M66"/>
    <mergeCell ref="M68:M69"/>
    <mergeCell ref="M74:M75"/>
    <mergeCell ref="M76:M77"/>
    <mergeCell ref="M80:M81"/>
    <mergeCell ref="M84:M86"/>
    <mergeCell ref="M91:M92"/>
    <mergeCell ref="M100:M102"/>
    <mergeCell ref="M104:M105"/>
    <mergeCell ref="M109:M110"/>
    <mergeCell ref="M113:M114"/>
    <mergeCell ref="M122:M124"/>
    <mergeCell ref="M131:M132"/>
    <mergeCell ref="M159:M160"/>
    <mergeCell ref="M164:M166"/>
    <mergeCell ref="M176:M177"/>
    <mergeCell ref="M180:M182"/>
    <mergeCell ref="M135:M136"/>
    <mergeCell ref="M137:M139"/>
    <mergeCell ref="M141:M142"/>
    <mergeCell ref="M146:M148"/>
    <mergeCell ref="M151:M153"/>
  </mergeCells>
  <phoneticPr fontId="21" type="noConversion"/>
  <dataValidations count="1">
    <dataValidation type="list" allowBlank="1" showInputMessage="1" showErrorMessage="1" sqref="A1:F1 G1:G1048576 H1:L1" xr:uid="{00000000-0002-0000-1000-000000000000}">
      <formula1>#REF!</formula1>
    </dataValidation>
  </dataValidations>
  <pageMargins left="0.75" right="0.75" top="1" bottom="1" header="0.5" footer="0.5"/>
  <pageSetup paperSize="9" orientation="portrait"/>
  <ignoredErrors>
    <ignoredError sqref="G4" listDataValidation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98"/>
  <sheetViews>
    <sheetView workbookViewId="0">
      <selection activeCell="E10" sqref="E10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72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65"/>
      <c r="M27" s="65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65"/>
      <c r="M28" s="65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65"/>
      <c r="M29" s="65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65"/>
      <c r="M30" s="65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65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65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65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65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65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65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65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1" type="noConversion"/>
  <dataValidations count="2">
    <dataValidation allowBlank="1" showInputMessage="1" showErrorMessage="1" sqref="G1 A2:XFD2 G3:G4 L72:L73" xr:uid="{00000000-0002-0000-1100-000000000000}"/>
    <dataValidation type="list" allowBlank="1" showInputMessage="1" showErrorMessage="1" sqref="G5:G1048576" xr:uid="{00000000-0002-0000-1100-000001000000}">
      <formula1>#REF!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00"/>
  <sheetViews>
    <sheetView topLeftCell="B1" workbookViewId="0">
      <selection activeCell="E13" sqref="E13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  <c r="L1" s="2"/>
    </row>
    <row r="2" spans="1:13" ht="20.100000000000001" customHeight="1" x14ac:dyDescent="0.15">
      <c r="B2" t="s">
        <v>73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SUM(H5:H190002)</f>
        <v>0</v>
      </c>
      <c r="I3" s="4">
        <f>SUM(I5:I190002)</f>
        <v>0</v>
      </c>
      <c r="J3" s="4"/>
      <c r="K3" s="3">
        <f>K5+H3-I3</f>
        <v>1000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74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12" si="0">IF((K5+H6-I6)&gt;0,"借","贷")</f>
        <v>借</v>
      </c>
      <c r="K6" s="9">
        <f t="shared" ref="K6:K13" si="1">K5+H6-I6</f>
        <v>1000</v>
      </c>
      <c r="L6" s="28"/>
    </row>
    <row r="7" spans="1:13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1000</v>
      </c>
      <c r="L7" s="28"/>
    </row>
    <row r="8" spans="1:13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  <c r="L8" s="28"/>
      <c r="M8" s="65"/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  <c r="L9" s="28"/>
      <c r="M9" s="65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  <c r="L10" s="28"/>
      <c r="M10" s="65"/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  <c r="L11" s="28"/>
      <c r="M11" s="65"/>
    </row>
    <row r="12" spans="1:13" ht="20.100000000000001" customHeight="1" x14ac:dyDescent="0.15">
      <c r="A12" s="5"/>
      <c r="B12" s="5"/>
      <c r="C12" s="5"/>
      <c r="D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8"/>
      <c r="G13" s="8"/>
      <c r="H13" s="8"/>
      <c r="I13" s="8"/>
      <c r="J13" s="8" t="str">
        <f t="shared" ref="J13:J69" si="2">IF((K12+H13-I13)&gt;0,"借","贷")</f>
        <v>借</v>
      </c>
      <c r="K13" s="9">
        <f t="shared" si="1"/>
        <v>1000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8"/>
      <c r="G14" s="10"/>
      <c r="H14" s="8"/>
      <c r="I14" s="8"/>
      <c r="J14" s="8" t="str">
        <f t="shared" si="2"/>
        <v>借</v>
      </c>
      <c r="K14" s="9">
        <f t="shared" ref="K14:K69" si="3">K13+H14-I14</f>
        <v>1000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2"/>
        <v>借</v>
      </c>
      <c r="K15" s="9">
        <f t="shared" si="3"/>
        <v>1000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2"/>
        <v>借</v>
      </c>
      <c r="K16" s="9">
        <f t="shared" si="3"/>
        <v>1000</v>
      </c>
      <c r="L16" s="28"/>
      <c r="M16" s="65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2"/>
        <v>借</v>
      </c>
      <c r="K17" s="9">
        <f t="shared" si="3"/>
        <v>1000</v>
      </c>
      <c r="L17" s="28"/>
      <c r="M17" s="65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2"/>
        <v>借</v>
      </c>
      <c r="K18" s="9">
        <f t="shared" si="3"/>
        <v>1000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2"/>
        <v>借</v>
      </c>
      <c r="K19" s="9">
        <f t="shared" si="3"/>
        <v>1000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2"/>
        <v>借</v>
      </c>
      <c r="K20" s="9">
        <f t="shared" si="3"/>
        <v>1000</v>
      </c>
      <c r="L20" s="28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2"/>
        <v>借</v>
      </c>
      <c r="K21" s="9">
        <f t="shared" si="3"/>
        <v>1000</v>
      </c>
      <c r="L21" s="28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2"/>
        <v>借</v>
      </c>
      <c r="K22" s="9">
        <f t="shared" si="3"/>
        <v>1000</v>
      </c>
      <c r="L22" s="28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2"/>
        <v>借</v>
      </c>
      <c r="K23" s="9">
        <f t="shared" si="3"/>
        <v>1000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2"/>
        <v>借</v>
      </c>
      <c r="K24" s="9">
        <f t="shared" si="3"/>
        <v>1000</v>
      </c>
      <c r="L24" s="28"/>
      <c r="M24" s="65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2"/>
        <v>借</v>
      </c>
      <c r="K25" s="9">
        <f t="shared" si="3"/>
        <v>1000</v>
      </c>
      <c r="L25" s="28"/>
      <c r="M25" s="65"/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2"/>
        <v>借</v>
      </c>
      <c r="K26" s="9">
        <f t="shared" si="3"/>
        <v>1000</v>
      </c>
      <c r="L26" s="28"/>
      <c r="M26" s="65"/>
    </row>
    <row r="27" spans="1:13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2"/>
        <v>借</v>
      </c>
      <c r="K27" s="9">
        <f t="shared" si="3"/>
        <v>1000</v>
      </c>
      <c r="L27" s="28"/>
      <c r="M27" s="65"/>
    </row>
    <row r="28" spans="1:13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2"/>
        <v>借</v>
      </c>
      <c r="K28" s="9">
        <f t="shared" si="3"/>
        <v>1000</v>
      </c>
      <c r="L28" s="28"/>
      <c r="M28" s="72"/>
    </row>
    <row r="29" spans="1:13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1000</v>
      </c>
      <c r="L29" s="28"/>
      <c r="M29" s="72"/>
    </row>
    <row r="30" spans="1:13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1000</v>
      </c>
      <c r="L30" s="28"/>
      <c r="M30" s="72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1000</v>
      </c>
      <c r="L31" s="28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1000</v>
      </c>
      <c r="L32" s="28"/>
      <c r="M32" s="65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1000</v>
      </c>
      <c r="L33" s="28"/>
      <c r="M33" s="65"/>
    </row>
    <row r="34" spans="1:13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1000</v>
      </c>
      <c r="L34" s="28"/>
      <c r="M34" s="65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1000</v>
      </c>
      <c r="L35" s="28"/>
      <c r="M35" s="65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1000</v>
      </c>
      <c r="L36" s="28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1000</v>
      </c>
      <c r="L37" s="28"/>
      <c r="M37" s="65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1000</v>
      </c>
      <c r="L38" s="28"/>
      <c r="M38" s="65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1000</v>
      </c>
      <c r="L39" s="28"/>
      <c r="M39" s="65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1000</v>
      </c>
      <c r="L40" s="28"/>
      <c r="M40" s="65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1000</v>
      </c>
      <c r="L41" s="28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1000</v>
      </c>
      <c r="L42" s="28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1000</v>
      </c>
      <c r="L43" s="28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1000</v>
      </c>
      <c r="L44" s="28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1000</v>
      </c>
      <c r="L45" s="28"/>
    </row>
    <row r="46" spans="1:13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1000</v>
      </c>
      <c r="L46" s="28"/>
      <c r="M46" s="65"/>
    </row>
    <row r="47" spans="1:13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1000</v>
      </c>
      <c r="L47" s="28"/>
      <c r="M47" s="65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1000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1000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1000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1000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1000</v>
      </c>
      <c r="L52" s="28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1000</v>
      </c>
      <c r="L53" s="28"/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1000</v>
      </c>
      <c r="L54" s="28"/>
      <c r="M54" s="65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1000</v>
      </c>
      <c r="L55" s="28"/>
      <c r="M55" s="65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1000</v>
      </c>
      <c r="L56" s="28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1000</v>
      </c>
      <c r="L57" s="28"/>
      <c r="M57" s="65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1000</v>
      </c>
      <c r="L58" s="28"/>
      <c r="M58" s="65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1000</v>
      </c>
      <c r="L59" s="28"/>
      <c r="M59" s="65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1000</v>
      </c>
      <c r="L60" s="28"/>
      <c r="M60" s="65"/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1000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1000</v>
      </c>
      <c r="L62" s="28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1000</v>
      </c>
      <c r="L63" s="28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1000</v>
      </c>
      <c r="L64" s="28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1000</v>
      </c>
      <c r="L65" s="28"/>
      <c r="M65" s="65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1000</v>
      </c>
      <c r="L66" s="28"/>
      <c r="M66" s="65"/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1000</v>
      </c>
      <c r="L67" s="28"/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1000</v>
      </c>
      <c r="L68" s="28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1000</v>
      </c>
      <c r="L69" s="28"/>
    </row>
    <row r="70" spans="1:13" ht="20.100000000000001" customHeight="1" x14ac:dyDescent="0.15">
      <c r="A70" s="10"/>
      <c r="B70" s="5"/>
      <c r="C70" s="10"/>
      <c r="D70" s="10"/>
      <c r="E70" s="10"/>
      <c r="F70" s="10"/>
      <c r="G70" s="10"/>
      <c r="H70" s="8"/>
      <c r="I70" s="8"/>
      <c r="J70" s="8" t="str">
        <f t="shared" ref="J70:J75" si="4">IF((K69+H70-I70)&gt;0,"借","贷")</f>
        <v>借</v>
      </c>
      <c r="K70" s="9">
        <f t="shared" ref="K70:K75" si="5">K69+H70-I70</f>
        <v>1000</v>
      </c>
      <c r="L70" s="28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4"/>
        <v>借</v>
      </c>
      <c r="K71" s="9">
        <f t="shared" si="5"/>
        <v>1000</v>
      </c>
      <c r="L71" s="28"/>
      <c r="M71" s="65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8"/>
      <c r="J72" s="8" t="str">
        <f t="shared" si="4"/>
        <v>借</v>
      </c>
      <c r="K72" s="9">
        <f t="shared" si="5"/>
        <v>1000</v>
      </c>
      <c r="L72" s="28"/>
      <c r="M72" s="65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8"/>
      <c r="J73" s="8" t="str">
        <f t="shared" si="4"/>
        <v>借</v>
      </c>
      <c r="K73" s="9">
        <f t="shared" si="5"/>
        <v>1000</v>
      </c>
      <c r="L73" s="28"/>
      <c r="M73" s="65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1000</v>
      </c>
      <c r="L74" s="28"/>
      <c r="M74" s="65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1000</v>
      </c>
      <c r="L75" s="28"/>
      <c r="M75" s="65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ref="J76:J112" si="6">IF((K75+H76-I76)&gt;0,"借","贷")</f>
        <v>借</v>
      </c>
      <c r="K76" s="9">
        <f t="shared" ref="K76:K112" si="7">K75+H76-I76</f>
        <v>1000</v>
      </c>
      <c r="L76" s="28"/>
      <c r="M76" s="65"/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6"/>
        <v>借</v>
      </c>
      <c r="K77" s="9">
        <f t="shared" si="7"/>
        <v>1000</v>
      </c>
      <c r="L77" s="28"/>
    </row>
    <row r="78" spans="1:13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6"/>
        <v>借</v>
      </c>
      <c r="K78" s="9">
        <f t="shared" si="7"/>
        <v>1000</v>
      </c>
      <c r="L78" s="28"/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6"/>
        <v>借</v>
      </c>
      <c r="K79" s="9">
        <f t="shared" si="7"/>
        <v>1000</v>
      </c>
      <c r="L79" s="28"/>
    </row>
    <row r="80" spans="1:13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6"/>
        <v>借</v>
      </c>
      <c r="K80" s="9">
        <f t="shared" si="7"/>
        <v>1000</v>
      </c>
      <c r="L80" s="28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6"/>
        <v>借</v>
      </c>
      <c r="K81" s="9">
        <f t="shared" si="7"/>
        <v>1000</v>
      </c>
      <c r="L81" s="28"/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6"/>
        <v>借</v>
      </c>
      <c r="K82" s="9">
        <f t="shared" si="7"/>
        <v>1000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6"/>
        <v>借</v>
      </c>
      <c r="K83" s="9">
        <f t="shared" si="7"/>
        <v>1000</v>
      </c>
      <c r="L83" s="28"/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6"/>
        <v>借</v>
      </c>
      <c r="K84" s="9">
        <f t="shared" si="7"/>
        <v>1000</v>
      </c>
      <c r="L84" s="28"/>
      <c r="M84" s="65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6"/>
        <v>借</v>
      </c>
      <c r="K85" s="9">
        <f t="shared" si="7"/>
        <v>1000</v>
      </c>
      <c r="L85" s="28"/>
      <c r="M85" s="65"/>
    </row>
    <row r="86" spans="1:13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6"/>
        <v>借</v>
      </c>
      <c r="K86" s="9">
        <f t="shared" si="7"/>
        <v>1000</v>
      </c>
      <c r="L86" s="28"/>
      <c r="M86" s="65"/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6"/>
        <v>借</v>
      </c>
      <c r="K87" s="9">
        <f t="shared" si="7"/>
        <v>1000</v>
      </c>
      <c r="L87" s="28"/>
      <c r="M87" s="65"/>
    </row>
    <row r="88" spans="1:13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6"/>
        <v>借</v>
      </c>
      <c r="K88" s="9">
        <f t="shared" si="7"/>
        <v>1000</v>
      </c>
      <c r="L88" s="28"/>
      <c r="M88" s="65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6"/>
        <v>借</v>
      </c>
      <c r="K89" s="9">
        <f t="shared" si="7"/>
        <v>1000</v>
      </c>
      <c r="L89" s="28"/>
      <c r="M89" s="65"/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6"/>
        <v>借</v>
      </c>
      <c r="K90" s="9">
        <f t="shared" si="7"/>
        <v>1000</v>
      </c>
      <c r="L90" s="28"/>
      <c r="M90" s="65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6"/>
        <v>借</v>
      </c>
      <c r="K91" s="9">
        <f t="shared" si="7"/>
        <v>1000</v>
      </c>
      <c r="L91" s="28"/>
      <c r="M91" s="65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6"/>
        <v>借</v>
      </c>
      <c r="K92" s="9">
        <f t="shared" si="7"/>
        <v>1000</v>
      </c>
      <c r="L92" s="28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6"/>
        <v>借</v>
      </c>
      <c r="K93" s="9">
        <f t="shared" si="7"/>
        <v>1000</v>
      </c>
      <c r="L93" s="28"/>
      <c r="M93" s="65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6"/>
        <v>借</v>
      </c>
      <c r="K94" s="9">
        <f t="shared" si="7"/>
        <v>1000</v>
      </c>
      <c r="L94" s="28"/>
      <c r="M94" s="65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15"/>
      <c r="J95" s="8" t="str">
        <f t="shared" si="6"/>
        <v>借</v>
      </c>
      <c r="K95" s="9">
        <f t="shared" si="7"/>
        <v>1000</v>
      </c>
      <c r="L95" s="28"/>
      <c r="M95" s="65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6"/>
        <v>借</v>
      </c>
      <c r="K96" s="9">
        <f t="shared" si="7"/>
        <v>1000</v>
      </c>
      <c r="L96" s="28"/>
      <c r="M96" s="65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6"/>
        <v>借</v>
      </c>
      <c r="K97" s="9">
        <f t="shared" si="7"/>
        <v>1000</v>
      </c>
      <c r="L97" s="28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6"/>
        <v>借</v>
      </c>
      <c r="K98" s="9">
        <f t="shared" si="7"/>
        <v>1000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15"/>
      <c r="J99" s="8" t="str">
        <f t="shared" si="6"/>
        <v>借</v>
      </c>
      <c r="K99" s="9">
        <f t="shared" si="7"/>
        <v>1000</v>
      </c>
      <c r="L99" s="28"/>
      <c r="M99" s="65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6"/>
        <v>借</v>
      </c>
      <c r="K100" s="9">
        <f t="shared" si="7"/>
        <v>1000</v>
      </c>
      <c r="L100" s="28"/>
      <c r="M100" s="65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6"/>
        <v>借</v>
      </c>
      <c r="K101" s="9">
        <f t="shared" si="7"/>
        <v>1000</v>
      </c>
      <c r="L101" s="28"/>
      <c r="M101" s="65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6"/>
        <v>借</v>
      </c>
      <c r="K102" s="9">
        <f t="shared" si="7"/>
        <v>1000</v>
      </c>
      <c r="L102" s="28"/>
      <c r="M102" s="65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6"/>
        <v>借</v>
      </c>
      <c r="K103" s="9">
        <f t="shared" si="7"/>
        <v>1000</v>
      </c>
      <c r="L103" s="28"/>
      <c r="M103" s="65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6"/>
        <v>借</v>
      </c>
      <c r="K104" s="9">
        <f t="shared" si="7"/>
        <v>1000</v>
      </c>
      <c r="L104" s="28"/>
      <c r="M104" s="65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si="7"/>
        <v>1000</v>
      </c>
      <c r="L105" s="28"/>
    </row>
    <row r="106" spans="1:13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1000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1000</v>
      </c>
      <c r="L107" s="28"/>
      <c r="M107" s="65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1000</v>
      </c>
      <c r="L108" s="28"/>
      <c r="M108" s="65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1000</v>
      </c>
      <c r="L109" s="28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6"/>
        <v>借</v>
      </c>
      <c r="K110" s="9">
        <f t="shared" si="7"/>
        <v>1000</v>
      </c>
      <c r="L110" s="28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6"/>
        <v>借</v>
      </c>
      <c r="K111" s="9">
        <f t="shared" si="7"/>
        <v>1000</v>
      </c>
      <c r="L111" s="28"/>
      <c r="M111" s="65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1000</v>
      </c>
      <c r="L112" s="28"/>
      <c r="M112" s="65"/>
    </row>
    <row r="113" spans="1:13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ref="J113:J135" si="8">IF((K112+H113-I113)&gt;0,"借","贷")</f>
        <v>借</v>
      </c>
      <c r="K113" s="9">
        <f t="shared" ref="K113:K135" si="9">K112+H113-I113</f>
        <v>1000</v>
      </c>
      <c r="L113" s="28"/>
      <c r="M113" s="65"/>
    </row>
    <row r="114" spans="1:13" ht="20.100000000000001" customHeight="1" x14ac:dyDescent="0.15">
      <c r="B114" s="5"/>
      <c r="C114" s="5"/>
      <c r="D114" s="10"/>
      <c r="E114" s="10"/>
      <c r="F114" s="10"/>
      <c r="G114" s="10"/>
      <c r="H114" s="8"/>
      <c r="I114" s="8"/>
      <c r="J114" s="8" t="str">
        <f t="shared" si="8"/>
        <v>借</v>
      </c>
      <c r="K114" s="9">
        <f t="shared" si="9"/>
        <v>1000</v>
      </c>
      <c r="L114" s="28"/>
      <c r="M114" s="65"/>
    </row>
    <row r="115" spans="1:13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8"/>
        <v>借</v>
      </c>
      <c r="K115" s="9">
        <f t="shared" si="9"/>
        <v>1000</v>
      </c>
      <c r="L115" s="28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8"/>
        <v>借</v>
      </c>
      <c r="K116" s="9">
        <f t="shared" si="9"/>
        <v>1000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8"/>
        <v>借</v>
      </c>
      <c r="K117" s="9">
        <f t="shared" si="9"/>
        <v>1000</v>
      </c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8"/>
        <v>借</v>
      </c>
      <c r="K118" s="9">
        <f t="shared" si="9"/>
        <v>1000</v>
      </c>
      <c r="L118" s="28"/>
      <c r="M118" s="65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8"/>
        <v>借</v>
      </c>
      <c r="K119" s="9">
        <f t="shared" si="9"/>
        <v>1000</v>
      </c>
      <c r="L119" s="28"/>
      <c r="M119" s="65"/>
    </row>
    <row r="120" spans="1:13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8"/>
        <v>借</v>
      </c>
      <c r="K120" s="9">
        <f t="shared" si="9"/>
        <v>1000</v>
      </c>
      <c r="L120" s="28"/>
    </row>
    <row r="121" spans="1:13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8"/>
        <v>借</v>
      </c>
      <c r="K121" s="9">
        <f t="shared" si="9"/>
        <v>1000</v>
      </c>
      <c r="L121" s="28"/>
    </row>
    <row r="122" spans="1:13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8"/>
        <v>借</v>
      </c>
      <c r="K122" s="9">
        <f t="shared" si="9"/>
        <v>1000</v>
      </c>
      <c r="L122" s="28"/>
    </row>
    <row r="123" spans="1:13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8"/>
        <v>借</v>
      </c>
      <c r="K123" s="9">
        <f t="shared" si="9"/>
        <v>1000</v>
      </c>
      <c r="L123" s="28"/>
    </row>
    <row r="124" spans="1:13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8"/>
        <v>借</v>
      </c>
      <c r="K124" s="9">
        <f t="shared" si="9"/>
        <v>1000</v>
      </c>
      <c r="L124" s="28"/>
    </row>
    <row r="125" spans="1:13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8"/>
        <v>借</v>
      </c>
      <c r="K125" s="9">
        <f t="shared" si="9"/>
        <v>1000</v>
      </c>
      <c r="L125" s="28"/>
    </row>
    <row r="126" spans="1:13" ht="20.100000000000001" customHeight="1" x14ac:dyDescent="0.15">
      <c r="A126" s="5"/>
      <c r="B126" s="5"/>
      <c r="C126" s="5"/>
      <c r="D126" s="29"/>
      <c r="E126" s="10"/>
      <c r="F126" s="10"/>
      <c r="G126" s="10"/>
      <c r="H126" s="8"/>
      <c r="I126" s="8"/>
      <c r="J126" s="8" t="str">
        <f t="shared" si="8"/>
        <v>借</v>
      </c>
      <c r="K126" s="9">
        <f t="shared" si="9"/>
        <v>1000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8"/>
        <v>借</v>
      </c>
      <c r="K127" s="9">
        <f t="shared" si="9"/>
        <v>1000</v>
      </c>
      <c r="L127" s="28"/>
    </row>
    <row r="128" spans="1:13" ht="20.100000000000001" customHeight="1" x14ac:dyDescent="0.15">
      <c r="A128" s="5"/>
      <c r="B128" s="5"/>
      <c r="C128" s="10"/>
      <c r="D128" s="30"/>
      <c r="E128" s="10"/>
      <c r="F128" s="10"/>
      <c r="G128" s="10"/>
      <c r="H128" s="8"/>
      <c r="I128" s="8"/>
      <c r="J128" s="8" t="str">
        <f t="shared" si="8"/>
        <v>借</v>
      </c>
      <c r="K128" s="9">
        <f t="shared" si="9"/>
        <v>1000</v>
      </c>
      <c r="L128" s="28"/>
    </row>
    <row r="129" spans="1:13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8"/>
        <v>借</v>
      </c>
      <c r="K129" s="9">
        <f t="shared" si="9"/>
        <v>1000</v>
      </c>
      <c r="L129" s="28"/>
    </row>
    <row r="130" spans="1:13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8"/>
        <v>借</v>
      </c>
      <c r="K130" s="9">
        <f t="shared" si="9"/>
        <v>1000</v>
      </c>
      <c r="L130" s="28"/>
      <c r="M130" s="65"/>
    </row>
    <row r="131" spans="1:13" ht="20.100000000000001" customHeight="1" x14ac:dyDescent="0.15">
      <c r="A131" s="5"/>
      <c r="B131" s="5"/>
      <c r="C131" s="5"/>
      <c r="D131" s="10"/>
      <c r="E131" s="10"/>
      <c r="F131" s="10"/>
      <c r="G131" s="10"/>
      <c r="H131" s="8"/>
      <c r="I131" s="8"/>
      <c r="J131" s="8" t="str">
        <f t="shared" si="8"/>
        <v>借</v>
      </c>
      <c r="K131" s="9">
        <f t="shared" si="9"/>
        <v>1000</v>
      </c>
      <c r="L131" s="28"/>
      <c r="M131" s="65"/>
    </row>
    <row r="132" spans="1:13" ht="20.100000000000001" customHeight="1" x14ac:dyDescent="0.15">
      <c r="A132" s="10"/>
      <c r="B132" s="5"/>
      <c r="C132" s="5"/>
      <c r="D132" s="14"/>
      <c r="E132" s="10"/>
      <c r="F132" s="10"/>
      <c r="G132" s="10"/>
      <c r="H132" s="8"/>
      <c r="I132" s="8"/>
      <c r="J132" s="8" t="str">
        <f t="shared" si="8"/>
        <v>借</v>
      </c>
      <c r="K132" s="9">
        <f t="shared" si="9"/>
        <v>1000</v>
      </c>
      <c r="L132" s="28"/>
      <c r="M132" s="65"/>
    </row>
    <row r="133" spans="1:13" ht="20.100000000000001" customHeight="1" x14ac:dyDescent="0.15">
      <c r="A133" s="10"/>
      <c r="B133" s="5"/>
      <c r="C133" s="5"/>
      <c r="D133" s="10"/>
      <c r="E133" s="10"/>
      <c r="F133" s="10"/>
      <c r="G133" s="10"/>
      <c r="H133" s="8"/>
      <c r="I133" s="8"/>
      <c r="J133" s="8" t="str">
        <f t="shared" si="8"/>
        <v>借</v>
      </c>
      <c r="K133" s="9">
        <f t="shared" si="9"/>
        <v>1000</v>
      </c>
      <c r="L133" s="28"/>
      <c r="M133" s="65"/>
    </row>
    <row r="134" spans="1:13" ht="20.100000000000001" customHeight="1" x14ac:dyDescent="0.15">
      <c r="A134" s="5"/>
      <c r="B134" s="5"/>
      <c r="C134" s="5"/>
      <c r="D134" s="14"/>
      <c r="E134" s="10"/>
      <c r="F134" s="10"/>
      <c r="G134" s="10"/>
      <c r="H134" s="8"/>
      <c r="I134" s="8"/>
      <c r="J134" s="8" t="str">
        <f t="shared" si="8"/>
        <v>借</v>
      </c>
      <c r="K134" s="9">
        <f t="shared" si="9"/>
        <v>1000</v>
      </c>
      <c r="L134" s="28"/>
      <c r="M134" s="65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8"/>
        <v>借</v>
      </c>
      <c r="K135" s="9">
        <f t="shared" si="9"/>
        <v>1000</v>
      </c>
      <c r="L135" s="28"/>
      <c r="M135" s="65"/>
    </row>
    <row r="136" spans="1:13" ht="20.100000000000001" customHeight="1" x14ac:dyDescent="0.15">
      <c r="A136" s="5"/>
      <c r="B136" s="5"/>
      <c r="C136" s="5"/>
      <c r="D136" s="29"/>
      <c r="E136" s="10"/>
      <c r="F136" s="10"/>
      <c r="G136" s="10"/>
      <c r="H136" s="8"/>
      <c r="I136" s="8"/>
      <c r="J136" s="8" t="str">
        <f t="shared" ref="J136:J199" si="10">IF((K135+H136-I136)&gt;0,"借","贷")</f>
        <v>借</v>
      </c>
      <c r="K136" s="9">
        <f t="shared" ref="K136:K178" si="11">K135+H136-I136</f>
        <v>1000</v>
      </c>
      <c r="L136" s="28"/>
    </row>
    <row r="137" spans="1:13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10"/>
        <v>借</v>
      </c>
      <c r="K137" s="9">
        <f t="shared" si="11"/>
        <v>1000</v>
      </c>
      <c r="L137" s="28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10"/>
        <v>借</v>
      </c>
      <c r="K138" s="9">
        <f t="shared" si="11"/>
        <v>1000</v>
      </c>
      <c r="L138" s="28"/>
    </row>
    <row r="139" spans="1:13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10"/>
        <v>借</v>
      </c>
      <c r="K139" s="9">
        <f t="shared" si="11"/>
        <v>1000</v>
      </c>
      <c r="L139" s="28"/>
    </row>
    <row r="140" spans="1:13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10"/>
        <v>借</v>
      </c>
      <c r="K140" s="9">
        <f t="shared" si="11"/>
        <v>1000</v>
      </c>
      <c r="L140" s="28"/>
    </row>
    <row r="141" spans="1:13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10"/>
        <v>借</v>
      </c>
      <c r="K141" s="9">
        <f t="shared" si="11"/>
        <v>1000</v>
      </c>
      <c r="L141" s="28"/>
      <c r="M141" s="65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10"/>
        <v>借</v>
      </c>
      <c r="K142" s="9">
        <f t="shared" si="11"/>
        <v>1000</v>
      </c>
      <c r="L142" s="28"/>
      <c r="M142" s="65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10"/>
        <v>借</v>
      </c>
      <c r="K143" s="9">
        <f t="shared" si="11"/>
        <v>1000</v>
      </c>
      <c r="L143" s="28"/>
    </row>
    <row r="144" spans="1:13" ht="20.100000000000001" customHeight="1" x14ac:dyDescent="0.15">
      <c r="A144" s="5"/>
      <c r="B144" s="5"/>
      <c r="C144" s="5"/>
      <c r="D144" s="10"/>
      <c r="E144" s="16"/>
      <c r="F144" s="10"/>
      <c r="G144" s="10"/>
      <c r="H144" s="8"/>
      <c r="I144" s="8"/>
      <c r="J144" s="8" t="str">
        <f t="shared" si="10"/>
        <v>借</v>
      </c>
      <c r="K144" s="9">
        <f t="shared" si="11"/>
        <v>1000</v>
      </c>
      <c r="L144" s="28"/>
    </row>
    <row r="145" spans="1:13" ht="20.100000000000001" customHeight="1" x14ac:dyDescent="0.15">
      <c r="A145" s="5"/>
      <c r="B145" s="5"/>
      <c r="C145" s="5"/>
      <c r="D145" s="10"/>
      <c r="E145" s="16"/>
      <c r="F145" s="10"/>
      <c r="G145" s="10"/>
      <c r="H145" s="8"/>
      <c r="I145" s="8"/>
      <c r="J145" s="8" t="str">
        <f t="shared" si="10"/>
        <v>借</v>
      </c>
      <c r="K145" s="9">
        <f t="shared" si="11"/>
        <v>1000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10"/>
        <v>借</v>
      </c>
      <c r="K146" s="9">
        <f t="shared" si="11"/>
        <v>1000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10"/>
        <v>借</v>
      </c>
      <c r="K147" s="9">
        <f t="shared" si="11"/>
        <v>1000</v>
      </c>
      <c r="L147" s="28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10"/>
        <v>借</v>
      </c>
      <c r="K148" s="9">
        <f t="shared" si="11"/>
        <v>1000</v>
      </c>
      <c r="L148" s="28"/>
      <c r="M148" s="65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10"/>
        <v>借</v>
      </c>
      <c r="K149" s="9">
        <f t="shared" si="11"/>
        <v>1000</v>
      </c>
      <c r="L149" s="28"/>
      <c r="M149" s="65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10"/>
        <v>借</v>
      </c>
      <c r="K150" s="9">
        <f t="shared" si="11"/>
        <v>1000</v>
      </c>
      <c r="L150" s="28"/>
      <c r="M150" s="65"/>
    </row>
    <row r="151" spans="1:13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10"/>
        <v>借</v>
      </c>
      <c r="K151" s="9">
        <f t="shared" si="11"/>
        <v>1000</v>
      </c>
      <c r="L151" s="28"/>
      <c r="M151" s="65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10"/>
        <v>借</v>
      </c>
      <c r="K152" s="9">
        <f t="shared" si="11"/>
        <v>1000</v>
      </c>
      <c r="L152" s="28"/>
      <c r="M152" s="65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10"/>
        <v>借</v>
      </c>
      <c r="K153" s="9">
        <f t="shared" si="11"/>
        <v>1000</v>
      </c>
      <c r="L153" s="28"/>
      <c r="M153" s="65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10"/>
        <v>借</v>
      </c>
      <c r="K154" s="9">
        <f t="shared" si="11"/>
        <v>1000</v>
      </c>
      <c r="L154" s="28"/>
    </row>
    <row r="155" spans="1:13" ht="20.100000000000001" customHeight="1" x14ac:dyDescent="0.15">
      <c r="A155" s="5"/>
      <c r="B155" s="5"/>
      <c r="C155" s="5"/>
      <c r="D155" s="10"/>
      <c r="E155" s="16"/>
      <c r="F155" s="10"/>
      <c r="G155" s="10"/>
      <c r="H155" s="8"/>
      <c r="I155" s="8"/>
      <c r="J155" s="8" t="str">
        <f t="shared" si="10"/>
        <v>借</v>
      </c>
      <c r="K155" s="9">
        <f t="shared" si="11"/>
        <v>1000</v>
      </c>
      <c r="L155" s="28"/>
      <c r="M155" s="65"/>
    </row>
    <row r="156" spans="1:13" ht="20.100000000000001" customHeight="1" x14ac:dyDescent="0.15">
      <c r="A156" s="5"/>
      <c r="B156" s="5"/>
      <c r="C156" s="5"/>
      <c r="D156" s="10"/>
      <c r="E156" s="16"/>
      <c r="F156" s="10"/>
      <c r="G156" s="10"/>
      <c r="H156" s="8"/>
      <c r="I156" s="8"/>
      <c r="J156" s="8" t="str">
        <f t="shared" si="10"/>
        <v>借</v>
      </c>
      <c r="K156" s="9">
        <f t="shared" si="11"/>
        <v>1000</v>
      </c>
      <c r="L156" s="28"/>
      <c r="M156" s="65"/>
    </row>
    <row r="157" spans="1:13" ht="20.100000000000001" customHeight="1" x14ac:dyDescent="0.15">
      <c r="A157" s="5"/>
      <c r="B157" s="5"/>
      <c r="C157" s="5"/>
      <c r="D157" s="10"/>
      <c r="E157" s="16"/>
      <c r="F157" s="10"/>
      <c r="G157" s="10"/>
      <c r="H157" s="8"/>
      <c r="I157" s="8"/>
      <c r="J157" s="8" t="str">
        <f t="shared" si="10"/>
        <v>借</v>
      </c>
      <c r="K157" s="9">
        <f t="shared" si="11"/>
        <v>1000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10"/>
        <v>借</v>
      </c>
      <c r="K158" s="9">
        <f t="shared" si="11"/>
        <v>1000</v>
      </c>
      <c r="L158" s="28"/>
      <c r="M158" s="65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10"/>
        <v>借</v>
      </c>
      <c r="K159" s="9">
        <f t="shared" si="11"/>
        <v>1000</v>
      </c>
      <c r="L159" s="28"/>
      <c r="M159" s="65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10"/>
        <v>借</v>
      </c>
      <c r="K160" s="9">
        <f t="shared" si="11"/>
        <v>1000</v>
      </c>
      <c r="L160" s="28"/>
    </row>
    <row r="161" spans="1:13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10"/>
        <v>借</v>
      </c>
      <c r="K161" s="9">
        <f t="shared" si="11"/>
        <v>1000</v>
      </c>
      <c r="L161" s="28"/>
    </row>
    <row r="162" spans="1:13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10"/>
        <v>借</v>
      </c>
      <c r="K162" s="9">
        <f t="shared" si="11"/>
        <v>1000</v>
      </c>
      <c r="L162" s="28"/>
    </row>
    <row r="163" spans="1:13" ht="20.100000000000001" customHeight="1" x14ac:dyDescent="0.15">
      <c r="A163" s="10"/>
      <c r="B163" s="5"/>
      <c r="C163" s="5"/>
      <c r="D163" s="10"/>
      <c r="E163" s="16"/>
      <c r="F163" s="10"/>
      <c r="G163" s="10"/>
      <c r="H163" s="8"/>
      <c r="I163" s="8"/>
      <c r="J163" s="8" t="str">
        <f t="shared" si="10"/>
        <v>借</v>
      </c>
      <c r="K163" s="9">
        <f t="shared" si="11"/>
        <v>1000</v>
      </c>
      <c r="L163" s="28"/>
    </row>
    <row r="164" spans="1:13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10"/>
        <v>借</v>
      </c>
      <c r="K164" s="9">
        <f t="shared" si="11"/>
        <v>1000</v>
      </c>
      <c r="L164" s="28"/>
    </row>
    <row r="165" spans="1:13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10"/>
        <v>借</v>
      </c>
      <c r="K165" s="9">
        <f t="shared" si="11"/>
        <v>1000</v>
      </c>
      <c r="L165" s="28"/>
      <c r="M165" s="65"/>
    </row>
    <row r="166" spans="1:13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10"/>
        <v>借</v>
      </c>
      <c r="K166" s="9">
        <f t="shared" si="11"/>
        <v>1000</v>
      </c>
      <c r="L166" s="28"/>
      <c r="M166" s="65"/>
    </row>
    <row r="167" spans="1:13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10"/>
        <v>借</v>
      </c>
      <c r="K167" s="9">
        <f t="shared" si="11"/>
        <v>1000</v>
      </c>
      <c r="L167" s="28"/>
      <c r="M167" s="65"/>
    </row>
    <row r="168" spans="1:13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10"/>
        <v>借</v>
      </c>
      <c r="K168" s="9">
        <f t="shared" si="11"/>
        <v>1000</v>
      </c>
      <c r="L168" s="28"/>
      <c r="M168" s="65"/>
    </row>
    <row r="169" spans="1:13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10"/>
        <v>借</v>
      </c>
      <c r="K169" s="9">
        <f t="shared" si="11"/>
        <v>1000</v>
      </c>
      <c r="L169" s="28"/>
    </row>
    <row r="170" spans="1:13" ht="20.100000000000001" customHeight="1" x14ac:dyDescent="0.15">
      <c r="A170" s="10"/>
      <c r="B170" s="5"/>
      <c r="C170" s="10"/>
      <c r="D170" s="10"/>
      <c r="E170" s="16"/>
      <c r="F170" s="10"/>
      <c r="G170" s="10"/>
      <c r="H170" s="8"/>
      <c r="I170" s="8"/>
      <c r="J170" s="8" t="str">
        <f t="shared" si="10"/>
        <v>借</v>
      </c>
      <c r="K170" s="9">
        <f t="shared" si="11"/>
        <v>1000</v>
      </c>
      <c r="L170" s="28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10"/>
        <v>借</v>
      </c>
      <c r="K171" s="9">
        <f t="shared" si="11"/>
        <v>1000</v>
      </c>
      <c r="L171" s="28"/>
    </row>
    <row r="172" spans="1:13" ht="20.100000000000001" customHeight="1" x14ac:dyDescent="0.15">
      <c r="A172" s="10"/>
      <c r="B172" s="5"/>
      <c r="C172" s="10"/>
      <c r="D172" s="10"/>
      <c r="E172" s="16"/>
      <c r="F172" s="10"/>
      <c r="G172" s="10"/>
      <c r="H172" s="8"/>
      <c r="I172" s="8"/>
      <c r="J172" s="8" t="str">
        <f t="shared" si="10"/>
        <v>借</v>
      </c>
      <c r="K172" s="9">
        <f t="shared" si="11"/>
        <v>1000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10"/>
        <v>借</v>
      </c>
      <c r="K173" s="9">
        <f t="shared" si="11"/>
        <v>1000</v>
      </c>
      <c r="L173" s="28"/>
      <c r="M173" s="65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10"/>
        <v>借</v>
      </c>
      <c r="K174" s="9">
        <f t="shared" si="11"/>
        <v>1000</v>
      </c>
      <c r="L174" s="28"/>
      <c r="M174" s="65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10"/>
        <v>借</v>
      </c>
      <c r="K175" s="9">
        <f t="shared" si="11"/>
        <v>1000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10"/>
        <v>借</v>
      </c>
      <c r="K176" s="9">
        <f t="shared" si="11"/>
        <v>1000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10"/>
        <v>借</v>
      </c>
      <c r="K177" s="9">
        <f t="shared" si="11"/>
        <v>1000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10"/>
        <v>借</v>
      </c>
      <c r="K178" s="9">
        <f t="shared" si="11"/>
        <v>1000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10"/>
        <v>借</v>
      </c>
      <c r="K179" s="9">
        <f t="shared" ref="K179:K239" si="12">_xlfn.IFS(J178="借",K178+H179-I179,J178="贷",H179-I179-K178)</f>
        <v>1000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10"/>
        <v>借</v>
      </c>
      <c r="K180" s="9">
        <f t="shared" si="12"/>
        <v>1000</v>
      </c>
      <c r="L180" s="28"/>
    </row>
    <row r="181" spans="1:13" ht="20.100000000000001" customHeight="1" x14ac:dyDescent="0.15">
      <c r="A181" s="10"/>
      <c r="B181" s="5"/>
      <c r="C181" s="10"/>
      <c r="D181" s="10"/>
      <c r="E181" s="16"/>
      <c r="F181" s="10"/>
      <c r="G181" s="10"/>
      <c r="H181" s="8"/>
      <c r="I181" s="8"/>
      <c r="J181" s="8" t="str">
        <f t="shared" si="10"/>
        <v>借</v>
      </c>
      <c r="K181" s="9">
        <f t="shared" si="12"/>
        <v>1000</v>
      </c>
      <c r="L181" s="28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10"/>
        <v>借</v>
      </c>
      <c r="K182" s="9">
        <f t="shared" si="12"/>
        <v>1000</v>
      </c>
      <c r="L182" s="28"/>
      <c r="M182" s="65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10"/>
        <v>借</v>
      </c>
      <c r="K183" s="9">
        <f t="shared" si="12"/>
        <v>1000</v>
      </c>
      <c r="L183" s="28"/>
      <c r="M183" s="65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10"/>
        <v>借</v>
      </c>
      <c r="K184" s="9">
        <f t="shared" si="12"/>
        <v>1000</v>
      </c>
      <c r="L184" s="28"/>
      <c r="M184" s="65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10"/>
        <v>借</v>
      </c>
      <c r="K185" s="9">
        <f t="shared" si="12"/>
        <v>1000</v>
      </c>
      <c r="L185" s="28"/>
      <c r="M185" s="65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10"/>
        <v>借</v>
      </c>
      <c r="K186" s="9">
        <f t="shared" si="12"/>
        <v>1000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10"/>
        <v>借</v>
      </c>
      <c r="K187" s="9">
        <f t="shared" si="12"/>
        <v>1000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10"/>
        <v>借</v>
      </c>
      <c r="K188" s="9">
        <f t="shared" si="12"/>
        <v>1000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10"/>
        <v>借</v>
      </c>
      <c r="K189" s="9">
        <f t="shared" si="12"/>
        <v>1000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10"/>
        <v>借</v>
      </c>
      <c r="K190" s="9">
        <f t="shared" si="12"/>
        <v>1000</v>
      </c>
      <c r="L190" s="28"/>
      <c r="M190" s="65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10"/>
        <v>借</v>
      </c>
      <c r="K191" s="9">
        <f t="shared" si="12"/>
        <v>1000</v>
      </c>
      <c r="L191" s="28"/>
      <c r="M191" s="65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10"/>
        <v>借</v>
      </c>
      <c r="K192" s="9">
        <f t="shared" si="12"/>
        <v>1000</v>
      </c>
      <c r="L192" s="28"/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10"/>
        <v>借</v>
      </c>
      <c r="K193" s="9">
        <f t="shared" si="12"/>
        <v>1000</v>
      </c>
      <c r="L193" s="28"/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10"/>
        <v>借</v>
      </c>
      <c r="K194" s="9">
        <f t="shared" si="12"/>
        <v>1000</v>
      </c>
      <c r="L194" s="28"/>
    </row>
    <row r="195" spans="1:13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10"/>
        <v>借</v>
      </c>
      <c r="K195" s="9">
        <f t="shared" si="12"/>
        <v>1000</v>
      </c>
      <c r="L195" s="28"/>
    </row>
    <row r="196" spans="1:13" ht="20.100000000000001" customHeight="1" x14ac:dyDescent="0.15">
      <c r="A196" s="10"/>
      <c r="B196" s="5"/>
      <c r="C196" s="10"/>
      <c r="D196" s="10"/>
      <c r="E196" s="16"/>
      <c r="F196" s="10"/>
      <c r="G196" s="10"/>
      <c r="H196" s="8"/>
      <c r="I196" s="8"/>
      <c r="J196" s="8" t="str">
        <f t="shared" si="10"/>
        <v>借</v>
      </c>
      <c r="K196" s="9">
        <f t="shared" si="12"/>
        <v>1000</v>
      </c>
      <c r="L196" s="28"/>
    </row>
    <row r="197" spans="1:13" ht="20.100000000000001" customHeight="1" x14ac:dyDescent="0.15">
      <c r="A197" s="10"/>
      <c r="B197" s="5"/>
      <c r="C197" s="10"/>
      <c r="D197" s="10"/>
      <c r="E197" s="16"/>
      <c r="F197" s="10"/>
      <c r="G197" s="10"/>
      <c r="H197" s="8"/>
      <c r="I197" s="8"/>
      <c r="J197" s="8" t="str">
        <f t="shared" si="10"/>
        <v>借</v>
      </c>
      <c r="K197" s="9">
        <f t="shared" si="12"/>
        <v>1000</v>
      </c>
      <c r="L197" s="28"/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10"/>
        <v>借</v>
      </c>
      <c r="K198" s="9">
        <f t="shared" si="12"/>
        <v>1000</v>
      </c>
      <c r="L198" s="28"/>
    </row>
    <row r="199" spans="1:13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10"/>
        <v>借</v>
      </c>
      <c r="K199" s="9">
        <f t="shared" si="12"/>
        <v>1000</v>
      </c>
      <c r="L199" s="28"/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>IF((K199+H200-I200)&gt;0,"借","贷")</f>
        <v>借</v>
      </c>
      <c r="K200" s="9">
        <f t="shared" si="12"/>
        <v>1000</v>
      </c>
      <c r="L200" s="28"/>
      <c r="M200" s="65"/>
    </row>
    <row r="201" spans="1:13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ref="J201:J264" si="13">IF((K200+H201-I201)&gt;0,"借","贷")</f>
        <v>借</v>
      </c>
      <c r="K201" s="9">
        <f t="shared" si="12"/>
        <v>1000</v>
      </c>
      <c r="L201" s="28"/>
      <c r="M201" s="65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3"/>
        <v>借</v>
      </c>
      <c r="K202" s="9">
        <f t="shared" si="12"/>
        <v>1000</v>
      </c>
      <c r="L202" s="28"/>
      <c r="M202" s="65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3"/>
        <v>借</v>
      </c>
      <c r="K203" s="9">
        <f t="shared" si="12"/>
        <v>1000</v>
      </c>
      <c r="L203" s="28"/>
      <c r="M203" s="65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3"/>
        <v>借</v>
      </c>
      <c r="K204" s="9">
        <f t="shared" si="12"/>
        <v>1000</v>
      </c>
      <c r="L204" s="28"/>
    </row>
    <row r="205" spans="1:13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3"/>
        <v>借</v>
      </c>
      <c r="K205" s="9">
        <f t="shared" si="12"/>
        <v>1000</v>
      </c>
      <c r="L205" s="28"/>
    </row>
    <row r="206" spans="1:13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3"/>
        <v>借</v>
      </c>
      <c r="K206" s="9">
        <f t="shared" si="12"/>
        <v>1000</v>
      </c>
      <c r="L206" s="28"/>
      <c r="M206" s="65"/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3"/>
        <v>借</v>
      </c>
      <c r="K207" s="9">
        <f t="shared" si="12"/>
        <v>1000</v>
      </c>
      <c r="L207" s="28"/>
      <c r="M207" s="65"/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3"/>
        <v>借</v>
      </c>
      <c r="K208" s="9">
        <f t="shared" si="12"/>
        <v>1000</v>
      </c>
      <c r="L208" s="28"/>
    </row>
    <row r="209" spans="1:13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3"/>
        <v>借</v>
      </c>
      <c r="K209" s="9">
        <f t="shared" si="12"/>
        <v>1000</v>
      </c>
      <c r="L209" s="28"/>
      <c r="M209" s="65"/>
    </row>
    <row r="210" spans="1:13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3"/>
        <v>借</v>
      </c>
      <c r="K210" s="9">
        <f t="shared" si="12"/>
        <v>1000</v>
      </c>
      <c r="L210" s="28"/>
      <c r="M210" s="65"/>
    </row>
    <row r="211" spans="1:13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3"/>
        <v>借</v>
      </c>
      <c r="K211" s="9">
        <f t="shared" si="12"/>
        <v>1000</v>
      </c>
      <c r="L211" s="28"/>
      <c r="M211" s="65"/>
    </row>
    <row r="212" spans="1:13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3"/>
        <v>借</v>
      </c>
      <c r="K212" s="9">
        <f t="shared" si="12"/>
        <v>1000</v>
      </c>
      <c r="L212" s="28"/>
      <c r="M212" s="65"/>
    </row>
    <row r="213" spans="1:13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3"/>
        <v>借</v>
      </c>
      <c r="K213" s="9">
        <f t="shared" si="12"/>
        <v>1000</v>
      </c>
      <c r="L213" s="28"/>
      <c r="M213" s="65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3"/>
        <v>借</v>
      </c>
      <c r="K214" s="9">
        <f t="shared" si="12"/>
        <v>1000</v>
      </c>
      <c r="L214" s="28"/>
      <c r="M214" s="65"/>
    </row>
    <row r="215" spans="1:13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3"/>
        <v>借</v>
      </c>
      <c r="K215" s="9">
        <f t="shared" si="12"/>
        <v>1000</v>
      </c>
      <c r="L215" s="28"/>
    </row>
    <row r="216" spans="1:13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3"/>
        <v>借</v>
      </c>
      <c r="K216" s="9">
        <f t="shared" si="12"/>
        <v>1000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3"/>
        <v>借</v>
      </c>
      <c r="K217" s="9">
        <f t="shared" si="12"/>
        <v>1000</v>
      </c>
      <c r="L217" s="28"/>
      <c r="M217" s="65"/>
    </row>
    <row r="218" spans="1:13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3"/>
        <v>借</v>
      </c>
      <c r="K218" s="9">
        <f t="shared" si="12"/>
        <v>1000</v>
      </c>
      <c r="L218" s="28"/>
      <c r="M218" s="65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3"/>
        <v>借</v>
      </c>
      <c r="K219" s="9">
        <f t="shared" si="12"/>
        <v>1000</v>
      </c>
      <c r="L219" s="28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3"/>
        <v>借</v>
      </c>
      <c r="K220" s="9">
        <f t="shared" si="12"/>
        <v>1000</v>
      </c>
      <c r="L220" s="28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3"/>
        <v>借</v>
      </c>
      <c r="K221" s="9">
        <f t="shared" si="12"/>
        <v>1000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3"/>
        <v>借</v>
      </c>
      <c r="K222" s="9">
        <f t="shared" si="12"/>
        <v>1000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3"/>
        <v>借</v>
      </c>
      <c r="K223" s="9">
        <f t="shared" si="12"/>
        <v>1000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3"/>
        <v>借</v>
      </c>
      <c r="K224" s="9">
        <f t="shared" si="12"/>
        <v>1000</v>
      </c>
      <c r="L224" s="28"/>
    </row>
    <row r="225" spans="1:13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3"/>
        <v>借</v>
      </c>
      <c r="K225" s="9">
        <f t="shared" si="12"/>
        <v>1000</v>
      </c>
      <c r="L225" s="28"/>
    </row>
    <row r="226" spans="1:13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3"/>
        <v>借</v>
      </c>
      <c r="K226" s="9">
        <f t="shared" si="12"/>
        <v>1000</v>
      </c>
      <c r="L226" s="28"/>
    </row>
    <row r="227" spans="1:13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3"/>
        <v>借</v>
      </c>
      <c r="K227" s="9">
        <f t="shared" si="12"/>
        <v>1000</v>
      </c>
      <c r="L227" s="28"/>
    </row>
    <row r="228" spans="1:13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3"/>
        <v>借</v>
      </c>
      <c r="K228" s="9">
        <f t="shared" si="12"/>
        <v>1000</v>
      </c>
      <c r="L228" s="28"/>
    </row>
    <row r="229" spans="1:13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3"/>
        <v>借</v>
      </c>
      <c r="K229" s="9">
        <f t="shared" si="12"/>
        <v>1000</v>
      </c>
      <c r="L229" s="28"/>
    </row>
    <row r="230" spans="1:13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3"/>
        <v>借</v>
      </c>
      <c r="K230" s="9">
        <f t="shared" si="12"/>
        <v>1000</v>
      </c>
      <c r="L230" s="28"/>
      <c r="M230" s="65"/>
    </row>
    <row r="231" spans="1:13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3"/>
        <v>借</v>
      </c>
      <c r="K231" s="9">
        <f t="shared" si="12"/>
        <v>1000</v>
      </c>
      <c r="L231" s="28"/>
      <c r="M231" s="65"/>
    </row>
    <row r="232" spans="1:13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3"/>
        <v>借</v>
      </c>
      <c r="K232" s="9">
        <f t="shared" si="12"/>
        <v>1000</v>
      </c>
      <c r="L232" s="28"/>
      <c r="M232" s="65"/>
    </row>
    <row r="233" spans="1:13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3"/>
        <v>借</v>
      </c>
      <c r="K233" s="21">
        <f t="shared" si="12"/>
        <v>1000</v>
      </c>
      <c r="L233" s="28"/>
      <c r="M233" s="65"/>
    </row>
    <row r="234" spans="1:13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3"/>
        <v>借</v>
      </c>
      <c r="K234" s="9">
        <f t="shared" si="12"/>
        <v>1000</v>
      </c>
      <c r="L234" s="28"/>
      <c r="M234" s="65"/>
    </row>
    <row r="235" spans="1:13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3"/>
        <v>借</v>
      </c>
      <c r="K235" s="9">
        <f t="shared" si="12"/>
        <v>1000</v>
      </c>
      <c r="L235" s="28"/>
      <c r="M235" s="65"/>
    </row>
    <row r="236" spans="1:13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3"/>
        <v>借</v>
      </c>
      <c r="K236" s="9">
        <f t="shared" si="12"/>
        <v>1000</v>
      </c>
      <c r="L236" s="28"/>
    </row>
    <row r="237" spans="1:13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3"/>
        <v>借</v>
      </c>
      <c r="K237" s="21">
        <f t="shared" si="12"/>
        <v>1000</v>
      </c>
      <c r="L237" s="28"/>
      <c r="M237" s="65"/>
    </row>
    <row r="238" spans="1:13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3"/>
        <v>借</v>
      </c>
      <c r="K238" s="9">
        <f t="shared" si="12"/>
        <v>1000</v>
      </c>
      <c r="L238" s="28"/>
      <c r="M238" s="65"/>
    </row>
    <row r="239" spans="1:13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3"/>
        <v>借</v>
      </c>
      <c r="K239" s="9">
        <f t="shared" si="12"/>
        <v>1000</v>
      </c>
      <c r="L239" s="28"/>
    </row>
    <row r="240" spans="1:13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3"/>
        <v>借</v>
      </c>
      <c r="K240" s="9">
        <f t="shared" ref="K240:K303" si="14">_xlfn.IFS(J239="借",K239+H240-I240,J239="贷",H240-I240-K239)</f>
        <v>1000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3"/>
        <v>借</v>
      </c>
      <c r="K241" s="9">
        <f t="shared" si="14"/>
        <v>1000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3"/>
        <v>借</v>
      </c>
      <c r="K242" s="9">
        <f t="shared" si="14"/>
        <v>1000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3"/>
        <v>借</v>
      </c>
      <c r="K243" s="9">
        <f t="shared" si="14"/>
        <v>1000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3"/>
        <v>借</v>
      </c>
      <c r="K244" s="9">
        <f t="shared" si="14"/>
        <v>1000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3"/>
        <v>借</v>
      </c>
      <c r="K245" s="9">
        <f t="shared" si="14"/>
        <v>1000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3"/>
        <v>借</v>
      </c>
      <c r="K246" s="9">
        <f t="shared" si="14"/>
        <v>1000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3"/>
        <v>借</v>
      </c>
      <c r="K247" s="9">
        <f t="shared" si="14"/>
        <v>1000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3"/>
        <v>借</v>
      </c>
      <c r="K248" s="9">
        <f t="shared" si="14"/>
        <v>1000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13"/>
        <v>借</v>
      </c>
      <c r="K249" s="9">
        <f t="shared" si="14"/>
        <v>1000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23" t="str">
        <f t="shared" si="13"/>
        <v>借</v>
      </c>
      <c r="K250" s="9">
        <f t="shared" si="14"/>
        <v>1000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3"/>
        <v>借</v>
      </c>
      <c r="K251" s="9">
        <f t="shared" si="14"/>
        <v>1000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3"/>
        <v>借</v>
      </c>
      <c r="K252" s="9">
        <f t="shared" si="14"/>
        <v>1000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3"/>
        <v>借</v>
      </c>
      <c r="K253" s="9">
        <f t="shared" si="14"/>
        <v>1000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3"/>
        <v>借</v>
      </c>
      <c r="K254" s="9">
        <f t="shared" si="14"/>
        <v>1000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3"/>
        <v>借</v>
      </c>
      <c r="K255" s="9">
        <f t="shared" si="14"/>
        <v>1000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3"/>
        <v>借</v>
      </c>
      <c r="K256" s="9">
        <f t="shared" si="14"/>
        <v>1000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3"/>
        <v>借</v>
      </c>
      <c r="K257" s="9">
        <f t="shared" si="14"/>
        <v>1000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3"/>
        <v>借</v>
      </c>
      <c r="K258" s="9">
        <f t="shared" si="14"/>
        <v>1000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3"/>
        <v>借</v>
      </c>
      <c r="K259" s="9">
        <f t="shared" si="14"/>
        <v>1000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3"/>
        <v>借</v>
      </c>
      <c r="K260" s="9">
        <f t="shared" si="14"/>
        <v>1000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3"/>
        <v>借</v>
      </c>
      <c r="K261" s="9">
        <f t="shared" si="14"/>
        <v>1000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4"/>
        <v>1000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4"/>
        <v>1000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4"/>
        <v>1000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ref="J265:J328" si="15">IF((K264+H265-I265)&gt;0,"借","贷")</f>
        <v>借</v>
      </c>
      <c r="K265" s="9">
        <f t="shared" si="14"/>
        <v>1000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5"/>
        <v>借</v>
      </c>
      <c r="K266" s="9">
        <f t="shared" si="14"/>
        <v>1000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5"/>
        <v>借</v>
      </c>
      <c r="K267" s="9">
        <f t="shared" si="14"/>
        <v>1000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5"/>
        <v>借</v>
      </c>
      <c r="K268" s="9">
        <f t="shared" si="14"/>
        <v>1000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5"/>
        <v>借</v>
      </c>
      <c r="K269" s="9">
        <f t="shared" si="14"/>
        <v>1000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5"/>
        <v>借</v>
      </c>
      <c r="K270" s="9">
        <f t="shared" si="14"/>
        <v>1000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5"/>
        <v>借</v>
      </c>
      <c r="K271" s="9">
        <f t="shared" si="14"/>
        <v>1000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5"/>
        <v>借</v>
      </c>
      <c r="K272" s="9">
        <f t="shared" si="14"/>
        <v>1000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5"/>
        <v>借</v>
      </c>
      <c r="K273" s="9">
        <f t="shared" si="14"/>
        <v>1000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5"/>
        <v>借</v>
      </c>
      <c r="K274" s="9">
        <f t="shared" si="14"/>
        <v>1000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5"/>
        <v>借</v>
      </c>
      <c r="K275" s="9">
        <f t="shared" si="14"/>
        <v>1000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5"/>
        <v>借</v>
      </c>
      <c r="K276" s="9">
        <f t="shared" si="14"/>
        <v>1000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5"/>
        <v>借</v>
      </c>
      <c r="K277" s="9">
        <f t="shared" si="14"/>
        <v>1000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5"/>
        <v>借</v>
      </c>
      <c r="K278" s="9">
        <f t="shared" si="14"/>
        <v>1000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5"/>
        <v>借</v>
      </c>
      <c r="K279" s="9">
        <f t="shared" si="14"/>
        <v>1000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5"/>
        <v>借</v>
      </c>
      <c r="K280" s="9">
        <f t="shared" si="14"/>
        <v>1000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5"/>
        <v>借</v>
      </c>
      <c r="K281" s="9">
        <f t="shared" si="14"/>
        <v>1000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5"/>
        <v>借</v>
      </c>
      <c r="K282" s="9">
        <f t="shared" si="14"/>
        <v>1000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5"/>
        <v>借</v>
      </c>
      <c r="K283" s="9">
        <f t="shared" si="14"/>
        <v>1000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5"/>
        <v>借</v>
      </c>
      <c r="K284" s="9">
        <f t="shared" si="14"/>
        <v>1000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5"/>
        <v>借</v>
      </c>
      <c r="K285" s="9">
        <f t="shared" si="14"/>
        <v>1000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5"/>
        <v>借</v>
      </c>
      <c r="K286" s="9">
        <f t="shared" si="14"/>
        <v>1000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5"/>
        <v>借</v>
      </c>
      <c r="K287" s="9">
        <f t="shared" si="14"/>
        <v>1000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5"/>
        <v>借</v>
      </c>
      <c r="K288" s="9">
        <f t="shared" si="14"/>
        <v>1000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5"/>
        <v>借</v>
      </c>
      <c r="K289" s="9">
        <f t="shared" si="14"/>
        <v>1000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5"/>
        <v>借</v>
      </c>
      <c r="K290" s="9">
        <f t="shared" si="14"/>
        <v>1000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5"/>
        <v>借</v>
      </c>
      <c r="K291" s="9">
        <f t="shared" si="14"/>
        <v>1000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5"/>
        <v>借</v>
      </c>
      <c r="K292" s="9">
        <f t="shared" si="14"/>
        <v>1000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5"/>
        <v>借</v>
      </c>
      <c r="K293" s="9">
        <f t="shared" si="14"/>
        <v>1000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5"/>
        <v>借</v>
      </c>
      <c r="K294" s="9">
        <f t="shared" si="14"/>
        <v>1000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5"/>
        <v>借</v>
      </c>
      <c r="K295" s="9">
        <f t="shared" si="14"/>
        <v>1000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5"/>
        <v>借</v>
      </c>
      <c r="K296" s="9">
        <f t="shared" si="14"/>
        <v>1000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5"/>
        <v>借</v>
      </c>
      <c r="K297" s="9">
        <f t="shared" si="14"/>
        <v>1000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5"/>
        <v>借</v>
      </c>
      <c r="K298" s="9">
        <f t="shared" si="14"/>
        <v>1000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5"/>
        <v>借</v>
      </c>
      <c r="K299" s="9">
        <f t="shared" si="14"/>
        <v>1000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5"/>
        <v>借</v>
      </c>
      <c r="K300" s="9">
        <f t="shared" si="14"/>
        <v>1000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5"/>
        <v>借</v>
      </c>
      <c r="K301" s="9">
        <f t="shared" si="14"/>
        <v>1000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5"/>
        <v>借</v>
      </c>
      <c r="K302" s="9">
        <f t="shared" si="14"/>
        <v>1000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5"/>
        <v>借</v>
      </c>
      <c r="K303" s="9">
        <f t="shared" si="14"/>
        <v>1000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5"/>
        <v>借</v>
      </c>
      <c r="K304" s="9">
        <f t="shared" ref="K304:K367" si="16">_xlfn.IFS(J303="借",K303+H304-I304,J303="贷",H304-I304-K303)</f>
        <v>1000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5"/>
        <v>借</v>
      </c>
      <c r="K305" s="9">
        <f t="shared" si="16"/>
        <v>1000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5"/>
        <v>借</v>
      </c>
      <c r="K306" s="9">
        <f t="shared" si="16"/>
        <v>1000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5"/>
        <v>借</v>
      </c>
      <c r="K307" s="9">
        <f t="shared" si="16"/>
        <v>1000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5"/>
        <v>借</v>
      </c>
      <c r="K308" s="9">
        <f t="shared" si="16"/>
        <v>1000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5"/>
        <v>借</v>
      </c>
      <c r="K309" s="9">
        <f t="shared" si="16"/>
        <v>1000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5"/>
        <v>借</v>
      </c>
      <c r="K310" s="9">
        <f t="shared" si="16"/>
        <v>1000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5"/>
        <v>借</v>
      </c>
      <c r="K311" s="9">
        <f t="shared" si="16"/>
        <v>1000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5"/>
        <v>借</v>
      </c>
      <c r="K312" s="9">
        <f t="shared" si="16"/>
        <v>1000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5"/>
        <v>借</v>
      </c>
      <c r="K313" s="9">
        <f t="shared" si="16"/>
        <v>1000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5"/>
        <v>借</v>
      </c>
      <c r="K314" s="9">
        <f t="shared" si="16"/>
        <v>1000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5"/>
        <v>借</v>
      </c>
      <c r="K315" s="9">
        <f t="shared" si="16"/>
        <v>1000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5"/>
        <v>借</v>
      </c>
      <c r="K316" s="9">
        <f t="shared" si="16"/>
        <v>1000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5"/>
        <v>借</v>
      </c>
      <c r="K317" s="9">
        <f t="shared" si="16"/>
        <v>1000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5"/>
        <v>借</v>
      </c>
      <c r="K318" s="9">
        <f t="shared" si="16"/>
        <v>1000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5"/>
        <v>借</v>
      </c>
      <c r="K319" s="9">
        <f t="shared" si="16"/>
        <v>1000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5"/>
        <v>借</v>
      </c>
      <c r="K320" s="9">
        <f t="shared" si="16"/>
        <v>1000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5"/>
        <v>借</v>
      </c>
      <c r="K321" s="9">
        <f t="shared" si="16"/>
        <v>1000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5"/>
        <v>借</v>
      </c>
      <c r="K322" s="9">
        <f t="shared" si="16"/>
        <v>1000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5"/>
        <v>借</v>
      </c>
      <c r="K323" s="9">
        <f t="shared" si="16"/>
        <v>1000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5"/>
        <v>借</v>
      </c>
      <c r="K324" s="9">
        <f t="shared" si="16"/>
        <v>1000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5"/>
        <v>借</v>
      </c>
      <c r="K325" s="9">
        <f t="shared" si="16"/>
        <v>1000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6"/>
        <v>1000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6"/>
        <v>1000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6"/>
        <v>1000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ref="J329:J392" si="17">IF((K328+H329-I329)&gt;0,"借","贷")</f>
        <v>借</v>
      </c>
      <c r="K329" s="9">
        <f t="shared" si="16"/>
        <v>1000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7"/>
        <v>借</v>
      </c>
      <c r="K330" s="9">
        <f t="shared" si="16"/>
        <v>1000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7"/>
        <v>借</v>
      </c>
      <c r="K331" s="9">
        <f t="shared" si="16"/>
        <v>1000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7"/>
        <v>借</v>
      </c>
      <c r="K332" s="9">
        <f t="shared" si="16"/>
        <v>1000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7"/>
        <v>借</v>
      </c>
      <c r="K333" s="9">
        <f t="shared" si="16"/>
        <v>1000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7"/>
        <v>借</v>
      </c>
      <c r="K334" s="9">
        <f t="shared" si="16"/>
        <v>1000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7"/>
        <v>借</v>
      </c>
      <c r="K335" s="9">
        <f t="shared" si="16"/>
        <v>1000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7"/>
        <v>借</v>
      </c>
      <c r="K336" s="9">
        <f t="shared" si="16"/>
        <v>1000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7"/>
        <v>借</v>
      </c>
      <c r="K337" s="9">
        <f t="shared" si="16"/>
        <v>1000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7"/>
        <v>借</v>
      </c>
      <c r="K338" s="9">
        <f t="shared" si="16"/>
        <v>1000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7"/>
        <v>借</v>
      </c>
      <c r="K339" s="9">
        <f t="shared" si="16"/>
        <v>1000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7"/>
        <v>借</v>
      </c>
      <c r="K340" s="9">
        <f t="shared" si="16"/>
        <v>1000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7"/>
        <v>借</v>
      </c>
      <c r="K341" s="9">
        <f t="shared" si="16"/>
        <v>1000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7"/>
        <v>借</v>
      </c>
      <c r="K342" s="9">
        <f t="shared" si="16"/>
        <v>1000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7"/>
        <v>借</v>
      </c>
      <c r="K343" s="9">
        <f t="shared" si="16"/>
        <v>1000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7"/>
        <v>借</v>
      </c>
      <c r="K344" s="9">
        <f t="shared" si="16"/>
        <v>1000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7"/>
        <v>借</v>
      </c>
      <c r="K345" s="9">
        <f t="shared" si="16"/>
        <v>1000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7"/>
        <v>借</v>
      </c>
      <c r="K346" s="9">
        <f t="shared" si="16"/>
        <v>1000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7"/>
        <v>借</v>
      </c>
      <c r="K347" s="9">
        <f t="shared" si="16"/>
        <v>1000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7"/>
        <v>借</v>
      </c>
      <c r="K348" s="9">
        <f t="shared" si="16"/>
        <v>1000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7"/>
        <v>借</v>
      </c>
      <c r="K349" s="9">
        <f t="shared" si="16"/>
        <v>1000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7"/>
        <v>借</v>
      </c>
      <c r="K350" s="9">
        <f t="shared" si="16"/>
        <v>1000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7"/>
        <v>借</v>
      </c>
      <c r="K351" s="9">
        <f t="shared" si="16"/>
        <v>1000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7"/>
        <v>借</v>
      </c>
      <c r="K352" s="9">
        <f t="shared" si="16"/>
        <v>1000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7"/>
        <v>借</v>
      </c>
      <c r="K353" s="9">
        <f t="shared" si="16"/>
        <v>1000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7"/>
        <v>借</v>
      </c>
      <c r="K354" s="9">
        <f t="shared" si="16"/>
        <v>1000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7"/>
        <v>借</v>
      </c>
      <c r="K355" s="9">
        <f t="shared" si="16"/>
        <v>1000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7"/>
        <v>借</v>
      </c>
      <c r="K356" s="9">
        <f t="shared" si="16"/>
        <v>1000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7"/>
        <v>借</v>
      </c>
      <c r="K357" s="9">
        <f t="shared" si="16"/>
        <v>1000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7"/>
        <v>借</v>
      </c>
      <c r="K358" s="9">
        <f t="shared" si="16"/>
        <v>1000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7"/>
        <v>借</v>
      </c>
      <c r="K359" s="9">
        <f t="shared" si="16"/>
        <v>1000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7"/>
        <v>借</v>
      </c>
      <c r="K360" s="9">
        <f t="shared" si="16"/>
        <v>1000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7"/>
        <v>借</v>
      </c>
      <c r="K361" s="9">
        <f t="shared" si="16"/>
        <v>1000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7"/>
        <v>借</v>
      </c>
      <c r="K362" s="9">
        <f t="shared" si="16"/>
        <v>1000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7"/>
        <v>借</v>
      </c>
      <c r="K363" s="9">
        <f t="shared" si="16"/>
        <v>1000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7"/>
        <v>借</v>
      </c>
      <c r="K364" s="9">
        <f t="shared" si="16"/>
        <v>1000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7"/>
        <v>借</v>
      </c>
      <c r="K365" s="9">
        <f t="shared" si="16"/>
        <v>1000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7"/>
        <v>借</v>
      </c>
      <c r="K366" s="9">
        <f t="shared" si="16"/>
        <v>1000</v>
      </c>
      <c r="L366" s="28"/>
    </row>
    <row r="367" spans="1:12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si="17"/>
        <v>借</v>
      </c>
      <c r="K367" s="9">
        <f t="shared" si="16"/>
        <v>1000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7"/>
        <v>借</v>
      </c>
      <c r="K368" s="9">
        <f t="shared" ref="K368:K431" si="18">_xlfn.IFS(J367="借",K367+H368-I368,J367="贷",H368-I368-K367)</f>
        <v>1000</v>
      </c>
      <c r="L368" s="28"/>
    </row>
    <row r="369" spans="2:12" ht="20.100000000000001" customHeight="1" x14ac:dyDescent="0.15">
      <c r="B369" s="5"/>
      <c r="C369" s="10"/>
      <c r="D369" s="10"/>
      <c r="E369" s="10"/>
      <c r="F369" s="10"/>
      <c r="G369" s="10"/>
      <c r="H369" s="8"/>
      <c r="I369" s="8"/>
      <c r="J369" s="8" t="str">
        <f t="shared" si="17"/>
        <v>借</v>
      </c>
      <c r="K369" s="9">
        <f t="shared" si="18"/>
        <v>1000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7"/>
        <v>借</v>
      </c>
      <c r="K370" s="9">
        <f t="shared" si="18"/>
        <v>1000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7"/>
        <v>借</v>
      </c>
      <c r="K371" s="9">
        <f t="shared" si="18"/>
        <v>1000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7"/>
        <v>借</v>
      </c>
      <c r="K372" s="9">
        <f t="shared" si="18"/>
        <v>1000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7"/>
        <v>借</v>
      </c>
      <c r="K373" s="9">
        <f t="shared" si="18"/>
        <v>1000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7"/>
        <v>借</v>
      </c>
      <c r="K374" s="9">
        <f t="shared" si="18"/>
        <v>1000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7"/>
        <v>借</v>
      </c>
      <c r="K375" s="9">
        <f t="shared" si="18"/>
        <v>1000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7"/>
        <v>借</v>
      </c>
      <c r="K376" s="9">
        <f t="shared" si="18"/>
        <v>1000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7"/>
        <v>借</v>
      </c>
      <c r="K377" s="9">
        <f t="shared" si="18"/>
        <v>1000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7"/>
        <v>借</v>
      </c>
      <c r="K378" s="9">
        <f t="shared" si="18"/>
        <v>1000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7"/>
        <v>借</v>
      </c>
      <c r="K379" s="9">
        <f t="shared" si="18"/>
        <v>1000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7"/>
        <v>借</v>
      </c>
      <c r="K380" s="9">
        <f t="shared" si="18"/>
        <v>1000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7"/>
        <v>借</v>
      </c>
      <c r="K381" s="9">
        <f t="shared" si="18"/>
        <v>1000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7"/>
        <v>借</v>
      </c>
      <c r="K382" s="9">
        <f t="shared" si="18"/>
        <v>1000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7"/>
        <v>借</v>
      </c>
      <c r="K383" s="9">
        <f t="shared" si="18"/>
        <v>1000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7"/>
        <v>借</v>
      </c>
      <c r="K384" s="9">
        <f t="shared" si="18"/>
        <v>1000</v>
      </c>
      <c r="L384" s="28"/>
    </row>
    <row r="385" spans="2:12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7"/>
        <v>借</v>
      </c>
      <c r="K385" s="9">
        <f t="shared" si="18"/>
        <v>1000</v>
      </c>
      <c r="L385" s="28"/>
    </row>
    <row r="386" spans="2:12" ht="20.100000000000001" customHeight="1" x14ac:dyDescent="0.15">
      <c r="B386" s="5"/>
      <c r="C386" s="7"/>
      <c r="D386" s="10"/>
      <c r="E386" s="10"/>
      <c r="F386" s="10"/>
      <c r="G386" s="10"/>
      <c r="H386" s="8"/>
      <c r="I386" s="8"/>
      <c r="J386" s="8" t="str">
        <f t="shared" si="17"/>
        <v>借</v>
      </c>
      <c r="K386" s="9">
        <f t="shared" si="18"/>
        <v>1000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7"/>
        <v>借</v>
      </c>
      <c r="K387" s="9">
        <f t="shared" si="18"/>
        <v>1000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7"/>
        <v>借</v>
      </c>
      <c r="K388" s="9">
        <f t="shared" si="18"/>
        <v>1000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7"/>
        <v>借</v>
      </c>
      <c r="K389" s="9">
        <f t="shared" si="18"/>
        <v>1000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7"/>
        <v>借</v>
      </c>
      <c r="K390" s="9">
        <f t="shared" si="18"/>
        <v>1000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7"/>
        <v>借</v>
      </c>
      <c r="K391" s="9">
        <f t="shared" si="18"/>
        <v>1000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8"/>
        <v>1000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ref="J393:J456" si="19">IF((K392+H393-I393)&gt;0,"借","贷")</f>
        <v>借</v>
      </c>
      <c r="K393" s="9">
        <f t="shared" si="18"/>
        <v>1000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9"/>
        <v>借</v>
      </c>
      <c r="K394" s="9">
        <f t="shared" si="18"/>
        <v>1000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9"/>
        <v>借</v>
      </c>
      <c r="K395" s="9">
        <f t="shared" si="18"/>
        <v>1000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9"/>
        <v>借</v>
      </c>
      <c r="K396" s="9">
        <f t="shared" si="18"/>
        <v>1000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9"/>
        <v>借</v>
      </c>
      <c r="K397" s="9">
        <f t="shared" si="18"/>
        <v>1000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9"/>
        <v>借</v>
      </c>
      <c r="K398" s="9">
        <f t="shared" si="18"/>
        <v>1000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9"/>
        <v>借</v>
      </c>
      <c r="K399" s="9">
        <f t="shared" si="18"/>
        <v>1000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9"/>
        <v>借</v>
      </c>
      <c r="K400" s="9">
        <f t="shared" si="18"/>
        <v>1000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9"/>
        <v>借</v>
      </c>
      <c r="K401" s="9">
        <f t="shared" si="18"/>
        <v>1000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9"/>
        <v>借</v>
      </c>
      <c r="K402" s="9">
        <f t="shared" si="18"/>
        <v>1000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9"/>
        <v>借</v>
      </c>
      <c r="K403" s="9">
        <f t="shared" si="18"/>
        <v>1000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9"/>
        <v>借</v>
      </c>
      <c r="K404" s="9">
        <f t="shared" si="18"/>
        <v>1000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9"/>
        <v>借</v>
      </c>
      <c r="K405" s="9">
        <f t="shared" si="18"/>
        <v>1000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9"/>
        <v>借</v>
      </c>
      <c r="K406" s="9">
        <f t="shared" si="18"/>
        <v>1000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9"/>
        <v>借</v>
      </c>
      <c r="K407" s="9">
        <f t="shared" si="18"/>
        <v>1000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9"/>
        <v>借</v>
      </c>
      <c r="K408" s="9">
        <f t="shared" si="18"/>
        <v>1000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9"/>
        <v>借</v>
      </c>
      <c r="K409" s="9">
        <f t="shared" si="18"/>
        <v>1000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9"/>
        <v>借</v>
      </c>
      <c r="K410" s="9">
        <f t="shared" si="18"/>
        <v>1000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9"/>
        <v>借</v>
      </c>
      <c r="K411" s="9">
        <f t="shared" si="18"/>
        <v>1000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9"/>
        <v>借</v>
      </c>
      <c r="K412" s="9">
        <f t="shared" si="18"/>
        <v>1000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9"/>
        <v>借</v>
      </c>
      <c r="K413" s="9">
        <f t="shared" si="18"/>
        <v>1000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9"/>
        <v>借</v>
      </c>
      <c r="K414" s="9">
        <f t="shared" si="18"/>
        <v>1000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9"/>
        <v>借</v>
      </c>
      <c r="K415" s="9">
        <f t="shared" si="18"/>
        <v>1000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9"/>
        <v>借</v>
      </c>
      <c r="K416" s="9">
        <f t="shared" si="18"/>
        <v>1000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9"/>
        <v>借</v>
      </c>
      <c r="K417" s="9">
        <f t="shared" si="18"/>
        <v>1000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9"/>
        <v>借</v>
      </c>
      <c r="K418" s="9">
        <f t="shared" si="18"/>
        <v>1000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9"/>
        <v>借</v>
      </c>
      <c r="K419" s="9">
        <f t="shared" si="18"/>
        <v>1000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9"/>
        <v>借</v>
      </c>
      <c r="K420" s="9">
        <f t="shared" si="18"/>
        <v>1000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9"/>
        <v>借</v>
      </c>
      <c r="K421" s="9">
        <f t="shared" si="18"/>
        <v>1000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9"/>
        <v>借</v>
      </c>
      <c r="K422" s="9">
        <f t="shared" si="18"/>
        <v>1000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9"/>
        <v>借</v>
      </c>
      <c r="K423" s="9">
        <f t="shared" si="18"/>
        <v>1000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9"/>
        <v>借</v>
      </c>
      <c r="K424" s="9">
        <f t="shared" si="18"/>
        <v>1000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9"/>
        <v>借</v>
      </c>
      <c r="K425" s="9">
        <f t="shared" si="18"/>
        <v>1000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9"/>
        <v>借</v>
      </c>
      <c r="K426" s="9">
        <f t="shared" si="18"/>
        <v>1000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9"/>
        <v>借</v>
      </c>
      <c r="K427" s="9">
        <f t="shared" si="18"/>
        <v>1000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9"/>
        <v>借</v>
      </c>
      <c r="K428" s="9">
        <f t="shared" si="18"/>
        <v>1000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9"/>
        <v>借</v>
      </c>
      <c r="K429" s="9">
        <f t="shared" si="18"/>
        <v>1000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9"/>
        <v>借</v>
      </c>
      <c r="K430" s="9">
        <f t="shared" si="18"/>
        <v>1000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9"/>
        <v>借</v>
      </c>
      <c r="K431" s="9">
        <f t="shared" si="18"/>
        <v>1000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9"/>
        <v>借</v>
      </c>
      <c r="K432" s="9">
        <f t="shared" ref="K432:K495" si="20">_xlfn.IFS(J431="借",K431+H432-I432,J431="贷",H432-I432-K431)</f>
        <v>1000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9"/>
        <v>借</v>
      </c>
      <c r="K433" s="9">
        <f t="shared" si="20"/>
        <v>1000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9"/>
        <v>借</v>
      </c>
      <c r="K434" s="9">
        <f t="shared" si="20"/>
        <v>1000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9"/>
        <v>借</v>
      </c>
      <c r="K435" s="9">
        <f t="shared" si="20"/>
        <v>1000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9"/>
        <v>借</v>
      </c>
      <c r="K436" s="9">
        <f t="shared" si="20"/>
        <v>1000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9"/>
        <v>借</v>
      </c>
      <c r="K437" s="9">
        <f t="shared" si="20"/>
        <v>1000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9"/>
        <v>借</v>
      </c>
      <c r="K438" s="9">
        <f t="shared" si="20"/>
        <v>1000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9"/>
        <v>借</v>
      </c>
      <c r="K439" s="9">
        <f t="shared" si="20"/>
        <v>1000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9"/>
        <v>借</v>
      </c>
      <c r="K440" s="9">
        <f t="shared" si="20"/>
        <v>1000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9"/>
        <v>借</v>
      </c>
      <c r="K441" s="9">
        <f t="shared" si="20"/>
        <v>1000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9"/>
        <v>借</v>
      </c>
      <c r="K442" s="9">
        <f t="shared" si="20"/>
        <v>1000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9"/>
        <v>借</v>
      </c>
      <c r="K443" s="9">
        <f t="shared" si="20"/>
        <v>1000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9"/>
        <v>借</v>
      </c>
      <c r="K444" s="9">
        <f t="shared" si="20"/>
        <v>1000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9"/>
        <v>借</v>
      </c>
      <c r="K445" s="9">
        <f t="shared" si="20"/>
        <v>1000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9"/>
        <v>借</v>
      </c>
      <c r="K446" s="9">
        <f t="shared" si="20"/>
        <v>1000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9"/>
        <v>借</v>
      </c>
      <c r="K447" s="9">
        <f t="shared" si="20"/>
        <v>1000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9"/>
        <v>借</v>
      </c>
      <c r="K448" s="9">
        <f t="shared" si="20"/>
        <v>1000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9"/>
        <v>借</v>
      </c>
      <c r="K449" s="9">
        <f t="shared" si="20"/>
        <v>1000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9"/>
        <v>借</v>
      </c>
      <c r="K450" s="9">
        <f t="shared" si="20"/>
        <v>1000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9"/>
        <v>借</v>
      </c>
      <c r="K451" s="9">
        <f t="shared" si="20"/>
        <v>1000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9"/>
        <v>借</v>
      </c>
      <c r="K452" s="9">
        <f t="shared" si="20"/>
        <v>1000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9"/>
        <v>借</v>
      </c>
      <c r="K453" s="9">
        <f t="shared" si="20"/>
        <v>1000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9"/>
        <v>借</v>
      </c>
      <c r="K454" s="9">
        <f t="shared" si="20"/>
        <v>1000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9"/>
        <v>借</v>
      </c>
      <c r="K455" s="9">
        <f t="shared" si="20"/>
        <v>1000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20"/>
        <v>1000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ref="J457:J500" si="21">IF((K456+H457-I457)&gt;0,"借","贷")</f>
        <v>借</v>
      </c>
      <c r="K457" s="9">
        <f t="shared" si="20"/>
        <v>1000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1"/>
        <v>借</v>
      </c>
      <c r="K458" s="9">
        <f t="shared" si="20"/>
        <v>1000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1"/>
        <v>借</v>
      </c>
      <c r="K459" s="9">
        <f t="shared" si="20"/>
        <v>1000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1"/>
        <v>借</v>
      </c>
      <c r="K460" s="9">
        <f t="shared" si="20"/>
        <v>1000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1"/>
        <v>借</v>
      </c>
      <c r="K461" s="9">
        <f t="shared" si="20"/>
        <v>1000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1"/>
        <v>借</v>
      </c>
      <c r="K462" s="9">
        <f t="shared" si="20"/>
        <v>1000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21"/>
        <v>借</v>
      </c>
      <c r="K463" s="9">
        <f t="shared" si="20"/>
        <v>1000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1"/>
        <v>借</v>
      </c>
      <c r="K464" s="9">
        <f t="shared" si="20"/>
        <v>1000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1"/>
        <v>借</v>
      </c>
      <c r="K465" s="9">
        <f t="shared" si="20"/>
        <v>1000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1"/>
        <v>借</v>
      </c>
      <c r="K466" s="9">
        <f t="shared" si="20"/>
        <v>1000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1"/>
        <v>借</v>
      </c>
      <c r="K467" s="9">
        <f t="shared" si="20"/>
        <v>1000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1"/>
        <v>借</v>
      </c>
      <c r="K468" s="9">
        <f t="shared" si="20"/>
        <v>1000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21"/>
        <v>借</v>
      </c>
      <c r="K469" s="9">
        <f t="shared" si="20"/>
        <v>1000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1"/>
        <v>借</v>
      </c>
      <c r="K470" s="9">
        <f t="shared" si="20"/>
        <v>1000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1"/>
        <v>借</v>
      </c>
      <c r="K471" s="9">
        <f t="shared" si="20"/>
        <v>1000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1"/>
        <v>借</v>
      </c>
      <c r="K472" s="9">
        <f t="shared" si="20"/>
        <v>1000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1"/>
        <v>借</v>
      </c>
      <c r="K473" s="9">
        <f t="shared" si="20"/>
        <v>1000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1"/>
        <v>借</v>
      </c>
      <c r="K474" s="9">
        <f t="shared" si="20"/>
        <v>1000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1"/>
        <v>借</v>
      </c>
      <c r="K475" s="9">
        <f t="shared" si="20"/>
        <v>1000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1"/>
        <v>借</v>
      </c>
      <c r="K476" s="9">
        <f t="shared" si="20"/>
        <v>1000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1"/>
        <v>借</v>
      </c>
      <c r="K477" s="9">
        <f t="shared" si="20"/>
        <v>1000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1"/>
        <v>借</v>
      </c>
      <c r="K478" s="9">
        <f t="shared" si="20"/>
        <v>1000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1"/>
        <v>借</v>
      </c>
      <c r="K479" s="9">
        <f t="shared" si="20"/>
        <v>1000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1"/>
        <v>借</v>
      </c>
      <c r="K480" s="9">
        <f t="shared" si="20"/>
        <v>1000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1"/>
        <v>借</v>
      </c>
      <c r="K481" s="9">
        <f t="shared" si="20"/>
        <v>1000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1"/>
        <v>借</v>
      </c>
      <c r="K482" s="9">
        <f t="shared" si="20"/>
        <v>1000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1"/>
        <v>借</v>
      </c>
      <c r="K483" s="9">
        <f t="shared" si="20"/>
        <v>1000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1"/>
        <v>借</v>
      </c>
      <c r="K484" s="9">
        <f t="shared" si="20"/>
        <v>1000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1"/>
        <v>借</v>
      </c>
      <c r="K485" s="9">
        <f t="shared" si="20"/>
        <v>1000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1"/>
        <v>借</v>
      </c>
      <c r="K486" s="9">
        <f t="shared" si="20"/>
        <v>1000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1"/>
        <v>借</v>
      </c>
      <c r="K487" s="9">
        <f t="shared" si="20"/>
        <v>1000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1"/>
        <v>借</v>
      </c>
      <c r="K488" s="9">
        <f t="shared" si="20"/>
        <v>1000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1"/>
        <v>借</v>
      </c>
      <c r="K489" s="9">
        <f t="shared" si="20"/>
        <v>1000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1"/>
        <v>借</v>
      </c>
      <c r="K490" s="9">
        <f t="shared" si="20"/>
        <v>1000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1"/>
        <v>借</v>
      </c>
      <c r="K491" s="9">
        <f t="shared" si="20"/>
        <v>1000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1"/>
        <v>借</v>
      </c>
      <c r="K492" s="9">
        <f t="shared" si="20"/>
        <v>1000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1"/>
        <v>借</v>
      </c>
      <c r="K493" s="9">
        <f t="shared" si="20"/>
        <v>1000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1"/>
        <v>借</v>
      </c>
      <c r="K494" s="9">
        <f t="shared" si="20"/>
        <v>1000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1"/>
        <v>借</v>
      </c>
      <c r="K495" s="9">
        <f t="shared" si="20"/>
        <v>1000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1"/>
        <v>借</v>
      </c>
      <c r="K496" s="9">
        <f t="shared" ref="K496:K500" si="22">_xlfn.IFS(J495="借",K495+H496-I496,J495="贷",H496-I496-K495)</f>
        <v>1000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1"/>
        <v>借</v>
      </c>
      <c r="K497" s="9">
        <f t="shared" si="22"/>
        <v>1000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1"/>
        <v>借</v>
      </c>
      <c r="K498" s="9">
        <f t="shared" si="22"/>
        <v>1000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1"/>
        <v>借</v>
      </c>
      <c r="K499" s="9">
        <f t="shared" si="22"/>
        <v>1000</v>
      </c>
      <c r="L499" s="28"/>
    </row>
    <row r="500" spans="2:12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21"/>
        <v>借</v>
      </c>
      <c r="K500" s="9">
        <f t="shared" si="22"/>
        <v>1000</v>
      </c>
      <c r="L500" s="28"/>
    </row>
  </sheetData>
  <autoFilter ref="A5:IV500" xr:uid="{00000000-0009-0000-0000-000012000000}"/>
  <mergeCells count="38">
    <mergeCell ref="A1:K1"/>
    <mergeCell ref="M8:M11"/>
    <mergeCell ref="M16:M17"/>
    <mergeCell ref="M24:M30"/>
    <mergeCell ref="M32:M33"/>
    <mergeCell ref="M34:M35"/>
    <mergeCell ref="M37:M40"/>
    <mergeCell ref="M46:M47"/>
    <mergeCell ref="M54:M55"/>
    <mergeCell ref="M57:M60"/>
    <mergeCell ref="M65:M66"/>
    <mergeCell ref="M71:M72"/>
    <mergeCell ref="M73:M76"/>
    <mergeCell ref="M84:M85"/>
    <mergeCell ref="M86:M89"/>
    <mergeCell ref="M90:M91"/>
    <mergeCell ref="M93:M96"/>
    <mergeCell ref="M99:M102"/>
    <mergeCell ref="M103:M104"/>
    <mergeCell ref="M107:M108"/>
    <mergeCell ref="M111:M114"/>
    <mergeCell ref="M118:M119"/>
    <mergeCell ref="M130:M131"/>
    <mergeCell ref="M132:M135"/>
    <mergeCell ref="M141:M142"/>
    <mergeCell ref="M148:M153"/>
    <mergeCell ref="M155:M156"/>
    <mergeCell ref="M158:M159"/>
    <mergeCell ref="M165:M168"/>
    <mergeCell ref="M173:M174"/>
    <mergeCell ref="M217:M218"/>
    <mergeCell ref="M230:M235"/>
    <mergeCell ref="M237:M238"/>
    <mergeCell ref="M182:M185"/>
    <mergeCell ref="M190:M191"/>
    <mergeCell ref="M200:M203"/>
    <mergeCell ref="M206:M207"/>
    <mergeCell ref="M209:M214"/>
  </mergeCells>
  <phoneticPr fontId="21" type="noConversion"/>
  <dataValidations count="1">
    <dataValidation type="list" allowBlank="1" showInputMessage="1" showErrorMessage="1" sqref="G5:G1048576 A1:L1" xr:uid="{00000000-0002-0000-1200-000000000000}">
      <formula1>#REF!</formula1>
    </dataValidation>
  </dataValidations>
  <pageMargins left="0.75" right="0.75" top="1" bottom="1" header="0.5" footer="0.5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00"/>
  <sheetViews>
    <sheetView topLeftCell="E1" zoomScale="115" zoomScaleNormal="115" workbookViewId="0">
      <selection activeCell="H9" sqref="H9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  <c r="L1" s="2"/>
    </row>
    <row r="2" spans="1:13" ht="20.100000000000001" customHeight="1" x14ac:dyDescent="0.15">
      <c r="D2" t="s">
        <v>76</v>
      </c>
      <c r="H2"/>
      <c r="I2"/>
      <c r="J2"/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SUM(H5:H190002)</f>
        <v>0</v>
      </c>
      <c r="I3" s="4">
        <f>SUM(I5:I190002)</f>
        <v>0</v>
      </c>
      <c r="J3" s="4"/>
      <c r="K3" s="3">
        <f>K5+H3-I3</f>
        <v>1000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74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/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>IF((K5+H6-I6)&gt;0,"借","贷")</f>
        <v>借</v>
      </c>
      <c r="K6" s="9">
        <f t="shared" ref="K6:K11" si="0">K5+H6-I6</f>
        <v>1000</v>
      </c>
      <c r="L6" s="28"/>
    </row>
    <row r="7" spans="1:13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>IF((K6+H7-I7)&gt;0,"借","贷")</f>
        <v>借</v>
      </c>
      <c r="K7" s="9">
        <f t="shared" si="0"/>
        <v>1000</v>
      </c>
      <c r="L7" s="28"/>
    </row>
    <row r="8" spans="1:13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>IF((K7+H8-I8)&gt;0,"借","贷")</f>
        <v>借</v>
      </c>
      <c r="K8" s="9">
        <f t="shared" si="0"/>
        <v>1000</v>
      </c>
      <c r="L8" s="28"/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>IF((K8+H9-I9)&gt;0,"借","贷")</f>
        <v>借</v>
      </c>
      <c r="K9" s="9">
        <f t="shared" si="0"/>
        <v>1000</v>
      </c>
      <c r="L9" s="28"/>
      <c r="M9" s="65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ref="J10:J71" si="1">IF((K9+H10-I10)&gt;0,"借","贷")</f>
        <v>借</v>
      </c>
      <c r="K10" s="9">
        <f t="shared" si="0"/>
        <v>1000</v>
      </c>
      <c r="L10" s="28"/>
      <c r="M10" s="65"/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1"/>
        <v>借</v>
      </c>
      <c r="K11" s="9">
        <f t="shared" si="0"/>
        <v>1000</v>
      </c>
      <c r="L11" s="28"/>
      <c r="M11" s="65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1"/>
        <v>借</v>
      </c>
      <c r="K12" s="9">
        <f t="shared" ref="K12:K71" si="2">K11+H12-I12</f>
        <v>1000</v>
      </c>
      <c r="L12" s="28"/>
      <c r="M12" s="65"/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1"/>
        <v>借</v>
      </c>
      <c r="K13" s="9">
        <f t="shared" si="2"/>
        <v>1000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1"/>
        <v>借</v>
      </c>
      <c r="K14" s="9">
        <f t="shared" si="2"/>
        <v>1000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1"/>
        <v>借</v>
      </c>
      <c r="K15" s="9">
        <f t="shared" si="2"/>
        <v>1000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1"/>
        <v>借</v>
      </c>
      <c r="K16" s="9">
        <f t="shared" si="2"/>
        <v>1000</v>
      </c>
      <c r="L16" s="28"/>
      <c r="M16" s="65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1"/>
        <v>借</v>
      </c>
      <c r="K17" s="9">
        <f t="shared" si="2"/>
        <v>1000</v>
      </c>
      <c r="L17" s="28"/>
      <c r="M17" s="65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1"/>
        <v>借</v>
      </c>
      <c r="K18" s="9">
        <f t="shared" si="2"/>
        <v>1000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1"/>
        <v>借</v>
      </c>
      <c r="K19" s="9">
        <f t="shared" si="2"/>
        <v>1000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1"/>
        <v>借</v>
      </c>
      <c r="K20" s="9">
        <f t="shared" si="2"/>
        <v>1000</v>
      </c>
      <c r="L20" s="28"/>
      <c r="M20" s="65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1"/>
        <v>借</v>
      </c>
      <c r="K21" s="9">
        <f t="shared" si="2"/>
        <v>1000</v>
      </c>
      <c r="L21" s="28"/>
      <c r="M21" s="65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1"/>
        <v>借</v>
      </c>
      <c r="K22" s="9">
        <f t="shared" si="2"/>
        <v>1000</v>
      </c>
      <c r="L22" s="28"/>
      <c r="M22" s="65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1"/>
        <v>借</v>
      </c>
      <c r="K23" s="9">
        <f t="shared" si="2"/>
        <v>1000</v>
      </c>
      <c r="L23" s="28"/>
      <c r="M23" s="65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1"/>
        <v>借</v>
      </c>
      <c r="K24" s="9">
        <f t="shared" si="2"/>
        <v>1000</v>
      </c>
      <c r="L24" s="28"/>
      <c r="M24" s="65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1"/>
        <v>借</v>
      </c>
      <c r="K25" s="9">
        <f t="shared" si="2"/>
        <v>1000</v>
      </c>
      <c r="L25" s="28"/>
      <c r="M25" s="65"/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1"/>
        <v>借</v>
      </c>
      <c r="K26" s="9">
        <f t="shared" si="2"/>
        <v>1000</v>
      </c>
      <c r="L26" s="28"/>
    </row>
    <row r="27" spans="1:13" ht="20.100000000000001" customHeight="1" x14ac:dyDescent="0.15">
      <c r="A27" s="5"/>
      <c r="B27" s="5"/>
      <c r="C27" s="5"/>
      <c r="D27" s="10"/>
      <c r="E27" s="11"/>
      <c r="F27" s="10"/>
      <c r="G27" s="10"/>
      <c r="H27" s="8"/>
      <c r="I27" s="8"/>
      <c r="J27" s="8" t="str">
        <f t="shared" si="1"/>
        <v>借</v>
      </c>
      <c r="K27" s="9">
        <f t="shared" si="2"/>
        <v>1000</v>
      </c>
      <c r="L27" s="28"/>
    </row>
    <row r="28" spans="1:13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1"/>
        <v>借</v>
      </c>
      <c r="K28" s="9">
        <f t="shared" si="2"/>
        <v>1000</v>
      </c>
      <c r="L28" s="28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1"/>
        <v>借</v>
      </c>
      <c r="K29" s="9">
        <f t="shared" si="2"/>
        <v>1000</v>
      </c>
      <c r="L29" s="28"/>
    </row>
    <row r="30" spans="1:13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1"/>
        <v>借</v>
      </c>
      <c r="K30" s="9">
        <f t="shared" si="2"/>
        <v>1000</v>
      </c>
      <c r="L30" s="28"/>
      <c r="M30" s="65"/>
    </row>
    <row r="31" spans="1:13" ht="20.100000000000001" customHeight="1" x14ac:dyDescent="0.15">
      <c r="A31" s="5"/>
      <c r="B31" s="5"/>
      <c r="C31" s="5"/>
      <c r="D31" s="10"/>
      <c r="E31" s="10"/>
      <c r="F31" s="10"/>
      <c r="G31" s="10"/>
      <c r="H31" s="8"/>
      <c r="I31" s="8"/>
      <c r="J31" s="8" t="str">
        <f t="shared" si="1"/>
        <v>借</v>
      </c>
      <c r="K31" s="9">
        <f t="shared" si="2"/>
        <v>1000</v>
      </c>
      <c r="L31" s="28"/>
      <c r="M31" s="65"/>
    </row>
    <row r="32" spans="1:13" ht="20.100000000000001" customHeight="1" x14ac:dyDescent="0.15">
      <c r="A32" s="5"/>
      <c r="B32" s="5"/>
      <c r="C32" s="10"/>
      <c r="D32" s="10"/>
      <c r="E32" s="11"/>
      <c r="F32" s="10"/>
      <c r="G32" s="10"/>
      <c r="H32" s="8"/>
      <c r="I32" s="8"/>
      <c r="J32" s="8" t="str">
        <f t="shared" si="1"/>
        <v>借</v>
      </c>
      <c r="K32" s="9">
        <f t="shared" si="2"/>
        <v>1000</v>
      </c>
      <c r="L32" s="28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1"/>
        <v>借</v>
      </c>
      <c r="K33" s="9">
        <f t="shared" si="2"/>
        <v>1000</v>
      </c>
      <c r="L33" s="28"/>
    </row>
    <row r="34" spans="1:13" ht="20.100000000000001" customHeight="1" x14ac:dyDescent="0.15">
      <c r="A34" s="5"/>
      <c r="B34" s="5"/>
      <c r="C34" s="5"/>
      <c r="D34" s="10"/>
      <c r="E34" s="10"/>
      <c r="F34" s="10"/>
      <c r="G34" s="10"/>
      <c r="H34" s="8"/>
      <c r="I34" s="8"/>
      <c r="J34" s="8" t="str">
        <f t="shared" si="1"/>
        <v>借</v>
      </c>
      <c r="K34" s="9">
        <f t="shared" si="2"/>
        <v>1000</v>
      </c>
      <c r="L34" s="28"/>
      <c r="M34" s="65"/>
    </row>
    <row r="35" spans="1:13" ht="20.100000000000001" customHeight="1" x14ac:dyDescent="0.15">
      <c r="A35" s="5"/>
      <c r="B35" s="5"/>
      <c r="C35" s="5"/>
      <c r="D35" s="10"/>
      <c r="E35" s="10"/>
      <c r="F35" s="10"/>
      <c r="G35" s="10"/>
      <c r="H35" s="8"/>
      <c r="I35" s="8"/>
      <c r="J35" s="8" t="str">
        <f t="shared" si="1"/>
        <v>借</v>
      </c>
      <c r="K35" s="9">
        <f t="shared" si="2"/>
        <v>1000</v>
      </c>
      <c r="L35" s="28"/>
      <c r="M35" s="65"/>
    </row>
    <row r="36" spans="1:13" ht="20.100000000000001" customHeight="1" x14ac:dyDescent="0.15">
      <c r="A36" s="5"/>
      <c r="B36" s="5"/>
      <c r="C36" s="5"/>
      <c r="D36" s="10"/>
      <c r="E36" s="10"/>
      <c r="F36" s="10"/>
      <c r="G36" s="10"/>
      <c r="H36" s="8"/>
      <c r="I36" s="8"/>
      <c r="J36" s="8" t="str">
        <f t="shared" si="1"/>
        <v>借</v>
      </c>
      <c r="K36" s="9">
        <f t="shared" si="2"/>
        <v>1000</v>
      </c>
      <c r="L36" s="28"/>
      <c r="M36" s="65"/>
    </row>
    <row r="37" spans="1:13" ht="20.100000000000001" customHeight="1" x14ac:dyDescent="0.15">
      <c r="A37" s="5"/>
      <c r="B37" s="5"/>
      <c r="C37" s="5"/>
      <c r="D37" s="10"/>
      <c r="E37" s="10"/>
      <c r="F37" s="10"/>
      <c r="G37" s="10"/>
      <c r="H37" s="8"/>
      <c r="I37" s="8"/>
      <c r="J37" s="8" t="str">
        <f t="shared" si="1"/>
        <v>借</v>
      </c>
      <c r="K37" s="9">
        <f t="shared" si="2"/>
        <v>1000</v>
      </c>
      <c r="L37" s="28"/>
      <c r="M37" s="65"/>
    </row>
    <row r="38" spans="1:13" ht="20.100000000000001" customHeight="1" x14ac:dyDescent="0.15">
      <c r="A38" s="5"/>
      <c r="B38" s="5"/>
      <c r="C38" s="5"/>
      <c r="D38" s="10"/>
      <c r="E38" s="10"/>
      <c r="F38" s="10"/>
      <c r="G38" s="10"/>
      <c r="H38" s="8"/>
      <c r="I38" s="8"/>
      <c r="J38" s="8" t="str">
        <f t="shared" si="1"/>
        <v>借</v>
      </c>
      <c r="K38" s="9">
        <f t="shared" si="2"/>
        <v>1000</v>
      </c>
      <c r="L38" s="28"/>
    </row>
    <row r="39" spans="1:13" ht="20.100000000000001" customHeight="1" x14ac:dyDescent="0.15">
      <c r="A39" s="5"/>
      <c r="B39" s="5"/>
      <c r="C39" s="5"/>
      <c r="D39" s="10"/>
      <c r="E39" s="11"/>
      <c r="F39" s="10"/>
      <c r="G39" s="10"/>
      <c r="H39" s="8"/>
      <c r="I39" s="8"/>
      <c r="J39" s="8" t="str">
        <f t="shared" si="1"/>
        <v>借</v>
      </c>
      <c r="K39" s="9">
        <f t="shared" si="2"/>
        <v>1000</v>
      </c>
      <c r="L39" s="28"/>
      <c r="M39" s="65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1"/>
        <v>借</v>
      </c>
      <c r="K40" s="9">
        <f t="shared" si="2"/>
        <v>1000</v>
      </c>
      <c r="L40" s="28"/>
      <c r="M40" s="65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1"/>
        <v>借</v>
      </c>
      <c r="K41" s="9">
        <f t="shared" si="2"/>
        <v>1000</v>
      </c>
      <c r="L41" s="28"/>
      <c r="M41" s="65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1"/>
        <v>借</v>
      </c>
      <c r="K42" s="9">
        <f t="shared" si="2"/>
        <v>1000</v>
      </c>
      <c r="L42" s="28"/>
      <c r="M42" s="65"/>
    </row>
    <row r="43" spans="1:13" ht="20.100000000000001" customHeight="1" x14ac:dyDescent="0.15">
      <c r="A43" s="5"/>
      <c r="B43" s="5"/>
      <c r="C43" s="10"/>
      <c r="D43" s="10"/>
      <c r="E43" s="11"/>
      <c r="F43" s="10"/>
      <c r="G43" s="10"/>
      <c r="H43" s="8"/>
      <c r="I43" s="8"/>
      <c r="J43" s="8" t="str">
        <f t="shared" si="1"/>
        <v>借</v>
      </c>
      <c r="K43" s="9">
        <f t="shared" si="2"/>
        <v>1000</v>
      </c>
      <c r="L43" s="28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1"/>
        <v>借</v>
      </c>
      <c r="K44" s="9">
        <f t="shared" si="2"/>
        <v>1000</v>
      </c>
      <c r="L44" s="28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1"/>
        <v>借</v>
      </c>
      <c r="K45" s="9">
        <f t="shared" si="2"/>
        <v>1000</v>
      </c>
      <c r="L45" s="28"/>
    </row>
    <row r="46" spans="1:13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1"/>
        <v>借</v>
      </c>
      <c r="K46" s="9">
        <f t="shared" si="2"/>
        <v>1000</v>
      </c>
      <c r="L46" s="28"/>
    </row>
    <row r="47" spans="1:13" ht="20.100000000000001" customHeight="1" x14ac:dyDescent="0.15">
      <c r="A47" s="5"/>
      <c r="B47" s="5"/>
      <c r="C47" s="10"/>
      <c r="D47" s="10"/>
      <c r="E47" s="10"/>
      <c r="F47" s="8"/>
      <c r="G47" s="8"/>
      <c r="H47" s="8"/>
      <c r="I47" s="8"/>
      <c r="J47" s="8" t="str">
        <f t="shared" si="1"/>
        <v>借</v>
      </c>
      <c r="K47" s="9">
        <f t="shared" si="2"/>
        <v>1000</v>
      </c>
      <c r="L47" s="28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1"/>
        <v>借</v>
      </c>
      <c r="K48" s="9">
        <f t="shared" si="2"/>
        <v>1000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1"/>
        <v>借</v>
      </c>
      <c r="K49" s="9">
        <f t="shared" si="2"/>
        <v>1000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8"/>
      <c r="G50" s="10"/>
      <c r="H50" s="8"/>
      <c r="I50" s="8"/>
      <c r="J50" s="8" t="str">
        <f t="shared" si="1"/>
        <v>借</v>
      </c>
      <c r="K50" s="9">
        <f t="shared" si="2"/>
        <v>1000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1"/>
        <v>借</v>
      </c>
      <c r="K51" s="9">
        <f t="shared" si="2"/>
        <v>1000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1"/>
        <v>借</v>
      </c>
      <c r="K52" s="9">
        <f t="shared" si="2"/>
        <v>1000</v>
      </c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1"/>
        <v>借</v>
      </c>
      <c r="K53" s="9">
        <f t="shared" si="2"/>
        <v>1000</v>
      </c>
      <c r="L53" s="28"/>
      <c r="M53" s="65"/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1"/>
        <v>借</v>
      </c>
      <c r="K54" s="9">
        <f t="shared" si="2"/>
        <v>1000</v>
      </c>
      <c r="L54" s="28"/>
      <c r="M54" s="65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1"/>
        <v>借</v>
      </c>
      <c r="K55" s="9">
        <f t="shared" si="2"/>
        <v>1000</v>
      </c>
      <c r="L55" s="28"/>
      <c r="M55" s="65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1"/>
        <v>借</v>
      </c>
      <c r="K56" s="9">
        <f t="shared" si="2"/>
        <v>1000</v>
      </c>
      <c r="L56" s="28"/>
      <c r="M56" s="65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1"/>
        <v>借</v>
      </c>
      <c r="K57" s="9">
        <f t="shared" si="2"/>
        <v>1000</v>
      </c>
      <c r="L57" s="28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1"/>
        <v>借</v>
      </c>
      <c r="K58" s="9">
        <f t="shared" si="2"/>
        <v>1000</v>
      </c>
      <c r="L58" s="28"/>
      <c r="M58" s="27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1"/>
        <v>借</v>
      </c>
      <c r="K59" s="9">
        <f t="shared" si="2"/>
        <v>1000</v>
      </c>
      <c r="L59" s="28"/>
      <c r="M59" s="27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1"/>
        <v>借</v>
      </c>
      <c r="K60" s="9">
        <f t="shared" si="2"/>
        <v>1000</v>
      </c>
      <c r="L60" s="28"/>
      <c r="M60" s="27"/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1"/>
        <v>借</v>
      </c>
      <c r="K61" s="9">
        <f t="shared" si="2"/>
        <v>1000</v>
      </c>
      <c r="L61" s="28"/>
      <c r="M61" s="65"/>
    </row>
    <row r="62" spans="1:13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1"/>
        <v>借</v>
      </c>
      <c r="K62" s="9">
        <f t="shared" si="2"/>
        <v>1000</v>
      </c>
      <c r="L62" s="28"/>
      <c r="M62" s="65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1"/>
        <v>借</v>
      </c>
      <c r="K63" s="9">
        <f t="shared" si="2"/>
        <v>1000</v>
      </c>
      <c r="L63" s="28"/>
      <c r="M63" s="27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1"/>
        <v>借</v>
      </c>
      <c r="K64" s="9">
        <f t="shared" si="2"/>
        <v>1000</v>
      </c>
      <c r="L64" s="28"/>
      <c r="M64" s="27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1"/>
        <v>借</v>
      </c>
      <c r="K65" s="9">
        <f t="shared" si="2"/>
        <v>1000</v>
      </c>
      <c r="L65" s="28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1"/>
        <v>借</v>
      </c>
      <c r="K66" s="9">
        <f t="shared" si="2"/>
        <v>1000</v>
      </c>
      <c r="L66" s="28"/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1"/>
        <v>借</v>
      </c>
      <c r="K67" s="9">
        <f t="shared" si="2"/>
        <v>1000</v>
      </c>
      <c r="L67" s="28"/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1"/>
        <v>借</v>
      </c>
      <c r="K68" s="9">
        <f t="shared" si="2"/>
        <v>1000</v>
      </c>
      <c r="L68" s="28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1"/>
        <v>借</v>
      </c>
      <c r="K69" s="9">
        <f t="shared" si="2"/>
        <v>1000</v>
      </c>
      <c r="L69" s="28"/>
      <c r="M69" s="65"/>
    </row>
    <row r="70" spans="1:13" ht="20.100000000000001" customHeight="1" x14ac:dyDescent="0.15">
      <c r="A70" s="10"/>
      <c r="B70" s="5"/>
      <c r="C70" s="10"/>
      <c r="D70" s="10"/>
      <c r="E70" s="10"/>
      <c r="F70" s="10"/>
      <c r="G70" s="10"/>
      <c r="H70" s="8"/>
      <c r="I70" s="8"/>
      <c r="J70" s="8" t="str">
        <f t="shared" si="1"/>
        <v>借</v>
      </c>
      <c r="K70" s="9">
        <f t="shared" si="2"/>
        <v>1000</v>
      </c>
      <c r="L70" s="28"/>
      <c r="M70" s="65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1"/>
        <v>借</v>
      </c>
      <c r="K71" s="9">
        <f t="shared" si="2"/>
        <v>1000</v>
      </c>
      <c r="L71" s="28"/>
      <c r="M71" s="65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ref="J72:J135" si="3">IF((K71+H72-I72)&gt;0,"借","贷")</f>
        <v>借</v>
      </c>
      <c r="K72" s="9">
        <f t="shared" ref="K72:K135" si="4">K71+H72-I72</f>
        <v>1000</v>
      </c>
      <c r="L72" s="28"/>
      <c r="M72" s="65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3"/>
        <v>借</v>
      </c>
      <c r="K73" s="9">
        <f t="shared" si="4"/>
        <v>1000</v>
      </c>
      <c r="L73" s="28"/>
      <c r="M73" s="65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3"/>
        <v>借</v>
      </c>
      <c r="K74" s="9">
        <f t="shared" si="4"/>
        <v>1000</v>
      </c>
      <c r="L74" s="28"/>
      <c r="M74" s="65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3"/>
        <v>借</v>
      </c>
      <c r="K75" s="9">
        <f t="shared" si="4"/>
        <v>1000</v>
      </c>
      <c r="L75" s="28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3"/>
        <v>借</v>
      </c>
      <c r="K76" s="9">
        <f t="shared" si="4"/>
        <v>1000</v>
      </c>
      <c r="L76" s="28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3"/>
        <v>借</v>
      </c>
      <c r="K77" s="9">
        <f t="shared" si="4"/>
        <v>1000</v>
      </c>
      <c r="L77" s="28"/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3"/>
        <v>借</v>
      </c>
      <c r="K78" s="9">
        <f t="shared" si="4"/>
        <v>1000</v>
      </c>
      <c r="L78" s="28"/>
    </row>
    <row r="79" spans="1:13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3"/>
        <v>借</v>
      </c>
      <c r="K79" s="9">
        <f t="shared" si="4"/>
        <v>1000</v>
      </c>
      <c r="L79" s="28"/>
    </row>
    <row r="80" spans="1:13" ht="20.100000000000001" customHeight="1" x14ac:dyDescent="0.15">
      <c r="A80" s="10"/>
      <c r="B80" s="5"/>
      <c r="C80" s="10"/>
      <c r="D80" s="10"/>
      <c r="E80" s="10"/>
      <c r="F80" s="10"/>
      <c r="G80" s="10"/>
      <c r="H80" s="8"/>
      <c r="I80" s="8"/>
      <c r="J80" s="8" t="str">
        <f t="shared" si="3"/>
        <v>借</v>
      </c>
      <c r="K80" s="9">
        <f t="shared" si="4"/>
        <v>1000</v>
      </c>
      <c r="L80" s="28"/>
      <c r="M80" s="65"/>
    </row>
    <row r="81" spans="1:13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3"/>
        <v>借</v>
      </c>
      <c r="K81" s="9">
        <f t="shared" si="4"/>
        <v>1000</v>
      </c>
      <c r="L81" s="28"/>
      <c r="M81" s="65"/>
    </row>
    <row r="82" spans="1:13" ht="20.100000000000001" customHeight="1" x14ac:dyDescent="0.15">
      <c r="A82" s="5"/>
      <c r="B82" s="5"/>
      <c r="C82" s="10"/>
      <c r="D82" s="10"/>
      <c r="E82" s="10"/>
      <c r="F82" s="10"/>
      <c r="G82" s="10"/>
      <c r="H82" s="8"/>
      <c r="I82" s="8"/>
      <c r="J82" s="8" t="str">
        <f t="shared" si="3"/>
        <v>借</v>
      </c>
      <c r="K82" s="9">
        <f t="shared" si="4"/>
        <v>1000</v>
      </c>
      <c r="L82" s="28"/>
    </row>
    <row r="83" spans="1:13" ht="20.100000000000001" customHeight="1" x14ac:dyDescent="0.15">
      <c r="A83" s="5"/>
      <c r="B83" s="5"/>
      <c r="C83" s="10"/>
      <c r="D83" s="10"/>
      <c r="E83" s="10"/>
      <c r="F83" s="10"/>
      <c r="G83" s="10"/>
      <c r="H83" s="8"/>
      <c r="I83" s="15"/>
      <c r="J83" s="8" t="str">
        <f t="shared" si="3"/>
        <v>借</v>
      </c>
      <c r="K83" s="9">
        <f t="shared" si="4"/>
        <v>1000</v>
      </c>
      <c r="L83" s="28"/>
    </row>
    <row r="84" spans="1:13" ht="20.100000000000001" customHeight="1" x14ac:dyDescent="0.15">
      <c r="A84" s="5"/>
      <c r="B84" s="5"/>
      <c r="C84" s="10"/>
      <c r="D84" s="10"/>
      <c r="E84" s="10"/>
      <c r="F84" s="10"/>
      <c r="G84" s="10"/>
      <c r="H84" s="8"/>
      <c r="I84" s="15"/>
      <c r="J84" s="8" t="str">
        <f t="shared" si="3"/>
        <v>借</v>
      </c>
      <c r="K84" s="9">
        <f t="shared" si="4"/>
        <v>1000</v>
      </c>
      <c r="L84" s="28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3"/>
        <v>借</v>
      </c>
      <c r="K85" s="9">
        <f t="shared" si="4"/>
        <v>1000</v>
      </c>
      <c r="L85" s="28"/>
    </row>
    <row r="86" spans="1:13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3"/>
        <v>借</v>
      </c>
      <c r="K86" s="9">
        <f t="shared" si="4"/>
        <v>1000</v>
      </c>
      <c r="L86" s="28"/>
      <c r="M86" s="65"/>
    </row>
    <row r="87" spans="1:13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3"/>
        <v>借</v>
      </c>
      <c r="K87" s="9">
        <f t="shared" si="4"/>
        <v>1000</v>
      </c>
      <c r="L87" s="28"/>
      <c r="M87" s="65"/>
    </row>
    <row r="88" spans="1:13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3"/>
        <v>借</v>
      </c>
      <c r="K88" s="9">
        <f t="shared" si="4"/>
        <v>1000</v>
      </c>
      <c r="L88" s="28"/>
    </row>
    <row r="89" spans="1:13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3"/>
        <v>借</v>
      </c>
      <c r="K89" s="9">
        <f t="shared" si="4"/>
        <v>1000</v>
      </c>
      <c r="L89" s="28"/>
    </row>
    <row r="90" spans="1:13" ht="20.100000000000001" customHeight="1" x14ac:dyDescent="0.15">
      <c r="A90" s="5"/>
      <c r="B90" s="5"/>
      <c r="C90" s="5"/>
      <c r="D90" s="10"/>
      <c r="E90" s="10"/>
      <c r="F90" s="14"/>
      <c r="G90" s="14"/>
      <c r="H90" s="8"/>
      <c r="I90" s="8"/>
      <c r="J90" s="8" t="str">
        <f t="shared" si="3"/>
        <v>借</v>
      </c>
      <c r="K90" s="9">
        <f t="shared" si="4"/>
        <v>1000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3"/>
        <v>借</v>
      </c>
      <c r="K91" s="9">
        <f t="shared" si="4"/>
        <v>1000</v>
      </c>
      <c r="L91" s="28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3"/>
        <v>借</v>
      </c>
      <c r="K92" s="9">
        <f t="shared" si="4"/>
        <v>1000</v>
      </c>
      <c r="L92" s="28"/>
      <c r="M92" s="65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3"/>
        <v>借</v>
      </c>
      <c r="K93" s="9">
        <f t="shared" si="4"/>
        <v>1000</v>
      </c>
      <c r="L93" s="28"/>
      <c r="M93" s="65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3"/>
        <v>借</v>
      </c>
      <c r="K94" s="9">
        <f t="shared" si="4"/>
        <v>1000</v>
      </c>
      <c r="L94" s="28"/>
      <c r="M94" s="65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3"/>
        <v>借</v>
      </c>
      <c r="K95" s="9">
        <f t="shared" si="4"/>
        <v>1000</v>
      </c>
      <c r="L95" s="28"/>
      <c r="M95" s="65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3"/>
        <v>借</v>
      </c>
      <c r="K96" s="9">
        <f t="shared" si="4"/>
        <v>1000</v>
      </c>
      <c r="L96" s="28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3"/>
        <v>借</v>
      </c>
      <c r="K97" s="9">
        <f t="shared" si="4"/>
        <v>1000</v>
      </c>
      <c r="L97" s="28"/>
    </row>
    <row r="98" spans="1:13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3"/>
        <v>借</v>
      </c>
      <c r="K98" s="9">
        <f t="shared" si="4"/>
        <v>1000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3"/>
        <v>借</v>
      </c>
      <c r="K99" s="9">
        <f t="shared" si="4"/>
        <v>1000</v>
      </c>
      <c r="L99" s="28"/>
      <c r="M99" s="65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3"/>
        <v>借</v>
      </c>
      <c r="K100" s="9">
        <f t="shared" si="4"/>
        <v>1000</v>
      </c>
      <c r="L100" s="28"/>
      <c r="M100" s="65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3"/>
        <v>借</v>
      </c>
      <c r="K101" s="9">
        <f t="shared" si="4"/>
        <v>1000</v>
      </c>
      <c r="L101" s="28"/>
      <c r="M101" s="65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3"/>
        <v>借</v>
      </c>
      <c r="K102" s="9">
        <f t="shared" si="4"/>
        <v>1000</v>
      </c>
      <c r="L102" s="28"/>
      <c r="M102" s="65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3"/>
        <v>借</v>
      </c>
      <c r="K103" s="9">
        <f t="shared" si="4"/>
        <v>1000</v>
      </c>
      <c r="L103" s="28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3"/>
        <v>借</v>
      </c>
      <c r="K104" s="9">
        <f t="shared" si="4"/>
        <v>1000</v>
      </c>
      <c r="L104" s="28"/>
    </row>
    <row r="105" spans="1:13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3"/>
        <v>借</v>
      </c>
      <c r="K105" s="9">
        <f t="shared" si="4"/>
        <v>1000</v>
      </c>
      <c r="L105" s="28"/>
    </row>
    <row r="106" spans="1:13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3"/>
        <v>借</v>
      </c>
      <c r="K106" s="9">
        <f t="shared" si="4"/>
        <v>1000</v>
      </c>
      <c r="L106" s="28"/>
    </row>
    <row r="107" spans="1:13" ht="20.100000000000001" customHeight="1" x14ac:dyDescent="0.15">
      <c r="A107" s="10"/>
      <c r="B107" s="5"/>
      <c r="C107" s="5"/>
      <c r="D107" s="10"/>
      <c r="E107" s="10"/>
      <c r="F107" s="14"/>
      <c r="G107" s="14"/>
      <c r="H107" s="8"/>
      <c r="I107" s="8"/>
      <c r="J107" s="8" t="str">
        <f t="shared" si="3"/>
        <v>借</v>
      </c>
      <c r="K107" s="9">
        <f t="shared" si="4"/>
        <v>1000</v>
      </c>
      <c r="L107" s="28"/>
    </row>
    <row r="108" spans="1:13" ht="20.100000000000001" customHeight="1" x14ac:dyDescent="0.15">
      <c r="A108" s="10"/>
      <c r="B108" s="5"/>
      <c r="C108" s="5"/>
      <c r="D108" s="10"/>
      <c r="E108" s="10"/>
      <c r="F108" s="10"/>
      <c r="G108" s="10"/>
      <c r="H108" s="8"/>
      <c r="I108" s="8"/>
      <c r="J108" s="8" t="str">
        <f t="shared" si="3"/>
        <v>借</v>
      </c>
      <c r="K108" s="9">
        <f t="shared" si="4"/>
        <v>1000</v>
      </c>
      <c r="L108" s="28"/>
      <c r="M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3"/>
        <v>借</v>
      </c>
      <c r="K109" s="9">
        <f t="shared" si="4"/>
        <v>1000</v>
      </c>
      <c r="L109" s="28"/>
      <c r="M109" s="1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3"/>
        <v>借</v>
      </c>
      <c r="K110" s="9">
        <f t="shared" si="4"/>
        <v>1000</v>
      </c>
      <c r="L110" s="28"/>
      <c r="M110" s="1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3"/>
        <v>借</v>
      </c>
      <c r="K111" s="9">
        <f t="shared" si="4"/>
        <v>1000</v>
      </c>
      <c r="L111" s="28"/>
      <c r="M111" s="74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3"/>
        <v>借</v>
      </c>
      <c r="K112" s="9">
        <f t="shared" si="4"/>
        <v>1000</v>
      </c>
      <c r="L112" s="28"/>
      <c r="M112" s="74"/>
    </row>
    <row r="113" spans="1:13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3"/>
        <v>借</v>
      </c>
      <c r="K113" s="9">
        <f t="shared" si="4"/>
        <v>1000</v>
      </c>
      <c r="L113" s="28"/>
      <c r="M113" s="74"/>
    </row>
    <row r="114" spans="1:13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3"/>
        <v>借</v>
      </c>
      <c r="K114" s="9">
        <f t="shared" si="4"/>
        <v>1000</v>
      </c>
      <c r="L114" s="28"/>
      <c r="M114" s="74"/>
    </row>
    <row r="115" spans="1:13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3"/>
        <v>借</v>
      </c>
      <c r="K115" s="9">
        <f t="shared" si="4"/>
        <v>1000</v>
      </c>
      <c r="L115" s="28"/>
    </row>
    <row r="116" spans="1:13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3"/>
        <v>借</v>
      </c>
      <c r="K116" s="9">
        <f t="shared" si="4"/>
        <v>1000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3"/>
        <v>借</v>
      </c>
      <c r="K117" s="9">
        <f t="shared" si="4"/>
        <v>1000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3"/>
        <v>借</v>
      </c>
      <c r="K118" s="9">
        <f t="shared" si="4"/>
        <v>1000</v>
      </c>
      <c r="L118" s="28"/>
      <c r="M118" s="65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3"/>
        <v>借</v>
      </c>
      <c r="K119" s="9">
        <f t="shared" si="4"/>
        <v>1000</v>
      </c>
      <c r="L119" s="28"/>
      <c r="M119" s="65"/>
    </row>
    <row r="120" spans="1:13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3"/>
        <v>借</v>
      </c>
      <c r="K120" s="9">
        <f t="shared" si="4"/>
        <v>1000</v>
      </c>
      <c r="L120" s="28"/>
    </row>
    <row r="121" spans="1:13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3"/>
        <v>借</v>
      </c>
      <c r="K121" s="9">
        <f t="shared" si="4"/>
        <v>1000</v>
      </c>
      <c r="L121" s="28"/>
    </row>
    <row r="122" spans="1:13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3"/>
        <v>借</v>
      </c>
      <c r="K122" s="9">
        <f t="shared" si="4"/>
        <v>1000</v>
      </c>
      <c r="L122" s="28"/>
    </row>
    <row r="123" spans="1:13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3"/>
        <v>借</v>
      </c>
      <c r="K123" s="9">
        <f t="shared" si="4"/>
        <v>1000</v>
      </c>
      <c r="L123" s="28"/>
    </row>
    <row r="124" spans="1:13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3"/>
        <v>借</v>
      </c>
      <c r="K124" s="9">
        <f t="shared" si="4"/>
        <v>1000</v>
      </c>
      <c r="L124" s="28"/>
    </row>
    <row r="125" spans="1:13" ht="20.100000000000001" customHeight="1" x14ac:dyDescent="0.15">
      <c r="A125" s="10"/>
      <c r="B125" s="5"/>
      <c r="C125" s="10"/>
      <c r="D125" s="10"/>
      <c r="E125" s="10"/>
      <c r="F125" s="10"/>
      <c r="G125" s="10"/>
      <c r="H125" s="8"/>
      <c r="I125" s="8"/>
      <c r="J125" s="8" t="str">
        <f t="shared" si="3"/>
        <v>借</v>
      </c>
      <c r="K125" s="9">
        <f t="shared" si="4"/>
        <v>1000</v>
      </c>
      <c r="L125" s="28"/>
    </row>
    <row r="126" spans="1:13" ht="20.100000000000001" customHeight="1" x14ac:dyDescent="0.15">
      <c r="A126" s="10"/>
      <c r="B126" s="5"/>
      <c r="C126" s="10"/>
      <c r="D126" s="10"/>
      <c r="E126" s="10"/>
      <c r="F126" s="10"/>
      <c r="G126" s="10"/>
      <c r="H126" s="8"/>
      <c r="I126" s="8"/>
      <c r="J126" s="8" t="str">
        <f t="shared" si="3"/>
        <v>借</v>
      </c>
      <c r="K126" s="9">
        <f t="shared" si="4"/>
        <v>1000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3"/>
        <v>借</v>
      </c>
      <c r="K127" s="9">
        <f t="shared" si="4"/>
        <v>1000</v>
      </c>
      <c r="L127" s="28"/>
    </row>
    <row r="128" spans="1:13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3"/>
        <v>借</v>
      </c>
      <c r="K128" s="9">
        <f t="shared" si="4"/>
        <v>1000</v>
      </c>
      <c r="L128" s="28"/>
    </row>
    <row r="129" spans="1:13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3"/>
        <v>借</v>
      </c>
      <c r="K129" s="9">
        <f t="shared" si="4"/>
        <v>1000</v>
      </c>
      <c r="L129" s="28"/>
    </row>
    <row r="130" spans="1:13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3"/>
        <v>借</v>
      </c>
      <c r="K130" s="9">
        <f t="shared" si="4"/>
        <v>1000</v>
      </c>
      <c r="L130" s="28"/>
    </row>
    <row r="131" spans="1:13" ht="20.100000000000001" customHeight="1" x14ac:dyDescent="0.15">
      <c r="A131" s="5"/>
      <c r="B131" s="5"/>
      <c r="C131" s="10"/>
      <c r="D131" s="10"/>
      <c r="E131" s="10"/>
      <c r="F131" s="10"/>
      <c r="G131" s="10"/>
      <c r="H131" s="8"/>
      <c r="I131" s="8"/>
      <c r="J131" s="8" t="str">
        <f t="shared" si="3"/>
        <v>借</v>
      </c>
      <c r="K131" s="9">
        <f t="shared" si="4"/>
        <v>1000</v>
      </c>
      <c r="L131" s="28"/>
    </row>
    <row r="132" spans="1:13" ht="20.100000000000001" customHeight="1" x14ac:dyDescent="0.15">
      <c r="A132" s="5"/>
      <c r="B132" s="5"/>
      <c r="C132" s="10"/>
      <c r="D132" s="10"/>
      <c r="E132" s="10"/>
      <c r="F132" s="10"/>
      <c r="G132" s="10"/>
      <c r="H132" s="8"/>
      <c r="I132" s="8"/>
      <c r="J132" s="8" t="str">
        <f t="shared" si="3"/>
        <v>借</v>
      </c>
      <c r="K132" s="9">
        <f t="shared" si="4"/>
        <v>1000</v>
      </c>
      <c r="L132" s="28"/>
    </row>
    <row r="133" spans="1:13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3"/>
        <v>借</v>
      </c>
      <c r="K133" s="9">
        <f t="shared" si="4"/>
        <v>1000</v>
      </c>
      <c r="L133" s="28"/>
    </row>
    <row r="134" spans="1:13" ht="20.100000000000001" customHeight="1" x14ac:dyDescent="0.15">
      <c r="A134" s="10"/>
      <c r="B134" s="5"/>
      <c r="C134" s="5"/>
      <c r="D134" s="10"/>
      <c r="E134" s="16"/>
      <c r="F134" s="10"/>
      <c r="G134" s="10"/>
      <c r="H134" s="8"/>
      <c r="I134" s="8"/>
      <c r="J134" s="8" t="str">
        <f t="shared" si="3"/>
        <v>借</v>
      </c>
      <c r="K134" s="9">
        <f t="shared" si="4"/>
        <v>1000</v>
      </c>
      <c r="L134" s="28"/>
    </row>
    <row r="135" spans="1:13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3"/>
        <v>借</v>
      </c>
      <c r="K135" s="9">
        <f t="shared" si="4"/>
        <v>1000</v>
      </c>
      <c r="L135" s="28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>IF((K135+H136-I136)&gt;0,"借","贷")</f>
        <v>借</v>
      </c>
      <c r="K136" s="9">
        <f>K135+H136-I136</f>
        <v>1000</v>
      </c>
      <c r="L136" s="28"/>
    </row>
    <row r="137" spans="1:13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ref="J137:J200" si="5">IF((K136+H137-I137)&gt;0,"借","贷")</f>
        <v>借</v>
      </c>
      <c r="K137" s="9">
        <f t="shared" ref="K137:K175" si="6">K136+H137-I137</f>
        <v>1000</v>
      </c>
      <c r="L137" s="28"/>
      <c r="M137" s="65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5"/>
        <v>借</v>
      </c>
      <c r="K138" s="9">
        <f t="shared" si="6"/>
        <v>1000</v>
      </c>
      <c r="L138" s="28"/>
      <c r="M138" s="65"/>
    </row>
    <row r="139" spans="1:13" ht="20.100000000000001" customHeight="1" x14ac:dyDescent="0.15">
      <c r="A139" s="5"/>
      <c r="B139" s="5"/>
      <c r="C139" s="5"/>
      <c r="D139" s="10"/>
      <c r="E139" s="10"/>
      <c r="F139" s="14"/>
      <c r="G139" s="10"/>
      <c r="H139" s="8"/>
      <c r="I139" s="8"/>
      <c r="J139" s="8" t="str">
        <f t="shared" si="5"/>
        <v>借</v>
      </c>
      <c r="K139" s="9">
        <f t="shared" si="6"/>
        <v>1000</v>
      </c>
      <c r="L139" s="28"/>
      <c r="M139" s="65"/>
    </row>
    <row r="140" spans="1:13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5"/>
        <v>借</v>
      </c>
      <c r="K140" s="9">
        <f t="shared" si="6"/>
        <v>1000</v>
      </c>
      <c r="L140" s="28"/>
      <c r="M140" s="65"/>
    </row>
    <row r="141" spans="1:13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5"/>
        <v>借</v>
      </c>
      <c r="K141" s="9">
        <f t="shared" si="6"/>
        <v>1000</v>
      </c>
      <c r="L141" s="28"/>
      <c r="M141" s="65"/>
    </row>
    <row r="142" spans="1:13" ht="20.100000000000001" customHeight="1" x14ac:dyDescent="0.15">
      <c r="A142" s="10"/>
      <c r="B142" s="5"/>
      <c r="C142" s="5"/>
      <c r="D142" s="10"/>
      <c r="E142" s="10"/>
      <c r="F142" s="10"/>
      <c r="G142" s="10"/>
      <c r="H142" s="8"/>
      <c r="I142" s="8"/>
      <c r="J142" s="8" t="str">
        <f t="shared" si="5"/>
        <v>借</v>
      </c>
      <c r="K142" s="9">
        <f t="shared" si="6"/>
        <v>1000</v>
      </c>
      <c r="L142" s="28"/>
      <c r="M142" s="65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5"/>
        <v>借</v>
      </c>
      <c r="K143" s="9">
        <f t="shared" si="6"/>
        <v>1000</v>
      </c>
      <c r="L143" s="28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5"/>
        <v>借</v>
      </c>
      <c r="K144" s="9">
        <f t="shared" si="6"/>
        <v>1000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5"/>
        <v>借</v>
      </c>
      <c r="K145" s="9">
        <f t="shared" si="6"/>
        <v>1000</v>
      </c>
      <c r="L145" s="28"/>
      <c r="M145" s="73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5"/>
        <v>借</v>
      </c>
      <c r="K146" s="9">
        <f t="shared" si="6"/>
        <v>1000</v>
      </c>
      <c r="L146" s="28"/>
      <c r="M146" s="73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5"/>
        <v>借</v>
      </c>
      <c r="K147" s="9">
        <f t="shared" si="6"/>
        <v>1000</v>
      </c>
      <c r="L147" s="28"/>
      <c r="M147" s="73"/>
    </row>
    <row r="148" spans="1:13" ht="20.100000000000001" customHeight="1" x14ac:dyDescent="0.15">
      <c r="A148" s="5"/>
      <c r="B148" s="5"/>
      <c r="C148" s="5"/>
      <c r="D148" s="10"/>
      <c r="E148" s="10"/>
      <c r="F148" s="14"/>
      <c r="G148" s="14"/>
      <c r="H148" s="8"/>
      <c r="I148" s="8"/>
      <c r="J148" s="8" t="str">
        <f t="shared" si="5"/>
        <v>借</v>
      </c>
      <c r="K148" s="9">
        <f t="shared" si="6"/>
        <v>1000</v>
      </c>
      <c r="L148" s="28"/>
      <c r="M148" s="73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5"/>
        <v>借</v>
      </c>
      <c r="K149" s="9">
        <f t="shared" si="6"/>
        <v>1000</v>
      </c>
      <c r="L149" s="28"/>
    </row>
    <row r="150" spans="1:13" ht="20.100000000000001" customHeight="1" x14ac:dyDescent="0.15">
      <c r="A150" s="5"/>
      <c r="B150" s="5"/>
      <c r="C150" s="5"/>
      <c r="D150" s="10"/>
      <c r="E150" s="16"/>
      <c r="F150" s="10"/>
      <c r="G150" s="10"/>
      <c r="H150" s="8"/>
      <c r="I150" s="8"/>
      <c r="J150" s="8" t="str">
        <f t="shared" si="5"/>
        <v>借</v>
      </c>
      <c r="K150" s="9">
        <f t="shared" si="6"/>
        <v>1000</v>
      </c>
      <c r="L150" s="28"/>
    </row>
    <row r="151" spans="1:13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5"/>
        <v>借</v>
      </c>
      <c r="K151" s="9">
        <f t="shared" si="6"/>
        <v>1000</v>
      </c>
      <c r="L151" s="28"/>
    </row>
    <row r="152" spans="1:13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5"/>
        <v>借</v>
      </c>
      <c r="K152" s="9">
        <f t="shared" si="6"/>
        <v>1000</v>
      </c>
      <c r="L152" s="28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5"/>
        <v>借</v>
      </c>
      <c r="K153" s="9">
        <f t="shared" si="6"/>
        <v>1000</v>
      </c>
      <c r="L153" s="28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5"/>
        <v>借</v>
      </c>
      <c r="K154" s="9">
        <f t="shared" si="6"/>
        <v>1000</v>
      </c>
      <c r="L154" s="28"/>
      <c r="M154" s="65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5"/>
        <v>借</v>
      </c>
      <c r="K155" s="9">
        <f t="shared" si="6"/>
        <v>1000</v>
      </c>
      <c r="L155" s="28"/>
      <c r="M155" s="65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5"/>
        <v>借</v>
      </c>
      <c r="K156" s="9">
        <f t="shared" si="6"/>
        <v>1000</v>
      </c>
      <c r="L156" s="28"/>
      <c r="M156" s="65"/>
    </row>
    <row r="157" spans="1:13" ht="20.100000000000001" customHeight="1" x14ac:dyDescent="0.15">
      <c r="A157" s="5"/>
      <c r="B157" s="5"/>
      <c r="C157" s="5"/>
      <c r="D157" s="10"/>
      <c r="E157" s="10"/>
      <c r="F157" s="14"/>
      <c r="G157" s="10"/>
      <c r="H157" s="8"/>
      <c r="I157" s="8"/>
      <c r="J157" s="8" t="str">
        <f t="shared" si="5"/>
        <v>借</v>
      </c>
      <c r="K157" s="9">
        <f t="shared" si="6"/>
        <v>1000</v>
      </c>
      <c r="L157" s="28"/>
      <c r="M157" s="65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5"/>
        <v>借</v>
      </c>
      <c r="K158" s="9">
        <f t="shared" si="6"/>
        <v>1000</v>
      </c>
      <c r="L158" s="28"/>
      <c r="M158" s="65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5"/>
        <v>借</v>
      </c>
      <c r="K159" s="9">
        <f t="shared" si="6"/>
        <v>1000</v>
      </c>
      <c r="L159" s="28"/>
      <c r="M159" s="65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5"/>
        <v>借</v>
      </c>
      <c r="K160" s="9">
        <f t="shared" si="6"/>
        <v>1000</v>
      </c>
      <c r="L160" s="28"/>
    </row>
    <row r="161" spans="1:13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5"/>
        <v>借</v>
      </c>
      <c r="K161" s="9">
        <f t="shared" si="6"/>
        <v>1000</v>
      </c>
      <c r="L161" s="28"/>
      <c r="M161" s="65"/>
    </row>
    <row r="162" spans="1:13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5"/>
        <v>借</v>
      </c>
      <c r="K162" s="9">
        <f t="shared" si="6"/>
        <v>1000</v>
      </c>
      <c r="L162" s="28"/>
      <c r="M162" s="65"/>
    </row>
    <row r="163" spans="1:13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5"/>
        <v>借</v>
      </c>
      <c r="K163" s="9">
        <f t="shared" si="6"/>
        <v>1000</v>
      </c>
      <c r="L163" s="28"/>
      <c r="M163" s="65"/>
    </row>
    <row r="164" spans="1:13" ht="20.100000000000001" customHeight="1" x14ac:dyDescent="0.15">
      <c r="A164" s="10"/>
      <c r="B164" s="5"/>
      <c r="C164" s="5"/>
      <c r="D164" s="10"/>
      <c r="E164" s="10"/>
      <c r="F164" s="14"/>
      <c r="G164" s="14"/>
      <c r="H164" s="8"/>
      <c r="I164" s="8"/>
      <c r="J164" s="8" t="str">
        <f t="shared" si="5"/>
        <v>借</v>
      </c>
      <c r="K164" s="9">
        <f t="shared" si="6"/>
        <v>1000</v>
      </c>
      <c r="L164" s="28"/>
      <c r="M164" s="65"/>
    </row>
    <row r="165" spans="1:13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5"/>
        <v>借</v>
      </c>
      <c r="K165" s="9">
        <f t="shared" si="6"/>
        <v>1000</v>
      </c>
      <c r="L165" s="28"/>
    </row>
    <row r="166" spans="1:13" ht="20.100000000000001" customHeight="1" x14ac:dyDescent="0.15">
      <c r="A166" s="10"/>
      <c r="B166" s="5"/>
      <c r="C166" s="5"/>
      <c r="D166" s="10"/>
      <c r="E166" s="16"/>
      <c r="F166" s="10"/>
      <c r="G166" s="10"/>
      <c r="H166" s="8"/>
      <c r="I166" s="8"/>
      <c r="J166" s="8" t="str">
        <f t="shared" si="5"/>
        <v>借</v>
      </c>
      <c r="K166" s="9">
        <f t="shared" si="6"/>
        <v>1000</v>
      </c>
      <c r="L166" s="28"/>
      <c r="M166" s="65"/>
    </row>
    <row r="167" spans="1:13" ht="20.100000000000001" customHeight="1" x14ac:dyDescent="0.15">
      <c r="A167" s="10"/>
      <c r="B167" s="5"/>
      <c r="C167" s="10"/>
      <c r="D167" s="10"/>
      <c r="E167" s="10"/>
      <c r="F167" s="14"/>
      <c r="G167" s="14"/>
      <c r="H167" s="8"/>
      <c r="I167" s="8"/>
      <c r="J167" s="8" t="str">
        <f t="shared" si="5"/>
        <v>借</v>
      </c>
      <c r="K167" s="9">
        <f t="shared" si="6"/>
        <v>1000</v>
      </c>
      <c r="L167" s="28"/>
      <c r="M167" s="65"/>
    </row>
    <row r="168" spans="1:13" ht="20.100000000000001" customHeight="1" x14ac:dyDescent="0.15">
      <c r="A168" s="10"/>
      <c r="B168" s="5"/>
      <c r="C168" s="5"/>
      <c r="D168" s="10"/>
      <c r="E168" s="10"/>
      <c r="F168" s="10"/>
      <c r="G168" s="10"/>
      <c r="H168" s="8"/>
      <c r="I168" s="8"/>
      <c r="J168" s="8" t="str">
        <f t="shared" si="5"/>
        <v>借</v>
      </c>
      <c r="K168" s="9">
        <f t="shared" si="6"/>
        <v>1000</v>
      </c>
      <c r="L168" s="28"/>
    </row>
    <row r="169" spans="1:13" ht="20.100000000000001" customHeight="1" x14ac:dyDescent="0.15">
      <c r="A169" s="10"/>
      <c r="B169" s="5"/>
      <c r="C169" s="5"/>
      <c r="D169" s="10"/>
      <c r="E169" s="10"/>
      <c r="F169" s="10"/>
      <c r="G169" s="10"/>
      <c r="H169" s="8"/>
      <c r="I169" s="8"/>
      <c r="J169" s="8" t="str">
        <f t="shared" si="5"/>
        <v>借</v>
      </c>
      <c r="K169" s="9">
        <f t="shared" si="6"/>
        <v>1000</v>
      </c>
      <c r="L169" s="28"/>
    </row>
    <row r="170" spans="1:13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5"/>
        <v>借</v>
      </c>
      <c r="K170" s="9">
        <f t="shared" si="6"/>
        <v>1000</v>
      </c>
      <c r="L170" s="28"/>
      <c r="M170" s="65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5"/>
        <v>借</v>
      </c>
      <c r="K171" s="9">
        <f t="shared" si="6"/>
        <v>1000</v>
      </c>
      <c r="L171" s="28"/>
      <c r="M171" s="65"/>
    </row>
    <row r="172" spans="1:13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5"/>
        <v>借</v>
      </c>
      <c r="K172" s="9">
        <f t="shared" si="6"/>
        <v>1000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5"/>
        <v>借</v>
      </c>
      <c r="K173" s="9">
        <f t="shared" si="6"/>
        <v>1000</v>
      </c>
      <c r="L173" s="28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5"/>
        <v>借</v>
      </c>
      <c r="K174" s="9">
        <f t="shared" si="6"/>
        <v>1000</v>
      </c>
      <c r="L174" s="28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5"/>
        <v>借</v>
      </c>
      <c r="K175" s="9">
        <f t="shared" si="6"/>
        <v>1000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5"/>
        <v>借</v>
      </c>
      <c r="K176" s="9">
        <f t="shared" ref="K176:K239" si="7">_xlfn.IFS(J175="借",K175+H176-I176,J175="贷",H176-I176-K175)</f>
        <v>1000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5"/>
        <v>借</v>
      </c>
      <c r="K177" s="9">
        <f t="shared" si="7"/>
        <v>1000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5"/>
        <v>借</v>
      </c>
      <c r="K178" s="9">
        <f t="shared" si="7"/>
        <v>1000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5"/>
        <v>借</v>
      </c>
      <c r="K179" s="9">
        <f t="shared" si="7"/>
        <v>1000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5"/>
        <v>借</v>
      </c>
      <c r="K180" s="9">
        <f t="shared" si="7"/>
        <v>1000</v>
      </c>
      <c r="L180" s="28"/>
      <c r="M180" s="65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5"/>
        <v>借</v>
      </c>
      <c r="K181" s="9">
        <f t="shared" si="7"/>
        <v>1000</v>
      </c>
      <c r="L181" s="28"/>
      <c r="M181" s="65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5"/>
        <v>借</v>
      </c>
      <c r="K182" s="9">
        <f t="shared" si="7"/>
        <v>1000</v>
      </c>
      <c r="L182" s="28"/>
      <c r="M182" s="65"/>
    </row>
    <row r="183" spans="1:13" ht="20.100000000000001" customHeight="1" x14ac:dyDescent="0.15">
      <c r="A183" s="10"/>
      <c r="B183" s="5"/>
      <c r="C183" s="10"/>
      <c r="D183" s="10"/>
      <c r="E183" s="10"/>
      <c r="F183" s="14"/>
      <c r="G183" s="14"/>
      <c r="H183" s="8"/>
      <c r="I183" s="8"/>
      <c r="J183" s="8" t="str">
        <f t="shared" si="5"/>
        <v>借</v>
      </c>
      <c r="K183" s="9">
        <f t="shared" si="7"/>
        <v>1000</v>
      </c>
      <c r="L183" s="28"/>
      <c r="M183" s="65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5"/>
        <v>借</v>
      </c>
      <c r="K184" s="9">
        <f t="shared" si="7"/>
        <v>1000</v>
      </c>
      <c r="L184" s="28"/>
    </row>
    <row r="185" spans="1:13" ht="20.100000000000001" customHeight="1" x14ac:dyDescent="0.15">
      <c r="A185" s="10"/>
      <c r="B185" s="5"/>
      <c r="C185" s="10"/>
      <c r="D185" s="10"/>
      <c r="E185" s="16"/>
      <c r="F185" s="10"/>
      <c r="G185" s="10"/>
      <c r="H185" s="8"/>
      <c r="I185" s="8"/>
      <c r="J185" s="8" t="str">
        <f t="shared" si="5"/>
        <v>借</v>
      </c>
      <c r="K185" s="9">
        <f t="shared" si="7"/>
        <v>1000</v>
      </c>
      <c r="L185" s="28"/>
      <c r="M185" s="65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5"/>
        <v>借</v>
      </c>
      <c r="K186" s="9">
        <f t="shared" si="7"/>
        <v>1000</v>
      </c>
      <c r="L186" s="28"/>
      <c r="M186" s="65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5"/>
        <v>借</v>
      </c>
      <c r="K187" s="9">
        <f t="shared" si="7"/>
        <v>1000</v>
      </c>
      <c r="L187" s="28"/>
      <c r="M187" s="65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5"/>
        <v>借</v>
      </c>
      <c r="K188" s="9">
        <f t="shared" si="7"/>
        <v>1000</v>
      </c>
      <c r="L188" s="28"/>
      <c r="M188" s="65"/>
    </row>
    <row r="189" spans="1:13" ht="20.100000000000001" customHeight="1" x14ac:dyDescent="0.15">
      <c r="A189" s="10"/>
      <c r="B189" s="5"/>
      <c r="C189" s="10"/>
      <c r="D189" s="10"/>
      <c r="E189" s="16"/>
      <c r="F189" s="10"/>
      <c r="G189" s="10"/>
      <c r="H189" s="8"/>
      <c r="I189" s="8"/>
      <c r="J189" s="8" t="str">
        <f t="shared" si="5"/>
        <v>借</v>
      </c>
      <c r="K189" s="9">
        <f t="shared" si="7"/>
        <v>1000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5"/>
        <v>借</v>
      </c>
      <c r="K190" s="9">
        <f t="shared" si="7"/>
        <v>1000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5"/>
        <v>借</v>
      </c>
      <c r="K191" s="9">
        <f t="shared" si="7"/>
        <v>1000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5"/>
        <v>借</v>
      </c>
      <c r="K192" s="9">
        <f t="shared" si="7"/>
        <v>1000</v>
      </c>
      <c r="L192" s="28"/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5"/>
        <v>借</v>
      </c>
      <c r="K193" s="9">
        <f t="shared" si="7"/>
        <v>1000</v>
      </c>
      <c r="L193" s="28"/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5"/>
        <v>借</v>
      </c>
      <c r="K194" s="9">
        <f t="shared" si="7"/>
        <v>1000</v>
      </c>
      <c r="L194" s="28"/>
    </row>
    <row r="195" spans="1:13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5"/>
        <v>借</v>
      </c>
      <c r="K195" s="9">
        <f t="shared" si="7"/>
        <v>1000</v>
      </c>
      <c r="L195" s="28"/>
    </row>
    <row r="196" spans="1:13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5"/>
        <v>借</v>
      </c>
      <c r="K196" s="9">
        <f t="shared" si="7"/>
        <v>1000</v>
      </c>
      <c r="L196" s="28"/>
      <c r="M196" s="65"/>
    </row>
    <row r="197" spans="1:13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5"/>
        <v>借</v>
      </c>
      <c r="K197" s="9">
        <f t="shared" si="7"/>
        <v>1000</v>
      </c>
      <c r="L197" s="28"/>
      <c r="M197" s="65"/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5"/>
        <v>借</v>
      </c>
      <c r="K198" s="9">
        <f t="shared" si="7"/>
        <v>1000</v>
      </c>
      <c r="L198" s="28"/>
      <c r="M198" s="65"/>
    </row>
    <row r="199" spans="1:13" ht="20.100000000000001" customHeight="1" x14ac:dyDescent="0.15">
      <c r="A199" s="10"/>
      <c r="B199" s="5"/>
      <c r="C199" s="10"/>
      <c r="D199" s="10"/>
      <c r="E199" s="10"/>
      <c r="F199" s="14"/>
      <c r="G199" s="14"/>
      <c r="H199" s="8"/>
      <c r="I199" s="8"/>
      <c r="J199" s="8" t="str">
        <f t="shared" si="5"/>
        <v>借</v>
      </c>
      <c r="K199" s="9">
        <f t="shared" si="7"/>
        <v>1000</v>
      </c>
      <c r="L199" s="28"/>
      <c r="M199" s="65"/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5"/>
        <v>借</v>
      </c>
      <c r="K200" s="9">
        <f t="shared" si="7"/>
        <v>1000</v>
      </c>
      <c r="L200" s="28"/>
    </row>
    <row r="201" spans="1:13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ref="J201:J264" si="8">IF((K200+H201-I201)&gt;0,"借","贷")</f>
        <v>借</v>
      </c>
      <c r="K201" s="9">
        <f t="shared" si="7"/>
        <v>1000</v>
      </c>
      <c r="L201" s="28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7"/>
        <v>1000</v>
      </c>
      <c r="L202" s="28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7"/>
        <v>1000</v>
      </c>
      <c r="L203" s="28"/>
      <c r="M203" s="65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7"/>
        <v>1000</v>
      </c>
      <c r="L204" s="28"/>
      <c r="M204" s="65"/>
    </row>
    <row r="205" spans="1:13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7"/>
        <v>1000</v>
      </c>
      <c r="L205" s="28"/>
    </row>
    <row r="206" spans="1:13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7"/>
        <v>1000</v>
      </c>
      <c r="L206" s="28"/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7"/>
        <v>1000</v>
      </c>
      <c r="L207" s="28"/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7"/>
        <v>1000</v>
      </c>
      <c r="L208" s="28"/>
    </row>
    <row r="209" spans="1:13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7"/>
        <v>1000</v>
      </c>
      <c r="L209" s="28"/>
    </row>
    <row r="210" spans="1:13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7"/>
        <v>1000</v>
      </c>
      <c r="L210" s="28"/>
      <c r="M210" s="65"/>
    </row>
    <row r="211" spans="1:13" ht="20.100000000000001" customHeight="1" x14ac:dyDescent="0.15">
      <c r="A211" s="10"/>
      <c r="B211" s="5"/>
      <c r="C211" s="10"/>
      <c r="D211" s="10"/>
      <c r="E211" s="10"/>
      <c r="F211" s="14"/>
      <c r="G211" s="14"/>
      <c r="H211" s="8"/>
      <c r="I211" s="8"/>
      <c r="J211" s="8" t="str">
        <f t="shared" si="8"/>
        <v>借</v>
      </c>
      <c r="K211" s="9">
        <f t="shared" si="7"/>
        <v>1000</v>
      </c>
      <c r="L211" s="28"/>
      <c r="M211" s="65"/>
    </row>
    <row r="212" spans="1:13" ht="20.100000000000001" customHeight="1" x14ac:dyDescent="0.15">
      <c r="A212" s="10"/>
      <c r="B212" s="5"/>
      <c r="C212" s="10"/>
      <c r="D212" s="10"/>
      <c r="E212" s="10"/>
      <c r="F212" s="10"/>
      <c r="G212" s="10"/>
      <c r="H212" s="10"/>
      <c r="I212" s="8"/>
      <c r="J212" s="8" t="str">
        <f t="shared" si="8"/>
        <v>借</v>
      </c>
      <c r="K212" s="9">
        <f t="shared" si="7"/>
        <v>1000</v>
      </c>
      <c r="L212" s="28"/>
      <c r="M212" s="65"/>
    </row>
    <row r="213" spans="1:13" ht="20.100000000000001" customHeight="1" x14ac:dyDescent="0.15">
      <c r="A213" s="10"/>
      <c r="B213" s="5"/>
      <c r="C213" s="10"/>
      <c r="D213" s="10"/>
      <c r="E213" s="10"/>
      <c r="F213" s="10"/>
      <c r="G213" s="10"/>
      <c r="H213" s="10"/>
      <c r="I213" s="8"/>
      <c r="J213" s="8" t="str">
        <f t="shared" si="8"/>
        <v>借</v>
      </c>
      <c r="K213" s="9">
        <f t="shared" si="7"/>
        <v>1000</v>
      </c>
      <c r="L213" s="28"/>
      <c r="M213" s="65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10"/>
      <c r="I214" s="8"/>
      <c r="J214" s="8" t="str">
        <f t="shared" si="8"/>
        <v>借</v>
      </c>
      <c r="K214" s="9">
        <f t="shared" si="7"/>
        <v>1000</v>
      </c>
      <c r="L214" s="28"/>
      <c r="M214" s="65"/>
    </row>
    <row r="215" spans="1:13" ht="20.100000000000001" customHeight="1" x14ac:dyDescent="0.15">
      <c r="A215" s="10"/>
      <c r="B215" s="5"/>
      <c r="C215" s="10"/>
      <c r="D215" s="10"/>
      <c r="E215" s="10"/>
      <c r="F215" s="14"/>
      <c r="G215" s="14"/>
      <c r="H215" s="14"/>
      <c r="I215" s="8"/>
      <c r="J215" s="8" t="str">
        <f t="shared" si="8"/>
        <v>借</v>
      </c>
      <c r="K215" s="9">
        <f t="shared" si="7"/>
        <v>1000</v>
      </c>
      <c r="L215" s="28"/>
      <c r="M215" s="65"/>
    </row>
    <row r="216" spans="1:13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7"/>
        <v>1000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7"/>
        <v>1000</v>
      </c>
      <c r="L217" s="28"/>
    </row>
    <row r="218" spans="1:13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7"/>
        <v>1000</v>
      </c>
      <c r="L218" s="28"/>
      <c r="M218" s="65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7"/>
        <v>1000</v>
      </c>
      <c r="L219" s="28"/>
      <c r="M219" s="65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7"/>
        <v>1000</v>
      </c>
      <c r="L220" s="28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7"/>
        <v>1000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7"/>
        <v>1000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7"/>
        <v>1000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7"/>
        <v>1000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7"/>
        <v>1000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7"/>
        <v>1000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7"/>
        <v>1000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7"/>
        <v>1000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9">
        <f t="shared" si="7"/>
        <v>1000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7"/>
        <v>1000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7"/>
        <v>1000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7"/>
        <v>1000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21">
        <f t="shared" si="7"/>
        <v>1000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7"/>
        <v>1000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7"/>
        <v>1000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si="7"/>
        <v>1000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21">
        <f t="shared" si="7"/>
        <v>1000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7"/>
        <v>1000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7"/>
        <v>1000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ref="K240:K303" si="9">_xlfn.IFS(J239="借",K239+H240-I240,J239="贷",H240-I240-K239)</f>
        <v>1000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8"/>
        <v>借</v>
      </c>
      <c r="K241" s="9">
        <f t="shared" si="9"/>
        <v>1000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8"/>
        <v>借</v>
      </c>
      <c r="K242" s="9">
        <f t="shared" si="9"/>
        <v>1000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8"/>
        <v>借</v>
      </c>
      <c r="K243" s="9">
        <f t="shared" si="9"/>
        <v>1000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8"/>
        <v>借</v>
      </c>
      <c r="K244" s="9">
        <f t="shared" si="9"/>
        <v>1000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1000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8"/>
        <v>借</v>
      </c>
      <c r="K246" s="9">
        <f t="shared" si="9"/>
        <v>1000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8"/>
        <v>借</v>
      </c>
      <c r="K247" s="9">
        <f t="shared" si="9"/>
        <v>1000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8"/>
        <v>借</v>
      </c>
      <c r="K248" s="9">
        <f t="shared" si="9"/>
        <v>1000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8"/>
        <v>借</v>
      </c>
      <c r="K249" s="9">
        <f t="shared" si="9"/>
        <v>1000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23" t="str">
        <f t="shared" si="8"/>
        <v>借</v>
      </c>
      <c r="K250" s="9">
        <f t="shared" si="9"/>
        <v>1000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8"/>
        <v>借</v>
      </c>
      <c r="K251" s="9">
        <f t="shared" si="9"/>
        <v>1000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8"/>
        <v>借</v>
      </c>
      <c r="K252" s="9">
        <f t="shared" si="9"/>
        <v>1000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8"/>
        <v>借</v>
      </c>
      <c r="K253" s="9">
        <f t="shared" si="9"/>
        <v>1000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8"/>
        <v>借</v>
      </c>
      <c r="K254" s="9">
        <f t="shared" si="9"/>
        <v>1000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8"/>
        <v>借</v>
      </c>
      <c r="K255" s="9">
        <f t="shared" si="9"/>
        <v>1000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8"/>
        <v>借</v>
      </c>
      <c r="K256" s="9">
        <f t="shared" si="9"/>
        <v>1000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8"/>
        <v>借</v>
      </c>
      <c r="K257" s="9">
        <f t="shared" si="9"/>
        <v>1000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8"/>
        <v>借</v>
      </c>
      <c r="K258" s="9">
        <f t="shared" si="9"/>
        <v>1000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8"/>
        <v>借</v>
      </c>
      <c r="K259" s="9">
        <f t="shared" si="9"/>
        <v>1000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8"/>
        <v>借</v>
      </c>
      <c r="K260" s="9">
        <f t="shared" si="9"/>
        <v>1000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8"/>
        <v>借</v>
      </c>
      <c r="K261" s="9">
        <f t="shared" si="9"/>
        <v>1000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8"/>
        <v>借</v>
      </c>
      <c r="K262" s="9">
        <f t="shared" si="9"/>
        <v>1000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1000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ref="J265:J328" si="10">IF((K264+H265-I265)&gt;0,"借","贷")</f>
        <v>借</v>
      </c>
      <c r="K265" s="9">
        <f t="shared" si="9"/>
        <v>1000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9"/>
        <v>1000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9"/>
        <v>1000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9"/>
        <v>1000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9"/>
        <v>1000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9"/>
        <v>1000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9"/>
        <v>1000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9"/>
        <v>1000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9"/>
        <v>1000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9"/>
        <v>1000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9"/>
        <v>1000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9"/>
        <v>1000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9"/>
        <v>1000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9"/>
        <v>1000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9"/>
        <v>1000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9"/>
        <v>1000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9"/>
        <v>1000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9"/>
        <v>1000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9"/>
        <v>1000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9"/>
        <v>1000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9"/>
        <v>1000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9"/>
        <v>1000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9"/>
        <v>1000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9"/>
        <v>1000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9"/>
        <v>1000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9"/>
        <v>1000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9"/>
        <v>1000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9"/>
        <v>1000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9"/>
        <v>1000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9"/>
        <v>1000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9"/>
        <v>1000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9"/>
        <v>1000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9"/>
        <v>1000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9"/>
        <v>1000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9"/>
        <v>1000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si="9"/>
        <v>1000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9"/>
        <v>1000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9"/>
        <v>1000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9"/>
        <v>1000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ref="K304:K367" si="11">_xlfn.IFS(J303="借",K303+H304-I304,J303="贷",H304-I304-K303)</f>
        <v>1000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1000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1000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1000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1000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1000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0"/>
        <v>借</v>
      </c>
      <c r="K310" s="9">
        <f t="shared" si="11"/>
        <v>1000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0"/>
        <v>借</v>
      </c>
      <c r="K311" s="9">
        <f t="shared" si="11"/>
        <v>1000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0"/>
        <v>借</v>
      </c>
      <c r="K312" s="9">
        <f t="shared" si="11"/>
        <v>1000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0"/>
        <v>借</v>
      </c>
      <c r="K313" s="9">
        <f t="shared" si="11"/>
        <v>1000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0"/>
        <v>借</v>
      </c>
      <c r="K314" s="9">
        <f t="shared" si="11"/>
        <v>1000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0"/>
        <v>借</v>
      </c>
      <c r="K315" s="9">
        <f t="shared" si="11"/>
        <v>1000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0"/>
        <v>借</v>
      </c>
      <c r="K316" s="9">
        <f t="shared" si="11"/>
        <v>1000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0"/>
        <v>借</v>
      </c>
      <c r="K317" s="9">
        <f t="shared" si="11"/>
        <v>1000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0"/>
        <v>借</v>
      </c>
      <c r="K318" s="9">
        <f t="shared" si="11"/>
        <v>1000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0"/>
        <v>借</v>
      </c>
      <c r="K319" s="9">
        <f t="shared" si="11"/>
        <v>1000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0"/>
        <v>借</v>
      </c>
      <c r="K320" s="9">
        <f t="shared" si="11"/>
        <v>1000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0"/>
        <v>借</v>
      </c>
      <c r="K321" s="9">
        <f t="shared" si="11"/>
        <v>1000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0"/>
        <v>借</v>
      </c>
      <c r="K322" s="9">
        <f t="shared" si="11"/>
        <v>1000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0"/>
        <v>借</v>
      </c>
      <c r="K323" s="9">
        <f t="shared" si="11"/>
        <v>1000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0"/>
        <v>借</v>
      </c>
      <c r="K324" s="9">
        <f t="shared" si="11"/>
        <v>1000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0"/>
        <v>借</v>
      </c>
      <c r="K325" s="9">
        <f t="shared" si="11"/>
        <v>1000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0"/>
        <v>借</v>
      </c>
      <c r="K326" s="9">
        <f t="shared" si="11"/>
        <v>1000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1000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ref="J329:J392" si="12">IF((K328+H329-I329)&gt;0,"借","贷")</f>
        <v>借</v>
      </c>
      <c r="K329" s="9">
        <f t="shared" si="11"/>
        <v>1000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1"/>
        <v>1000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1"/>
        <v>1000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1"/>
        <v>1000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1"/>
        <v>1000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1"/>
        <v>1000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1"/>
        <v>1000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1"/>
        <v>1000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1"/>
        <v>1000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1"/>
        <v>1000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1"/>
        <v>1000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1"/>
        <v>1000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1"/>
        <v>1000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1"/>
        <v>1000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1"/>
        <v>1000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1"/>
        <v>1000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1"/>
        <v>1000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1"/>
        <v>1000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1"/>
        <v>1000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1"/>
        <v>1000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1"/>
        <v>1000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1"/>
        <v>1000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1"/>
        <v>1000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1"/>
        <v>1000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1"/>
        <v>1000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1"/>
        <v>1000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1"/>
        <v>1000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1"/>
        <v>1000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1"/>
        <v>1000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1"/>
        <v>1000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1"/>
        <v>1000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1"/>
        <v>1000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1"/>
        <v>1000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1"/>
        <v>1000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1"/>
        <v>1000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si="11"/>
        <v>1000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1"/>
        <v>1000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1"/>
        <v>1000</v>
      </c>
      <c r="L366" s="28"/>
    </row>
    <row r="367" spans="1:12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1"/>
        <v>1000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ref="K368:K431" si="13">_xlfn.IFS(J367="借",K367+H368-I368,J367="贷",H368-I368-K367)</f>
        <v>1000</v>
      </c>
      <c r="L368" s="28"/>
    </row>
    <row r="369" spans="2:12" ht="20.100000000000001" customHeight="1" x14ac:dyDescent="0.15">
      <c r="B369" s="5"/>
      <c r="C369" s="10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1000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1000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1000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1000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1000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2"/>
        <v>借</v>
      </c>
      <c r="K374" s="9">
        <f t="shared" si="13"/>
        <v>1000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2"/>
        <v>借</v>
      </c>
      <c r="K375" s="9">
        <f t="shared" si="13"/>
        <v>1000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2"/>
        <v>借</v>
      </c>
      <c r="K376" s="9">
        <f t="shared" si="13"/>
        <v>1000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2"/>
        <v>借</v>
      </c>
      <c r="K377" s="9">
        <f t="shared" si="13"/>
        <v>1000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2"/>
        <v>借</v>
      </c>
      <c r="K378" s="9">
        <f t="shared" si="13"/>
        <v>1000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2"/>
        <v>借</v>
      </c>
      <c r="K379" s="9">
        <f t="shared" si="13"/>
        <v>1000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2"/>
        <v>借</v>
      </c>
      <c r="K380" s="9">
        <f t="shared" si="13"/>
        <v>1000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2"/>
        <v>借</v>
      </c>
      <c r="K381" s="9">
        <f t="shared" si="13"/>
        <v>1000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2"/>
        <v>借</v>
      </c>
      <c r="K382" s="9">
        <f t="shared" si="13"/>
        <v>1000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2"/>
        <v>借</v>
      </c>
      <c r="K383" s="9">
        <f t="shared" si="13"/>
        <v>1000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2"/>
        <v>借</v>
      </c>
      <c r="K384" s="9">
        <f t="shared" si="13"/>
        <v>1000</v>
      </c>
      <c r="L384" s="28"/>
    </row>
    <row r="385" spans="2:12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2"/>
        <v>借</v>
      </c>
      <c r="K385" s="9">
        <f t="shared" si="13"/>
        <v>1000</v>
      </c>
      <c r="L385" s="28"/>
    </row>
    <row r="386" spans="2:12" ht="20.100000000000001" customHeight="1" x14ac:dyDescent="0.15">
      <c r="B386" s="5"/>
      <c r="C386" s="7"/>
      <c r="D386" s="10"/>
      <c r="E386" s="10"/>
      <c r="F386" s="10"/>
      <c r="G386" s="10"/>
      <c r="H386" s="8"/>
      <c r="I386" s="8"/>
      <c r="J386" s="8" t="str">
        <f t="shared" si="12"/>
        <v>借</v>
      </c>
      <c r="K386" s="9">
        <f t="shared" si="13"/>
        <v>1000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2"/>
        <v>借</v>
      </c>
      <c r="K387" s="9">
        <f t="shared" si="13"/>
        <v>1000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2"/>
        <v>借</v>
      </c>
      <c r="K388" s="9">
        <f t="shared" si="13"/>
        <v>1000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2"/>
        <v>借</v>
      </c>
      <c r="K389" s="9">
        <f t="shared" si="13"/>
        <v>1000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2"/>
        <v>借</v>
      </c>
      <c r="K390" s="9">
        <f t="shared" si="13"/>
        <v>1000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1000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ref="J393:J456" si="14">IF((K392+H393-I393)&gt;0,"借","贷")</f>
        <v>借</v>
      </c>
      <c r="K393" s="9">
        <f t="shared" si="13"/>
        <v>1000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3"/>
        <v>1000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3"/>
        <v>1000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3"/>
        <v>1000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3"/>
        <v>1000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3"/>
        <v>1000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3"/>
        <v>1000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3"/>
        <v>1000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3"/>
        <v>1000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3"/>
        <v>1000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3"/>
        <v>1000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3"/>
        <v>1000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3"/>
        <v>1000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3"/>
        <v>1000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3"/>
        <v>1000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3"/>
        <v>1000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3"/>
        <v>1000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3"/>
        <v>1000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3"/>
        <v>1000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3"/>
        <v>1000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3"/>
        <v>1000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3"/>
        <v>1000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3"/>
        <v>1000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3"/>
        <v>1000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3"/>
        <v>1000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3"/>
        <v>1000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3"/>
        <v>1000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3"/>
        <v>1000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3"/>
        <v>1000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3"/>
        <v>1000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3"/>
        <v>1000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3"/>
        <v>1000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3"/>
        <v>1000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3"/>
        <v>1000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3"/>
        <v>1000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si="13"/>
        <v>1000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3"/>
        <v>1000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3"/>
        <v>1000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3"/>
        <v>1000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ref="K432:K495" si="15">_xlfn.IFS(J431="借",K431+H432-I432,J431="贷",H432-I432-K431)</f>
        <v>1000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1000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1000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1000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1000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1000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4"/>
        <v>借</v>
      </c>
      <c r="K438" s="9">
        <f t="shared" si="15"/>
        <v>1000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4"/>
        <v>借</v>
      </c>
      <c r="K439" s="9">
        <f t="shared" si="15"/>
        <v>1000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4"/>
        <v>借</v>
      </c>
      <c r="K440" s="9">
        <f t="shared" si="15"/>
        <v>1000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4"/>
        <v>借</v>
      </c>
      <c r="K441" s="9">
        <f t="shared" si="15"/>
        <v>1000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4"/>
        <v>借</v>
      </c>
      <c r="K442" s="9">
        <f t="shared" si="15"/>
        <v>1000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4"/>
        <v>借</v>
      </c>
      <c r="K443" s="9">
        <f t="shared" si="15"/>
        <v>1000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4"/>
        <v>借</v>
      </c>
      <c r="K444" s="9">
        <f t="shared" si="15"/>
        <v>1000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4"/>
        <v>借</v>
      </c>
      <c r="K445" s="9">
        <f t="shared" si="15"/>
        <v>1000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4"/>
        <v>借</v>
      </c>
      <c r="K446" s="9">
        <f t="shared" si="15"/>
        <v>1000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4"/>
        <v>借</v>
      </c>
      <c r="K447" s="9">
        <f t="shared" si="15"/>
        <v>1000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4"/>
        <v>借</v>
      </c>
      <c r="K448" s="9">
        <f t="shared" si="15"/>
        <v>1000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4"/>
        <v>借</v>
      </c>
      <c r="K449" s="9">
        <f t="shared" si="15"/>
        <v>1000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4"/>
        <v>借</v>
      </c>
      <c r="K450" s="9">
        <f t="shared" si="15"/>
        <v>1000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4"/>
        <v>借</v>
      </c>
      <c r="K451" s="9">
        <f t="shared" si="15"/>
        <v>1000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4"/>
        <v>借</v>
      </c>
      <c r="K452" s="9">
        <f t="shared" si="15"/>
        <v>1000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4"/>
        <v>借</v>
      </c>
      <c r="K453" s="9">
        <f t="shared" si="15"/>
        <v>1000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4"/>
        <v>借</v>
      </c>
      <c r="K454" s="9">
        <f t="shared" si="15"/>
        <v>1000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1000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ref="J457:J500" si="16">IF((K456+H457-I457)&gt;0,"借","贷")</f>
        <v>借</v>
      </c>
      <c r="K457" s="9">
        <f t="shared" si="15"/>
        <v>1000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5"/>
        <v>1000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5"/>
        <v>1000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5"/>
        <v>1000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5"/>
        <v>1000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5"/>
        <v>1000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5"/>
        <v>1000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5"/>
        <v>1000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5"/>
        <v>1000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5"/>
        <v>1000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5"/>
        <v>1000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5"/>
        <v>1000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5"/>
        <v>1000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5"/>
        <v>1000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5"/>
        <v>1000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5"/>
        <v>1000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5"/>
        <v>1000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5"/>
        <v>1000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5"/>
        <v>1000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5"/>
        <v>1000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5"/>
        <v>1000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5"/>
        <v>1000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5"/>
        <v>1000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5"/>
        <v>1000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5"/>
        <v>1000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5"/>
        <v>1000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5"/>
        <v>1000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5"/>
        <v>1000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5"/>
        <v>1000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5"/>
        <v>1000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5"/>
        <v>1000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5"/>
        <v>1000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5"/>
        <v>1000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5"/>
        <v>1000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5"/>
        <v>1000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si="15"/>
        <v>1000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5"/>
        <v>1000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5"/>
        <v>1000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5"/>
        <v>1000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ref="K496:K500" si="17">_xlfn.IFS(J495="借",K495+H496-I496,J495="贷",H496-I496-K495)</f>
        <v>1000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6"/>
        <v>借</v>
      </c>
      <c r="K497" s="9">
        <f t="shared" si="17"/>
        <v>1000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6"/>
        <v>借</v>
      </c>
      <c r="K498" s="9">
        <f t="shared" si="17"/>
        <v>1000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6"/>
        <v>借</v>
      </c>
      <c r="K499" s="9">
        <f t="shared" si="17"/>
        <v>1000</v>
      </c>
      <c r="L499" s="28"/>
    </row>
    <row r="500" spans="2:12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16"/>
        <v>借</v>
      </c>
      <c r="K500" s="9">
        <f t="shared" si="17"/>
        <v>1000</v>
      </c>
      <c r="L500" s="28"/>
    </row>
  </sheetData>
  <autoFilter ref="A4:M500" xr:uid="{00000000-0009-0000-0000-000013000000}"/>
  <mergeCells count="34">
    <mergeCell ref="A1:K1"/>
    <mergeCell ref="M9:M12"/>
    <mergeCell ref="M16:M17"/>
    <mergeCell ref="M20:M21"/>
    <mergeCell ref="M22:M25"/>
    <mergeCell ref="M30:M31"/>
    <mergeCell ref="M34:M37"/>
    <mergeCell ref="M39:M40"/>
    <mergeCell ref="M41:M42"/>
    <mergeCell ref="M53:M56"/>
    <mergeCell ref="M61:M62"/>
    <mergeCell ref="M69:M70"/>
    <mergeCell ref="M71:M74"/>
    <mergeCell ref="M80:M81"/>
    <mergeCell ref="M86:M87"/>
    <mergeCell ref="M92:M95"/>
    <mergeCell ref="M99:M100"/>
    <mergeCell ref="M101:M102"/>
    <mergeCell ref="M111:M114"/>
    <mergeCell ref="M118:M119"/>
    <mergeCell ref="M137:M142"/>
    <mergeCell ref="M145:M148"/>
    <mergeCell ref="M154:M159"/>
    <mergeCell ref="M161:M164"/>
    <mergeCell ref="M166:M167"/>
    <mergeCell ref="M203:M204"/>
    <mergeCell ref="M210:M211"/>
    <mergeCell ref="M212:M215"/>
    <mergeCell ref="M218:M219"/>
    <mergeCell ref="M170:M171"/>
    <mergeCell ref="M180:M183"/>
    <mergeCell ref="M185:M186"/>
    <mergeCell ref="M187:M188"/>
    <mergeCell ref="M196:M199"/>
  </mergeCells>
  <phoneticPr fontId="21" type="noConversion"/>
  <dataValidations count="1">
    <dataValidation type="list" allowBlank="1" showInputMessage="1" showErrorMessage="1" sqref="G5:G8 G13:G21 G26:G33 G38:G211 G216:G1048576 G212:H215 A1:L1" xr:uid="{00000000-0002-0000-13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98"/>
  <sheetViews>
    <sheetView topLeftCell="E1" zoomScale="115" zoomScaleNormal="115" workbookViewId="0">
      <selection activeCell="G8" sqref="G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3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3" ht="20.100000000000001" customHeight="1" x14ac:dyDescent="0.15">
      <c r="D2" t="s">
        <v>77</v>
      </c>
      <c r="L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SUM(H5:H190001)</f>
        <v>0</v>
      </c>
      <c r="I3" s="4">
        <f>SUM(I5:I190001)</f>
        <v>0</v>
      </c>
      <c r="J3" s="4"/>
      <c r="K3" s="3">
        <f>K5+H3-I3</f>
        <v>1000</v>
      </c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3" ht="20.100000000000001" customHeight="1" x14ac:dyDescent="0.15">
      <c r="A5" s="5"/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</row>
    <row r="6" spans="1:13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27" si="0">IF((K5+H6-I6)&gt;0,"借","贷")</f>
        <v>借</v>
      </c>
      <c r="K6" s="9">
        <f t="shared" ref="K6:K27" si="1">K5+H6-I6</f>
        <v>1000</v>
      </c>
    </row>
    <row r="7" spans="1:13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1000</v>
      </c>
    </row>
    <row r="8" spans="1:13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1000</v>
      </c>
      <c r="L13" s="8"/>
      <c r="M13" s="65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1000</v>
      </c>
      <c r="L14" s="8"/>
      <c r="M14" s="65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1000</v>
      </c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1000</v>
      </c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1000</v>
      </c>
      <c r="M20" s="65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1000</v>
      </c>
      <c r="M21" s="65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1000</v>
      </c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1000</v>
      </c>
    </row>
    <row r="28" spans="1:13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ref="J28:J69" si="2">IF((K27+H28-I28)&gt;0,"借","贷")</f>
        <v>借</v>
      </c>
      <c r="K28" s="9">
        <f t="shared" ref="K28:K69" si="3">K27+H28-I28</f>
        <v>1000</v>
      </c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1000</v>
      </c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1000</v>
      </c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1000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1000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1000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1000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1000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1000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1000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1000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1000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1000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1000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1000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1000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1000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1000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1000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1000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1000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1000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1000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1000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1000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1000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1000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1000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1000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1000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1000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1000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1000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1000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1000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1000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1000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1000</v>
      </c>
    </row>
    <row r="68" spans="1:11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1000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1000</v>
      </c>
    </row>
    <row r="70" spans="1:11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ref="J70:J78" si="4">IF((K69+H70-I70)&gt;0,"借","贷")</f>
        <v>借</v>
      </c>
      <c r="K70" s="9">
        <f t="shared" ref="K70:K78" si="5">K69+H70-I70</f>
        <v>1000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4"/>
        <v>借</v>
      </c>
      <c r="K71" s="9">
        <f t="shared" si="5"/>
        <v>1000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4"/>
        <v>借</v>
      </c>
      <c r="K72" s="9">
        <f t="shared" si="5"/>
        <v>1000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1000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4"/>
        <v>借</v>
      </c>
      <c r="K74" s="9">
        <f t="shared" si="5"/>
        <v>1000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4"/>
        <v>借</v>
      </c>
      <c r="K75" s="9">
        <f t="shared" si="5"/>
        <v>1000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1000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1000</v>
      </c>
    </row>
    <row r="78" spans="1:11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1000</v>
      </c>
    </row>
    <row r="79" spans="1:11" ht="20.100000000000001" customHeight="1" x14ac:dyDescent="0.15">
      <c r="A79" s="10"/>
      <c r="B79" s="5"/>
      <c r="C79" s="5"/>
      <c r="D79" s="10"/>
      <c r="E79" s="10"/>
      <c r="F79" s="14"/>
      <c r="G79" s="14"/>
      <c r="H79" s="8"/>
      <c r="I79" s="8"/>
      <c r="J79" s="8" t="str">
        <f t="shared" ref="J79:J134" si="6">IF((K78+H79-I79)&gt;0,"借","贷")</f>
        <v>借</v>
      </c>
      <c r="K79" s="9">
        <f t="shared" ref="K79:K134" si="7">K78+H79-I79</f>
        <v>1000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8"/>
      <c r="J80" s="8" t="str">
        <f t="shared" si="6"/>
        <v>借</v>
      </c>
      <c r="K80" s="9">
        <f t="shared" si="7"/>
        <v>1000</v>
      </c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6"/>
        <v>借</v>
      </c>
      <c r="K81" s="9">
        <f t="shared" si="7"/>
        <v>1000</v>
      </c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6"/>
        <v>借</v>
      </c>
      <c r="K82" s="9">
        <f t="shared" si="7"/>
        <v>1000</v>
      </c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6"/>
        <v>借</v>
      </c>
      <c r="K83" s="9">
        <f t="shared" si="7"/>
        <v>1000</v>
      </c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6"/>
        <v>借</v>
      </c>
      <c r="K84" s="9">
        <f t="shared" si="7"/>
        <v>1000</v>
      </c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6"/>
        <v>借</v>
      </c>
      <c r="K85" s="9">
        <f t="shared" si="7"/>
        <v>1000</v>
      </c>
    </row>
    <row r="86" spans="1:13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6"/>
        <v>借</v>
      </c>
      <c r="K86" s="9">
        <f t="shared" si="7"/>
        <v>1000</v>
      </c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15"/>
      <c r="J87" s="8" t="str">
        <f t="shared" si="6"/>
        <v>借</v>
      </c>
      <c r="K87" s="9">
        <f t="shared" si="7"/>
        <v>1000</v>
      </c>
      <c r="M87" s="65"/>
    </row>
    <row r="88" spans="1:13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15"/>
      <c r="J88" s="8" t="str">
        <f t="shared" si="6"/>
        <v>借</v>
      </c>
      <c r="K88" s="9">
        <f t="shared" si="7"/>
        <v>1000</v>
      </c>
      <c r="M88" s="65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6"/>
        <v>借</v>
      </c>
      <c r="K89" s="9">
        <f t="shared" si="7"/>
        <v>1000</v>
      </c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6"/>
        <v>借</v>
      </c>
      <c r="K90" s="9">
        <f t="shared" si="7"/>
        <v>1000</v>
      </c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6"/>
        <v>借</v>
      </c>
      <c r="K91" s="9">
        <f t="shared" si="7"/>
        <v>1000</v>
      </c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6"/>
        <v>借</v>
      </c>
      <c r="K92" s="9">
        <f t="shared" si="7"/>
        <v>1000</v>
      </c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6"/>
        <v>借</v>
      </c>
      <c r="K93" s="9">
        <f t="shared" si="7"/>
        <v>1000</v>
      </c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6"/>
        <v>借</v>
      </c>
      <c r="K94" s="9">
        <f t="shared" si="7"/>
        <v>1000</v>
      </c>
    </row>
    <row r="95" spans="1:13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6"/>
        <v>借</v>
      </c>
      <c r="K95" s="9">
        <f t="shared" si="7"/>
        <v>1000</v>
      </c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6"/>
        <v>借</v>
      </c>
      <c r="K96" s="9">
        <f t="shared" si="7"/>
        <v>1000</v>
      </c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6"/>
        <v>借</v>
      </c>
      <c r="K97" s="9">
        <f t="shared" si="7"/>
        <v>1000</v>
      </c>
      <c r="M97" s="65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6"/>
        <v>借</v>
      </c>
      <c r="K98" s="9">
        <f t="shared" si="7"/>
        <v>1000</v>
      </c>
      <c r="M98" s="65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6"/>
        <v>借</v>
      </c>
      <c r="K99" s="9">
        <f t="shared" si="7"/>
        <v>1000</v>
      </c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6"/>
        <v>借</v>
      </c>
      <c r="K100" s="9">
        <f t="shared" si="7"/>
        <v>1000</v>
      </c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6"/>
        <v>借</v>
      </c>
      <c r="K101" s="9">
        <f t="shared" si="7"/>
        <v>1000</v>
      </c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6"/>
        <v>借</v>
      </c>
      <c r="K102" s="9">
        <f t="shared" si="7"/>
        <v>1000</v>
      </c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6"/>
        <v>借</v>
      </c>
      <c r="K103" s="9">
        <f t="shared" si="7"/>
        <v>1000</v>
      </c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6"/>
        <v>借</v>
      </c>
      <c r="K104" s="9">
        <f t="shared" si="7"/>
        <v>1000</v>
      </c>
      <c r="M104" s="65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si="7"/>
        <v>1000</v>
      </c>
      <c r="M105" s="65"/>
    </row>
    <row r="106" spans="1:13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1000</v>
      </c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1000</v>
      </c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1000</v>
      </c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1000</v>
      </c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6"/>
        <v>借</v>
      </c>
      <c r="K110" s="9">
        <f t="shared" si="7"/>
        <v>1000</v>
      </c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6"/>
        <v>借</v>
      </c>
      <c r="K111" s="9">
        <f t="shared" si="7"/>
        <v>1000</v>
      </c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1000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6"/>
        <v>借</v>
      </c>
      <c r="K113" s="9">
        <f t="shared" si="7"/>
        <v>1000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6"/>
        <v>借</v>
      </c>
      <c r="K114" s="9">
        <f t="shared" si="7"/>
        <v>1000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6"/>
        <v>借</v>
      </c>
      <c r="K115" s="9">
        <f t="shared" si="7"/>
        <v>1000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6"/>
        <v>借</v>
      </c>
      <c r="K116" s="9">
        <f t="shared" si="7"/>
        <v>1000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6"/>
        <v>借</v>
      </c>
      <c r="K117" s="9">
        <f t="shared" si="7"/>
        <v>1000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6"/>
        <v>借</v>
      </c>
      <c r="K118" s="9">
        <f t="shared" si="7"/>
        <v>1000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6"/>
        <v>借</v>
      </c>
      <c r="K119" s="9">
        <f t="shared" si="7"/>
        <v>1000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6"/>
        <v>借</v>
      </c>
      <c r="K120" s="9">
        <f t="shared" si="7"/>
        <v>1000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6"/>
        <v>借</v>
      </c>
      <c r="K121" s="9">
        <f t="shared" si="7"/>
        <v>1000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6"/>
        <v>借</v>
      </c>
      <c r="K122" s="9">
        <f t="shared" si="7"/>
        <v>1000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6"/>
        <v>借</v>
      </c>
      <c r="K123" s="9">
        <f t="shared" si="7"/>
        <v>1000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6"/>
        <v>借</v>
      </c>
      <c r="K124" s="9">
        <f t="shared" si="7"/>
        <v>1000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6"/>
        <v>借</v>
      </c>
      <c r="K125" s="9">
        <f t="shared" si="7"/>
        <v>1000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6"/>
        <v>借</v>
      </c>
      <c r="K126" s="9">
        <f t="shared" si="7"/>
        <v>1000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6"/>
        <v>借</v>
      </c>
      <c r="K127" s="9">
        <f t="shared" si="7"/>
        <v>1000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6"/>
        <v>借</v>
      </c>
      <c r="K128" s="9">
        <f t="shared" si="7"/>
        <v>1000</v>
      </c>
    </row>
    <row r="129" spans="1:11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6"/>
        <v>借</v>
      </c>
      <c r="K129" s="9">
        <f t="shared" si="7"/>
        <v>1000</v>
      </c>
    </row>
    <row r="130" spans="1:11" ht="20.100000000000001" customHeight="1" x14ac:dyDescent="0.15">
      <c r="A130" s="5"/>
      <c r="B130" s="5"/>
      <c r="C130" s="5"/>
      <c r="D130" s="10"/>
      <c r="E130" s="16"/>
      <c r="F130" s="10"/>
      <c r="G130" s="10"/>
      <c r="H130" s="8"/>
      <c r="I130" s="8"/>
      <c r="J130" s="8" t="str">
        <f t="shared" si="6"/>
        <v>借</v>
      </c>
      <c r="K130" s="9">
        <f t="shared" si="7"/>
        <v>1000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6"/>
        <v>借</v>
      </c>
      <c r="K131" s="9">
        <f t="shared" si="7"/>
        <v>1000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6"/>
        <v>借</v>
      </c>
      <c r="K132" s="9">
        <f t="shared" si="7"/>
        <v>1000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6"/>
        <v>借</v>
      </c>
      <c r="K133" s="9">
        <f t="shared" si="7"/>
        <v>1000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6"/>
        <v>借</v>
      </c>
      <c r="K134" s="9">
        <f t="shared" si="7"/>
        <v>1000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ref="J135:J198" si="8">IF((K134+H135-I135)&gt;0,"借","贷")</f>
        <v>借</v>
      </c>
      <c r="K135" s="9">
        <f t="shared" ref="K135:K173" si="9">K134+H135-I135</f>
        <v>1000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8"/>
        <v>借</v>
      </c>
      <c r="K136" s="9">
        <f t="shared" si="9"/>
        <v>1000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8"/>
        <v>借</v>
      </c>
      <c r="K137" s="9">
        <f t="shared" si="9"/>
        <v>1000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8"/>
        <v>借</v>
      </c>
      <c r="K138" s="9">
        <f t="shared" si="9"/>
        <v>1000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8"/>
        <v>借</v>
      </c>
      <c r="K139" s="9">
        <f t="shared" si="9"/>
        <v>1000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8"/>
        <v>借</v>
      </c>
      <c r="K140" s="9">
        <f t="shared" si="9"/>
        <v>1000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8"/>
        <v>借</v>
      </c>
      <c r="K141" s="9">
        <f t="shared" si="9"/>
        <v>1000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8"/>
        <v>借</v>
      </c>
      <c r="K142" s="9">
        <f t="shared" si="9"/>
        <v>1000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8"/>
        <v>借</v>
      </c>
      <c r="K143" s="9">
        <f t="shared" si="9"/>
        <v>1000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8"/>
        <v>借</v>
      </c>
      <c r="K144" s="9">
        <f t="shared" si="9"/>
        <v>1000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8"/>
        <v>借</v>
      </c>
      <c r="K145" s="9">
        <f t="shared" si="9"/>
        <v>1000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8"/>
        <v>借</v>
      </c>
      <c r="K146" s="9">
        <f t="shared" si="9"/>
        <v>1000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8"/>
        <v>借</v>
      </c>
      <c r="K147" s="9">
        <f t="shared" si="9"/>
        <v>1000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8"/>
        <v>借</v>
      </c>
      <c r="K148" s="9">
        <f t="shared" si="9"/>
        <v>1000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8"/>
        <v>借</v>
      </c>
      <c r="K149" s="9">
        <f t="shared" si="9"/>
        <v>1000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8"/>
        <v>借</v>
      </c>
      <c r="K150" s="9">
        <f t="shared" si="9"/>
        <v>1000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8"/>
        <v>借</v>
      </c>
      <c r="K151" s="9">
        <f t="shared" si="9"/>
        <v>1000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8"/>
        <v>借</v>
      </c>
      <c r="K152" s="9">
        <f t="shared" si="9"/>
        <v>1000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8"/>
        <v>借</v>
      </c>
      <c r="K153" s="9">
        <f t="shared" si="9"/>
        <v>1000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8"/>
        <v>借</v>
      </c>
      <c r="K154" s="9">
        <f t="shared" si="9"/>
        <v>1000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8"/>
        <v>借</v>
      </c>
      <c r="K155" s="9">
        <f t="shared" si="9"/>
        <v>1000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8"/>
        <v>借</v>
      </c>
      <c r="K156" s="9">
        <f t="shared" si="9"/>
        <v>1000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8"/>
        <v>借</v>
      </c>
      <c r="K157" s="9">
        <f t="shared" si="9"/>
        <v>1000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8"/>
        <v>借</v>
      </c>
      <c r="K158" s="9">
        <f t="shared" si="9"/>
        <v>1000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8"/>
        <v>借</v>
      </c>
      <c r="K159" s="9">
        <f t="shared" si="9"/>
        <v>1000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8"/>
        <v>借</v>
      </c>
      <c r="K160" s="9">
        <f t="shared" si="9"/>
        <v>1000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8"/>
        <v>借</v>
      </c>
      <c r="K161" s="9">
        <f t="shared" si="9"/>
        <v>1000</v>
      </c>
    </row>
    <row r="162" spans="1:11" ht="20.100000000000001" customHeight="1" x14ac:dyDescent="0.15">
      <c r="A162" s="10"/>
      <c r="B162" s="5"/>
      <c r="C162" s="5"/>
      <c r="D162" s="10"/>
      <c r="E162" s="18"/>
      <c r="F162" s="10"/>
      <c r="G162" s="10"/>
      <c r="H162" s="8"/>
      <c r="I162" s="8"/>
      <c r="J162" s="8" t="str">
        <f t="shared" si="8"/>
        <v>借</v>
      </c>
      <c r="K162" s="9">
        <f t="shared" si="9"/>
        <v>1000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8"/>
        <v>借</v>
      </c>
      <c r="K163" s="9">
        <f t="shared" si="9"/>
        <v>1000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8"/>
        <v>借</v>
      </c>
      <c r="K164" s="9">
        <f t="shared" si="9"/>
        <v>1000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8"/>
        <v>借</v>
      </c>
      <c r="K165" s="9">
        <f t="shared" si="9"/>
        <v>1000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8"/>
        <v>借</v>
      </c>
      <c r="K166" s="9">
        <f t="shared" si="9"/>
        <v>1000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8"/>
        <v>借</v>
      </c>
      <c r="K167" s="9">
        <f t="shared" si="9"/>
        <v>1000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8"/>
        <v>借</v>
      </c>
      <c r="K168" s="9">
        <f t="shared" si="9"/>
        <v>1000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8"/>
        <v>借</v>
      </c>
      <c r="K169" s="9">
        <f t="shared" si="9"/>
        <v>1000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8"/>
        <v>借</v>
      </c>
      <c r="K170" s="9">
        <f t="shared" si="9"/>
        <v>1000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8"/>
        <v>借</v>
      </c>
      <c r="K171" s="9">
        <f t="shared" si="9"/>
        <v>1000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8"/>
        <v>借</v>
      </c>
      <c r="K172" s="9">
        <f t="shared" si="9"/>
        <v>1000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8"/>
        <v>借</v>
      </c>
      <c r="K173" s="9">
        <f t="shared" si="9"/>
        <v>1000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8"/>
        <v>借</v>
      </c>
      <c r="K174" s="9">
        <f t="shared" ref="K174:K237" si="10">_xlfn.IFS(J173="借",K173+H174-I174,J173="贷",H174-I174-K173)</f>
        <v>1000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8"/>
        <v>借</v>
      </c>
      <c r="K175" s="9">
        <f t="shared" si="10"/>
        <v>1000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8"/>
        <v>借</v>
      </c>
      <c r="K176" s="9">
        <f t="shared" si="10"/>
        <v>1000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8"/>
        <v>借</v>
      </c>
      <c r="K177" s="9">
        <f t="shared" si="10"/>
        <v>1000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8"/>
        <v>借</v>
      </c>
      <c r="K178" s="9">
        <f t="shared" si="10"/>
        <v>1000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8"/>
        <v>借</v>
      </c>
      <c r="K179" s="9">
        <f t="shared" si="10"/>
        <v>1000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8"/>
        <v>借</v>
      </c>
      <c r="K180" s="9">
        <f t="shared" si="10"/>
        <v>1000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8"/>
        <v>借</v>
      </c>
      <c r="K181" s="9">
        <f t="shared" si="10"/>
        <v>1000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8"/>
        <v>借</v>
      </c>
      <c r="K182" s="9">
        <f t="shared" si="10"/>
        <v>1000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10"/>
        <v>1000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10"/>
        <v>1000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10"/>
        <v>1000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10"/>
        <v>1000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10"/>
        <v>1000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8"/>
        <v>借</v>
      </c>
      <c r="K188" s="9">
        <f t="shared" si="10"/>
        <v>1000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10"/>
        <v>1000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8"/>
        <v>借</v>
      </c>
      <c r="K190" s="9">
        <f t="shared" si="10"/>
        <v>1000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10"/>
        <v>1000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10"/>
        <v>1000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10"/>
        <v>1000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10"/>
        <v>1000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10"/>
        <v>1000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10"/>
        <v>1000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10"/>
        <v>1000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10"/>
        <v>1000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62" si="11">IF((K198+H199-I199)&gt;0,"借","贷")</f>
        <v>借</v>
      </c>
      <c r="K199" s="9">
        <f t="shared" si="10"/>
        <v>1000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1000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1000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1000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1000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1000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1"/>
        <v>借</v>
      </c>
      <c r="K205" s="9">
        <f t="shared" si="10"/>
        <v>1000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1000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1000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1000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1000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1000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1000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1000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11"/>
        <v>借</v>
      </c>
      <c r="K213" s="9">
        <f t="shared" si="10"/>
        <v>1000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1000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si="10"/>
        <v>1000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0"/>
        <v>1000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0"/>
        <v>1000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0"/>
        <v>1000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0"/>
        <v>1000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0"/>
        <v>1000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0"/>
        <v>1000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0"/>
        <v>1000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0"/>
        <v>1000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0"/>
        <v>1000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0"/>
        <v>1000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0"/>
        <v>1000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0"/>
        <v>1000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0"/>
        <v>1000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0"/>
        <v>1000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0"/>
        <v>1000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21">
        <f t="shared" si="10"/>
        <v>1000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0"/>
        <v>1000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0"/>
        <v>1000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0"/>
        <v>1000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1"/>
        <v>借</v>
      </c>
      <c r="K235" s="21">
        <f t="shared" si="10"/>
        <v>1000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1"/>
        <v>借</v>
      </c>
      <c r="K236" s="9">
        <f t="shared" si="10"/>
        <v>1000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1"/>
        <v>借</v>
      </c>
      <c r="K237" s="9">
        <f t="shared" si="10"/>
        <v>1000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1"/>
        <v>借</v>
      </c>
      <c r="K238" s="9">
        <f t="shared" ref="K238:K301" si="12">_xlfn.IFS(J237="借",K237+H238-I238,J237="贷",H238-I238-K237)</f>
        <v>1000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1"/>
        <v>借</v>
      </c>
      <c r="K239" s="9">
        <f t="shared" si="12"/>
        <v>1000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1"/>
        <v>借</v>
      </c>
      <c r="K240" s="9">
        <f t="shared" si="12"/>
        <v>1000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1"/>
        <v>借</v>
      </c>
      <c r="K241" s="9">
        <f t="shared" si="12"/>
        <v>1000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1"/>
        <v>借</v>
      </c>
      <c r="K242" s="9">
        <f t="shared" si="12"/>
        <v>1000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11"/>
        <v>借</v>
      </c>
      <c r="K243" s="9">
        <f t="shared" si="12"/>
        <v>1000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1"/>
        <v>借</v>
      </c>
      <c r="K244" s="9">
        <f t="shared" si="12"/>
        <v>1000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1"/>
        <v>借</v>
      </c>
      <c r="K245" s="9">
        <f t="shared" si="12"/>
        <v>1000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1"/>
        <v>借</v>
      </c>
      <c r="K246" s="9">
        <f t="shared" si="12"/>
        <v>1000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1"/>
        <v>借</v>
      </c>
      <c r="K247" s="9">
        <f t="shared" si="12"/>
        <v>1000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1"/>
        <v>借</v>
      </c>
      <c r="K248" s="9">
        <f t="shared" si="12"/>
        <v>1000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2"/>
        <v>1000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2"/>
        <v>1000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2"/>
        <v>1000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2"/>
        <v>1000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2"/>
        <v>1000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2"/>
        <v>1000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1"/>
        <v>借</v>
      </c>
      <c r="K255" s="9">
        <f t="shared" si="12"/>
        <v>1000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1"/>
        <v>借</v>
      </c>
      <c r="K256" s="9">
        <f t="shared" si="12"/>
        <v>1000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1"/>
        <v>借</v>
      </c>
      <c r="K257" s="9">
        <f t="shared" si="12"/>
        <v>1000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1"/>
        <v>借</v>
      </c>
      <c r="K258" s="9">
        <f t="shared" si="12"/>
        <v>1000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1"/>
        <v>借</v>
      </c>
      <c r="K259" s="9">
        <f t="shared" si="12"/>
        <v>1000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1"/>
        <v>借</v>
      </c>
      <c r="K260" s="9">
        <f t="shared" si="12"/>
        <v>1000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1"/>
        <v>借</v>
      </c>
      <c r="K261" s="9">
        <f t="shared" si="12"/>
        <v>1000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1"/>
        <v>借</v>
      </c>
      <c r="K262" s="9">
        <f t="shared" si="12"/>
        <v>1000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ref="J263:J326" si="13">IF((K262+H263-I263)&gt;0,"借","贷")</f>
        <v>借</v>
      </c>
      <c r="K263" s="9">
        <f t="shared" si="12"/>
        <v>1000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1000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1000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1000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1000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1000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1000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1000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1000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1000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1000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1000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1000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1000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1000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1000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si="12"/>
        <v>1000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2"/>
        <v>1000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2"/>
        <v>1000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2"/>
        <v>1000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2"/>
        <v>1000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2"/>
        <v>1000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2"/>
        <v>1000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2"/>
        <v>1000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2"/>
        <v>1000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2"/>
        <v>1000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2"/>
        <v>1000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2"/>
        <v>1000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2"/>
        <v>1000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2"/>
        <v>1000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2"/>
        <v>1000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2"/>
        <v>1000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2"/>
        <v>1000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2"/>
        <v>1000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2"/>
        <v>1000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2"/>
        <v>1000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2"/>
        <v>1000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2"/>
        <v>1000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2"/>
        <v>1000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ref="K302:K365" si="14">_xlfn.IFS(J301="借",K301+H302-I302,J301="贷",H302-I302-K301)</f>
        <v>1000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4"/>
        <v>1000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4"/>
        <v>1000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4"/>
        <v>1000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4"/>
        <v>1000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4"/>
        <v>1000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4"/>
        <v>1000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4"/>
        <v>1000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4"/>
        <v>1000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4"/>
        <v>1000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4"/>
        <v>1000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4"/>
        <v>1000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4"/>
        <v>1000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4"/>
        <v>1000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4"/>
        <v>1000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4"/>
        <v>1000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4"/>
        <v>1000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3"/>
        <v>借</v>
      </c>
      <c r="K319" s="9">
        <f t="shared" si="14"/>
        <v>1000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3"/>
        <v>借</v>
      </c>
      <c r="K320" s="9">
        <f t="shared" si="14"/>
        <v>1000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3"/>
        <v>借</v>
      </c>
      <c r="K321" s="9">
        <f t="shared" si="14"/>
        <v>1000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3"/>
        <v>借</v>
      </c>
      <c r="K322" s="9">
        <f t="shared" si="14"/>
        <v>1000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3"/>
        <v>借</v>
      </c>
      <c r="K323" s="9">
        <f t="shared" si="14"/>
        <v>1000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3"/>
        <v>借</v>
      </c>
      <c r="K324" s="9">
        <f t="shared" si="14"/>
        <v>1000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3"/>
        <v>借</v>
      </c>
      <c r="K325" s="9">
        <f t="shared" si="14"/>
        <v>1000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3"/>
        <v>借</v>
      </c>
      <c r="K326" s="9">
        <f t="shared" si="14"/>
        <v>1000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ref="J327:J390" si="15">IF((K326+H327-I327)&gt;0,"借","贷")</f>
        <v>借</v>
      </c>
      <c r="K327" s="9">
        <f t="shared" si="14"/>
        <v>1000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1000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1000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1000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1000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1000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1000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1000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1000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1000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1000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1000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1000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1000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1000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1000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si="14"/>
        <v>1000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4"/>
        <v>1000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4"/>
        <v>1000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4"/>
        <v>1000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4"/>
        <v>1000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4"/>
        <v>1000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4"/>
        <v>1000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4"/>
        <v>1000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4"/>
        <v>1000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4"/>
        <v>1000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4"/>
        <v>1000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4"/>
        <v>1000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4"/>
        <v>1000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4"/>
        <v>1000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4"/>
        <v>1000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4"/>
        <v>1000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4"/>
        <v>1000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4"/>
        <v>1000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4"/>
        <v>1000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4"/>
        <v>1000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4"/>
        <v>1000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4"/>
        <v>1000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4"/>
        <v>1000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ref="K366:K429" si="16">_xlfn.IFS(J365="借",K365+H366-I366,J365="贷",H366-I366-K365)</f>
        <v>1000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6"/>
        <v>1000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6"/>
        <v>1000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6"/>
        <v>1000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6"/>
        <v>1000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6"/>
        <v>1000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6"/>
        <v>1000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6"/>
        <v>1000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6"/>
        <v>1000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6"/>
        <v>1000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6"/>
        <v>1000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6"/>
        <v>1000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6"/>
        <v>1000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6"/>
        <v>1000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6"/>
        <v>1000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6"/>
        <v>1000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6"/>
        <v>1000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5"/>
        <v>借</v>
      </c>
      <c r="K383" s="9">
        <f t="shared" si="16"/>
        <v>1000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5"/>
        <v>借</v>
      </c>
      <c r="K384" s="9">
        <f t="shared" si="16"/>
        <v>1000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5"/>
        <v>借</v>
      </c>
      <c r="K385" s="9">
        <f t="shared" si="16"/>
        <v>1000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5"/>
        <v>借</v>
      </c>
      <c r="K386" s="9">
        <f t="shared" si="16"/>
        <v>1000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5"/>
        <v>借</v>
      </c>
      <c r="K387" s="9">
        <f t="shared" si="16"/>
        <v>1000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5"/>
        <v>借</v>
      </c>
      <c r="K388" s="9">
        <f t="shared" si="16"/>
        <v>1000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5"/>
        <v>借</v>
      </c>
      <c r="K389" s="9">
        <f t="shared" si="16"/>
        <v>1000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5"/>
        <v>借</v>
      </c>
      <c r="K390" s="9">
        <f t="shared" si="16"/>
        <v>1000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ref="J391:J454" si="17">IF((K390+H391-I391)&gt;0,"借","贷")</f>
        <v>借</v>
      </c>
      <c r="K391" s="9">
        <f t="shared" si="16"/>
        <v>1000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1000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1000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1000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1000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1000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1000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1000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1000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1000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1000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1000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1000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1000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1000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1000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si="16"/>
        <v>1000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6"/>
        <v>1000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6"/>
        <v>1000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6"/>
        <v>1000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6"/>
        <v>1000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6"/>
        <v>1000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6"/>
        <v>1000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6"/>
        <v>1000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6"/>
        <v>1000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6"/>
        <v>1000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6"/>
        <v>1000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6"/>
        <v>1000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6"/>
        <v>1000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6"/>
        <v>1000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6"/>
        <v>1000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6"/>
        <v>1000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6"/>
        <v>1000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6"/>
        <v>1000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6"/>
        <v>1000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6"/>
        <v>1000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6"/>
        <v>1000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6"/>
        <v>1000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6"/>
        <v>1000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ref="K430:K493" si="18">_xlfn.IFS(J429="借",K429+H430-I430,J429="贷",H430-I430-K429)</f>
        <v>1000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8"/>
        <v>1000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8"/>
        <v>1000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8"/>
        <v>1000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8"/>
        <v>1000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8"/>
        <v>1000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8"/>
        <v>1000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8"/>
        <v>1000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8"/>
        <v>1000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8"/>
        <v>1000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8"/>
        <v>1000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8"/>
        <v>1000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8"/>
        <v>1000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8"/>
        <v>1000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8"/>
        <v>1000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8"/>
        <v>1000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8"/>
        <v>1000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7"/>
        <v>借</v>
      </c>
      <c r="K447" s="9">
        <f t="shared" si="18"/>
        <v>1000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7"/>
        <v>借</v>
      </c>
      <c r="K448" s="9">
        <f t="shared" si="18"/>
        <v>1000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7"/>
        <v>借</v>
      </c>
      <c r="K449" s="9">
        <f t="shared" si="18"/>
        <v>1000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7"/>
        <v>借</v>
      </c>
      <c r="K450" s="9">
        <f t="shared" si="18"/>
        <v>1000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7"/>
        <v>借</v>
      </c>
      <c r="K451" s="9">
        <f t="shared" si="18"/>
        <v>1000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7"/>
        <v>借</v>
      </c>
      <c r="K452" s="9">
        <f t="shared" si="18"/>
        <v>1000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7"/>
        <v>借</v>
      </c>
      <c r="K453" s="9">
        <f t="shared" si="18"/>
        <v>1000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7"/>
        <v>借</v>
      </c>
      <c r="K454" s="9">
        <f t="shared" si="18"/>
        <v>1000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ref="J455:J498" si="19">IF((K454+H455-I455)&gt;0,"借","贷")</f>
        <v>借</v>
      </c>
      <c r="K455" s="9">
        <f t="shared" si="18"/>
        <v>1000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1000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1000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1000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1000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1000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1000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1000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1000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1000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1000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1000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1000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1000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1000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1000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si="18"/>
        <v>1000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18"/>
        <v>1000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18"/>
        <v>1000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18"/>
        <v>1000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18"/>
        <v>1000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18"/>
        <v>1000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18"/>
        <v>1000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18"/>
        <v>1000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18"/>
        <v>1000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18"/>
        <v>1000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18"/>
        <v>1000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18"/>
        <v>1000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18"/>
        <v>1000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18"/>
        <v>1000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18"/>
        <v>1000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18"/>
        <v>1000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18"/>
        <v>1000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18"/>
        <v>1000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18"/>
        <v>1000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18"/>
        <v>1000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9"/>
        <v>借</v>
      </c>
      <c r="K491" s="9">
        <f t="shared" si="18"/>
        <v>1000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9"/>
        <v>借</v>
      </c>
      <c r="K492" s="9">
        <f t="shared" si="18"/>
        <v>1000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9"/>
        <v>借</v>
      </c>
      <c r="K493" s="9">
        <f t="shared" si="18"/>
        <v>1000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9"/>
        <v>借</v>
      </c>
      <c r="K494" s="9">
        <f t="shared" ref="K494:K498" si="20">_xlfn.IFS(J493="借",K493+H494-I494,J493="贷",H494-I494-K493)</f>
        <v>1000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9"/>
        <v>借</v>
      </c>
      <c r="K495" s="9">
        <f t="shared" si="20"/>
        <v>1000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9"/>
        <v>借</v>
      </c>
      <c r="K496" s="9">
        <f t="shared" si="20"/>
        <v>1000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9"/>
        <v>借</v>
      </c>
      <c r="K497" s="9">
        <f t="shared" si="20"/>
        <v>1000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9"/>
        <v>借</v>
      </c>
      <c r="K498" s="9">
        <f t="shared" si="20"/>
        <v>1000</v>
      </c>
    </row>
  </sheetData>
  <autoFilter ref="A4:L498" xr:uid="{00000000-0009-0000-0000-000014000000}"/>
  <mergeCells count="6">
    <mergeCell ref="M104:M105"/>
    <mergeCell ref="A1:K1"/>
    <mergeCell ref="M13:M14"/>
    <mergeCell ref="M20:M21"/>
    <mergeCell ref="M87:M88"/>
    <mergeCell ref="M97:M98"/>
  </mergeCells>
  <phoneticPr fontId="21" type="noConversion"/>
  <dataValidations count="1">
    <dataValidation type="list" allowBlank="1" showInputMessage="1" showErrorMessage="1" sqref="G1:G2 G5:G1048576" xr:uid="{00000000-0002-0000-14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97"/>
  <sheetViews>
    <sheetView topLeftCell="B1" workbookViewId="0">
      <selection activeCell="G13" sqref="G13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78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SUM(H5:H190000)</f>
        <v>0</v>
      </c>
      <c r="I3" s="4">
        <f>SUM(I5:I190000)</f>
        <v>0</v>
      </c>
      <c r="J3" s="4"/>
      <c r="K3" s="3">
        <f>K5+H3-I3</f>
        <v>1000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</row>
    <row r="6" spans="1:12" ht="20.100000000000001" customHeight="1" x14ac:dyDescent="0.15">
      <c r="A6" s="5"/>
      <c r="B6" s="5"/>
      <c r="C6" s="10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1000</v>
      </c>
      <c r="L6" t="s">
        <v>79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1000</v>
      </c>
      <c r="L7" t="s">
        <v>79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  <c r="L9" t="s">
        <v>79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  <c r="L10" t="s">
        <v>79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  <c r="L11" t="s">
        <v>79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  <c r="L12" t="s">
        <v>79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1000</v>
      </c>
      <c r="L13" t="s">
        <v>80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1000</v>
      </c>
      <c r="L16" t="s">
        <v>79</v>
      </c>
    </row>
    <row r="17" spans="1:12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1000</v>
      </c>
    </row>
    <row r="18" spans="1:12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1000</v>
      </c>
      <c r="L18" t="s">
        <v>79</v>
      </c>
    </row>
    <row r="19" spans="1:12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1000</v>
      </c>
    </row>
    <row r="20" spans="1:12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1000</v>
      </c>
    </row>
    <row r="21" spans="1:12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1000</v>
      </c>
    </row>
    <row r="22" spans="1:12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1000</v>
      </c>
    </row>
    <row r="23" spans="1:12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1000</v>
      </c>
    </row>
    <row r="24" spans="1:12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1000</v>
      </c>
    </row>
    <row r="25" spans="1:12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1000</v>
      </c>
    </row>
    <row r="26" spans="1:12" ht="20.100000000000001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0"/>
        <v>借</v>
      </c>
      <c r="K26" s="9">
        <f t="shared" si="1"/>
        <v>1000</v>
      </c>
    </row>
    <row r="27" spans="1:12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1000</v>
      </c>
    </row>
    <row r="28" spans="1:12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1000</v>
      </c>
    </row>
    <row r="29" spans="1:12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1000</v>
      </c>
    </row>
    <row r="30" spans="1:12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1000</v>
      </c>
    </row>
    <row r="31" spans="1:12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1000</v>
      </c>
    </row>
    <row r="32" spans="1:12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1000</v>
      </c>
    </row>
  </sheetData>
  <mergeCells count="2">
    <mergeCell ref="A1:K1"/>
    <mergeCell ref="A2:K2"/>
  </mergeCells>
  <phoneticPr fontId="21" type="noConversion"/>
  <dataValidations count="1">
    <dataValidation type="list" allowBlank="1" showInputMessage="1" showErrorMessage="1" sqref="A2:K2 G5:G1048576" xr:uid="{00000000-0002-0000-15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97"/>
  <sheetViews>
    <sheetView topLeftCell="D1" workbookViewId="0">
      <selection activeCell="G12" sqref="G12"/>
    </sheetView>
  </sheetViews>
  <sheetFormatPr defaultColWidth="9" defaultRowHeight="20.100000000000001" customHeight="1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81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SUM(H5:H190000)</f>
        <v>0</v>
      </c>
      <c r="I3" s="4">
        <f>SUM(I5:I190000)</f>
        <v>0</v>
      </c>
      <c r="J3" s="4"/>
      <c r="K3" s="3">
        <f>K5+H3-I3</f>
        <v>1000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>K5+H6-I6</f>
        <v>1000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ref="K7:K70" si="1">K6+H7-I7</f>
        <v>1000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1000</v>
      </c>
    </row>
    <row r="29" spans="1:11" ht="20.100000000000001" customHeight="1" x14ac:dyDescent="0.15">
      <c r="A29" s="5"/>
      <c r="B29" s="5"/>
      <c r="C29" s="10"/>
      <c r="D29" s="10"/>
      <c r="E29" s="11"/>
      <c r="F29" s="10"/>
      <c r="G29" s="10"/>
      <c r="H29" s="8"/>
      <c r="I29" s="8"/>
      <c r="J29" s="8" t="str">
        <f t="shared" si="0"/>
        <v>借</v>
      </c>
      <c r="K29" s="9">
        <f t="shared" si="1"/>
        <v>1000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si="1"/>
        <v>1000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ref="K71:K134" si="3">K70+H71-I71</f>
        <v>1000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si="3"/>
        <v>1000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ref="K135:K198" si="5">K134+H135-I135</f>
        <v>1000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5"/>
        <v>1000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5"/>
        <v>1000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5"/>
        <v>1000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5"/>
        <v>1000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5"/>
        <v>1000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5"/>
        <v>1000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5"/>
        <v>1000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1000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1000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1000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1000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1000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1000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1000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5"/>
        <v>1000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5"/>
        <v>1000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1000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1000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1000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1000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1000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1000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1000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si="5"/>
        <v>1000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ref="K199:K262" si="7">K198+H199-I199</f>
        <v>1000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1000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1000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1000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1000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1000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1000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1000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1000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1000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1000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1000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1000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6"/>
        <v>借</v>
      </c>
      <c r="K212" s="9">
        <f t="shared" si="7"/>
        <v>1000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6"/>
        <v>借</v>
      </c>
      <c r="K213" s="9">
        <f t="shared" si="7"/>
        <v>1000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1000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1000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1000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1000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1000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1000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1000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1000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1000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1000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1000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1000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1000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1000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1000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1000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1000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1000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1000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1000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1000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1000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1000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1000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1000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1000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1000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1000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6"/>
        <v>借</v>
      </c>
      <c r="K242" s="9">
        <f t="shared" si="7"/>
        <v>1000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1000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1000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1000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1000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1000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6"/>
        <v>借</v>
      </c>
      <c r="K248" s="9">
        <f t="shared" si="7"/>
        <v>1000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1000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1000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1000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1000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1000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1000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1000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1000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1000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1000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1000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1000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1000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si="7"/>
        <v>1000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ref="K263:K326" si="9">K262+H263-I263</f>
        <v>1000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1000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1000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1000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1000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1000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1000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1000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1000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1000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1000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1000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1000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1000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1000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1000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1000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1000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1000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1000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1000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1000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1000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1000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1000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1000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1000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1000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1000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1000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1000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1000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1000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1000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1000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1000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1000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1000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1000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1000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1000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1000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1000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1000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1000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1000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1000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1000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1000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1000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1000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1000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1000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1000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1000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1000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1000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1000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1000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1000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1000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1000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si="9"/>
        <v>1000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ref="K327:K390" si="11">K326+H327-I327</f>
        <v>1000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1000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1000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1000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1000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1000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1000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1000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1000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1000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1000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1000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1000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1000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1000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1000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1000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1000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1000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1000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1000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1000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1000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1000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1000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1000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1000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1000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1000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1000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1000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1000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1000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1000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1000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1000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1000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1000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1000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1000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1000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1000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1000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1000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1000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1000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1000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1000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1000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1000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1000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1000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1000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1000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1000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1000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1000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1000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1000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1000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1000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1000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si="11"/>
        <v>1000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ref="K391:K454" si="13">K390+H391-I391</f>
        <v>1000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1000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1000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1000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1000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1000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1000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1000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1000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1000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1000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1000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1000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1000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1000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1000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1000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1000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1000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1000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1000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1000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1000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1000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1000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1000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1000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1000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1000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1000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1000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1000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1000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1000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1000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1000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1000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1000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1000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1000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1000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1000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1000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1000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1000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1000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1000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1000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1000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1000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1000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1000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1000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1000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1000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1000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1000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1000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1000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1000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1000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1000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7" si="14">IF((K453+H454-I454)&gt;0,"借","贷")</f>
        <v>借</v>
      </c>
      <c r="K454" s="9">
        <f t="shared" si="13"/>
        <v>1000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ref="K455:K497" si="15">K454+H455-I455</f>
        <v>1000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1000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1000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1000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1000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1000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1000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1000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1000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1000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1000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1000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1000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1000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1000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1000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1000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1000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1000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1000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1000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1000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1000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1000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1000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1000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1000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1000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1000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1000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1000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1000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1000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1000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1000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1000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1000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1000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1000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1000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1000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1000</v>
      </c>
    </row>
  </sheetData>
  <mergeCells count="2">
    <mergeCell ref="A1:K1"/>
    <mergeCell ref="A2:K2"/>
  </mergeCells>
  <phoneticPr fontId="21" type="noConversion"/>
  <dataValidations count="1">
    <dataValidation type="list" allowBlank="1" showInputMessage="1" showErrorMessage="1" sqref="A1:K2 G5:G1048576" xr:uid="{00000000-0002-0000-16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497"/>
  <sheetViews>
    <sheetView topLeftCell="F1" workbookViewId="0">
      <selection activeCell="G8" sqref="G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6" width="16.75" customWidth="1"/>
    <col min="7" max="7" width="19.875" style="1" customWidth="1"/>
    <col min="8" max="8" width="18.5" style="1" customWidth="1"/>
    <col min="9" max="9" width="6.375" style="1" customWidth="1"/>
    <col min="10" max="10" width="20" customWidth="1"/>
    <col min="11" max="11" width="15.75" customWidth="1"/>
  </cols>
  <sheetData>
    <row r="1" spans="1:11" ht="22.5" customHeight="1" x14ac:dyDescent="0.15">
      <c r="A1" s="66" t="s">
        <v>24</v>
      </c>
      <c r="B1" s="66"/>
      <c r="C1" s="66"/>
      <c r="D1" s="66"/>
      <c r="E1" s="66"/>
      <c r="F1" s="66"/>
      <c r="G1" s="68"/>
      <c r="H1" s="68"/>
      <c r="I1" s="68"/>
      <c r="J1" s="66"/>
    </row>
    <row r="2" spans="1:11" ht="20.100000000000001" customHeight="1" x14ac:dyDescent="0.15">
      <c r="A2" s="67" t="s">
        <v>82</v>
      </c>
      <c r="B2" s="67"/>
      <c r="C2" s="67"/>
      <c r="D2" s="67"/>
      <c r="E2" s="67"/>
      <c r="F2" s="67"/>
      <c r="G2" s="69"/>
      <c r="H2" s="69"/>
      <c r="I2" s="69"/>
      <c r="J2" s="67"/>
      <c r="K2" t="s">
        <v>26</v>
      </c>
    </row>
    <row r="3" spans="1:11" ht="20.100000000000001" customHeight="1" x14ac:dyDescent="0.15">
      <c r="A3" s="3"/>
      <c r="B3" s="3"/>
      <c r="C3" s="3"/>
      <c r="D3" s="3"/>
      <c r="E3" s="3"/>
      <c r="F3" s="3"/>
      <c r="G3" s="4">
        <f>SUM(G5:G190000)</f>
        <v>0</v>
      </c>
      <c r="H3" s="4">
        <f>SUM(H5:H190000)</f>
        <v>0</v>
      </c>
      <c r="I3" s="4"/>
      <c r="J3" s="3">
        <f>J5+G3-H3</f>
        <v>1000</v>
      </c>
    </row>
    <row r="4" spans="1:11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6" t="s">
        <v>34</v>
      </c>
      <c r="H4" s="6" t="s">
        <v>35</v>
      </c>
      <c r="I4" s="6" t="s">
        <v>36</v>
      </c>
      <c r="J4" s="5"/>
    </row>
    <row r="5" spans="1:11" ht="20.100000000000001" customHeight="1" x14ac:dyDescent="0.15">
      <c r="A5" s="5">
        <v>2026</v>
      </c>
      <c r="B5" s="5"/>
      <c r="C5" s="5"/>
      <c r="D5" s="7"/>
      <c r="E5" s="7"/>
      <c r="F5" s="7"/>
      <c r="G5" s="8"/>
      <c r="H5" s="8"/>
      <c r="I5" s="8" t="s">
        <v>39</v>
      </c>
      <c r="J5" s="9">
        <v>1000</v>
      </c>
    </row>
    <row r="6" spans="1:11" ht="20.100000000000001" customHeight="1" x14ac:dyDescent="0.15">
      <c r="A6" s="5"/>
      <c r="B6" s="5"/>
      <c r="C6" s="5"/>
      <c r="D6" s="10"/>
      <c r="E6" s="10"/>
      <c r="F6" s="10"/>
      <c r="G6" s="8"/>
      <c r="H6" s="8"/>
      <c r="I6" s="8" t="str">
        <f>IF((J5+G6-H6)&gt;0,"借","贷")</f>
        <v>借</v>
      </c>
      <c r="J6" s="9">
        <f>J5+G6-H6</f>
        <v>1000</v>
      </c>
    </row>
    <row r="7" spans="1:11" ht="20.100000000000001" customHeight="1" x14ac:dyDescent="0.15">
      <c r="A7" s="5"/>
      <c r="B7" s="5"/>
      <c r="C7" s="5"/>
      <c r="D7" s="10"/>
      <c r="E7" s="10"/>
      <c r="F7" s="10"/>
      <c r="G7" s="8"/>
      <c r="H7" s="8"/>
      <c r="I7" s="8" t="str">
        <f t="shared" ref="I7:I69" si="0">IF((J6+G7-H7)&gt;0,"借","贷")</f>
        <v>借</v>
      </c>
      <c r="J7" s="9">
        <f t="shared" ref="J7:J70" si="1">J6+G7-H7</f>
        <v>1000</v>
      </c>
    </row>
    <row r="8" spans="1:11" ht="20.100000000000001" customHeight="1" x14ac:dyDescent="0.15">
      <c r="A8" s="5"/>
      <c r="B8" s="5"/>
      <c r="C8" s="5"/>
      <c r="D8" s="10"/>
      <c r="E8" s="10"/>
      <c r="F8" s="10"/>
      <c r="G8" s="8"/>
      <c r="H8" s="8"/>
      <c r="I8" s="8" t="str">
        <f t="shared" si="0"/>
        <v>借</v>
      </c>
      <c r="J8" s="9">
        <f t="shared" si="1"/>
        <v>1000</v>
      </c>
    </row>
    <row r="9" spans="1:11" ht="20.100000000000001" customHeight="1" x14ac:dyDescent="0.15">
      <c r="A9" s="5"/>
      <c r="B9" s="5"/>
      <c r="C9" s="5"/>
      <c r="D9" s="10"/>
      <c r="E9" s="10"/>
      <c r="F9" s="10"/>
      <c r="G9" s="8"/>
      <c r="H9" s="8"/>
      <c r="I9" s="8" t="str">
        <f t="shared" si="0"/>
        <v>借</v>
      </c>
      <c r="J9" s="9">
        <f t="shared" si="1"/>
        <v>1000</v>
      </c>
    </row>
    <row r="10" spans="1:11" ht="20.100000000000001" customHeight="1" x14ac:dyDescent="0.15">
      <c r="A10" s="5"/>
      <c r="B10" s="5"/>
      <c r="C10" s="5"/>
      <c r="D10" s="10"/>
      <c r="E10" s="10"/>
      <c r="F10" s="10"/>
      <c r="G10" s="8"/>
      <c r="H10" s="8"/>
      <c r="I10" s="8" t="str">
        <f t="shared" si="0"/>
        <v>借</v>
      </c>
      <c r="J10" s="9">
        <f t="shared" si="1"/>
        <v>1000</v>
      </c>
    </row>
    <row r="11" spans="1:11" ht="20.100000000000001" customHeight="1" x14ac:dyDescent="0.15">
      <c r="A11" s="5"/>
      <c r="B11" s="5"/>
      <c r="C11" s="5"/>
      <c r="D11" s="10"/>
      <c r="E11" s="10"/>
      <c r="F11" s="10"/>
      <c r="G11" s="8"/>
      <c r="H11" s="8"/>
      <c r="I11" s="8" t="str">
        <f t="shared" si="0"/>
        <v>借</v>
      </c>
      <c r="J11" s="9">
        <f t="shared" si="1"/>
        <v>1000</v>
      </c>
    </row>
    <row r="12" spans="1:11" ht="20.100000000000001" customHeight="1" x14ac:dyDescent="0.15">
      <c r="A12" s="5"/>
      <c r="B12" s="5"/>
      <c r="C12" s="5"/>
      <c r="D12" s="10"/>
      <c r="E12" s="10"/>
      <c r="F12" s="10"/>
      <c r="G12" s="8"/>
      <c r="H12" s="8"/>
      <c r="I12" s="8" t="str">
        <f t="shared" si="0"/>
        <v>借</v>
      </c>
      <c r="J12" s="9">
        <f t="shared" si="1"/>
        <v>1000</v>
      </c>
    </row>
    <row r="13" spans="1:11" ht="20.100000000000001" customHeight="1" x14ac:dyDescent="0.15">
      <c r="A13" s="5"/>
      <c r="B13" s="5"/>
      <c r="C13" s="5"/>
      <c r="D13" s="10"/>
      <c r="E13" s="10"/>
      <c r="F13" s="10"/>
      <c r="G13" s="8"/>
      <c r="H13" s="8"/>
      <c r="I13" s="8" t="str">
        <f t="shared" si="0"/>
        <v>借</v>
      </c>
      <c r="J13" s="9">
        <f t="shared" si="1"/>
        <v>1000</v>
      </c>
    </row>
    <row r="14" spans="1:11" ht="20.100000000000001" customHeight="1" x14ac:dyDescent="0.15">
      <c r="A14" s="5"/>
      <c r="B14" s="5"/>
      <c r="C14" s="5"/>
      <c r="D14" s="10"/>
      <c r="E14" s="10"/>
      <c r="F14" s="10"/>
      <c r="G14" s="8"/>
      <c r="H14" s="8"/>
      <c r="I14" s="8" t="str">
        <f t="shared" si="0"/>
        <v>借</v>
      </c>
      <c r="J14" s="9">
        <f t="shared" si="1"/>
        <v>1000</v>
      </c>
    </row>
    <row r="15" spans="1:11" ht="20.100000000000001" customHeight="1" x14ac:dyDescent="0.15">
      <c r="A15" s="5"/>
      <c r="B15" s="5"/>
      <c r="C15" s="5"/>
      <c r="D15" s="10"/>
      <c r="E15" s="10"/>
      <c r="F15" s="10"/>
      <c r="G15" s="8"/>
      <c r="H15" s="8"/>
      <c r="I15" s="8" t="str">
        <f t="shared" si="0"/>
        <v>借</v>
      </c>
      <c r="J15" s="9">
        <f t="shared" si="1"/>
        <v>1000</v>
      </c>
    </row>
    <row r="16" spans="1:11" ht="20.100000000000001" customHeight="1" x14ac:dyDescent="0.15">
      <c r="A16" s="5"/>
      <c r="B16" s="5"/>
      <c r="C16" s="5"/>
      <c r="D16" s="10"/>
      <c r="E16" s="10"/>
      <c r="F16" s="10"/>
      <c r="G16" s="8"/>
      <c r="H16" s="8"/>
      <c r="I16" s="8" t="str">
        <f t="shared" si="0"/>
        <v>借</v>
      </c>
      <c r="J16" s="9">
        <f t="shared" si="1"/>
        <v>1000</v>
      </c>
    </row>
    <row r="17" spans="1:10" ht="20.100000000000001" customHeight="1" x14ac:dyDescent="0.15">
      <c r="A17" s="5"/>
      <c r="B17" s="5"/>
      <c r="C17" s="5"/>
      <c r="D17" s="10"/>
      <c r="E17" s="10"/>
      <c r="F17" s="10"/>
      <c r="G17" s="8"/>
      <c r="H17" s="8"/>
      <c r="I17" s="8" t="str">
        <f t="shared" si="0"/>
        <v>借</v>
      </c>
      <c r="J17" s="9">
        <f t="shared" si="1"/>
        <v>1000</v>
      </c>
    </row>
    <row r="18" spans="1:10" ht="20.100000000000001" customHeight="1" x14ac:dyDescent="0.15">
      <c r="A18" s="5"/>
      <c r="B18" s="5"/>
      <c r="C18" s="5"/>
      <c r="D18" s="10"/>
      <c r="E18" s="10"/>
      <c r="F18" s="10"/>
      <c r="G18" s="8"/>
      <c r="H18" s="8"/>
      <c r="I18" s="8" t="str">
        <f t="shared" si="0"/>
        <v>借</v>
      </c>
      <c r="J18" s="9">
        <f t="shared" si="1"/>
        <v>1000</v>
      </c>
    </row>
    <row r="19" spans="1:10" ht="20.100000000000001" customHeight="1" x14ac:dyDescent="0.15">
      <c r="A19" s="5"/>
      <c r="B19" s="5"/>
      <c r="C19" s="5"/>
      <c r="D19" s="10"/>
      <c r="E19" s="10"/>
      <c r="F19" s="10"/>
      <c r="G19" s="8"/>
      <c r="H19" s="8"/>
      <c r="I19" s="8" t="str">
        <f t="shared" si="0"/>
        <v>借</v>
      </c>
      <c r="J19" s="9">
        <f t="shared" si="1"/>
        <v>1000</v>
      </c>
    </row>
    <row r="20" spans="1:10" ht="20.100000000000001" customHeight="1" x14ac:dyDescent="0.15">
      <c r="A20" s="5"/>
      <c r="B20" s="5"/>
      <c r="C20" s="5"/>
      <c r="D20" s="10"/>
      <c r="E20" s="10"/>
      <c r="F20" s="10"/>
      <c r="G20" s="8"/>
      <c r="H20" s="8"/>
      <c r="I20" s="8" t="str">
        <f t="shared" si="0"/>
        <v>借</v>
      </c>
      <c r="J20" s="9">
        <f t="shared" si="1"/>
        <v>1000</v>
      </c>
    </row>
    <row r="21" spans="1:10" ht="20.100000000000001" customHeight="1" x14ac:dyDescent="0.15">
      <c r="A21" s="5"/>
      <c r="B21" s="5"/>
      <c r="C21" s="5"/>
      <c r="D21" s="10"/>
      <c r="E21" s="10"/>
      <c r="F21" s="10"/>
      <c r="G21" s="8"/>
      <c r="H21" s="8"/>
      <c r="I21" s="8" t="str">
        <f t="shared" si="0"/>
        <v>借</v>
      </c>
      <c r="J21" s="9">
        <f t="shared" si="1"/>
        <v>1000</v>
      </c>
    </row>
    <row r="22" spans="1:10" ht="20.100000000000001" customHeight="1" x14ac:dyDescent="0.15">
      <c r="A22" s="5"/>
      <c r="B22" s="5"/>
      <c r="C22" s="5"/>
      <c r="D22" s="10"/>
      <c r="E22" s="10"/>
      <c r="F22" s="10"/>
      <c r="G22" s="8"/>
      <c r="H22" s="8"/>
      <c r="I22" s="8" t="str">
        <f t="shared" si="0"/>
        <v>借</v>
      </c>
      <c r="J22" s="9">
        <f t="shared" si="1"/>
        <v>1000</v>
      </c>
    </row>
    <row r="23" spans="1:10" ht="20.100000000000001" customHeight="1" x14ac:dyDescent="0.15">
      <c r="A23" s="5"/>
      <c r="B23" s="5"/>
      <c r="C23" s="5"/>
      <c r="D23" s="10"/>
      <c r="E23" s="10"/>
      <c r="F23" s="10"/>
      <c r="G23" s="8"/>
      <c r="H23" s="8"/>
      <c r="I23" s="8" t="str">
        <f t="shared" si="0"/>
        <v>借</v>
      </c>
      <c r="J23" s="9">
        <f t="shared" si="1"/>
        <v>1000</v>
      </c>
    </row>
    <row r="24" spans="1:10" ht="20.100000000000001" customHeight="1" x14ac:dyDescent="0.15">
      <c r="A24" s="5"/>
      <c r="B24" s="5"/>
      <c r="C24" s="5"/>
      <c r="D24" s="10"/>
      <c r="E24" s="10"/>
      <c r="F24" s="10"/>
      <c r="G24" s="8"/>
      <c r="H24" s="8"/>
      <c r="I24" s="8" t="str">
        <f t="shared" si="0"/>
        <v>借</v>
      </c>
      <c r="J24" s="9">
        <f t="shared" si="1"/>
        <v>1000</v>
      </c>
    </row>
    <row r="25" spans="1:10" ht="20.100000000000001" customHeight="1" x14ac:dyDescent="0.15">
      <c r="A25" s="5"/>
      <c r="B25" s="5"/>
      <c r="C25" s="10"/>
      <c r="D25" s="10"/>
      <c r="E25" s="10"/>
      <c r="F25" s="10"/>
      <c r="G25" s="8"/>
      <c r="H25" s="8"/>
      <c r="I25" s="8" t="str">
        <f t="shared" si="0"/>
        <v>借</v>
      </c>
      <c r="J25" s="9">
        <f t="shared" si="1"/>
        <v>1000</v>
      </c>
    </row>
    <row r="26" spans="1:10" ht="20.100000000000001" customHeight="1" x14ac:dyDescent="0.15">
      <c r="A26" s="5"/>
      <c r="B26" s="5"/>
      <c r="C26" s="10"/>
      <c r="D26" s="10"/>
      <c r="E26" s="10"/>
      <c r="F26" s="10"/>
      <c r="G26" s="8"/>
      <c r="H26" s="8"/>
      <c r="I26" s="8" t="str">
        <f t="shared" si="0"/>
        <v>借</v>
      </c>
      <c r="J26" s="9">
        <f t="shared" si="1"/>
        <v>1000</v>
      </c>
    </row>
    <row r="27" spans="1:10" ht="20.100000000000001" customHeight="1" x14ac:dyDescent="0.15">
      <c r="A27" s="5"/>
      <c r="B27" s="5"/>
      <c r="C27" s="10"/>
      <c r="D27" s="10"/>
      <c r="E27" s="11"/>
      <c r="F27" s="10"/>
      <c r="G27" s="8"/>
      <c r="H27" s="8"/>
      <c r="I27" s="8" t="str">
        <f t="shared" si="0"/>
        <v>借</v>
      </c>
      <c r="J27" s="9">
        <f t="shared" si="1"/>
        <v>1000</v>
      </c>
    </row>
    <row r="28" spans="1:10" ht="20.100000000000001" customHeight="1" x14ac:dyDescent="0.15">
      <c r="A28" s="5"/>
      <c r="B28" s="5"/>
      <c r="C28" s="10"/>
      <c r="D28" s="10"/>
      <c r="E28" s="11"/>
      <c r="F28" s="10"/>
      <c r="G28" s="8"/>
      <c r="H28" s="8"/>
      <c r="I28" s="8" t="str">
        <f t="shared" si="0"/>
        <v>借</v>
      </c>
      <c r="J28" s="9">
        <f t="shared" si="1"/>
        <v>1000</v>
      </c>
    </row>
    <row r="29" spans="1:10" ht="20.100000000000001" customHeight="1" x14ac:dyDescent="0.15">
      <c r="A29" s="5"/>
      <c r="B29" s="5"/>
      <c r="C29" s="10"/>
      <c r="D29" s="10"/>
      <c r="E29" s="10"/>
      <c r="F29" s="10"/>
      <c r="G29" s="8"/>
      <c r="H29" s="8"/>
      <c r="I29" s="8" t="str">
        <f t="shared" si="0"/>
        <v>借</v>
      </c>
      <c r="J29" s="9">
        <f t="shared" si="1"/>
        <v>1000</v>
      </c>
    </row>
    <row r="30" spans="1:10" ht="20.100000000000001" customHeight="1" x14ac:dyDescent="0.15">
      <c r="A30" s="5"/>
      <c r="B30" s="5"/>
      <c r="C30" s="10"/>
      <c r="D30" s="10"/>
      <c r="E30" s="10"/>
      <c r="F30" s="10"/>
      <c r="G30" s="8"/>
      <c r="H30" s="8"/>
      <c r="I30" s="8" t="str">
        <f t="shared" si="0"/>
        <v>借</v>
      </c>
      <c r="J30" s="9">
        <f t="shared" si="1"/>
        <v>1000</v>
      </c>
    </row>
    <row r="31" spans="1:10" ht="20.100000000000001" customHeight="1" x14ac:dyDescent="0.15">
      <c r="A31" s="5"/>
      <c r="B31" s="5"/>
      <c r="C31" s="10"/>
      <c r="D31" s="10"/>
      <c r="E31" s="10"/>
      <c r="F31" s="10"/>
      <c r="G31" s="8"/>
      <c r="H31" s="8"/>
      <c r="I31" s="8" t="str">
        <f t="shared" si="0"/>
        <v>借</v>
      </c>
      <c r="J31" s="9">
        <f t="shared" si="1"/>
        <v>1000</v>
      </c>
    </row>
    <row r="32" spans="1:10" ht="20.100000000000001" customHeight="1" x14ac:dyDescent="0.15">
      <c r="A32" s="5"/>
      <c r="B32" s="5"/>
      <c r="C32" s="10"/>
      <c r="D32" s="10"/>
      <c r="E32" s="10"/>
      <c r="F32" s="10"/>
      <c r="G32" s="8"/>
      <c r="H32" s="8"/>
      <c r="I32" s="8" t="str">
        <f t="shared" si="0"/>
        <v>借</v>
      </c>
      <c r="J32" s="9">
        <f t="shared" si="1"/>
        <v>1000</v>
      </c>
    </row>
    <row r="33" spans="1:10" ht="20.100000000000001" customHeight="1" x14ac:dyDescent="0.15">
      <c r="A33" s="5"/>
      <c r="B33" s="5"/>
      <c r="C33" s="10"/>
      <c r="D33" s="10"/>
      <c r="E33" s="10"/>
      <c r="F33" s="10"/>
      <c r="G33" s="8"/>
      <c r="H33" s="8"/>
      <c r="I33" s="8" t="str">
        <f t="shared" si="0"/>
        <v>借</v>
      </c>
      <c r="J33" s="9">
        <f t="shared" si="1"/>
        <v>1000</v>
      </c>
    </row>
    <row r="34" spans="1:10" ht="20.100000000000001" customHeight="1" x14ac:dyDescent="0.15">
      <c r="A34" s="5"/>
      <c r="B34" s="5"/>
      <c r="C34" s="10"/>
      <c r="D34" s="10"/>
      <c r="E34" s="10"/>
      <c r="F34" s="10"/>
      <c r="G34" s="8"/>
      <c r="H34" s="8"/>
      <c r="I34" s="8" t="str">
        <f t="shared" si="0"/>
        <v>借</v>
      </c>
      <c r="J34" s="9">
        <f t="shared" si="1"/>
        <v>1000</v>
      </c>
    </row>
    <row r="35" spans="1:10" ht="20.100000000000001" customHeight="1" x14ac:dyDescent="0.15">
      <c r="A35" s="5"/>
      <c r="B35" s="5"/>
      <c r="C35" s="10"/>
      <c r="D35" s="10"/>
      <c r="E35" s="10"/>
      <c r="F35" s="10"/>
      <c r="G35" s="8"/>
      <c r="H35" s="8"/>
      <c r="I35" s="8" t="str">
        <f t="shared" si="0"/>
        <v>借</v>
      </c>
      <c r="J35" s="9">
        <f t="shared" si="1"/>
        <v>1000</v>
      </c>
    </row>
    <row r="36" spans="1:10" ht="20.100000000000001" customHeight="1" x14ac:dyDescent="0.15">
      <c r="A36" s="5"/>
      <c r="B36" s="5"/>
      <c r="C36" s="10"/>
      <c r="D36" s="10"/>
      <c r="E36" s="10"/>
      <c r="F36" s="10"/>
      <c r="G36" s="8"/>
      <c r="H36" s="8"/>
      <c r="I36" s="8" t="str">
        <f t="shared" si="0"/>
        <v>借</v>
      </c>
      <c r="J36" s="9">
        <f t="shared" si="1"/>
        <v>1000</v>
      </c>
    </row>
    <row r="37" spans="1:10" ht="20.100000000000001" customHeight="1" x14ac:dyDescent="0.15">
      <c r="A37" s="5"/>
      <c r="B37" s="5"/>
      <c r="C37" s="10"/>
      <c r="D37" s="10"/>
      <c r="E37" s="10"/>
      <c r="F37" s="10"/>
      <c r="G37" s="8"/>
      <c r="H37" s="8"/>
      <c r="I37" s="8" t="str">
        <f t="shared" si="0"/>
        <v>借</v>
      </c>
      <c r="J37" s="9">
        <f t="shared" si="1"/>
        <v>1000</v>
      </c>
    </row>
    <row r="38" spans="1:10" ht="20.100000000000001" customHeight="1" x14ac:dyDescent="0.15">
      <c r="A38" s="5"/>
      <c r="B38" s="5"/>
      <c r="C38" s="10"/>
      <c r="D38" s="10"/>
      <c r="E38" s="10"/>
      <c r="F38" s="10"/>
      <c r="G38" s="8"/>
      <c r="H38" s="8"/>
      <c r="I38" s="8" t="str">
        <f t="shared" si="0"/>
        <v>借</v>
      </c>
      <c r="J38" s="9">
        <f t="shared" si="1"/>
        <v>1000</v>
      </c>
    </row>
    <row r="39" spans="1:10" ht="20.100000000000001" customHeight="1" x14ac:dyDescent="0.15">
      <c r="A39" s="5"/>
      <c r="B39" s="5"/>
      <c r="C39" s="10"/>
      <c r="D39" s="10"/>
      <c r="E39" s="10"/>
      <c r="F39" s="10"/>
      <c r="G39" s="8"/>
      <c r="H39" s="8"/>
      <c r="I39" s="8" t="str">
        <f t="shared" si="0"/>
        <v>借</v>
      </c>
      <c r="J39" s="9">
        <f t="shared" si="1"/>
        <v>1000</v>
      </c>
    </row>
    <row r="40" spans="1:10" ht="20.100000000000001" customHeight="1" x14ac:dyDescent="0.15">
      <c r="A40" s="5"/>
      <c r="B40" s="5"/>
      <c r="C40" s="10"/>
      <c r="D40" s="10"/>
      <c r="E40" s="10"/>
      <c r="F40" s="10"/>
      <c r="G40" s="8"/>
      <c r="H40" s="8"/>
      <c r="I40" s="8" t="str">
        <f t="shared" si="0"/>
        <v>借</v>
      </c>
      <c r="J40" s="9">
        <f t="shared" si="1"/>
        <v>1000</v>
      </c>
    </row>
    <row r="41" spans="1:10" ht="20.100000000000001" customHeight="1" x14ac:dyDescent="0.15">
      <c r="A41" s="5"/>
      <c r="B41" s="5"/>
      <c r="C41" s="10"/>
      <c r="D41" s="10"/>
      <c r="E41" s="10"/>
      <c r="F41" s="10"/>
      <c r="G41" s="8"/>
      <c r="H41" s="8"/>
      <c r="I41" s="8" t="str">
        <f t="shared" si="0"/>
        <v>借</v>
      </c>
      <c r="J41" s="9">
        <f t="shared" si="1"/>
        <v>1000</v>
      </c>
    </row>
    <row r="42" spans="1:10" ht="20.100000000000001" customHeight="1" x14ac:dyDescent="0.15">
      <c r="A42" s="5"/>
      <c r="B42" s="5"/>
      <c r="C42" s="10"/>
      <c r="D42" s="10"/>
      <c r="E42" s="10"/>
      <c r="F42" s="10"/>
      <c r="G42" s="8"/>
      <c r="H42" s="8"/>
      <c r="I42" s="8" t="str">
        <f t="shared" si="0"/>
        <v>借</v>
      </c>
      <c r="J42" s="9">
        <f t="shared" si="1"/>
        <v>1000</v>
      </c>
    </row>
    <row r="43" spans="1:10" ht="20.100000000000001" customHeight="1" x14ac:dyDescent="0.15">
      <c r="A43" s="5"/>
      <c r="B43" s="5"/>
      <c r="C43" s="10"/>
      <c r="D43" s="10"/>
      <c r="E43" s="10"/>
      <c r="F43" s="10"/>
      <c r="G43" s="8"/>
      <c r="H43" s="8"/>
      <c r="I43" s="8" t="str">
        <f t="shared" si="0"/>
        <v>借</v>
      </c>
      <c r="J43" s="9">
        <f t="shared" si="1"/>
        <v>1000</v>
      </c>
    </row>
    <row r="44" spans="1:10" ht="20.100000000000001" customHeight="1" x14ac:dyDescent="0.15">
      <c r="A44" s="5"/>
      <c r="B44" s="5"/>
      <c r="C44" s="10"/>
      <c r="D44" s="10"/>
      <c r="E44" s="10"/>
      <c r="F44" s="10"/>
      <c r="G44" s="8"/>
      <c r="H44" s="8"/>
      <c r="I44" s="8" t="str">
        <f t="shared" si="0"/>
        <v>借</v>
      </c>
      <c r="J44" s="9">
        <f t="shared" si="1"/>
        <v>1000</v>
      </c>
    </row>
    <row r="45" spans="1:10" ht="20.100000000000001" customHeight="1" x14ac:dyDescent="0.15">
      <c r="A45" s="5"/>
      <c r="B45" s="5"/>
      <c r="C45" s="10"/>
      <c r="D45" s="10"/>
      <c r="E45" s="10"/>
      <c r="F45" s="10"/>
      <c r="G45" s="8"/>
      <c r="H45" s="8"/>
      <c r="I45" s="8" t="str">
        <f t="shared" si="0"/>
        <v>借</v>
      </c>
      <c r="J45" s="9">
        <f t="shared" si="1"/>
        <v>1000</v>
      </c>
    </row>
    <row r="46" spans="1:10" ht="20.100000000000001" customHeight="1" x14ac:dyDescent="0.15">
      <c r="A46" s="5"/>
      <c r="B46" s="5"/>
      <c r="C46" s="10"/>
      <c r="D46" s="10"/>
      <c r="E46" s="10"/>
      <c r="F46" s="10"/>
      <c r="G46" s="8"/>
      <c r="H46" s="8"/>
      <c r="I46" s="8" t="str">
        <f t="shared" si="0"/>
        <v>借</v>
      </c>
      <c r="J46" s="9">
        <f t="shared" si="1"/>
        <v>1000</v>
      </c>
    </row>
    <row r="47" spans="1:10" ht="20.100000000000001" customHeight="1" x14ac:dyDescent="0.15">
      <c r="A47" s="5"/>
      <c r="B47" s="5"/>
      <c r="C47" s="10"/>
      <c r="D47" s="10"/>
      <c r="E47" s="10"/>
      <c r="F47" s="10"/>
      <c r="G47" s="8"/>
      <c r="H47" s="8"/>
      <c r="I47" s="8" t="str">
        <f t="shared" si="0"/>
        <v>借</v>
      </c>
      <c r="J47" s="9">
        <f t="shared" si="1"/>
        <v>1000</v>
      </c>
    </row>
    <row r="48" spans="1:10" ht="20.100000000000001" customHeight="1" x14ac:dyDescent="0.15">
      <c r="A48" s="5"/>
      <c r="B48" s="5"/>
      <c r="C48" s="10"/>
      <c r="D48" s="10"/>
      <c r="E48" s="10"/>
      <c r="F48" s="10"/>
      <c r="G48" s="8"/>
      <c r="H48" s="8"/>
      <c r="I48" s="8" t="str">
        <f t="shared" si="0"/>
        <v>借</v>
      </c>
      <c r="J48" s="9">
        <f t="shared" si="1"/>
        <v>1000</v>
      </c>
    </row>
    <row r="49" spans="1:10" ht="20.100000000000001" customHeight="1" x14ac:dyDescent="0.15">
      <c r="A49" s="5"/>
      <c r="B49" s="5"/>
      <c r="C49" s="10"/>
      <c r="D49" s="10"/>
      <c r="E49" s="10"/>
      <c r="F49" s="10"/>
      <c r="G49" s="8"/>
      <c r="H49" s="8"/>
      <c r="I49" s="8" t="str">
        <f t="shared" si="0"/>
        <v>借</v>
      </c>
      <c r="J49" s="9">
        <f t="shared" si="1"/>
        <v>1000</v>
      </c>
    </row>
    <row r="50" spans="1:10" ht="20.100000000000001" customHeight="1" x14ac:dyDescent="0.15">
      <c r="A50" s="5"/>
      <c r="B50" s="5"/>
      <c r="C50" s="10"/>
      <c r="D50" s="10"/>
      <c r="E50" s="10"/>
      <c r="F50" s="10"/>
      <c r="G50" s="8"/>
      <c r="H50" s="8"/>
      <c r="I50" s="8" t="str">
        <f t="shared" si="0"/>
        <v>借</v>
      </c>
      <c r="J50" s="9">
        <f t="shared" si="1"/>
        <v>1000</v>
      </c>
    </row>
    <row r="51" spans="1:10" ht="20.100000000000001" customHeight="1" x14ac:dyDescent="0.15">
      <c r="A51" s="5"/>
      <c r="B51" s="5"/>
      <c r="C51" s="10"/>
      <c r="D51" s="10"/>
      <c r="E51" s="10"/>
      <c r="F51" s="10"/>
      <c r="G51" s="8"/>
      <c r="H51" s="8"/>
      <c r="I51" s="8" t="str">
        <f t="shared" si="0"/>
        <v>借</v>
      </c>
      <c r="J51" s="9">
        <f t="shared" si="1"/>
        <v>1000</v>
      </c>
    </row>
    <row r="52" spans="1:10" ht="20.100000000000001" customHeight="1" x14ac:dyDescent="0.15">
      <c r="A52" s="5"/>
      <c r="B52" s="5"/>
      <c r="C52" s="10"/>
      <c r="D52" s="10"/>
      <c r="E52" s="10"/>
      <c r="F52" s="10"/>
      <c r="G52" s="8"/>
      <c r="H52" s="8"/>
      <c r="I52" s="8" t="str">
        <f t="shared" si="0"/>
        <v>借</v>
      </c>
      <c r="J52" s="9">
        <f t="shared" si="1"/>
        <v>1000</v>
      </c>
    </row>
    <row r="53" spans="1:10" ht="20.100000000000001" customHeight="1" x14ac:dyDescent="0.15">
      <c r="A53" s="5"/>
      <c r="B53" s="5"/>
      <c r="C53" s="10"/>
      <c r="D53" s="10"/>
      <c r="E53" s="10"/>
      <c r="F53" s="10"/>
      <c r="G53" s="8"/>
      <c r="H53" s="8"/>
      <c r="I53" s="8" t="str">
        <f t="shared" si="0"/>
        <v>借</v>
      </c>
      <c r="J53" s="9">
        <f t="shared" si="1"/>
        <v>1000</v>
      </c>
    </row>
    <row r="54" spans="1:10" ht="20.100000000000001" customHeight="1" x14ac:dyDescent="0.15">
      <c r="A54" s="10"/>
      <c r="B54" s="5"/>
      <c r="C54" s="10"/>
      <c r="D54" s="10"/>
      <c r="E54" s="10"/>
      <c r="F54" s="10"/>
      <c r="G54" s="8"/>
      <c r="H54" s="8"/>
      <c r="I54" s="8" t="str">
        <f t="shared" si="0"/>
        <v>借</v>
      </c>
      <c r="J54" s="9">
        <f t="shared" si="1"/>
        <v>1000</v>
      </c>
    </row>
    <row r="55" spans="1:10" ht="20.100000000000001" customHeight="1" x14ac:dyDescent="0.15">
      <c r="A55" s="10"/>
      <c r="B55" s="5"/>
      <c r="C55" s="10"/>
      <c r="D55" s="10"/>
      <c r="E55" s="10"/>
      <c r="F55" s="10"/>
      <c r="G55" s="8"/>
      <c r="H55" s="8"/>
      <c r="I55" s="8" t="str">
        <f t="shared" si="0"/>
        <v>借</v>
      </c>
      <c r="J55" s="9">
        <f t="shared" si="1"/>
        <v>1000</v>
      </c>
    </row>
    <row r="56" spans="1:10" ht="20.100000000000001" customHeight="1" x14ac:dyDescent="0.15">
      <c r="A56" s="10"/>
      <c r="B56" s="5"/>
      <c r="C56" s="10"/>
      <c r="D56" s="10"/>
      <c r="E56" s="10"/>
      <c r="F56" s="10"/>
      <c r="G56" s="8"/>
      <c r="H56" s="8"/>
      <c r="I56" s="8" t="str">
        <f t="shared" si="0"/>
        <v>借</v>
      </c>
      <c r="J56" s="9">
        <f t="shared" si="1"/>
        <v>1000</v>
      </c>
    </row>
    <row r="57" spans="1:10" ht="20.100000000000001" customHeight="1" x14ac:dyDescent="0.15">
      <c r="A57" s="10"/>
      <c r="B57" s="5"/>
      <c r="C57" s="10"/>
      <c r="D57" s="13"/>
      <c r="E57" s="10"/>
      <c r="F57" s="10"/>
      <c r="G57" s="8"/>
      <c r="H57" s="8"/>
      <c r="I57" s="8" t="str">
        <f t="shared" si="0"/>
        <v>借</v>
      </c>
      <c r="J57" s="9">
        <f t="shared" si="1"/>
        <v>1000</v>
      </c>
    </row>
    <row r="58" spans="1:10" ht="20.100000000000001" customHeight="1" x14ac:dyDescent="0.15">
      <c r="A58" s="10"/>
      <c r="B58" s="5"/>
      <c r="C58" s="10"/>
      <c r="D58" s="10"/>
      <c r="E58" s="10"/>
      <c r="F58" s="10"/>
      <c r="G58" s="8"/>
      <c r="H58" s="8"/>
      <c r="I58" s="8" t="str">
        <f t="shared" si="0"/>
        <v>借</v>
      </c>
      <c r="J58" s="9">
        <f t="shared" si="1"/>
        <v>1000</v>
      </c>
    </row>
    <row r="59" spans="1:10" ht="20.100000000000001" customHeight="1" x14ac:dyDescent="0.15">
      <c r="A59" s="10"/>
      <c r="B59" s="5"/>
      <c r="C59" s="10"/>
      <c r="D59" s="10"/>
      <c r="E59" s="10"/>
      <c r="F59" s="10"/>
      <c r="G59" s="8"/>
      <c r="H59" s="8"/>
      <c r="I59" s="8" t="str">
        <f t="shared" si="0"/>
        <v>借</v>
      </c>
      <c r="J59" s="9">
        <f t="shared" si="1"/>
        <v>1000</v>
      </c>
    </row>
    <row r="60" spans="1:10" ht="20.100000000000001" customHeight="1" x14ac:dyDescent="0.15">
      <c r="A60" s="10"/>
      <c r="B60" s="5"/>
      <c r="C60" s="10"/>
      <c r="D60" s="10"/>
      <c r="E60" s="10"/>
      <c r="F60" s="10"/>
      <c r="G60" s="8"/>
      <c r="H60" s="8"/>
      <c r="I60" s="8" t="str">
        <f t="shared" si="0"/>
        <v>借</v>
      </c>
      <c r="J60" s="9">
        <f t="shared" si="1"/>
        <v>1000</v>
      </c>
    </row>
    <row r="61" spans="1:10" ht="20.100000000000001" customHeight="1" x14ac:dyDescent="0.15">
      <c r="A61" s="5"/>
      <c r="B61" s="5"/>
      <c r="C61" s="10"/>
      <c r="D61" s="10"/>
      <c r="E61" s="10"/>
      <c r="F61" s="10"/>
      <c r="G61" s="8"/>
      <c r="H61" s="8"/>
      <c r="I61" s="8" t="str">
        <f t="shared" si="0"/>
        <v>借</v>
      </c>
      <c r="J61" s="9">
        <f t="shared" si="1"/>
        <v>1000</v>
      </c>
    </row>
    <row r="62" spans="1:10" ht="20.100000000000001" customHeight="1" x14ac:dyDescent="0.15">
      <c r="A62" s="5"/>
      <c r="B62" s="5"/>
      <c r="C62" s="10"/>
      <c r="D62" s="10"/>
      <c r="E62" s="10"/>
      <c r="F62" s="10"/>
      <c r="G62" s="8"/>
      <c r="H62" s="8"/>
      <c r="I62" s="8" t="str">
        <f t="shared" si="0"/>
        <v>借</v>
      </c>
      <c r="J62" s="9">
        <f t="shared" si="1"/>
        <v>1000</v>
      </c>
    </row>
    <row r="63" spans="1:10" ht="20.100000000000001" customHeight="1" x14ac:dyDescent="0.15">
      <c r="A63" s="5"/>
      <c r="B63" s="5"/>
      <c r="C63" s="10"/>
      <c r="D63" s="10"/>
      <c r="E63" s="10"/>
      <c r="F63" s="10"/>
      <c r="G63" s="8"/>
      <c r="H63" s="8"/>
      <c r="I63" s="8" t="str">
        <f t="shared" si="0"/>
        <v>借</v>
      </c>
      <c r="J63" s="9">
        <f t="shared" si="1"/>
        <v>1000</v>
      </c>
    </row>
    <row r="64" spans="1:10" ht="20.100000000000001" customHeight="1" x14ac:dyDescent="0.15">
      <c r="A64" s="5"/>
      <c r="B64" s="5"/>
      <c r="C64" s="10"/>
      <c r="D64" s="10"/>
      <c r="E64" s="10"/>
      <c r="F64" s="10"/>
      <c r="G64" s="8"/>
      <c r="H64" s="8"/>
      <c r="I64" s="8" t="str">
        <f t="shared" si="0"/>
        <v>借</v>
      </c>
      <c r="J64" s="9">
        <f t="shared" si="1"/>
        <v>1000</v>
      </c>
    </row>
    <row r="65" spans="1:10" ht="20.100000000000001" customHeight="1" x14ac:dyDescent="0.15">
      <c r="A65" s="5"/>
      <c r="B65" s="5"/>
      <c r="C65" s="10"/>
      <c r="D65" s="10"/>
      <c r="E65" s="10"/>
      <c r="F65" s="10"/>
      <c r="G65" s="8"/>
      <c r="H65" s="8"/>
      <c r="I65" s="8" t="str">
        <f t="shared" si="0"/>
        <v>借</v>
      </c>
      <c r="J65" s="9">
        <f t="shared" si="1"/>
        <v>1000</v>
      </c>
    </row>
    <row r="66" spans="1:10" ht="20.100000000000001" customHeight="1" x14ac:dyDescent="0.15">
      <c r="A66" s="5"/>
      <c r="B66" s="5"/>
      <c r="C66" s="10"/>
      <c r="D66" s="10"/>
      <c r="E66" s="10"/>
      <c r="F66" s="10"/>
      <c r="G66" s="8"/>
      <c r="H66" s="8"/>
      <c r="I66" s="8" t="str">
        <f t="shared" si="0"/>
        <v>借</v>
      </c>
      <c r="J66" s="9">
        <f t="shared" si="1"/>
        <v>1000</v>
      </c>
    </row>
    <row r="67" spans="1:10" ht="20.100000000000001" customHeight="1" x14ac:dyDescent="0.15">
      <c r="A67" s="10"/>
      <c r="B67" s="5"/>
      <c r="C67" s="10"/>
      <c r="D67" s="10"/>
      <c r="E67" s="10"/>
      <c r="F67" s="10"/>
      <c r="G67" s="8"/>
      <c r="H67" s="8"/>
      <c r="I67" s="8" t="str">
        <f t="shared" si="0"/>
        <v>借</v>
      </c>
      <c r="J67" s="9">
        <f t="shared" si="1"/>
        <v>1000</v>
      </c>
    </row>
    <row r="68" spans="1:10" ht="20.100000000000001" customHeight="1" x14ac:dyDescent="0.15">
      <c r="A68" s="10"/>
      <c r="B68" s="5"/>
      <c r="C68" s="10"/>
      <c r="D68" s="10"/>
      <c r="E68" s="10"/>
      <c r="F68" s="14"/>
      <c r="G68" s="8"/>
      <c r="H68" s="8"/>
      <c r="I68" s="8" t="str">
        <f t="shared" si="0"/>
        <v>借</v>
      </c>
      <c r="J68" s="9">
        <f t="shared" si="1"/>
        <v>1000</v>
      </c>
    </row>
    <row r="69" spans="1:10" ht="20.100000000000001" customHeight="1" x14ac:dyDescent="0.15">
      <c r="A69" s="5"/>
      <c r="B69" s="5"/>
      <c r="C69" s="10"/>
      <c r="D69" s="10"/>
      <c r="E69" s="10"/>
      <c r="F69" s="10"/>
      <c r="G69" s="8"/>
      <c r="H69" s="8"/>
      <c r="I69" s="8" t="str">
        <f t="shared" si="0"/>
        <v>借</v>
      </c>
      <c r="J69" s="9">
        <f t="shared" si="1"/>
        <v>1000</v>
      </c>
    </row>
    <row r="70" spans="1:10" ht="20.100000000000001" customHeight="1" x14ac:dyDescent="0.15">
      <c r="A70" s="5"/>
      <c r="B70" s="5"/>
      <c r="C70" s="10"/>
      <c r="D70" s="10"/>
      <c r="E70" s="10"/>
      <c r="F70" s="14"/>
      <c r="G70" s="8"/>
      <c r="H70" s="15"/>
      <c r="I70" s="8" t="str">
        <f t="shared" ref="I70:I133" si="2">IF((J69+G70-H70)&gt;0,"借","贷")</f>
        <v>借</v>
      </c>
      <c r="J70" s="9">
        <f t="shared" si="1"/>
        <v>1000</v>
      </c>
    </row>
    <row r="71" spans="1:10" ht="20.100000000000001" customHeight="1" x14ac:dyDescent="0.15">
      <c r="A71" s="5"/>
      <c r="B71" s="5"/>
      <c r="C71" s="10"/>
      <c r="D71" s="10"/>
      <c r="E71" s="10"/>
      <c r="F71" s="10"/>
      <c r="G71" s="8"/>
      <c r="H71" s="15"/>
      <c r="I71" s="8" t="str">
        <f t="shared" si="2"/>
        <v>借</v>
      </c>
      <c r="J71" s="9">
        <f t="shared" ref="J71:J134" si="3">J70+G71-H71</f>
        <v>1000</v>
      </c>
    </row>
    <row r="72" spans="1:10" ht="20.100000000000001" customHeight="1" x14ac:dyDescent="0.15">
      <c r="A72" s="5"/>
      <c r="B72" s="5"/>
      <c r="C72" s="10"/>
      <c r="D72" s="10"/>
      <c r="E72" s="10"/>
      <c r="F72" s="10"/>
      <c r="G72" s="8"/>
      <c r="H72" s="15"/>
      <c r="I72" s="8" t="str">
        <f t="shared" si="2"/>
        <v>借</v>
      </c>
      <c r="J72" s="9">
        <f t="shared" si="3"/>
        <v>1000</v>
      </c>
    </row>
    <row r="73" spans="1:10" ht="20.100000000000001" customHeight="1" x14ac:dyDescent="0.15">
      <c r="A73" s="5"/>
      <c r="B73" s="5"/>
      <c r="C73" s="10"/>
      <c r="D73" s="10"/>
      <c r="E73" s="10"/>
      <c r="F73" s="10"/>
      <c r="G73" s="8"/>
      <c r="H73" s="15"/>
      <c r="I73" s="8" t="str">
        <f t="shared" si="2"/>
        <v>借</v>
      </c>
      <c r="J73" s="9">
        <f t="shared" si="3"/>
        <v>1000</v>
      </c>
    </row>
    <row r="74" spans="1:10" ht="20.100000000000001" customHeight="1" x14ac:dyDescent="0.15">
      <c r="A74" s="5"/>
      <c r="B74" s="5"/>
      <c r="C74" s="10"/>
      <c r="D74" s="10"/>
      <c r="E74" s="10"/>
      <c r="F74" s="10"/>
      <c r="G74" s="8"/>
      <c r="H74" s="8"/>
      <c r="I74" s="8" t="str">
        <f t="shared" si="2"/>
        <v>借</v>
      </c>
      <c r="J74" s="9">
        <f t="shared" si="3"/>
        <v>1000</v>
      </c>
    </row>
    <row r="75" spans="1:10" ht="20.100000000000001" customHeight="1" x14ac:dyDescent="0.15">
      <c r="A75" s="5"/>
      <c r="B75" s="5"/>
      <c r="C75" s="10"/>
      <c r="D75" s="10"/>
      <c r="E75" s="10"/>
      <c r="F75" s="10"/>
      <c r="G75" s="8"/>
      <c r="H75" s="8"/>
      <c r="I75" s="8" t="str">
        <f t="shared" si="2"/>
        <v>借</v>
      </c>
      <c r="J75" s="9">
        <f t="shared" si="3"/>
        <v>1000</v>
      </c>
    </row>
    <row r="76" spans="1:10" ht="20.100000000000001" customHeight="1" x14ac:dyDescent="0.15">
      <c r="A76" s="5"/>
      <c r="B76" s="5"/>
      <c r="C76" s="10"/>
      <c r="D76" s="10"/>
      <c r="E76" s="10"/>
      <c r="F76" s="14"/>
      <c r="G76" s="8"/>
      <c r="H76" s="8"/>
      <c r="I76" s="8" t="str">
        <f t="shared" si="2"/>
        <v>借</v>
      </c>
      <c r="J76" s="9">
        <f t="shared" si="3"/>
        <v>1000</v>
      </c>
    </row>
    <row r="77" spans="1:10" ht="20.100000000000001" customHeight="1" x14ac:dyDescent="0.15">
      <c r="A77" s="10"/>
      <c r="B77" s="5"/>
      <c r="C77" s="10"/>
      <c r="D77" s="10"/>
      <c r="E77" s="10"/>
      <c r="F77" s="10"/>
      <c r="G77" s="8"/>
      <c r="H77" s="8"/>
      <c r="I77" s="8" t="str">
        <f t="shared" si="2"/>
        <v>借</v>
      </c>
      <c r="J77" s="9">
        <f t="shared" si="3"/>
        <v>1000</v>
      </c>
    </row>
    <row r="78" spans="1:10" ht="20.100000000000001" customHeight="1" x14ac:dyDescent="0.15">
      <c r="A78" s="10"/>
      <c r="B78" s="5"/>
      <c r="C78" s="5"/>
      <c r="D78" s="10"/>
      <c r="E78" s="10"/>
      <c r="F78" s="14"/>
      <c r="G78" s="8"/>
      <c r="H78" s="8"/>
      <c r="I78" s="8" t="str">
        <f t="shared" si="2"/>
        <v>借</v>
      </c>
      <c r="J78" s="9">
        <f t="shared" si="3"/>
        <v>1000</v>
      </c>
    </row>
    <row r="79" spans="1:10" ht="20.100000000000001" customHeight="1" x14ac:dyDescent="0.15">
      <c r="A79" s="5"/>
      <c r="B79" s="5"/>
      <c r="C79" s="5"/>
      <c r="D79" s="10"/>
      <c r="E79" s="10"/>
      <c r="F79" s="10"/>
      <c r="G79" s="8"/>
      <c r="H79" s="15"/>
      <c r="I79" s="8" t="str">
        <f t="shared" si="2"/>
        <v>借</v>
      </c>
      <c r="J79" s="9">
        <f t="shared" si="3"/>
        <v>1000</v>
      </c>
    </row>
    <row r="80" spans="1:10" ht="20.100000000000001" customHeight="1" x14ac:dyDescent="0.15">
      <c r="A80" s="5"/>
      <c r="B80" s="5"/>
      <c r="C80" s="5"/>
      <c r="D80" s="10"/>
      <c r="E80" s="10"/>
      <c r="F80" s="10"/>
      <c r="G80" s="8"/>
      <c r="H80" s="15"/>
      <c r="I80" s="8" t="str">
        <f t="shared" si="2"/>
        <v>借</v>
      </c>
      <c r="J80" s="9">
        <f t="shared" si="3"/>
        <v>1000</v>
      </c>
    </row>
    <row r="81" spans="1:10" ht="20.100000000000001" customHeight="1" x14ac:dyDescent="0.15">
      <c r="A81" s="5"/>
      <c r="B81" s="5"/>
      <c r="C81" s="5"/>
      <c r="D81" s="10"/>
      <c r="E81" s="10"/>
      <c r="F81" s="10"/>
      <c r="G81" s="8"/>
      <c r="H81" s="15"/>
      <c r="I81" s="8" t="str">
        <f t="shared" si="2"/>
        <v>借</v>
      </c>
      <c r="J81" s="9">
        <f t="shared" si="3"/>
        <v>1000</v>
      </c>
    </row>
    <row r="82" spans="1:10" ht="20.100000000000001" customHeight="1" x14ac:dyDescent="0.15">
      <c r="A82" s="5"/>
      <c r="B82" s="5"/>
      <c r="C82" s="5"/>
      <c r="D82" s="10"/>
      <c r="E82" s="10"/>
      <c r="F82" s="10"/>
      <c r="G82" s="8"/>
      <c r="H82" s="8"/>
      <c r="I82" s="8" t="str">
        <f t="shared" si="2"/>
        <v>借</v>
      </c>
      <c r="J82" s="9">
        <f t="shared" si="3"/>
        <v>1000</v>
      </c>
    </row>
    <row r="83" spans="1:10" ht="20.100000000000001" customHeight="1" x14ac:dyDescent="0.15">
      <c r="A83" s="5"/>
      <c r="B83" s="5"/>
      <c r="C83" s="5"/>
      <c r="D83" s="10"/>
      <c r="E83" s="10"/>
      <c r="F83" s="10"/>
      <c r="G83" s="8"/>
      <c r="H83" s="8"/>
      <c r="I83" s="8" t="str">
        <f t="shared" si="2"/>
        <v>借</v>
      </c>
      <c r="J83" s="9">
        <f t="shared" si="3"/>
        <v>1000</v>
      </c>
    </row>
    <row r="84" spans="1:10" ht="20.100000000000001" customHeight="1" x14ac:dyDescent="0.15">
      <c r="A84" s="5"/>
      <c r="B84" s="5"/>
      <c r="C84" s="5"/>
      <c r="D84" s="10"/>
      <c r="E84" s="10"/>
      <c r="F84" s="10"/>
      <c r="G84" s="8"/>
      <c r="H84" s="8"/>
      <c r="I84" s="8" t="str">
        <f t="shared" si="2"/>
        <v>借</v>
      </c>
      <c r="J84" s="9">
        <f t="shared" si="3"/>
        <v>1000</v>
      </c>
    </row>
    <row r="85" spans="1:10" ht="20.100000000000001" customHeight="1" x14ac:dyDescent="0.15">
      <c r="A85" s="5"/>
      <c r="B85" s="5"/>
      <c r="C85" s="5"/>
      <c r="D85" s="10"/>
      <c r="E85" s="10"/>
      <c r="F85" s="10"/>
      <c r="G85" s="8"/>
      <c r="H85" s="8"/>
      <c r="I85" s="8" t="str">
        <f t="shared" si="2"/>
        <v>借</v>
      </c>
      <c r="J85" s="9">
        <f t="shared" si="3"/>
        <v>1000</v>
      </c>
    </row>
    <row r="86" spans="1:10" ht="20.100000000000001" customHeight="1" x14ac:dyDescent="0.15">
      <c r="A86" s="10"/>
      <c r="B86" s="5"/>
      <c r="C86" s="5"/>
      <c r="D86" s="10"/>
      <c r="E86" s="10"/>
      <c r="F86" s="10"/>
      <c r="G86" s="8"/>
      <c r="H86" s="8"/>
      <c r="I86" s="8" t="str">
        <f t="shared" si="2"/>
        <v>借</v>
      </c>
      <c r="J86" s="9">
        <f t="shared" si="3"/>
        <v>1000</v>
      </c>
    </row>
    <row r="87" spans="1:10" ht="20.100000000000001" customHeight="1" x14ac:dyDescent="0.15">
      <c r="A87" s="10"/>
      <c r="B87" s="5"/>
      <c r="C87" s="5"/>
      <c r="D87" s="10"/>
      <c r="E87" s="10"/>
      <c r="F87" s="10"/>
      <c r="G87" s="8"/>
      <c r="H87" s="8"/>
      <c r="I87" s="8" t="str">
        <f t="shared" si="2"/>
        <v>借</v>
      </c>
      <c r="J87" s="9">
        <f t="shared" si="3"/>
        <v>1000</v>
      </c>
    </row>
    <row r="88" spans="1:10" ht="20.100000000000001" customHeight="1" x14ac:dyDescent="0.15">
      <c r="A88" s="5"/>
      <c r="B88" s="5"/>
      <c r="C88" s="5"/>
      <c r="D88" s="10"/>
      <c r="E88" s="10"/>
      <c r="F88" s="10"/>
      <c r="G88" s="8"/>
      <c r="H88" s="8"/>
      <c r="I88" s="8" t="str">
        <f t="shared" si="2"/>
        <v>借</v>
      </c>
      <c r="J88" s="9">
        <f t="shared" si="3"/>
        <v>1000</v>
      </c>
    </row>
    <row r="89" spans="1:10" ht="20.100000000000001" customHeight="1" x14ac:dyDescent="0.15">
      <c r="A89" s="5"/>
      <c r="B89" s="5"/>
      <c r="C89" s="5"/>
      <c r="D89" s="10"/>
      <c r="E89" s="10"/>
      <c r="F89" s="10"/>
      <c r="G89" s="8"/>
      <c r="H89" s="8"/>
      <c r="I89" s="8" t="str">
        <f t="shared" si="2"/>
        <v>借</v>
      </c>
      <c r="J89" s="9">
        <f t="shared" si="3"/>
        <v>1000</v>
      </c>
    </row>
    <row r="90" spans="1:10" ht="20.100000000000001" customHeight="1" x14ac:dyDescent="0.15">
      <c r="A90" s="5"/>
      <c r="B90" s="5"/>
      <c r="C90" s="5"/>
      <c r="D90" s="10"/>
      <c r="E90" s="10"/>
      <c r="F90" s="10"/>
      <c r="G90" s="8"/>
      <c r="H90" s="8"/>
      <c r="I90" s="8" t="str">
        <f t="shared" si="2"/>
        <v>借</v>
      </c>
      <c r="J90" s="9">
        <f t="shared" si="3"/>
        <v>1000</v>
      </c>
    </row>
    <row r="91" spans="1:10" ht="20.100000000000001" customHeight="1" x14ac:dyDescent="0.15">
      <c r="A91" s="5"/>
      <c r="B91" s="5"/>
      <c r="C91" s="5"/>
      <c r="D91" s="10"/>
      <c r="E91" s="10"/>
      <c r="F91" s="10"/>
      <c r="G91" s="8"/>
      <c r="H91" s="8"/>
      <c r="I91" s="8" t="str">
        <f t="shared" si="2"/>
        <v>借</v>
      </c>
      <c r="J91" s="9">
        <f t="shared" si="3"/>
        <v>1000</v>
      </c>
    </row>
    <row r="92" spans="1:10" ht="20.100000000000001" customHeight="1" x14ac:dyDescent="0.15">
      <c r="A92" s="5"/>
      <c r="B92" s="5"/>
      <c r="C92" s="5"/>
      <c r="D92" s="10"/>
      <c r="E92" s="10"/>
      <c r="F92" s="10"/>
      <c r="G92" s="8"/>
      <c r="H92" s="8"/>
      <c r="I92" s="8" t="str">
        <f t="shared" si="2"/>
        <v>借</v>
      </c>
      <c r="J92" s="9">
        <f t="shared" si="3"/>
        <v>1000</v>
      </c>
    </row>
    <row r="93" spans="1:10" ht="20.100000000000001" customHeight="1" x14ac:dyDescent="0.15">
      <c r="A93" s="5"/>
      <c r="B93" s="5"/>
      <c r="C93" s="5"/>
      <c r="D93" s="10"/>
      <c r="E93" s="10"/>
      <c r="F93" s="10"/>
      <c r="G93" s="8"/>
      <c r="H93" s="8"/>
      <c r="I93" s="8" t="str">
        <f t="shared" si="2"/>
        <v>借</v>
      </c>
      <c r="J93" s="9">
        <f t="shared" si="3"/>
        <v>1000</v>
      </c>
    </row>
    <row r="94" spans="1:10" ht="20.100000000000001" customHeight="1" x14ac:dyDescent="0.15">
      <c r="A94" s="10"/>
      <c r="B94" s="5"/>
      <c r="C94" s="5"/>
      <c r="D94" s="10"/>
      <c r="E94" s="10"/>
      <c r="F94" s="10"/>
      <c r="G94" s="8"/>
      <c r="H94" s="8"/>
      <c r="I94" s="8" t="str">
        <f t="shared" si="2"/>
        <v>借</v>
      </c>
      <c r="J94" s="9">
        <f t="shared" si="3"/>
        <v>1000</v>
      </c>
    </row>
    <row r="95" spans="1:10" ht="20.100000000000001" customHeight="1" x14ac:dyDescent="0.15">
      <c r="A95" s="10"/>
      <c r="B95" s="5"/>
      <c r="C95" s="5"/>
      <c r="D95" s="10"/>
      <c r="E95" s="10"/>
      <c r="F95" s="10"/>
      <c r="G95" s="8"/>
      <c r="H95" s="8"/>
      <c r="I95" s="8" t="str">
        <f t="shared" si="2"/>
        <v>借</v>
      </c>
      <c r="J95" s="9">
        <f t="shared" si="3"/>
        <v>1000</v>
      </c>
    </row>
    <row r="96" spans="1:10" ht="20.100000000000001" customHeight="1" x14ac:dyDescent="0.15">
      <c r="A96" s="10"/>
      <c r="B96" s="5"/>
      <c r="C96" s="5"/>
      <c r="D96" s="10"/>
      <c r="E96" s="10"/>
      <c r="F96" s="10"/>
      <c r="G96" s="8"/>
      <c r="H96" s="8"/>
      <c r="I96" s="8" t="str">
        <f t="shared" si="2"/>
        <v>借</v>
      </c>
      <c r="J96" s="9">
        <f t="shared" si="3"/>
        <v>1000</v>
      </c>
    </row>
    <row r="97" spans="1:10" ht="20.100000000000001" customHeight="1" x14ac:dyDescent="0.15">
      <c r="A97" s="5"/>
      <c r="B97" s="5"/>
      <c r="C97" s="5"/>
      <c r="D97" s="10"/>
      <c r="E97" s="10"/>
      <c r="F97" s="10"/>
      <c r="G97" s="8"/>
      <c r="H97" s="8"/>
      <c r="I97" s="8" t="str">
        <f t="shared" si="2"/>
        <v>借</v>
      </c>
      <c r="J97" s="9">
        <f t="shared" si="3"/>
        <v>1000</v>
      </c>
    </row>
    <row r="98" spans="1:10" ht="20.100000000000001" customHeight="1" x14ac:dyDescent="0.15">
      <c r="A98" s="5"/>
      <c r="B98" s="5"/>
      <c r="C98" s="5"/>
      <c r="D98" s="10"/>
      <c r="E98" s="10"/>
      <c r="F98" s="10"/>
      <c r="G98" s="8"/>
      <c r="H98" s="8"/>
      <c r="I98" s="8" t="str">
        <f t="shared" si="2"/>
        <v>借</v>
      </c>
      <c r="J98" s="9">
        <f t="shared" si="3"/>
        <v>1000</v>
      </c>
    </row>
    <row r="99" spans="1:10" ht="20.100000000000001" customHeight="1" x14ac:dyDescent="0.15">
      <c r="A99" s="5"/>
      <c r="B99" s="5"/>
      <c r="C99" s="5"/>
      <c r="D99" s="10"/>
      <c r="E99" s="10"/>
      <c r="F99" s="10"/>
      <c r="G99" s="8"/>
      <c r="H99" s="8"/>
      <c r="I99" s="8" t="str">
        <f t="shared" si="2"/>
        <v>借</v>
      </c>
      <c r="J99" s="9">
        <f t="shared" si="3"/>
        <v>1000</v>
      </c>
    </row>
    <row r="100" spans="1:10" ht="20.100000000000001" customHeight="1" x14ac:dyDescent="0.15">
      <c r="A100" s="5"/>
      <c r="B100" s="5"/>
      <c r="C100" s="5"/>
      <c r="D100" s="10"/>
      <c r="E100" s="10"/>
      <c r="F100" s="10"/>
      <c r="G100" s="8"/>
      <c r="H100" s="8"/>
      <c r="I100" s="8" t="str">
        <f t="shared" si="2"/>
        <v>借</v>
      </c>
      <c r="J100" s="9">
        <f t="shared" si="3"/>
        <v>1000</v>
      </c>
    </row>
    <row r="101" spans="1:10" ht="20.100000000000001" customHeight="1" x14ac:dyDescent="0.15">
      <c r="A101" s="5"/>
      <c r="B101" s="5"/>
      <c r="C101" s="5"/>
      <c r="D101" s="10"/>
      <c r="E101" s="10"/>
      <c r="F101" s="10"/>
      <c r="G101" s="8"/>
      <c r="H101" s="8"/>
      <c r="I101" s="8" t="str">
        <f t="shared" si="2"/>
        <v>借</v>
      </c>
      <c r="J101" s="9">
        <f t="shared" si="3"/>
        <v>1000</v>
      </c>
    </row>
    <row r="102" spans="1:10" ht="20.100000000000001" customHeight="1" x14ac:dyDescent="0.15">
      <c r="A102" s="5"/>
      <c r="B102" s="5"/>
      <c r="C102" s="5"/>
      <c r="D102" s="10"/>
      <c r="E102" s="10"/>
      <c r="F102" s="10"/>
      <c r="G102" s="8"/>
      <c r="H102" s="8"/>
      <c r="I102" s="8" t="str">
        <f t="shared" si="2"/>
        <v>借</v>
      </c>
      <c r="J102" s="9">
        <f t="shared" si="3"/>
        <v>1000</v>
      </c>
    </row>
    <row r="103" spans="1:10" ht="20.100000000000001" customHeight="1" x14ac:dyDescent="0.15">
      <c r="A103" s="5"/>
      <c r="B103" s="5"/>
      <c r="C103" s="5"/>
      <c r="D103" s="10"/>
      <c r="E103" s="10"/>
      <c r="F103" s="10"/>
      <c r="G103" s="8"/>
      <c r="H103" s="8"/>
      <c r="I103" s="8" t="str">
        <f t="shared" si="2"/>
        <v>借</v>
      </c>
      <c r="J103" s="9">
        <f t="shared" si="3"/>
        <v>1000</v>
      </c>
    </row>
    <row r="104" spans="1:10" ht="20.100000000000001" customHeight="1" x14ac:dyDescent="0.15">
      <c r="A104" s="10"/>
      <c r="B104" s="5"/>
      <c r="C104" s="5"/>
      <c r="D104" s="10"/>
      <c r="E104" s="10"/>
      <c r="F104" s="10"/>
      <c r="G104" s="8"/>
      <c r="H104" s="8"/>
      <c r="I104" s="8" t="str">
        <f t="shared" si="2"/>
        <v>借</v>
      </c>
      <c r="J104" s="9">
        <f t="shared" si="3"/>
        <v>1000</v>
      </c>
    </row>
    <row r="105" spans="1:10" ht="20.100000000000001" customHeight="1" x14ac:dyDescent="0.15">
      <c r="A105" s="10"/>
      <c r="B105" s="5"/>
      <c r="C105" s="5"/>
      <c r="D105" s="10"/>
      <c r="E105" s="10"/>
      <c r="F105" s="10"/>
      <c r="G105" s="8"/>
      <c r="H105" s="8"/>
      <c r="I105" s="8" t="str">
        <f t="shared" si="2"/>
        <v>借</v>
      </c>
      <c r="J105" s="9">
        <f t="shared" si="3"/>
        <v>1000</v>
      </c>
    </row>
    <row r="106" spans="1:10" ht="20.100000000000001" customHeight="1" x14ac:dyDescent="0.15">
      <c r="A106" s="5"/>
      <c r="B106" s="5"/>
      <c r="C106" s="5"/>
      <c r="D106" s="10"/>
      <c r="E106" s="16"/>
      <c r="F106" s="10"/>
      <c r="G106" s="8"/>
      <c r="H106" s="8"/>
      <c r="I106" s="8" t="str">
        <f t="shared" si="2"/>
        <v>借</v>
      </c>
      <c r="J106" s="9">
        <f t="shared" si="3"/>
        <v>1000</v>
      </c>
    </row>
    <row r="107" spans="1:10" ht="20.100000000000001" customHeight="1" x14ac:dyDescent="0.15">
      <c r="A107" s="5"/>
      <c r="B107" s="5"/>
      <c r="C107" s="5"/>
      <c r="D107" s="10"/>
      <c r="E107" s="10"/>
      <c r="F107" s="10"/>
      <c r="G107" s="8"/>
      <c r="H107" s="8"/>
      <c r="I107" s="8" t="str">
        <f t="shared" si="2"/>
        <v>借</v>
      </c>
      <c r="J107" s="9">
        <f t="shared" si="3"/>
        <v>1000</v>
      </c>
    </row>
    <row r="108" spans="1:10" ht="20.100000000000001" customHeight="1" x14ac:dyDescent="0.15">
      <c r="A108" s="5"/>
      <c r="B108" s="5"/>
      <c r="C108" s="5"/>
      <c r="D108" s="10"/>
      <c r="E108" s="10"/>
      <c r="F108" s="10"/>
      <c r="G108" s="8"/>
      <c r="H108" s="8"/>
      <c r="I108" s="8" t="str">
        <f t="shared" si="2"/>
        <v>借</v>
      </c>
      <c r="J108" s="9">
        <f t="shared" si="3"/>
        <v>1000</v>
      </c>
    </row>
    <row r="109" spans="1:10" ht="20.100000000000001" customHeight="1" x14ac:dyDescent="0.15">
      <c r="A109" s="5"/>
      <c r="B109" s="5"/>
      <c r="C109" s="5"/>
      <c r="D109" s="10"/>
      <c r="E109" s="10"/>
      <c r="F109" s="10"/>
      <c r="G109" s="8"/>
      <c r="H109" s="8"/>
      <c r="I109" s="8" t="str">
        <f t="shared" si="2"/>
        <v>借</v>
      </c>
      <c r="J109" s="9">
        <f t="shared" si="3"/>
        <v>1000</v>
      </c>
    </row>
    <row r="110" spans="1:10" ht="20.100000000000001" customHeight="1" x14ac:dyDescent="0.15">
      <c r="A110" s="5"/>
      <c r="B110" s="5"/>
      <c r="C110" s="5"/>
      <c r="D110" s="10"/>
      <c r="E110" s="10"/>
      <c r="F110" s="10"/>
      <c r="G110" s="8"/>
      <c r="H110" s="8"/>
      <c r="I110" s="8" t="str">
        <f t="shared" si="2"/>
        <v>借</v>
      </c>
      <c r="J110" s="9">
        <f t="shared" si="3"/>
        <v>1000</v>
      </c>
    </row>
    <row r="111" spans="1:10" ht="20.100000000000001" customHeight="1" x14ac:dyDescent="0.15">
      <c r="A111" s="5"/>
      <c r="B111" s="5"/>
      <c r="C111" s="5"/>
      <c r="D111" s="10"/>
      <c r="E111" s="10"/>
      <c r="F111" s="10"/>
      <c r="G111" s="8"/>
      <c r="H111" s="8"/>
      <c r="I111" s="8" t="str">
        <f t="shared" si="2"/>
        <v>借</v>
      </c>
      <c r="J111" s="9">
        <f t="shared" si="3"/>
        <v>1000</v>
      </c>
    </row>
    <row r="112" spans="1:10" ht="20.100000000000001" customHeight="1" x14ac:dyDescent="0.15">
      <c r="A112" s="10"/>
      <c r="B112" s="5"/>
      <c r="C112" s="5"/>
      <c r="D112" s="10"/>
      <c r="E112" s="10"/>
      <c r="F112" s="10"/>
      <c r="G112" s="8"/>
      <c r="H112" s="8"/>
      <c r="I112" s="8" t="str">
        <f t="shared" si="2"/>
        <v>借</v>
      </c>
      <c r="J112" s="9">
        <f t="shared" si="3"/>
        <v>1000</v>
      </c>
    </row>
    <row r="113" spans="1:10" ht="20.100000000000001" customHeight="1" x14ac:dyDescent="0.15">
      <c r="A113" s="10"/>
      <c r="B113" s="5"/>
      <c r="C113" s="5"/>
      <c r="D113" s="10"/>
      <c r="E113" s="10"/>
      <c r="F113" s="10"/>
      <c r="G113" s="8"/>
      <c r="H113" s="8"/>
      <c r="I113" s="8" t="str">
        <f t="shared" si="2"/>
        <v>借</v>
      </c>
      <c r="J113" s="9">
        <f t="shared" si="3"/>
        <v>1000</v>
      </c>
    </row>
    <row r="114" spans="1:10" ht="20.100000000000001" customHeight="1" x14ac:dyDescent="0.15">
      <c r="A114" s="5"/>
      <c r="B114" s="5"/>
      <c r="C114" s="5"/>
      <c r="D114" s="10"/>
      <c r="E114" s="10"/>
      <c r="F114" s="10"/>
      <c r="G114" s="8"/>
      <c r="H114" s="8"/>
      <c r="I114" s="8" t="str">
        <f t="shared" si="2"/>
        <v>借</v>
      </c>
      <c r="J114" s="9">
        <f t="shared" si="3"/>
        <v>1000</v>
      </c>
    </row>
    <row r="115" spans="1:10" ht="20.100000000000001" customHeight="1" x14ac:dyDescent="0.15">
      <c r="A115" s="5"/>
      <c r="B115" s="5"/>
      <c r="C115" s="5"/>
      <c r="D115" s="10"/>
      <c r="E115" s="10"/>
      <c r="F115" s="10"/>
      <c r="G115" s="8"/>
      <c r="H115" s="8"/>
      <c r="I115" s="8" t="str">
        <f t="shared" si="2"/>
        <v>借</v>
      </c>
      <c r="J115" s="9">
        <f t="shared" si="3"/>
        <v>1000</v>
      </c>
    </row>
    <row r="116" spans="1:10" ht="20.100000000000001" customHeight="1" x14ac:dyDescent="0.15">
      <c r="A116" s="5"/>
      <c r="B116" s="5"/>
      <c r="C116" s="5"/>
      <c r="D116" s="10"/>
      <c r="E116" s="10"/>
      <c r="F116" s="10"/>
      <c r="G116" s="8"/>
      <c r="H116" s="8"/>
      <c r="I116" s="8" t="str">
        <f t="shared" si="2"/>
        <v>借</v>
      </c>
      <c r="J116" s="9">
        <f t="shared" si="3"/>
        <v>1000</v>
      </c>
    </row>
    <row r="117" spans="1:10" ht="20.100000000000001" customHeight="1" x14ac:dyDescent="0.15">
      <c r="A117" s="5"/>
      <c r="B117" s="5"/>
      <c r="C117" s="5"/>
      <c r="D117" s="10"/>
      <c r="E117" s="10"/>
      <c r="F117" s="10"/>
      <c r="G117" s="8"/>
      <c r="H117" s="8"/>
      <c r="I117" s="8" t="str">
        <f t="shared" si="2"/>
        <v>借</v>
      </c>
      <c r="J117" s="9">
        <f t="shared" si="3"/>
        <v>1000</v>
      </c>
    </row>
    <row r="118" spans="1:10" ht="20.100000000000001" customHeight="1" x14ac:dyDescent="0.15">
      <c r="A118" s="5"/>
      <c r="B118" s="5"/>
      <c r="C118" s="5"/>
      <c r="D118" s="10"/>
      <c r="E118" s="10"/>
      <c r="F118" s="10"/>
      <c r="G118" s="8"/>
      <c r="H118" s="8"/>
      <c r="I118" s="8" t="str">
        <f t="shared" si="2"/>
        <v>借</v>
      </c>
      <c r="J118" s="9">
        <f t="shared" si="3"/>
        <v>1000</v>
      </c>
    </row>
    <row r="119" spans="1:10" ht="20.100000000000001" customHeight="1" x14ac:dyDescent="0.15">
      <c r="A119" s="5"/>
      <c r="B119" s="5"/>
      <c r="C119" s="5"/>
      <c r="D119" s="10"/>
      <c r="E119" s="10"/>
      <c r="F119" s="10"/>
      <c r="G119" s="8"/>
      <c r="H119" s="8"/>
      <c r="I119" s="8" t="str">
        <f t="shared" si="2"/>
        <v>借</v>
      </c>
      <c r="J119" s="9">
        <f t="shared" si="3"/>
        <v>1000</v>
      </c>
    </row>
    <row r="120" spans="1:10" ht="20.100000000000001" customHeight="1" x14ac:dyDescent="0.15">
      <c r="A120" s="10"/>
      <c r="B120" s="5"/>
      <c r="C120" s="5"/>
      <c r="D120" s="10"/>
      <c r="E120" s="10"/>
      <c r="F120" s="10"/>
      <c r="G120" s="8"/>
      <c r="H120" s="8"/>
      <c r="I120" s="8" t="str">
        <f t="shared" si="2"/>
        <v>借</v>
      </c>
      <c r="J120" s="9">
        <f t="shared" si="3"/>
        <v>1000</v>
      </c>
    </row>
    <row r="121" spans="1:10" ht="20.100000000000001" customHeight="1" x14ac:dyDescent="0.15">
      <c r="A121" s="10"/>
      <c r="B121" s="5"/>
      <c r="C121" s="5"/>
      <c r="D121" s="10"/>
      <c r="E121" s="10"/>
      <c r="F121" s="10"/>
      <c r="G121" s="8"/>
      <c r="H121" s="8"/>
      <c r="I121" s="8" t="str">
        <f t="shared" si="2"/>
        <v>借</v>
      </c>
      <c r="J121" s="9">
        <f t="shared" si="3"/>
        <v>1000</v>
      </c>
    </row>
    <row r="122" spans="1:10" ht="20.100000000000001" customHeight="1" x14ac:dyDescent="0.15">
      <c r="A122" s="10"/>
      <c r="B122" s="5"/>
      <c r="C122" s="10"/>
      <c r="D122" s="10"/>
      <c r="E122" s="10"/>
      <c r="F122" s="10"/>
      <c r="G122" s="8"/>
      <c r="H122" s="8"/>
      <c r="I122" s="8" t="str">
        <f t="shared" si="2"/>
        <v>借</v>
      </c>
      <c r="J122" s="9">
        <f t="shared" si="3"/>
        <v>1000</v>
      </c>
    </row>
    <row r="123" spans="1:10" ht="20.100000000000001" customHeight="1" x14ac:dyDescent="0.15">
      <c r="A123" s="10"/>
      <c r="B123" s="5"/>
      <c r="C123" s="10"/>
      <c r="D123" s="10"/>
      <c r="E123" s="17"/>
      <c r="F123" s="10"/>
      <c r="G123" s="8"/>
      <c r="H123" s="8"/>
      <c r="I123" s="8" t="str">
        <f t="shared" si="2"/>
        <v>借</v>
      </c>
      <c r="J123" s="9">
        <f t="shared" si="3"/>
        <v>1000</v>
      </c>
    </row>
    <row r="124" spans="1:10" ht="20.100000000000001" customHeight="1" x14ac:dyDescent="0.15">
      <c r="A124" s="5"/>
      <c r="B124" s="5"/>
      <c r="C124" s="10"/>
      <c r="D124" s="10"/>
      <c r="E124" s="10"/>
      <c r="F124" s="10"/>
      <c r="G124" s="8"/>
      <c r="H124" s="8"/>
      <c r="I124" s="8" t="str">
        <f t="shared" si="2"/>
        <v>借</v>
      </c>
      <c r="J124" s="9">
        <f t="shared" si="3"/>
        <v>1000</v>
      </c>
    </row>
    <row r="125" spans="1:10" ht="20.100000000000001" customHeight="1" x14ac:dyDescent="0.15">
      <c r="A125" s="5"/>
      <c r="B125" s="5"/>
      <c r="C125" s="10"/>
      <c r="D125" s="10"/>
      <c r="E125" s="10"/>
      <c r="F125" s="10"/>
      <c r="G125" s="8"/>
      <c r="H125" s="8"/>
      <c r="I125" s="8" t="str">
        <f t="shared" si="2"/>
        <v>借</v>
      </c>
      <c r="J125" s="9">
        <f t="shared" si="3"/>
        <v>1000</v>
      </c>
    </row>
    <row r="126" spans="1:10" ht="20.100000000000001" customHeight="1" x14ac:dyDescent="0.15">
      <c r="A126" s="5"/>
      <c r="B126" s="5"/>
      <c r="C126" s="10"/>
      <c r="D126" s="10"/>
      <c r="E126" s="10"/>
      <c r="F126" s="10"/>
      <c r="G126" s="8"/>
      <c r="H126" s="8"/>
      <c r="I126" s="8" t="str">
        <f t="shared" si="2"/>
        <v>借</v>
      </c>
      <c r="J126" s="9">
        <f t="shared" si="3"/>
        <v>1000</v>
      </c>
    </row>
    <row r="127" spans="1:10" ht="20.100000000000001" customHeight="1" x14ac:dyDescent="0.15">
      <c r="A127" s="5"/>
      <c r="B127" s="5"/>
      <c r="C127" s="10"/>
      <c r="D127" s="10"/>
      <c r="E127" s="10"/>
      <c r="F127" s="10"/>
      <c r="G127" s="8"/>
      <c r="H127" s="8"/>
      <c r="I127" s="8" t="str">
        <f t="shared" si="2"/>
        <v>借</v>
      </c>
      <c r="J127" s="9">
        <f t="shared" si="3"/>
        <v>1000</v>
      </c>
    </row>
    <row r="128" spans="1:10" ht="20.100000000000001" customHeight="1" x14ac:dyDescent="0.15">
      <c r="A128" s="5"/>
      <c r="B128" s="5"/>
      <c r="C128" s="5"/>
      <c r="D128" s="10"/>
      <c r="E128" s="10"/>
      <c r="F128" s="10"/>
      <c r="G128" s="8"/>
      <c r="H128" s="8"/>
      <c r="I128" s="8" t="str">
        <f t="shared" si="2"/>
        <v>借</v>
      </c>
      <c r="J128" s="9">
        <f t="shared" si="3"/>
        <v>1000</v>
      </c>
    </row>
    <row r="129" spans="1:10" ht="20.100000000000001" customHeight="1" x14ac:dyDescent="0.15">
      <c r="A129" s="5"/>
      <c r="B129" s="5"/>
      <c r="C129" s="5"/>
      <c r="D129" s="10"/>
      <c r="E129" s="16"/>
      <c r="F129" s="10"/>
      <c r="G129" s="8"/>
      <c r="H129" s="8"/>
      <c r="I129" s="8" t="str">
        <f t="shared" si="2"/>
        <v>借</v>
      </c>
      <c r="J129" s="9">
        <f t="shared" si="3"/>
        <v>1000</v>
      </c>
    </row>
    <row r="130" spans="1:10" ht="20.100000000000001" customHeight="1" x14ac:dyDescent="0.15">
      <c r="A130" s="10"/>
      <c r="B130" s="5"/>
      <c r="C130" s="5"/>
      <c r="D130" s="10"/>
      <c r="E130" s="16"/>
      <c r="F130" s="10"/>
      <c r="G130" s="8"/>
      <c r="H130" s="8"/>
      <c r="I130" s="8" t="str">
        <f t="shared" si="2"/>
        <v>借</v>
      </c>
      <c r="J130" s="9">
        <f t="shared" si="3"/>
        <v>1000</v>
      </c>
    </row>
    <row r="131" spans="1:10" ht="20.100000000000001" customHeight="1" x14ac:dyDescent="0.15">
      <c r="A131" s="10"/>
      <c r="B131" s="5"/>
      <c r="C131" s="5"/>
      <c r="D131" s="10"/>
      <c r="E131" s="16"/>
      <c r="F131" s="10"/>
      <c r="G131" s="8"/>
      <c r="H131" s="8"/>
      <c r="I131" s="8" t="str">
        <f t="shared" si="2"/>
        <v>借</v>
      </c>
      <c r="J131" s="9">
        <f t="shared" si="3"/>
        <v>1000</v>
      </c>
    </row>
    <row r="132" spans="1:10" ht="20.100000000000001" customHeight="1" x14ac:dyDescent="0.15">
      <c r="A132" s="5"/>
      <c r="B132" s="5"/>
      <c r="C132" s="5"/>
      <c r="D132" s="10"/>
      <c r="E132" s="16"/>
      <c r="F132" s="10"/>
      <c r="G132" s="8"/>
      <c r="H132" s="8"/>
      <c r="I132" s="8" t="str">
        <f t="shared" si="2"/>
        <v>借</v>
      </c>
      <c r="J132" s="9">
        <f t="shared" si="3"/>
        <v>1000</v>
      </c>
    </row>
    <row r="133" spans="1:10" ht="20.100000000000001" customHeight="1" x14ac:dyDescent="0.15">
      <c r="A133" s="5"/>
      <c r="B133" s="5"/>
      <c r="C133" s="5"/>
      <c r="D133" s="10"/>
      <c r="E133" s="16"/>
      <c r="F133" s="10"/>
      <c r="G133" s="8"/>
      <c r="H133" s="8"/>
      <c r="I133" s="8" t="str">
        <f t="shared" si="2"/>
        <v>借</v>
      </c>
      <c r="J133" s="9">
        <f t="shared" si="3"/>
        <v>1000</v>
      </c>
    </row>
    <row r="134" spans="1:10" ht="20.100000000000001" customHeight="1" x14ac:dyDescent="0.15">
      <c r="A134" s="5"/>
      <c r="B134" s="5"/>
      <c r="C134" s="5"/>
      <c r="D134" s="10"/>
      <c r="E134" s="16"/>
      <c r="F134" s="10"/>
      <c r="G134" s="8"/>
      <c r="H134" s="8"/>
      <c r="I134" s="8" t="str">
        <f t="shared" ref="I134:I197" si="4">IF((J133+G134-H134)&gt;0,"借","贷")</f>
        <v>借</v>
      </c>
      <c r="J134" s="9">
        <f t="shared" si="3"/>
        <v>1000</v>
      </c>
    </row>
    <row r="135" spans="1:10" ht="20.100000000000001" customHeight="1" x14ac:dyDescent="0.15">
      <c r="A135" s="5"/>
      <c r="B135" s="5"/>
      <c r="C135" s="5"/>
      <c r="D135" s="10"/>
      <c r="E135" s="16"/>
      <c r="F135" s="10"/>
      <c r="G135" s="8"/>
      <c r="H135" s="8"/>
      <c r="I135" s="8" t="str">
        <f t="shared" si="4"/>
        <v>借</v>
      </c>
      <c r="J135" s="9">
        <f t="shared" ref="J135:J198" si="5">J134+G135-H135</f>
        <v>1000</v>
      </c>
    </row>
    <row r="136" spans="1:10" ht="20.100000000000001" customHeight="1" x14ac:dyDescent="0.15">
      <c r="A136" s="5"/>
      <c r="B136" s="5"/>
      <c r="C136" s="5"/>
      <c r="D136" s="10"/>
      <c r="E136" s="10"/>
      <c r="F136" s="10"/>
      <c r="G136" s="8"/>
      <c r="H136" s="8"/>
      <c r="I136" s="8" t="str">
        <f t="shared" si="4"/>
        <v>借</v>
      </c>
      <c r="J136" s="9">
        <f t="shared" si="5"/>
        <v>1000</v>
      </c>
    </row>
    <row r="137" spans="1:10" ht="20.100000000000001" customHeight="1" x14ac:dyDescent="0.15">
      <c r="A137" s="5"/>
      <c r="B137" s="5"/>
      <c r="C137" s="5"/>
      <c r="D137" s="10"/>
      <c r="E137" s="10"/>
      <c r="F137" s="10"/>
      <c r="G137" s="8"/>
      <c r="H137" s="8"/>
      <c r="I137" s="8" t="str">
        <f t="shared" si="4"/>
        <v>借</v>
      </c>
      <c r="J137" s="9">
        <f t="shared" si="5"/>
        <v>1000</v>
      </c>
    </row>
    <row r="138" spans="1:10" ht="20.100000000000001" customHeight="1" x14ac:dyDescent="0.15">
      <c r="A138" s="10"/>
      <c r="B138" s="5"/>
      <c r="C138" s="5"/>
      <c r="D138" s="10"/>
      <c r="E138" s="10"/>
      <c r="F138" s="10"/>
      <c r="G138" s="8"/>
      <c r="H138" s="8"/>
      <c r="I138" s="8" t="str">
        <f t="shared" si="4"/>
        <v>借</v>
      </c>
      <c r="J138" s="9">
        <f t="shared" si="5"/>
        <v>1000</v>
      </c>
    </row>
    <row r="139" spans="1:10" ht="20.100000000000001" customHeight="1" x14ac:dyDescent="0.15">
      <c r="A139" s="10"/>
      <c r="B139" s="5"/>
      <c r="C139" s="5"/>
      <c r="D139" s="10"/>
      <c r="E139" s="10"/>
      <c r="F139" s="10"/>
      <c r="G139" s="8"/>
      <c r="H139" s="8"/>
      <c r="I139" s="8" t="str">
        <f t="shared" si="4"/>
        <v>借</v>
      </c>
      <c r="J139" s="9">
        <f t="shared" si="5"/>
        <v>1000</v>
      </c>
    </row>
    <row r="140" spans="1:10" ht="20.100000000000001" customHeight="1" x14ac:dyDescent="0.15">
      <c r="A140" s="5"/>
      <c r="B140" s="5"/>
      <c r="C140" s="5"/>
      <c r="D140" s="10"/>
      <c r="E140" s="10"/>
      <c r="F140" s="10"/>
      <c r="G140" s="8"/>
      <c r="H140" s="8"/>
      <c r="I140" s="8" t="str">
        <f t="shared" si="4"/>
        <v>借</v>
      </c>
      <c r="J140" s="9">
        <f t="shared" si="5"/>
        <v>1000</v>
      </c>
    </row>
    <row r="141" spans="1:10" ht="20.100000000000001" customHeight="1" x14ac:dyDescent="0.15">
      <c r="A141" s="5"/>
      <c r="B141" s="5"/>
      <c r="C141" s="5"/>
      <c r="D141" s="10"/>
      <c r="E141" s="10"/>
      <c r="F141" s="10"/>
      <c r="G141" s="8"/>
      <c r="H141" s="8"/>
      <c r="I141" s="8" t="str">
        <f t="shared" si="4"/>
        <v>借</v>
      </c>
      <c r="J141" s="9">
        <f t="shared" si="5"/>
        <v>1000</v>
      </c>
    </row>
    <row r="142" spans="1:10" ht="20.100000000000001" customHeight="1" x14ac:dyDescent="0.15">
      <c r="A142" s="5"/>
      <c r="B142" s="5"/>
      <c r="C142" s="5"/>
      <c r="D142" s="10"/>
      <c r="E142" s="10"/>
      <c r="F142" s="10"/>
      <c r="G142" s="8"/>
      <c r="H142" s="8"/>
      <c r="I142" s="8" t="str">
        <f t="shared" si="4"/>
        <v>借</v>
      </c>
      <c r="J142" s="9">
        <f t="shared" si="5"/>
        <v>1000</v>
      </c>
    </row>
    <row r="143" spans="1:10" ht="20.100000000000001" customHeight="1" x14ac:dyDescent="0.15">
      <c r="A143" s="5"/>
      <c r="B143" s="5"/>
      <c r="C143" s="5"/>
      <c r="D143" s="10"/>
      <c r="E143" s="10"/>
      <c r="F143" s="10"/>
      <c r="G143" s="8"/>
      <c r="H143" s="8"/>
      <c r="I143" s="8" t="str">
        <f t="shared" si="4"/>
        <v>借</v>
      </c>
      <c r="J143" s="9">
        <f t="shared" si="5"/>
        <v>1000</v>
      </c>
    </row>
    <row r="144" spans="1:10" ht="20.100000000000001" customHeight="1" x14ac:dyDescent="0.15">
      <c r="A144" s="5"/>
      <c r="B144" s="5"/>
      <c r="C144" s="5"/>
      <c r="D144" s="10"/>
      <c r="E144" s="10"/>
      <c r="F144" s="10"/>
      <c r="G144" s="8"/>
      <c r="H144" s="8"/>
      <c r="I144" s="8" t="str">
        <f t="shared" si="4"/>
        <v>借</v>
      </c>
      <c r="J144" s="9">
        <f t="shared" si="5"/>
        <v>1000</v>
      </c>
    </row>
    <row r="145" spans="1:10" ht="20.100000000000001" customHeight="1" x14ac:dyDescent="0.15">
      <c r="A145" s="5"/>
      <c r="B145" s="5"/>
      <c r="C145" s="5"/>
      <c r="D145" s="10"/>
      <c r="E145" s="10"/>
      <c r="F145" s="10"/>
      <c r="G145" s="8"/>
      <c r="H145" s="8"/>
      <c r="I145" s="8" t="str">
        <f t="shared" si="4"/>
        <v>借</v>
      </c>
      <c r="J145" s="9">
        <f t="shared" si="5"/>
        <v>1000</v>
      </c>
    </row>
    <row r="146" spans="1:10" ht="20.100000000000001" customHeight="1" x14ac:dyDescent="0.15">
      <c r="A146" s="5"/>
      <c r="B146" s="5"/>
      <c r="C146" s="5"/>
      <c r="D146" s="10"/>
      <c r="E146" s="10"/>
      <c r="F146" s="10"/>
      <c r="G146" s="8"/>
      <c r="H146" s="8"/>
      <c r="I146" s="8" t="str">
        <f t="shared" si="4"/>
        <v>借</v>
      </c>
      <c r="J146" s="9">
        <f t="shared" si="5"/>
        <v>1000</v>
      </c>
    </row>
    <row r="147" spans="1:10" ht="20.100000000000001" customHeight="1" x14ac:dyDescent="0.15">
      <c r="A147" s="5"/>
      <c r="B147" s="5"/>
      <c r="C147" s="5"/>
      <c r="D147" s="10"/>
      <c r="E147" s="10"/>
      <c r="F147" s="10"/>
      <c r="G147" s="8"/>
      <c r="H147" s="8"/>
      <c r="I147" s="8" t="str">
        <f t="shared" si="4"/>
        <v>借</v>
      </c>
      <c r="J147" s="9">
        <f t="shared" si="5"/>
        <v>1000</v>
      </c>
    </row>
    <row r="148" spans="1:10" ht="20.100000000000001" customHeight="1" x14ac:dyDescent="0.15">
      <c r="A148" s="10"/>
      <c r="B148" s="5"/>
      <c r="C148" s="5"/>
      <c r="D148" s="10"/>
      <c r="E148" s="10"/>
      <c r="F148" s="10"/>
      <c r="G148" s="8"/>
      <c r="H148" s="8"/>
      <c r="I148" s="8" t="str">
        <f t="shared" si="4"/>
        <v>借</v>
      </c>
      <c r="J148" s="9">
        <f t="shared" si="5"/>
        <v>1000</v>
      </c>
    </row>
    <row r="149" spans="1:10" ht="20.100000000000001" customHeight="1" x14ac:dyDescent="0.15">
      <c r="A149" s="10"/>
      <c r="B149" s="5"/>
      <c r="C149" s="5"/>
      <c r="D149" s="10"/>
      <c r="E149" s="10"/>
      <c r="F149" s="10"/>
      <c r="G149" s="8"/>
      <c r="H149" s="8"/>
      <c r="I149" s="8" t="str">
        <f t="shared" si="4"/>
        <v>借</v>
      </c>
      <c r="J149" s="9">
        <f t="shared" si="5"/>
        <v>1000</v>
      </c>
    </row>
    <row r="150" spans="1:10" ht="20.100000000000001" customHeight="1" x14ac:dyDescent="0.15">
      <c r="A150" s="5"/>
      <c r="B150" s="5"/>
      <c r="C150" s="5"/>
      <c r="D150" s="10"/>
      <c r="E150" s="10"/>
      <c r="F150" s="10"/>
      <c r="G150" s="8"/>
      <c r="H150" s="8"/>
      <c r="I150" s="8" t="str">
        <f t="shared" si="4"/>
        <v>借</v>
      </c>
      <c r="J150" s="9">
        <f t="shared" si="5"/>
        <v>1000</v>
      </c>
    </row>
    <row r="151" spans="1:10" ht="20.100000000000001" customHeight="1" x14ac:dyDescent="0.15">
      <c r="A151" s="5"/>
      <c r="B151" s="5"/>
      <c r="C151" s="5"/>
      <c r="D151" s="10"/>
      <c r="E151" s="10"/>
      <c r="F151" s="10"/>
      <c r="G151" s="8"/>
      <c r="H151" s="8"/>
      <c r="I151" s="8" t="str">
        <f t="shared" si="4"/>
        <v>借</v>
      </c>
      <c r="J151" s="9">
        <f t="shared" si="5"/>
        <v>1000</v>
      </c>
    </row>
    <row r="152" spans="1:10" ht="20.100000000000001" customHeight="1" x14ac:dyDescent="0.15">
      <c r="A152" s="5"/>
      <c r="B152" s="5"/>
      <c r="C152" s="5"/>
      <c r="D152" s="10"/>
      <c r="E152" s="10"/>
      <c r="F152" s="10"/>
      <c r="G152" s="8"/>
      <c r="H152" s="8"/>
      <c r="I152" s="8" t="str">
        <f t="shared" si="4"/>
        <v>借</v>
      </c>
      <c r="J152" s="9">
        <f t="shared" si="5"/>
        <v>1000</v>
      </c>
    </row>
    <row r="153" spans="1:10" ht="20.100000000000001" customHeight="1" x14ac:dyDescent="0.15">
      <c r="A153" s="5"/>
      <c r="B153" s="5"/>
      <c r="C153" s="5"/>
      <c r="D153" s="10"/>
      <c r="E153" s="10"/>
      <c r="F153" s="10"/>
      <c r="G153" s="8"/>
      <c r="H153" s="8"/>
      <c r="I153" s="8" t="str">
        <f t="shared" si="4"/>
        <v>借</v>
      </c>
      <c r="J153" s="9">
        <f t="shared" si="5"/>
        <v>1000</v>
      </c>
    </row>
    <row r="154" spans="1:10" ht="20.100000000000001" customHeight="1" x14ac:dyDescent="0.15">
      <c r="A154" s="5"/>
      <c r="B154" s="5"/>
      <c r="C154" s="5"/>
      <c r="D154" s="10"/>
      <c r="E154" s="10"/>
      <c r="F154" s="10"/>
      <c r="G154" s="8"/>
      <c r="H154" s="8"/>
      <c r="I154" s="8" t="str">
        <f t="shared" si="4"/>
        <v>借</v>
      </c>
      <c r="J154" s="9">
        <f t="shared" si="5"/>
        <v>1000</v>
      </c>
    </row>
    <row r="155" spans="1:10" ht="20.100000000000001" customHeight="1" x14ac:dyDescent="0.15">
      <c r="A155" s="5"/>
      <c r="B155" s="5"/>
      <c r="C155" s="5"/>
      <c r="D155" s="10"/>
      <c r="E155" s="10"/>
      <c r="F155" s="10"/>
      <c r="G155" s="8"/>
      <c r="H155" s="8"/>
      <c r="I155" s="8" t="str">
        <f t="shared" si="4"/>
        <v>借</v>
      </c>
      <c r="J155" s="9">
        <f t="shared" si="5"/>
        <v>1000</v>
      </c>
    </row>
    <row r="156" spans="1:10" ht="20.100000000000001" customHeight="1" x14ac:dyDescent="0.15">
      <c r="A156" s="5"/>
      <c r="B156" s="5"/>
      <c r="C156" s="5"/>
      <c r="D156" s="10"/>
      <c r="E156" s="10"/>
      <c r="F156" s="10"/>
      <c r="G156" s="8"/>
      <c r="H156" s="8"/>
      <c r="I156" s="8" t="str">
        <f t="shared" si="4"/>
        <v>借</v>
      </c>
      <c r="J156" s="9">
        <f t="shared" si="5"/>
        <v>1000</v>
      </c>
    </row>
    <row r="157" spans="1:10" ht="20.100000000000001" customHeight="1" x14ac:dyDescent="0.15">
      <c r="A157" s="5"/>
      <c r="B157" s="5"/>
      <c r="C157" s="5"/>
      <c r="D157" s="10"/>
      <c r="E157" s="10"/>
      <c r="F157" s="10"/>
      <c r="G157" s="8"/>
      <c r="H157" s="8"/>
      <c r="I157" s="8" t="str">
        <f t="shared" si="4"/>
        <v>借</v>
      </c>
      <c r="J157" s="9">
        <f t="shared" si="5"/>
        <v>1000</v>
      </c>
    </row>
    <row r="158" spans="1:10" ht="20.100000000000001" customHeight="1" x14ac:dyDescent="0.15">
      <c r="A158" s="5"/>
      <c r="B158" s="5"/>
      <c r="C158" s="5"/>
      <c r="D158" s="10"/>
      <c r="E158" s="10"/>
      <c r="F158" s="10"/>
      <c r="G158" s="8"/>
      <c r="H158" s="8"/>
      <c r="I158" s="8" t="str">
        <f t="shared" si="4"/>
        <v>借</v>
      </c>
      <c r="J158" s="9">
        <f t="shared" si="5"/>
        <v>1000</v>
      </c>
    </row>
    <row r="159" spans="1:10" ht="20.100000000000001" customHeight="1" x14ac:dyDescent="0.15">
      <c r="A159" s="10"/>
      <c r="B159" s="5"/>
      <c r="C159" s="5"/>
      <c r="D159" s="10"/>
      <c r="E159" s="10"/>
      <c r="F159" s="10"/>
      <c r="G159" s="8"/>
      <c r="H159" s="8"/>
      <c r="I159" s="8" t="str">
        <f t="shared" si="4"/>
        <v>借</v>
      </c>
      <c r="J159" s="9">
        <f t="shared" si="5"/>
        <v>1000</v>
      </c>
    </row>
    <row r="160" spans="1:10" ht="20.100000000000001" customHeight="1" x14ac:dyDescent="0.15">
      <c r="A160" s="10"/>
      <c r="B160" s="5"/>
      <c r="C160" s="5"/>
      <c r="D160" s="10"/>
      <c r="E160" s="10"/>
      <c r="F160" s="10"/>
      <c r="G160" s="8"/>
      <c r="H160" s="8"/>
      <c r="I160" s="8" t="str">
        <f t="shared" si="4"/>
        <v>借</v>
      </c>
      <c r="J160" s="9">
        <f t="shared" si="5"/>
        <v>1000</v>
      </c>
    </row>
    <row r="161" spans="1:10" ht="20.100000000000001" customHeight="1" x14ac:dyDescent="0.15">
      <c r="A161" s="10"/>
      <c r="B161" s="5"/>
      <c r="C161" s="5"/>
      <c r="D161" s="10"/>
      <c r="E161" s="18"/>
      <c r="F161" s="10"/>
      <c r="G161" s="8"/>
      <c r="H161" s="8"/>
      <c r="I161" s="8" t="str">
        <f t="shared" si="4"/>
        <v>借</v>
      </c>
      <c r="J161" s="9">
        <f t="shared" si="5"/>
        <v>1000</v>
      </c>
    </row>
    <row r="162" spans="1:10" ht="20.100000000000001" customHeight="1" x14ac:dyDescent="0.15">
      <c r="A162" s="10"/>
      <c r="B162" s="5"/>
      <c r="C162" s="5"/>
      <c r="D162" s="10"/>
      <c r="E162" s="10"/>
      <c r="F162" s="10"/>
      <c r="G162" s="8"/>
      <c r="H162" s="8"/>
      <c r="I162" s="8" t="str">
        <f t="shared" si="4"/>
        <v>借</v>
      </c>
      <c r="J162" s="9">
        <f t="shared" si="5"/>
        <v>1000</v>
      </c>
    </row>
    <row r="163" spans="1:10" ht="20.100000000000001" customHeight="1" x14ac:dyDescent="0.15">
      <c r="A163" s="10"/>
      <c r="B163" s="5"/>
      <c r="C163" s="10"/>
      <c r="D163" s="10"/>
      <c r="E163" s="10"/>
      <c r="F163" s="10"/>
      <c r="G163" s="8"/>
      <c r="H163" s="8"/>
      <c r="I163" s="8" t="str">
        <f t="shared" si="4"/>
        <v>借</v>
      </c>
      <c r="J163" s="9">
        <f t="shared" si="5"/>
        <v>1000</v>
      </c>
    </row>
    <row r="164" spans="1:10" ht="20.100000000000001" customHeight="1" x14ac:dyDescent="0.15">
      <c r="A164" s="10"/>
      <c r="B164" s="5"/>
      <c r="C164" s="10"/>
      <c r="D164" s="10"/>
      <c r="E164" s="10"/>
      <c r="F164" s="10"/>
      <c r="G164" s="8"/>
      <c r="H164" s="8"/>
      <c r="I164" s="8" t="str">
        <f t="shared" si="4"/>
        <v>借</v>
      </c>
      <c r="J164" s="9">
        <f t="shared" si="5"/>
        <v>1000</v>
      </c>
    </row>
    <row r="165" spans="1:10" ht="20.100000000000001" customHeight="1" x14ac:dyDescent="0.15">
      <c r="A165" s="10"/>
      <c r="B165" s="5"/>
      <c r="C165" s="10"/>
      <c r="D165" s="10"/>
      <c r="E165" s="10"/>
      <c r="F165" s="10"/>
      <c r="G165" s="8"/>
      <c r="H165" s="8"/>
      <c r="I165" s="8" t="str">
        <f t="shared" si="4"/>
        <v>借</v>
      </c>
      <c r="J165" s="9">
        <f t="shared" si="5"/>
        <v>1000</v>
      </c>
    </row>
    <row r="166" spans="1:10" ht="20.100000000000001" customHeight="1" x14ac:dyDescent="0.15">
      <c r="A166" s="10"/>
      <c r="B166" s="5"/>
      <c r="C166" s="10"/>
      <c r="D166" s="10"/>
      <c r="E166" s="10"/>
      <c r="F166" s="10"/>
      <c r="G166" s="8"/>
      <c r="H166" s="8"/>
      <c r="I166" s="8" t="str">
        <f t="shared" si="4"/>
        <v>借</v>
      </c>
      <c r="J166" s="9">
        <f t="shared" si="5"/>
        <v>1000</v>
      </c>
    </row>
    <row r="167" spans="1:10" ht="20.100000000000001" customHeight="1" x14ac:dyDescent="0.15">
      <c r="A167" s="10"/>
      <c r="B167" s="5"/>
      <c r="C167" s="10"/>
      <c r="D167" s="10"/>
      <c r="E167" s="10"/>
      <c r="F167" s="10"/>
      <c r="G167" s="8"/>
      <c r="H167" s="8"/>
      <c r="I167" s="8" t="str">
        <f t="shared" si="4"/>
        <v>借</v>
      </c>
      <c r="J167" s="9">
        <f t="shared" si="5"/>
        <v>1000</v>
      </c>
    </row>
    <row r="168" spans="1:10" ht="20.100000000000001" customHeight="1" x14ac:dyDescent="0.15">
      <c r="A168" s="10"/>
      <c r="B168" s="5"/>
      <c r="C168" s="10"/>
      <c r="D168" s="10"/>
      <c r="E168" s="10"/>
      <c r="F168" s="10"/>
      <c r="G168" s="8"/>
      <c r="H168" s="8"/>
      <c r="I168" s="8" t="str">
        <f t="shared" si="4"/>
        <v>借</v>
      </c>
      <c r="J168" s="9">
        <f t="shared" si="5"/>
        <v>1000</v>
      </c>
    </row>
    <row r="169" spans="1:10" ht="20.100000000000001" customHeight="1" x14ac:dyDescent="0.15">
      <c r="A169" s="10"/>
      <c r="B169" s="5"/>
      <c r="C169" s="10"/>
      <c r="D169" s="10"/>
      <c r="E169" s="10"/>
      <c r="F169" s="10"/>
      <c r="G169" s="8"/>
      <c r="H169" s="8"/>
      <c r="I169" s="8" t="str">
        <f t="shared" si="4"/>
        <v>借</v>
      </c>
      <c r="J169" s="9">
        <f t="shared" si="5"/>
        <v>1000</v>
      </c>
    </row>
    <row r="170" spans="1:10" ht="20.100000000000001" customHeight="1" x14ac:dyDescent="0.15">
      <c r="A170" s="10"/>
      <c r="B170" s="5"/>
      <c r="C170" s="10"/>
      <c r="D170" s="10"/>
      <c r="E170" s="10"/>
      <c r="F170" s="10"/>
      <c r="G170" s="8"/>
      <c r="H170" s="8"/>
      <c r="I170" s="8" t="str">
        <f t="shared" si="4"/>
        <v>借</v>
      </c>
      <c r="J170" s="9">
        <f t="shared" si="5"/>
        <v>1000</v>
      </c>
    </row>
    <row r="171" spans="1:10" ht="20.100000000000001" customHeight="1" x14ac:dyDescent="0.15">
      <c r="A171" s="10"/>
      <c r="B171" s="5"/>
      <c r="C171" s="10"/>
      <c r="D171" s="10"/>
      <c r="E171" s="10"/>
      <c r="F171" s="10"/>
      <c r="G171" s="8"/>
      <c r="H171" s="8"/>
      <c r="I171" s="8" t="str">
        <f t="shared" si="4"/>
        <v>借</v>
      </c>
      <c r="J171" s="9">
        <f t="shared" si="5"/>
        <v>1000</v>
      </c>
    </row>
    <row r="172" spans="1:10" ht="20.100000000000001" customHeight="1" x14ac:dyDescent="0.15">
      <c r="A172" s="10"/>
      <c r="B172" s="5"/>
      <c r="C172" s="10"/>
      <c r="D172" s="10"/>
      <c r="E172" s="10"/>
      <c r="F172" s="10"/>
      <c r="G172" s="8"/>
      <c r="H172" s="8"/>
      <c r="I172" s="8" t="str">
        <f t="shared" si="4"/>
        <v>借</v>
      </c>
      <c r="J172" s="9">
        <f t="shared" si="5"/>
        <v>1000</v>
      </c>
    </row>
    <row r="173" spans="1:10" ht="20.100000000000001" customHeight="1" x14ac:dyDescent="0.15">
      <c r="A173" s="10"/>
      <c r="B173" s="5"/>
      <c r="C173" s="10"/>
      <c r="D173" s="10"/>
      <c r="E173" s="10"/>
      <c r="F173" s="10"/>
      <c r="G173" s="8"/>
      <c r="H173" s="8"/>
      <c r="I173" s="8" t="str">
        <f t="shared" si="4"/>
        <v>借</v>
      </c>
      <c r="J173" s="9">
        <f t="shared" si="5"/>
        <v>1000</v>
      </c>
    </row>
    <row r="174" spans="1:10" ht="20.100000000000001" customHeight="1" x14ac:dyDescent="0.15">
      <c r="A174" s="10"/>
      <c r="B174" s="5"/>
      <c r="C174" s="10"/>
      <c r="D174" s="10"/>
      <c r="E174" s="10"/>
      <c r="F174" s="10"/>
      <c r="G174" s="8"/>
      <c r="H174" s="8"/>
      <c r="I174" s="8" t="str">
        <f t="shared" si="4"/>
        <v>借</v>
      </c>
      <c r="J174" s="9">
        <f t="shared" si="5"/>
        <v>1000</v>
      </c>
    </row>
    <row r="175" spans="1:10" ht="20.100000000000001" customHeight="1" x14ac:dyDescent="0.15">
      <c r="A175" s="10"/>
      <c r="B175" s="5"/>
      <c r="C175" s="10"/>
      <c r="D175" s="10"/>
      <c r="E175" s="10"/>
      <c r="F175" s="10"/>
      <c r="G175" s="8"/>
      <c r="H175" s="8"/>
      <c r="I175" s="8" t="str">
        <f t="shared" si="4"/>
        <v>借</v>
      </c>
      <c r="J175" s="9">
        <f t="shared" si="5"/>
        <v>1000</v>
      </c>
    </row>
    <row r="176" spans="1:10" ht="20.100000000000001" customHeight="1" x14ac:dyDescent="0.15">
      <c r="A176" s="10"/>
      <c r="B176" s="5"/>
      <c r="C176" s="10"/>
      <c r="D176" s="10"/>
      <c r="E176" s="10"/>
      <c r="F176" s="10"/>
      <c r="G176" s="8"/>
      <c r="H176" s="8"/>
      <c r="I176" s="8" t="str">
        <f t="shared" si="4"/>
        <v>借</v>
      </c>
      <c r="J176" s="9">
        <f t="shared" si="5"/>
        <v>1000</v>
      </c>
    </row>
    <row r="177" spans="1:10" ht="20.100000000000001" customHeight="1" x14ac:dyDescent="0.15">
      <c r="A177" s="10"/>
      <c r="B177" s="5"/>
      <c r="C177" s="10"/>
      <c r="D177" s="10"/>
      <c r="E177" s="10"/>
      <c r="F177" s="10"/>
      <c r="G177" s="8"/>
      <c r="H177" s="8"/>
      <c r="I177" s="8" t="str">
        <f t="shared" si="4"/>
        <v>借</v>
      </c>
      <c r="J177" s="9">
        <f t="shared" si="5"/>
        <v>1000</v>
      </c>
    </row>
    <row r="178" spans="1:10" ht="20.100000000000001" customHeight="1" x14ac:dyDescent="0.15">
      <c r="A178" s="10"/>
      <c r="B178" s="5"/>
      <c r="C178" s="10"/>
      <c r="D178" s="10"/>
      <c r="E178" s="10"/>
      <c r="F178" s="10"/>
      <c r="G178" s="8"/>
      <c r="H178" s="8"/>
      <c r="I178" s="8" t="str">
        <f t="shared" si="4"/>
        <v>借</v>
      </c>
      <c r="J178" s="9">
        <f t="shared" si="5"/>
        <v>1000</v>
      </c>
    </row>
    <row r="179" spans="1:10" ht="20.100000000000001" customHeight="1" x14ac:dyDescent="0.15">
      <c r="A179" s="10"/>
      <c r="B179" s="5"/>
      <c r="C179" s="10"/>
      <c r="D179" s="10"/>
      <c r="E179" s="10"/>
      <c r="F179" s="10"/>
      <c r="G179" s="8"/>
      <c r="H179" s="8"/>
      <c r="I179" s="8" t="str">
        <f t="shared" si="4"/>
        <v>借</v>
      </c>
      <c r="J179" s="9">
        <f t="shared" si="5"/>
        <v>1000</v>
      </c>
    </row>
    <row r="180" spans="1:10" ht="20.100000000000001" customHeight="1" x14ac:dyDescent="0.15">
      <c r="A180" s="10"/>
      <c r="B180" s="5"/>
      <c r="C180" s="10"/>
      <c r="D180" s="10"/>
      <c r="E180" s="10"/>
      <c r="F180" s="10"/>
      <c r="G180" s="8"/>
      <c r="H180" s="8"/>
      <c r="I180" s="8" t="str">
        <f t="shared" si="4"/>
        <v>借</v>
      </c>
      <c r="J180" s="9">
        <f t="shared" si="5"/>
        <v>1000</v>
      </c>
    </row>
    <row r="181" spans="1:10" ht="20.100000000000001" customHeight="1" x14ac:dyDescent="0.15">
      <c r="A181" s="10"/>
      <c r="B181" s="5"/>
      <c r="C181" s="10"/>
      <c r="D181" s="10"/>
      <c r="E181" s="10"/>
      <c r="F181" s="10"/>
      <c r="G181" s="8"/>
      <c r="H181" s="8"/>
      <c r="I181" s="8" t="str">
        <f t="shared" si="4"/>
        <v>借</v>
      </c>
      <c r="J181" s="9">
        <f t="shared" si="5"/>
        <v>1000</v>
      </c>
    </row>
    <row r="182" spans="1:10" ht="20.100000000000001" customHeight="1" x14ac:dyDescent="0.15">
      <c r="A182" s="10"/>
      <c r="B182" s="5"/>
      <c r="C182" s="10"/>
      <c r="D182" s="10"/>
      <c r="E182" s="10"/>
      <c r="F182" s="10"/>
      <c r="G182" s="8"/>
      <c r="H182" s="8"/>
      <c r="I182" s="8" t="str">
        <f t="shared" si="4"/>
        <v>借</v>
      </c>
      <c r="J182" s="9">
        <f t="shared" si="5"/>
        <v>1000</v>
      </c>
    </row>
    <row r="183" spans="1:10" ht="20.100000000000001" customHeight="1" x14ac:dyDescent="0.15">
      <c r="A183" s="10"/>
      <c r="B183" s="5"/>
      <c r="C183" s="10"/>
      <c r="D183" s="10"/>
      <c r="E183" s="10"/>
      <c r="F183" s="10"/>
      <c r="G183" s="8"/>
      <c r="H183" s="8"/>
      <c r="I183" s="8" t="str">
        <f t="shared" si="4"/>
        <v>借</v>
      </c>
      <c r="J183" s="9">
        <f t="shared" si="5"/>
        <v>1000</v>
      </c>
    </row>
    <row r="184" spans="1:10" ht="20.100000000000001" customHeight="1" x14ac:dyDescent="0.15">
      <c r="A184" s="10"/>
      <c r="B184" s="5"/>
      <c r="C184" s="10"/>
      <c r="D184" s="10"/>
      <c r="E184" s="10"/>
      <c r="F184" s="10"/>
      <c r="G184" s="8"/>
      <c r="H184" s="8"/>
      <c r="I184" s="8" t="str">
        <f t="shared" si="4"/>
        <v>借</v>
      </c>
      <c r="J184" s="9">
        <f t="shared" si="5"/>
        <v>1000</v>
      </c>
    </row>
    <row r="185" spans="1:10" ht="20.100000000000001" customHeight="1" x14ac:dyDescent="0.15">
      <c r="A185" s="10"/>
      <c r="B185" s="5"/>
      <c r="C185" s="10"/>
      <c r="D185" s="10"/>
      <c r="E185" s="10"/>
      <c r="F185" s="10"/>
      <c r="G185" s="8"/>
      <c r="H185" s="8"/>
      <c r="I185" s="8" t="str">
        <f t="shared" si="4"/>
        <v>借</v>
      </c>
      <c r="J185" s="9">
        <f t="shared" si="5"/>
        <v>1000</v>
      </c>
    </row>
    <row r="186" spans="1:10" ht="20.100000000000001" customHeight="1" x14ac:dyDescent="0.15">
      <c r="A186" s="10"/>
      <c r="B186" s="5"/>
      <c r="C186" s="10"/>
      <c r="D186" s="10"/>
      <c r="E186" s="10"/>
      <c r="F186" s="10"/>
      <c r="G186" s="8"/>
      <c r="H186" s="8"/>
      <c r="I186" s="8" t="str">
        <f t="shared" si="4"/>
        <v>借</v>
      </c>
      <c r="J186" s="9">
        <f t="shared" si="5"/>
        <v>1000</v>
      </c>
    </row>
    <row r="187" spans="1:10" ht="20.100000000000001" customHeight="1" x14ac:dyDescent="0.15">
      <c r="A187" s="10"/>
      <c r="B187" s="5"/>
      <c r="C187" s="10"/>
      <c r="D187" s="10"/>
      <c r="E187" s="10"/>
      <c r="F187" s="10"/>
      <c r="G187" s="8"/>
      <c r="H187" s="8"/>
      <c r="I187" s="8" t="str">
        <f t="shared" si="4"/>
        <v>借</v>
      </c>
      <c r="J187" s="9">
        <f t="shared" si="5"/>
        <v>1000</v>
      </c>
    </row>
    <row r="188" spans="1:10" ht="20.100000000000001" customHeight="1" x14ac:dyDescent="0.15">
      <c r="A188" s="10"/>
      <c r="B188" s="5"/>
      <c r="C188" s="10"/>
      <c r="D188" s="10"/>
      <c r="E188" s="10"/>
      <c r="F188" s="10"/>
      <c r="G188" s="8"/>
      <c r="H188" s="8"/>
      <c r="I188" s="8" t="str">
        <f t="shared" si="4"/>
        <v>借</v>
      </c>
      <c r="J188" s="9">
        <f t="shared" si="5"/>
        <v>1000</v>
      </c>
    </row>
    <row r="189" spans="1:10" ht="20.100000000000001" customHeight="1" x14ac:dyDescent="0.15">
      <c r="A189" s="10"/>
      <c r="B189" s="5"/>
      <c r="C189" s="10"/>
      <c r="D189" s="10"/>
      <c r="E189" s="19"/>
      <c r="F189" s="10"/>
      <c r="G189" s="8"/>
      <c r="H189" s="8"/>
      <c r="I189" s="8" t="str">
        <f t="shared" si="4"/>
        <v>借</v>
      </c>
      <c r="J189" s="9">
        <f t="shared" si="5"/>
        <v>1000</v>
      </c>
    </row>
    <row r="190" spans="1:10" ht="20.100000000000001" customHeight="1" x14ac:dyDescent="0.15">
      <c r="A190" s="10"/>
      <c r="B190" s="5"/>
      <c r="C190" s="10"/>
      <c r="D190" s="10"/>
      <c r="E190" s="10"/>
      <c r="F190" s="10"/>
      <c r="G190" s="8"/>
      <c r="H190" s="8"/>
      <c r="I190" s="8" t="str">
        <f t="shared" si="4"/>
        <v>借</v>
      </c>
      <c r="J190" s="9">
        <f t="shared" si="5"/>
        <v>1000</v>
      </c>
    </row>
    <row r="191" spans="1:10" ht="20.100000000000001" customHeight="1" x14ac:dyDescent="0.15">
      <c r="A191" s="10"/>
      <c r="B191" s="5"/>
      <c r="C191" s="10"/>
      <c r="D191" s="10"/>
      <c r="E191" s="10"/>
      <c r="F191" s="10"/>
      <c r="G191" s="8"/>
      <c r="H191" s="8"/>
      <c r="I191" s="8" t="str">
        <f t="shared" si="4"/>
        <v>借</v>
      </c>
      <c r="J191" s="9">
        <f t="shared" si="5"/>
        <v>1000</v>
      </c>
    </row>
    <row r="192" spans="1:10" ht="20.100000000000001" customHeight="1" x14ac:dyDescent="0.15">
      <c r="A192" s="10"/>
      <c r="B192" s="5"/>
      <c r="C192" s="10"/>
      <c r="D192" s="10"/>
      <c r="E192" s="10"/>
      <c r="F192" s="10"/>
      <c r="G192" s="8"/>
      <c r="H192" s="8"/>
      <c r="I192" s="8" t="str">
        <f t="shared" si="4"/>
        <v>借</v>
      </c>
      <c r="J192" s="9">
        <f t="shared" si="5"/>
        <v>1000</v>
      </c>
    </row>
    <row r="193" spans="1:10" ht="20.100000000000001" customHeight="1" x14ac:dyDescent="0.15">
      <c r="A193" s="10"/>
      <c r="B193" s="5"/>
      <c r="C193" s="10"/>
      <c r="D193" s="10"/>
      <c r="E193" s="10"/>
      <c r="F193" s="10"/>
      <c r="G193" s="8"/>
      <c r="H193" s="8"/>
      <c r="I193" s="8" t="str">
        <f t="shared" si="4"/>
        <v>借</v>
      </c>
      <c r="J193" s="9">
        <f t="shared" si="5"/>
        <v>1000</v>
      </c>
    </row>
    <row r="194" spans="1:10" ht="20.100000000000001" customHeight="1" x14ac:dyDescent="0.15">
      <c r="A194" s="10"/>
      <c r="B194" s="5"/>
      <c r="C194" s="10"/>
      <c r="D194" s="10"/>
      <c r="E194" s="10"/>
      <c r="F194" s="10"/>
      <c r="G194" s="8"/>
      <c r="H194" s="8"/>
      <c r="I194" s="8" t="str">
        <f t="shared" si="4"/>
        <v>借</v>
      </c>
      <c r="J194" s="9">
        <f t="shared" si="5"/>
        <v>1000</v>
      </c>
    </row>
    <row r="195" spans="1:10" ht="20.100000000000001" customHeight="1" x14ac:dyDescent="0.15">
      <c r="A195" s="10"/>
      <c r="B195" s="5"/>
      <c r="C195" s="10"/>
      <c r="D195" s="10"/>
      <c r="E195" s="10"/>
      <c r="F195" s="10"/>
      <c r="G195" s="8"/>
      <c r="H195" s="8"/>
      <c r="I195" s="8" t="str">
        <f t="shared" si="4"/>
        <v>借</v>
      </c>
      <c r="J195" s="9">
        <f t="shared" si="5"/>
        <v>1000</v>
      </c>
    </row>
    <row r="196" spans="1:10" ht="20.100000000000001" customHeight="1" x14ac:dyDescent="0.15">
      <c r="A196" s="10"/>
      <c r="B196" s="5"/>
      <c r="C196" s="10"/>
      <c r="D196" s="10"/>
      <c r="E196" s="10"/>
      <c r="F196" s="10"/>
      <c r="G196" s="8"/>
      <c r="H196" s="8"/>
      <c r="I196" s="8" t="str">
        <f t="shared" si="4"/>
        <v>借</v>
      </c>
      <c r="J196" s="9">
        <f t="shared" si="5"/>
        <v>1000</v>
      </c>
    </row>
    <row r="197" spans="1:10" ht="20.100000000000001" customHeight="1" x14ac:dyDescent="0.15">
      <c r="A197" s="10"/>
      <c r="B197" s="5"/>
      <c r="C197" s="10"/>
      <c r="D197" s="10"/>
      <c r="E197" s="10"/>
      <c r="F197" s="10"/>
      <c r="G197" s="8"/>
      <c r="H197" s="8"/>
      <c r="I197" s="8" t="str">
        <f t="shared" si="4"/>
        <v>借</v>
      </c>
      <c r="J197" s="9">
        <f t="shared" si="5"/>
        <v>1000</v>
      </c>
    </row>
    <row r="198" spans="1:10" ht="20.100000000000001" customHeight="1" x14ac:dyDescent="0.15">
      <c r="A198" s="10"/>
      <c r="B198" s="5"/>
      <c r="C198" s="10"/>
      <c r="D198" s="10"/>
      <c r="E198" s="10"/>
      <c r="F198" s="10"/>
      <c r="G198" s="8"/>
      <c r="H198" s="8"/>
      <c r="I198" s="8" t="str">
        <f t="shared" ref="I198:I261" si="6">IF((J197+G198-H198)&gt;0,"借","贷")</f>
        <v>借</v>
      </c>
      <c r="J198" s="9">
        <f t="shared" si="5"/>
        <v>1000</v>
      </c>
    </row>
    <row r="199" spans="1:10" ht="20.100000000000001" customHeight="1" x14ac:dyDescent="0.15">
      <c r="A199" s="10"/>
      <c r="B199" s="5"/>
      <c r="C199" s="10"/>
      <c r="D199" s="10"/>
      <c r="E199" s="10"/>
      <c r="F199" s="10"/>
      <c r="G199" s="8"/>
      <c r="H199" s="8"/>
      <c r="I199" s="8" t="str">
        <f t="shared" si="6"/>
        <v>借</v>
      </c>
      <c r="J199" s="9">
        <f t="shared" ref="J199:J262" si="7">J198+G199-H199</f>
        <v>1000</v>
      </c>
    </row>
    <row r="200" spans="1:10" ht="20.100000000000001" customHeight="1" x14ac:dyDescent="0.15">
      <c r="A200" s="10"/>
      <c r="B200" s="5"/>
      <c r="C200" s="10"/>
      <c r="D200" s="10"/>
      <c r="E200" s="10"/>
      <c r="F200" s="10"/>
      <c r="G200" s="8"/>
      <c r="H200" s="8"/>
      <c r="I200" s="8" t="str">
        <f t="shared" si="6"/>
        <v>借</v>
      </c>
      <c r="J200" s="9">
        <f t="shared" si="7"/>
        <v>1000</v>
      </c>
    </row>
    <row r="201" spans="1:10" ht="20.100000000000001" customHeight="1" x14ac:dyDescent="0.15">
      <c r="A201" s="10"/>
      <c r="B201" s="5"/>
      <c r="C201" s="10"/>
      <c r="D201" s="10"/>
      <c r="E201" s="10"/>
      <c r="F201" s="10"/>
      <c r="G201" s="8"/>
      <c r="H201" s="8"/>
      <c r="I201" s="8" t="str">
        <f t="shared" si="6"/>
        <v>借</v>
      </c>
      <c r="J201" s="9">
        <f t="shared" si="7"/>
        <v>1000</v>
      </c>
    </row>
    <row r="202" spans="1:10" ht="20.100000000000001" customHeight="1" x14ac:dyDescent="0.15">
      <c r="A202" s="10"/>
      <c r="B202" s="5"/>
      <c r="C202" s="10"/>
      <c r="D202" s="10"/>
      <c r="E202" s="10"/>
      <c r="F202" s="10"/>
      <c r="G202" s="8"/>
      <c r="H202" s="8"/>
      <c r="I202" s="8" t="str">
        <f t="shared" si="6"/>
        <v>借</v>
      </c>
      <c r="J202" s="9">
        <f t="shared" si="7"/>
        <v>1000</v>
      </c>
    </row>
    <row r="203" spans="1:10" ht="20.100000000000001" customHeight="1" x14ac:dyDescent="0.15">
      <c r="A203" s="10"/>
      <c r="B203" s="5"/>
      <c r="C203" s="10"/>
      <c r="D203" s="10"/>
      <c r="E203" s="10"/>
      <c r="F203" s="10"/>
      <c r="G203" s="8"/>
      <c r="H203" s="8"/>
      <c r="I203" s="8" t="str">
        <f t="shared" si="6"/>
        <v>借</v>
      </c>
      <c r="J203" s="9">
        <f t="shared" si="7"/>
        <v>1000</v>
      </c>
    </row>
    <row r="204" spans="1:10" ht="20.100000000000001" customHeight="1" x14ac:dyDescent="0.15">
      <c r="A204" s="10"/>
      <c r="B204" s="5"/>
      <c r="C204" s="10"/>
      <c r="D204" s="10"/>
      <c r="E204" s="10"/>
      <c r="F204" s="10"/>
      <c r="G204" s="8"/>
      <c r="H204" s="8"/>
      <c r="I204" s="8" t="str">
        <f t="shared" si="6"/>
        <v>借</v>
      </c>
      <c r="J204" s="9">
        <f t="shared" si="7"/>
        <v>1000</v>
      </c>
    </row>
    <row r="205" spans="1:10" ht="20.100000000000001" customHeight="1" x14ac:dyDescent="0.15">
      <c r="A205" s="10"/>
      <c r="B205" s="5"/>
      <c r="C205" s="10"/>
      <c r="D205" s="10"/>
      <c r="E205" s="10"/>
      <c r="F205" s="10"/>
      <c r="G205" s="8"/>
      <c r="H205" s="8"/>
      <c r="I205" s="8" t="str">
        <f t="shared" si="6"/>
        <v>借</v>
      </c>
      <c r="J205" s="9">
        <f t="shared" si="7"/>
        <v>1000</v>
      </c>
    </row>
    <row r="206" spans="1:10" ht="20.100000000000001" customHeight="1" x14ac:dyDescent="0.15">
      <c r="A206" s="10"/>
      <c r="B206" s="5"/>
      <c r="C206" s="10"/>
      <c r="D206" s="10"/>
      <c r="E206" s="10"/>
      <c r="F206" s="10"/>
      <c r="G206" s="8"/>
      <c r="H206" s="8"/>
      <c r="I206" s="8" t="str">
        <f t="shared" si="6"/>
        <v>借</v>
      </c>
      <c r="J206" s="9">
        <f t="shared" si="7"/>
        <v>1000</v>
      </c>
    </row>
    <row r="207" spans="1:10" ht="20.100000000000001" customHeight="1" x14ac:dyDescent="0.15">
      <c r="A207" s="10"/>
      <c r="B207" s="5"/>
      <c r="C207" s="10"/>
      <c r="D207" s="10"/>
      <c r="E207" s="10"/>
      <c r="F207" s="10"/>
      <c r="G207" s="8"/>
      <c r="H207" s="8"/>
      <c r="I207" s="8" t="str">
        <f t="shared" si="6"/>
        <v>借</v>
      </c>
      <c r="J207" s="9">
        <f t="shared" si="7"/>
        <v>1000</v>
      </c>
    </row>
    <row r="208" spans="1:10" ht="20.100000000000001" customHeight="1" x14ac:dyDescent="0.15">
      <c r="A208" s="10"/>
      <c r="B208" s="5"/>
      <c r="C208" s="10"/>
      <c r="D208" s="10"/>
      <c r="E208" s="10"/>
      <c r="F208" s="10"/>
      <c r="G208" s="8"/>
      <c r="H208" s="8"/>
      <c r="I208" s="8" t="str">
        <f t="shared" si="6"/>
        <v>借</v>
      </c>
      <c r="J208" s="9">
        <f t="shared" si="7"/>
        <v>1000</v>
      </c>
    </row>
    <row r="209" spans="1:10" ht="20.100000000000001" customHeight="1" x14ac:dyDescent="0.15">
      <c r="A209" s="10"/>
      <c r="B209" s="5"/>
      <c r="C209" s="10"/>
      <c r="D209" s="10"/>
      <c r="E209" s="10"/>
      <c r="F209" s="10"/>
      <c r="G209" s="8"/>
      <c r="H209" s="8"/>
      <c r="I209" s="8" t="str">
        <f t="shared" si="6"/>
        <v>借</v>
      </c>
      <c r="J209" s="9">
        <f t="shared" si="7"/>
        <v>1000</v>
      </c>
    </row>
    <row r="210" spans="1:10" ht="20.100000000000001" customHeight="1" x14ac:dyDescent="0.15">
      <c r="A210" s="10"/>
      <c r="B210" s="5"/>
      <c r="C210" s="10"/>
      <c r="D210" s="10"/>
      <c r="E210" s="10"/>
      <c r="F210" s="10"/>
      <c r="G210" s="8"/>
      <c r="H210" s="8"/>
      <c r="I210" s="8" t="str">
        <f t="shared" si="6"/>
        <v>借</v>
      </c>
      <c r="J210" s="9">
        <f t="shared" si="7"/>
        <v>1000</v>
      </c>
    </row>
    <row r="211" spans="1:10" ht="20.100000000000001" customHeight="1" x14ac:dyDescent="0.15">
      <c r="A211" s="10"/>
      <c r="B211" s="5"/>
      <c r="C211" s="10"/>
      <c r="D211" s="10"/>
      <c r="E211" s="10"/>
      <c r="F211" s="10"/>
      <c r="G211" s="8"/>
      <c r="H211" s="8"/>
      <c r="I211" s="8" t="str">
        <f t="shared" si="6"/>
        <v>借</v>
      </c>
      <c r="J211" s="9">
        <f t="shared" si="7"/>
        <v>1000</v>
      </c>
    </row>
    <row r="212" spans="1:10" ht="20.100000000000001" customHeight="1" x14ac:dyDescent="0.15">
      <c r="A212" s="10"/>
      <c r="B212" s="5"/>
      <c r="C212" s="10"/>
      <c r="D212" s="10"/>
      <c r="E212" s="20"/>
      <c r="F212" s="10"/>
      <c r="G212" s="8"/>
      <c r="H212" s="8"/>
      <c r="I212" s="8" t="str">
        <f t="shared" si="6"/>
        <v>借</v>
      </c>
      <c r="J212" s="9">
        <f t="shared" si="7"/>
        <v>1000</v>
      </c>
    </row>
    <row r="213" spans="1:10" ht="20.100000000000001" customHeight="1" x14ac:dyDescent="0.15">
      <c r="A213" s="10"/>
      <c r="B213" s="5"/>
      <c r="C213" s="10"/>
      <c r="D213" s="10"/>
      <c r="E213" s="10"/>
      <c r="F213" s="10"/>
      <c r="G213" s="8"/>
      <c r="H213" s="8"/>
      <c r="I213" s="8" t="str">
        <f t="shared" si="6"/>
        <v>借</v>
      </c>
      <c r="J213" s="9">
        <f t="shared" si="7"/>
        <v>1000</v>
      </c>
    </row>
    <row r="214" spans="1:10" ht="20.100000000000001" customHeight="1" x14ac:dyDescent="0.15">
      <c r="A214" s="10"/>
      <c r="B214" s="5"/>
      <c r="C214" s="10"/>
      <c r="D214" s="10"/>
      <c r="E214" s="10"/>
      <c r="F214" s="10"/>
      <c r="G214" s="8"/>
      <c r="H214" s="8"/>
      <c r="I214" s="8" t="str">
        <f t="shared" si="6"/>
        <v>借</v>
      </c>
      <c r="J214" s="9">
        <f t="shared" si="7"/>
        <v>1000</v>
      </c>
    </row>
    <row r="215" spans="1:10" ht="20.100000000000001" customHeight="1" x14ac:dyDescent="0.15">
      <c r="A215" s="10"/>
      <c r="B215" s="5"/>
      <c r="C215" s="10"/>
      <c r="D215" s="10"/>
      <c r="E215" s="10"/>
      <c r="F215" s="10"/>
      <c r="G215" s="8"/>
      <c r="H215" s="8"/>
      <c r="I215" s="8" t="str">
        <f t="shared" si="6"/>
        <v>借</v>
      </c>
      <c r="J215" s="9">
        <f t="shared" si="7"/>
        <v>1000</v>
      </c>
    </row>
    <row r="216" spans="1:10" ht="20.100000000000001" customHeight="1" x14ac:dyDescent="0.15">
      <c r="A216" s="10"/>
      <c r="B216" s="5"/>
      <c r="C216" s="10"/>
      <c r="D216" s="10"/>
      <c r="E216" s="10"/>
      <c r="F216" s="10"/>
      <c r="G216" s="8"/>
      <c r="H216" s="8"/>
      <c r="I216" s="8" t="str">
        <f t="shared" si="6"/>
        <v>借</v>
      </c>
      <c r="J216" s="9">
        <f t="shared" si="7"/>
        <v>1000</v>
      </c>
    </row>
    <row r="217" spans="1:10" ht="20.100000000000001" customHeight="1" x14ac:dyDescent="0.15">
      <c r="A217" s="10"/>
      <c r="B217" s="5"/>
      <c r="C217" s="10"/>
      <c r="D217" s="10"/>
      <c r="E217" s="10"/>
      <c r="F217" s="10"/>
      <c r="G217" s="8"/>
      <c r="H217" s="8"/>
      <c r="I217" s="8" t="str">
        <f t="shared" si="6"/>
        <v>借</v>
      </c>
      <c r="J217" s="9">
        <f t="shared" si="7"/>
        <v>1000</v>
      </c>
    </row>
    <row r="218" spans="1:10" ht="20.100000000000001" customHeight="1" x14ac:dyDescent="0.15">
      <c r="A218" s="10"/>
      <c r="B218" s="5"/>
      <c r="C218" s="10"/>
      <c r="D218" s="10"/>
      <c r="E218" s="10"/>
      <c r="F218" s="10"/>
      <c r="G218" s="8"/>
      <c r="H218" s="8"/>
      <c r="I218" s="8" t="str">
        <f t="shared" si="6"/>
        <v>借</v>
      </c>
      <c r="J218" s="9">
        <f t="shared" si="7"/>
        <v>1000</v>
      </c>
    </row>
    <row r="219" spans="1:10" ht="20.100000000000001" customHeight="1" x14ac:dyDescent="0.15">
      <c r="A219" s="10"/>
      <c r="B219" s="5"/>
      <c r="C219" s="10"/>
      <c r="D219" s="10"/>
      <c r="E219" s="10"/>
      <c r="F219" s="10"/>
      <c r="G219" s="8"/>
      <c r="H219" s="8"/>
      <c r="I219" s="8" t="str">
        <f t="shared" si="6"/>
        <v>借</v>
      </c>
      <c r="J219" s="9">
        <f t="shared" si="7"/>
        <v>1000</v>
      </c>
    </row>
    <row r="220" spans="1:10" ht="20.100000000000001" customHeight="1" x14ac:dyDescent="0.15">
      <c r="A220" s="10"/>
      <c r="B220" s="5"/>
      <c r="C220" s="10"/>
      <c r="D220" s="10"/>
      <c r="E220" s="10"/>
      <c r="F220" s="10"/>
      <c r="G220" s="8"/>
      <c r="H220" s="8"/>
      <c r="I220" s="8" t="str">
        <f t="shared" si="6"/>
        <v>借</v>
      </c>
      <c r="J220" s="9">
        <f t="shared" si="7"/>
        <v>1000</v>
      </c>
    </row>
    <row r="221" spans="1:10" ht="20.100000000000001" customHeight="1" x14ac:dyDescent="0.15">
      <c r="A221" s="10"/>
      <c r="B221" s="5"/>
      <c r="C221" s="10"/>
      <c r="D221" s="10"/>
      <c r="E221" s="10"/>
      <c r="F221" s="10"/>
      <c r="G221" s="8"/>
      <c r="H221" s="8"/>
      <c r="I221" s="8" t="str">
        <f t="shared" si="6"/>
        <v>借</v>
      </c>
      <c r="J221" s="9">
        <f t="shared" si="7"/>
        <v>1000</v>
      </c>
    </row>
    <row r="222" spans="1:10" ht="20.100000000000001" customHeight="1" x14ac:dyDescent="0.15">
      <c r="A222" s="10"/>
      <c r="B222" s="5"/>
      <c r="C222" s="10"/>
      <c r="D222" s="10"/>
      <c r="E222" s="10"/>
      <c r="F222" s="10"/>
      <c r="G222" s="8"/>
      <c r="H222" s="8"/>
      <c r="I222" s="8" t="str">
        <f t="shared" si="6"/>
        <v>借</v>
      </c>
      <c r="J222" s="9">
        <f t="shared" si="7"/>
        <v>1000</v>
      </c>
    </row>
    <row r="223" spans="1:10" ht="20.100000000000001" customHeight="1" x14ac:dyDescent="0.15">
      <c r="A223" s="10"/>
      <c r="B223" s="5"/>
      <c r="C223" s="10"/>
      <c r="D223" s="10"/>
      <c r="E223" s="10"/>
      <c r="F223" s="10"/>
      <c r="G223" s="8"/>
      <c r="H223" s="8"/>
      <c r="I223" s="8" t="str">
        <f t="shared" si="6"/>
        <v>借</v>
      </c>
      <c r="J223" s="9">
        <f t="shared" si="7"/>
        <v>1000</v>
      </c>
    </row>
    <row r="224" spans="1:10" ht="20.100000000000001" customHeight="1" x14ac:dyDescent="0.15">
      <c r="A224" s="10"/>
      <c r="B224" s="5"/>
      <c r="C224" s="10"/>
      <c r="D224" s="10"/>
      <c r="E224" s="10"/>
      <c r="F224" s="10"/>
      <c r="G224" s="8"/>
      <c r="H224" s="8"/>
      <c r="I224" s="8" t="str">
        <f t="shared" si="6"/>
        <v>借</v>
      </c>
      <c r="J224" s="9">
        <f t="shared" si="7"/>
        <v>1000</v>
      </c>
    </row>
    <row r="225" spans="1:10" ht="20.100000000000001" customHeight="1" x14ac:dyDescent="0.15">
      <c r="A225" s="10"/>
      <c r="B225" s="5"/>
      <c r="C225" s="10"/>
      <c r="D225" s="10"/>
      <c r="E225" s="10"/>
      <c r="F225" s="10"/>
      <c r="G225" s="8"/>
      <c r="H225" s="8"/>
      <c r="I225" s="8" t="str">
        <f t="shared" si="6"/>
        <v>借</v>
      </c>
      <c r="J225" s="9">
        <f t="shared" si="7"/>
        <v>1000</v>
      </c>
    </row>
    <row r="226" spans="1:10" ht="20.100000000000001" customHeight="1" x14ac:dyDescent="0.15">
      <c r="A226" s="10"/>
      <c r="B226" s="5"/>
      <c r="C226" s="10"/>
      <c r="D226" s="10"/>
      <c r="E226" s="10"/>
      <c r="F226" s="10"/>
      <c r="G226" s="8"/>
      <c r="H226" s="8"/>
      <c r="I226" s="8" t="str">
        <f t="shared" si="6"/>
        <v>借</v>
      </c>
      <c r="J226" s="9">
        <f t="shared" si="7"/>
        <v>1000</v>
      </c>
    </row>
    <row r="227" spans="1:10" ht="20.100000000000001" customHeight="1" x14ac:dyDescent="0.15">
      <c r="A227" s="10"/>
      <c r="B227" s="5"/>
      <c r="C227" s="10"/>
      <c r="D227" s="10"/>
      <c r="E227" s="10"/>
      <c r="F227" s="10"/>
      <c r="G227" s="8"/>
      <c r="H227" s="8"/>
      <c r="I227" s="8" t="str">
        <f t="shared" si="6"/>
        <v>借</v>
      </c>
      <c r="J227" s="9">
        <f t="shared" si="7"/>
        <v>1000</v>
      </c>
    </row>
    <row r="228" spans="1:10" ht="20.100000000000001" customHeight="1" x14ac:dyDescent="0.15">
      <c r="A228" s="10"/>
      <c r="B228" s="5"/>
      <c r="C228" s="10"/>
      <c r="D228" s="10"/>
      <c r="E228" s="10"/>
      <c r="F228" s="10"/>
      <c r="G228" s="8"/>
      <c r="H228" s="8"/>
      <c r="I228" s="8" t="str">
        <f t="shared" si="6"/>
        <v>借</v>
      </c>
      <c r="J228" s="9">
        <f t="shared" si="7"/>
        <v>1000</v>
      </c>
    </row>
    <row r="229" spans="1:10" ht="20.100000000000001" customHeight="1" x14ac:dyDescent="0.15">
      <c r="A229" s="10"/>
      <c r="B229" s="5"/>
      <c r="C229" s="10"/>
      <c r="D229" s="10"/>
      <c r="E229" s="10"/>
      <c r="F229" s="10"/>
      <c r="G229" s="8"/>
      <c r="H229" s="8"/>
      <c r="I229" s="8" t="str">
        <f t="shared" si="6"/>
        <v>借</v>
      </c>
      <c r="J229" s="9">
        <f t="shared" si="7"/>
        <v>1000</v>
      </c>
    </row>
    <row r="230" spans="1:10" ht="20.100000000000001" customHeight="1" x14ac:dyDescent="0.15">
      <c r="A230" s="10"/>
      <c r="B230" s="5"/>
      <c r="C230" s="10"/>
      <c r="D230" s="10"/>
      <c r="E230" s="10"/>
      <c r="F230" s="10"/>
      <c r="G230" s="8"/>
      <c r="H230" s="8"/>
      <c r="I230" s="8" t="str">
        <f t="shared" si="6"/>
        <v>借</v>
      </c>
      <c r="J230" s="9">
        <f t="shared" si="7"/>
        <v>1000</v>
      </c>
    </row>
    <row r="231" spans="1:10" ht="20.100000000000001" customHeight="1" x14ac:dyDescent="0.15">
      <c r="A231" s="10"/>
      <c r="B231" s="5"/>
      <c r="C231" s="10"/>
      <c r="D231" s="10"/>
      <c r="E231" s="10"/>
      <c r="F231" s="10"/>
      <c r="G231" s="8"/>
      <c r="H231" s="8"/>
      <c r="I231" s="8" t="str">
        <f t="shared" si="6"/>
        <v>借</v>
      </c>
      <c r="J231" s="9">
        <f t="shared" si="7"/>
        <v>1000</v>
      </c>
    </row>
    <row r="232" spans="1:10" ht="20.100000000000001" customHeight="1" x14ac:dyDescent="0.15">
      <c r="A232" s="10"/>
      <c r="B232" s="5"/>
      <c r="C232" s="10"/>
      <c r="D232" s="10"/>
      <c r="E232" s="10"/>
      <c r="F232" s="10"/>
      <c r="G232" s="8"/>
      <c r="H232" s="8"/>
      <c r="I232" s="8" t="str">
        <f t="shared" si="6"/>
        <v>借</v>
      </c>
      <c r="J232" s="9">
        <f t="shared" si="7"/>
        <v>1000</v>
      </c>
    </row>
    <row r="233" spans="1:10" ht="20.100000000000001" customHeight="1" x14ac:dyDescent="0.15">
      <c r="A233" s="10"/>
      <c r="B233" s="5"/>
      <c r="C233" s="10"/>
      <c r="D233" s="10"/>
      <c r="E233" s="10"/>
      <c r="F233" s="10"/>
      <c r="G233" s="8"/>
      <c r="H233" s="8"/>
      <c r="I233" s="8" t="str">
        <f t="shared" si="6"/>
        <v>借</v>
      </c>
      <c r="J233" s="9">
        <f t="shared" si="7"/>
        <v>1000</v>
      </c>
    </row>
    <row r="234" spans="1:10" ht="20.100000000000001" customHeight="1" x14ac:dyDescent="0.15">
      <c r="A234" s="10"/>
      <c r="B234" s="5"/>
      <c r="C234" s="10"/>
      <c r="D234" s="10"/>
      <c r="E234" s="10"/>
      <c r="F234" s="10"/>
      <c r="G234" s="8"/>
      <c r="H234" s="8"/>
      <c r="I234" s="8" t="str">
        <f t="shared" si="6"/>
        <v>借</v>
      </c>
      <c r="J234" s="9">
        <f t="shared" si="7"/>
        <v>1000</v>
      </c>
    </row>
    <row r="235" spans="1:10" ht="20.100000000000001" customHeight="1" x14ac:dyDescent="0.15">
      <c r="A235" s="10"/>
      <c r="B235" s="5"/>
      <c r="C235" s="10"/>
      <c r="D235" s="10"/>
      <c r="E235" s="10"/>
      <c r="F235" s="10"/>
      <c r="G235" s="8"/>
      <c r="H235" s="8"/>
      <c r="I235" s="8" t="str">
        <f t="shared" si="6"/>
        <v>借</v>
      </c>
      <c r="J235" s="9">
        <f t="shared" si="7"/>
        <v>1000</v>
      </c>
    </row>
    <row r="236" spans="1:10" ht="20.100000000000001" customHeight="1" x14ac:dyDescent="0.15">
      <c r="A236" s="10"/>
      <c r="B236" s="5"/>
      <c r="C236" s="10"/>
      <c r="D236" s="10"/>
      <c r="E236" s="10"/>
      <c r="F236" s="10"/>
      <c r="G236" s="8"/>
      <c r="H236" s="8"/>
      <c r="I236" s="8" t="str">
        <f t="shared" si="6"/>
        <v>借</v>
      </c>
      <c r="J236" s="9">
        <f t="shared" si="7"/>
        <v>1000</v>
      </c>
    </row>
    <row r="237" spans="1:10" ht="20.100000000000001" customHeight="1" x14ac:dyDescent="0.15">
      <c r="A237" s="10"/>
      <c r="B237" s="5"/>
      <c r="C237" s="10"/>
      <c r="D237" s="10"/>
      <c r="E237" s="10"/>
      <c r="F237" s="10"/>
      <c r="G237" s="8"/>
      <c r="H237" s="8"/>
      <c r="I237" s="8" t="str">
        <f t="shared" si="6"/>
        <v>借</v>
      </c>
      <c r="J237" s="9">
        <f t="shared" si="7"/>
        <v>1000</v>
      </c>
    </row>
    <row r="238" spans="1:10" ht="20.100000000000001" customHeight="1" x14ac:dyDescent="0.15">
      <c r="A238" s="10"/>
      <c r="B238" s="5"/>
      <c r="C238" s="10"/>
      <c r="D238" s="10"/>
      <c r="E238" s="10"/>
      <c r="F238" s="10"/>
      <c r="G238" s="8"/>
      <c r="H238" s="8"/>
      <c r="I238" s="8" t="str">
        <f t="shared" si="6"/>
        <v>借</v>
      </c>
      <c r="J238" s="9">
        <f t="shared" si="7"/>
        <v>1000</v>
      </c>
    </row>
    <row r="239" spans="1:10" ht="20.100000000000001" customHeight="1" x14ac:dyDescent="0.15">
      <c r="A239" s="10"/>
      <c r="B239" s="5"/>
      <c r="C239" s="10"/>
      <c r="D239" s="10"/>
      <c r="E239" s="10"/>
      <c r="F239" s="10"/>
      <c r="G239" s="8"/>
      <c r="H239" s="8"/>
      <c r="I239" s="8" t="str">
        <f t="shared" si="6"/>
        <v>借</v>
      </c>
      <c r="J239" s="9">
        <f t="shared" si="7"/>
        <v>1000</v>
      </c>
    </row>
    <row r="240" spans="1:10" ht="20.100000000000001" customHeight="1" x14ac:dyDescent="0.15">
      <c r="A240" s="10"/>
      <c r="B240" s="5"/>
      <c r="C240" s="10"/>
      <c r="D240" s="10"/>
      <c r="E240" s="10"/>
      <c r="F240" s="10"/>
      <c r="G240" s="8"/>
      <c r="H240" s="8"/>
      <c r="I240" s="8" t="str">
        <f t="shared" si="6"/>
        <v>借</v>
      </c>
      <c r="J240" s="9">
        <f t="shared" si="7"/>
        <v>1000</v>
      </c>
    </row>
    <row r="241" spans="1:10" ht="20.100000000000001" customHeight="1" x14ac:dyDescent="0.15">
      <c r="A241" s="10"/>
      <c r="B241" s="5"/>
      <c r="C241" s="10"/>
      <c r="D241" s="10"/>
      <c r="E241" s="10"/>
      <c r="F241" s="10"/>
      <c r="G241" s="8"/>
      <c r="H241" s="8"/>
      <c r="I241" s="8" t="str">
        <f t="shared" si="6"/>
        <v>借</v>
      </c>
      <c r="J241" s="9">
        <f t="shared" si="7"/>
        <v>1000</v>
      </c>
    </row>
    <row r="242" spans="1:10" ht="20.100000000000001" customHeight="1" x14ac:dyDescent="0.15">
      <c r="A242" s="10"/>
      <c r="B242" s="5"/>
      <c r="C242" s="10"/>
      <c r="D242" s="10"/>
      <c r="E242" s="10"/>
      <c r="F242" s="10"/>
      <c r="G242" s="8"/>
      <c r="H242" s="8"/>
      <c r="I242" s="23" t="str">
        <f t="shared" si="6"/>
        <v>借</v>
      </c>
      <c r="J242" s="9">
        <f t="shared" si="7"/>
        <v>1000</v>
      </c>
    </row>
    <row r="243" spans="1:10" ht="20.100000000000001" customHeight="1" x14ac:dyDescent="0.15">
      <c r="A243" s="10"/>
      <c r="B243" s="5"/>
      <c r="C243" s="10"/>
      <c r="D243" s="10"/>
      <c r="E243" s="10"/>
      <c r="F243" s="10"/>
      <c r="G243" s="8"/>
      <c r="H243" s="8"/>
      <c r="I243" s="23" t="str">
        <f t="shared" si="6"/>
        <v>借</v>
      </c>
      <c r="J243" s="9">
        <f t="shared" si="7"/>
        <v>1000</v>
      </c>
    </row>
    <row r="244" spans="1:10" ht="20.100000000000001" customHeight="1" x14ac:dyDescent="0.15">
      <c r="A244" s="10"/>
      <c r="B244" s="5"/>
      <c r="C244" s="10"/>
      <c r="D244" s="10"/>
      <c r="E244" s="10"/>
      <c r="F244" s="10"/>
      <c r="G244" s="8"/>
      <c r="H244" s="8"/>
      <c r="I244" s="23" t="str">
        <f t="shared" si="6"/>
        <v>借</v>
      </c>
      <c r="J244" s="9">
        <f t="shared" si="7"/>
        <v>1000</v>
      </c>
    </row>
    <row r="245" spans="1:10" ht="20.100000000000001" customHeight="1" x14ac:dyDescent="0.15">
      <c r="A245" s="10"/>
      <c r="B245" s="5"/>
      <c r="C245" s="10"/>
      <c r="D245" s="10"/>
      <c r="E245" s="10"/>
      <c r="F245" s="10"/>
      <c r="G245" s="8"/>
      <c r="H245" s="8"/>
      <c r="I245" s="23" t="str">
        <f t="shared" si="6"/>
        <v>借</v>
      </c>
      <c r="J245" s="9">
        <f t="shared" si="7"/>
        <v>1000</v>
      </c>
    </row>
    <row r="246" spans="1:10" ht="20.100000000000001" customHeight="1" x14ac:dyDescent="0.15">
      <c r="A246" s="10"/>
      <c r="B246" s="5"/>
      <c r="C246" s="10"/>
      <c r="D246" s="10"/>
      <c r="E246" s="10"/>
      <c r="F246" s="10"/>
      <c r="G246" s="8"/>
      <c r="H246" s="8"/>
      <c r="I246" s="23" t="str">
        <f t="shared" si="6"/>
        <v>借</v>
      </c>
      <c r="J246" s="9">
        <f t="shared" si="7"/>
        <v>1000</v>
      </c>
    </row>
    <row r="247" spans="1:10" ht="20.100000000000001" customHeight="1" x14ac:dyDescent="0.15">
      <c r="A247" s="10"/>
      <c r="B247" s="5"/>
      <c r="C247" s="10"/>
      <c r="D247" s="10"/>
      <c r="E247" s="10"/>
      <c r="F247" s="10"/>
      <c r="G247" s="8"/>
      <c r="H247" s="8"/>
      <c r="I247" s="23" t="str">
        <f t="shared" si="6"/>
        <v>借</v>
      </c>
      <c r="J247" s="9">
        <f t="shared" si="7"/>
        <v>1000</v>
      </c>
    </row>
    <row r="248" spans="1:10" ht="20.100000000000001" customHeight="1" x14ac:dyDescent="0.15">
      <c r="A248" s="10"/>
      <c r="B248" s="5"/>
      <c r="C248" s="10"/>
      <c r="D248" s="10"/>
      <c r="E248" s="10"/>
      <c r="F248" s="10"/>
      <c r="G248" s="8"/>
      <c r="H248" s="8"/>
      <c r="I248" s="8" t="str">
        <f t="shared" si="6"/>
        <v>借</v>
      </c>
      <c r="J248" s="9">
        <f t="shared" si="7"/>
        <v>1000</v>
      </c>
    </row>
    <row r="249" spans="1:10" ht="20.100000000000001" customHeight="1" x14ac:dyDescent="0.15">
      <c r="A249" s="10"/>
      <c r="B249" s="5"/>
      <c r="C249" s="10"/>
      <c r="D249" s="10"/>
      <c r="E249" s="10"/>
      <c r="F249" s="10"/>
      <c r="G249" s="8"/>
      <c r="H249" s="8"/>
      <c r="I249" s="8" t="str">
        <f t="shared" si="6"/>
        <v>借</v>
      </c>
      <c r="J249" s="9">
        <f t="shared" si="7"/>
        <v>1000</v>
      </c>
    </row>
    <row r="250" spans="1:10" ht="20.100000000000001" customHeight="1" x14ac:dyDescent="0.15">
      <c r="A250" s="10"/>
      <c r="B250" s="5"/>
      <c r="C250" s="10"/>
      <c r="D250" s="10"/>
      <c r="E250" s="10"/>
      <c r="F250" s="10"/>
      <c r="G250" s="8"/>
      <c r="H250" s="8"/>
      <c r="I250" s="8" t="str">
        <f t="shared" si="6"/>
        <v>借</v>
      </c>
      <c r="J250" s="9">
        <f t="shared" si="7"/>
        <v>1000</v>
      </c>
    </row>
    <row r="251" spans="1:10" ht="20.100000000000001" customHeight="1" x14ac:dyDescent="0.15">
      <c r="A251" s="10"/>
      <c r="B251" s="5"/>
      <c r="C251" s="10"/>
      <c r="D251" s="10"/>
      <c r="E251" s="10"/>
      <c r="F251" s="10"/>
      <c r="G251" s="8"/>
      <c r="H251" s="8"/>
      <c r="I251" s="8" t="str">
        <f t="shared" si="6"/>
        <v>借</v>
      </c>
      <c r="J251" s="9">
        <f t="shared" si="7"/>
        <v>1000</v>
      </c>
    </row>
    <row r="252" spans="1:10" ht="20.100000000000001" customHeight="1" x14ac:dyDescent="0.15">
      <c r="A252" s="10"/>
      <c r="B252" s="5"/>
      <c r="C252" s="10"/>
      <c r="D252" s="10"/>
      <c r="E252" s="10"/>
      <c r="F252" s="10"/>
      <c r="G252" s="8"/>
      <c r="H252" s="8"/>
      <c r="I252" s="8" t="str">
        <f t="shared" si="6"/>
        <v>借</v>
      </c>
      <c r="J252" s="9">
        <f t="shared" si="7"/>
        <v>1000</v>
      </c>
    </row>
    <row r="253" spans="1:10" ht="20.100000000000001" customHeight="1" x14ac:dyDescent="0.15">
      <c r="A253" s="10"/>
      <c r="B253" s="5"/>
      <c r="C253" s="10"/>
      <c r="D253" s="10"/>
      <c r="E253" s="10"/>
      <c r="F253" s="10"/>
      <c r="G253" s="8"/>
      <c r="H253" s="8"/>
      <c r="I253" s="8" t="str">
        <f t="shared" si="6"/>
        <v>借</v>
      </c>
      <c r="J253" s="9">
        <f t="shared" si="7"/>
        <v>1000</v>
      </c>
    </row>
    <row r="254" spans="1:10" ht="20.100000000000001" customHeight="1" x14ac:dyDescent="0.15">
      <c r="A254" s="10"/>
      <c r="B254" s="5"/>
      <c r="C254" s="10"/>
      <c r="D254" s="10"/>
      <c r="E254" s="10"/>
      <c r="F254" s="10"/>
      <c r="G254" s="8"/>
      <c r="H254" s="8"/>
      <c r="I254" s="8" t="str">
        <f t="shared" si="6"/>
        <v>借</v>
      </c>
      <c r="J254" s="9">
        <f t="shared" si="7"/>
        <v>1000</v>
      </c>
    </row>
    <row r="255" spans="1:10" ht="20.100000000000001" customHeight="1" x14ac:dyDescent="0.15">
      <c r="A255" s="10"/>
      <c r="B255" s="5"/>
      <c r="C255" s="10"/>
      <c r="D255" s="10"/>
      <c r="E255" s="10"/>
      <c r="F255" s="10"/>
      <c r="G255" s="8"/>
      <c r="H255" s="8"/>
      <c r="I255" s="8" t="str">
        <f t="shared" si="6"/>
        <v>借</v>
      </c>
      <c r="J255" s="9">
        <f t="shared" si="7"/>
        <v>1000</v>
      </c>
    </row>
    <row r="256" spans="1:10" ht="20.100000000000001" customHeight="1" x14ac:dyDescent="0.15">
      <c r="A256" s="10"/>
      <c r="B256" s="5"/>
      <c r="C256" s="10"/>
      <c r="D256" s="10"/>
      <c r="E256" s="10"/>
      <c r="F256" s="10"/>
      <c r="G256" s="8"/>
      <c r="H256" s="8"/>
      <c r="I256" s="8" t="str">
        <f t="shared" si="6"/>
        <v>借</v>
      </c>
      <c r="J256" s="9">
        <f t="shared" si="7"/>
        <v>1000</v>
      </c>
    </row>
    <row r="257" spans="1:10" ht="20.100000000000001" customHeight="1" x14ac:dyDescent="0.15">
      <c r="A257" s="10"/>
      <c r="B257" s="5"/>
      <c r="C257" s="10"/>
      <c r="D257" s="10"/>
      <c r="E257" s="10"/>
      <c r="F257" s="10"/>
      <c r="G257" s="8"/>
      <c r="H257" s="8"/>
      <c r="I257" s="8" t="str">
        <f t="shared" si="6"/>
        <v>借</v>
      </c>
      <c r="J257" s="9">
        <f t="shared" si="7"/>
        <v>1000</v>
      </c>
    </row>
    <row r="258" spans="1:10" ht="20.100000000000001" customHeight="1" x14ac:dyDescent="0.15">
      <c r="A258" s="10"/>
      <c r="B258" s="5"/>
      <c r="C258" s="10"/>
      <c r="D258" s="10"/>
      <c r="E258" s="10"/>
      <c r="F258" s="10"/>
      <c r="G258" s="8"/>
      <c r="H258" s="8"/>
      <c r="I258" s="8" t="str">
        <f t="shared" si="6"/>
        <v>借</v>
      </c>
      <c r="J258" s="9">
        <f t="shared" si="7"/>
        <v>1000</v>
      </c>
    </row>
    <row r="259" spans="1:10" ht="20.100000000000001" customHeight="1" x14ac:dyDescent="0.15">
      <c r="A259" s="10"/>
      <c r="B259" s="5"/>
      <c r="C259" s="10"/>
      <c r="D259" s="10"/>
      <c r="E259" s="10"/>
      <c r="F259" s="10"/>
      <c r="G259" s="8"/>
      <c r="H259" s="8"/>
      <c r="I259" s="8" t="str">
        <f t="shared" si="6"/>
        <v>借</v>
      </c>
      <c r="J259" s="9">
        <f t="shared" si="7"/>
        <v>1000</v>
      </c>
    </row>
    <row r="260" spans="1:10" ht="20.100000000000001" customHeight="1" x14ac:dyDescent="0.15">
      <c r="A260" s="10"/>
      <c r="B260" s="5"/>
      <c r="C260" s="10"/>
      <c r="D260" s="10"/>
      <c r="E260" s="10"/>
      <c r="F260" s="10"/>
      <c r="G260" s="8"/>
      <c r="H260" s="8"/>
      <c r="I260" s="8" t="str">
        <f t="shared" si="6"/>
        <v>借</v>
      </c>
      <c r="J260" s="9">
        <f t="shared" si="7"/>
        <v>1000</v>
      </c>
    </row>
    <row r="261" spans="1:10" ht="20.100000000000001" customHeight="1" x14ac:dyDescent="0.15">
      <c r="A261" s="10"/>
      <c r="B261" s="5"/>
      <c r="C261" s="10"/>
      <c r="D261" s="10"/>
      <c r="E261" s="10"/>
      <c r="F261" s="10"/>
      <c r="G261" s="8"/>
      <c r="H261" s="8"/>
      <c r="I261" s="8" t="str">
        <f t="shared" si="6"/>
        <v>借</v>
      </c>
      <c r="J261" s="9">
        <f t="shared" si="7"/>
        <v>1000</v>
      </c>
    </row>
    <row r="262" spans="1:10" ht="20.100000000000001" customHeight="1" x14ac:dyDescent="0.15">
      <c r="A262" s="10"/>
      <c r="B262" s="5"/>
      <c r="C262" s="10"/>
      <c r="D262" s="10"/>
      <c r="E262" s="10"/>
      <c r="F262" s="10"/>
      <c r="G262" s="8"/>
      <c r="H262" s="8"/>
      <c r="I262" s="8" t="str">
        <f t="shared" ref="I262:I325" si="8">IF((J261+G262-H262)&gt;0,"借","贷")</f>
        <v>借</v>
      </c>
      <c r="J262" s="9">
        <f t="shared" si="7"/>
        <v>1000</v>
      </c>
    </row>
    <row r="263" spans="1:10" ht="20.100000000000001" customHeight="1" x14ac:dyDescent="0.15">
      <c r="A263" s="10"/>
      <c r="B263" s="5"/>
      <c r="C263" s="10"/>
      <c r="D263" s="10"/>
      <c r="E263" s="10"/>
      <c r="F263" s="10"/>
      <c r="G263" s="8"/>
      <c r="H263" s="8"/>
      <c r="I263" s="8" t="str">
        <f t="shared" si="8"/>
        <v>借</v>
      </c>
      <c r="J263" s="9">
        <f t="shared" ref="J263:J326" si="9">J262+G263-H263</f>
        <v>1000</v>
      </c>
    </row>
    <row r="264" spans="1:10" ht="20.100000000000001" customHeight="1" x14ac:dyDescent="0.15">
      <c r="A264" s="10"/>
      <c r="B264" s="5"/>
      <c r="C264" s="10"/>
      <c r="D264" s="10"/>
      <c r="E264" s="10"/>
      <c r="F264" s="10"/>
      <c r="G264" s="8"/>
      <c r="H264" s="8"/>
      <c r="I264" s="8" t="str">
        <f t="shared" si="8"/>
        <v>借</v>
      </c>
      <c r="J264" s="9">
        <f t="shared" si="9"/>
        <v>1000</v>
      </c>
    </row>
    <row r="265" spans="1:10" ht="20.100000000000001" customHeight="1" x14ac:dyDescent="0.15">
      <c r="A265" s="10"/>
      <c r="B265" s="5"/>
      <c r="C265" s="10"/>
      <c r="D265" s="10"/>
      <c r="E265" s="10"/>
      <c r="F265" s="10"/>
      <c r="G265" s="8"/>
      <c r="H265" s="8"/>
      <c r="I265" s="8" t="str">
        <f t="shared" si="8"/>
        <v>借</v>
      </c>
      <c r="J265" s="9">
        <f t="shared" si="9"/>
        <v>1000</v>
      </c>
    </row>
    <row r="266" spans="1:10" ht="20.100000000000001" customHeight="1" x14ac:dyDescent="0.15">
      <c r="A266" s="10"/>
      <c r="B266" s="5"/>
      <c r="C266" s="10"/>
      <c r="D266" s="10"/>
      <c r="E266" s="10"/>
      <c r="F266" s="10"/>
      <c r="G266" s="8"/>
      <c r="H266" s="8"/>
      <c r="I266" s="8" t="str">
        <f t="shared" si="8"/>
        <v>借</v>
      </c>
      <c r="J266" s="9">
        <f t="shared" si="9"/>
        <v>1000</v>
      </c>
    </row>
    <row r="267" spans="1:10" ht="20.100000000000001" customHeight="1" x14ac:dyDescent="0.15">
      <c r="A267" s="10"/>
      <c r="B267" s="5"/>
      <c r="C267" s="10"/>
      <c r="D267" s="10"/>
      <c r="E267" s="10"/>
      <c r="F267" s="10"/>
      <c r="G267" s="8"/>
      <c r="H267" s="8"/>
      <c r="I267" s="8" t="str">
        <f t="shared" si="8"/>
        <v>借</v>
      </c>
      <c r="J267" s="9">
        <f t="shared" si="9"/>
        <v>1000</v>
      </c>
    </row>
    <row r="268" spans="1:10" ht="20.100000000000001" customHeight="1" x14ac:dyDescent="0.15">
      <c r="A268" s="10"/>
      <c r="B268" s="5"/>
      <c r="C268" s="10"/>
      <c r="D268" s="10"/>
      <c r="E268" s="10"/>
      <c r="F268" s="10"/>
      <c r="G268" s="8"/>
      <c r="H268" s="8"/>
      <c r="I268" s="8" t="str">
        <f t="shared" si="8"/>
        <v>借</v>
      </c>
      <c r="J268" s="9">
        <f t="shared" si="9"/>
        <v>1000</v>
      </c>
    </row>
    <row r="269" spans="1:10" ht="20.100000000000001" customHeight="1" x14ac:dyDescent="0.15">
      <c r="A269" s="10"/>
      <c r="B269" s="5"/>
      <c r="C269" s="10"/>
      <c r="D269" s="10"/>
      <c r="E269" s="10"/>
      <c r="F269" s="10"/>
      <c r="G269" s="8"/>
      <c r="H269" s="8"/>
      <c r="I269" s="8" t="str">
        <f t="shared" si="8"/>
        <v>借</v>
      </c>
      <c r="J269" s="9">
        <f t="shared" si="9"/>
        <v>1000</v>
      </c>
    </row>
    <row r="270" spans="1:10" ht="20.100000000000001" customHeight="1" x14ac:dyDescent="0.15">
      <c r="A270" s="10"/>
      <c r="B270" s="5"/>
      <c r="C270" s="10"/>
      <c r="D270" s="10"/>
      <c r="E270" s="10"/>
      <c r="F270" s="10"/>
      <c r="G270" s="8"/>
      <c r="H270" s="8"/>
      <c r="I270" s="8" t="str">
        <f t="shared" si="8"/>
        <v>借</v>
      </c>
      <c r="J270" s="9">
        <f t="shared" si="9"/>
        <v>1000</v>
      </c>
    </row>
    <row r="271" spans="1:10" ht="20.100000000000001" customHeight="1" x14ac:dyDescent="0.15">
      <c r="A271" s="10"/>
      <c r="B271" s="5"/>
      <c r="C271" s="10"/>
      <c r="D271" s="10"/>
      <c r="E271" s="10"/>
      <c r="F271" s="10"/>
      <c r="G271" s="8"/>
      <c r="H271" s="8"/>
      <c r="I271" s="8" t="str">
        <f t="shared" si="8"/>
        <v>借</v>
      </c>
      <c r="J271" s="9">
        <f t="shared" si="9"/>
        <v>1000</v>
      </c>
    </row>
    <row r="272" spans="1:10" ht="20.100000000000001" customHeight="1" x14ac:dyDescent="0.15">
      <c r="A272" s="10"/>
      <c r="B272" s="5"/>
      <c r="C272" s="10"/>
      <c r="D272" s="10"/>
      <c r="E272" s="10"/>
      <c r="F272" s="10"/>
      <c r="G272" s="8"/>
      <c r="H272" s="8"/>
      <c r="I272" s="8" t="str">
        <f t="shared" si="8"/>
        <v>借</v>
      </c>
      <c r="J272" s="9">
        <f t="shared" si="9"/>
        <v>1000</v>
      </c>
    </row>
    <row r="273" spans="1:10" ht="20.100000000000001" customHeight="1" x14ac:dyDescent="0.15">
      <c r="A273" s="10"/>
      <c r="B273" s="5"/>
      <c r="C273" s="10"/>
      <c r="D273" s="10"/>
      <c r="E273" s="10"/>
      <c r="F273" s="10"/>
      <c r="G273" s="8"/>
      <c r="H273" s="8"/>
      <c r="I273" s="8" t="str">
        <f t="shared" si="8"/>
        <v>借</v>
      </c>
      <c r="J273" s="9">
        <f t="shared" si="9"/>
        <v>1000</v>
      </c>
    </row>
    <row r="274" spans="1:10" ht="20.100000000000001" customHeight="1" x14ac:dyDescent="0.15">
      <c r="A274" s="10"/>
      <c r="B274" s="5"/>
      <c r="C274" s="10"/>
      <c r="D274" s="10"/>
      <c r="E274" s="10"/>
      <c r="F274" s="10"/>
      <c r="G274" s="8"/>
      <c r="H274" s="8"/>
      <c r="I274" s="8" t="str">
        <f t="shared" si="8"/>
        <v>借</v>
      </c>
      <c r="J274" s="9">
        <f t="shared" si="9"/>
        <v>1000</v>
      </c>
    </row>
    <row r="275" spans="1:10" ht="20.100000000000001" customHeight="1" x14ac:dyDescent="0.15">
      <c r="A275" s="10"/>
      <c r="B275" s="5"/>
      <c r="C275" s="10"/>
      <c r="D275" s="10"/>
      <c r="E275" s="10"/>
      <c r="F275" s="10"/>
      <c r="G275" s="8"/>
      <c r="H275" s="8"/>
      <c r="I275" s="8" t="str">
        <f t="shared" si="8"/>
        <v>借</v>
      </c>
      <c r="J275" s="9">
        <f t="shared" si="9"/>
        <v>1000</v>
      </c>
    </row>
    <row r="276" spans="1:10" ht="20.100000000000001" customHeight="1" x14ac:dyDescent="0.15">
      <c r="A276" s="10"/>
      <c r="B276" s="5"/>
      <c r="C276" s="10"/>
      <c r="D276" s="10"/>
      <c r="E276" s="10"/>
      <c r="F276" s="10"/>
      <c r="G276" s="8"/>
      <c r="H276" s="8"/>
      <c r="I276" s="8" t="str">
        <f t="shared" si="8"/>
        <v>借</v>
      </c>
      <c r="J276" s="9">
        <f t="shared" si="9"/>
        <v>1000</v>
      </c>
    </row>
    <row r="277" spans="1:10" ht="20.100000000000001" customHeight="1" x14ac:dyDescent="0.15">
      <c r="A277" s="10"/>
      <c r="B277" s="5"/>
      <c r="C277" s="10"/>
      <c r="D277" s="10"/>
      <c r="E277" s="10"/>
      <c r="F277" s="10"/>
      <c r="G277" s="8"/>
      <c r="H277" s="8"/>
      <c r="I277" s="8" t="str">
        <f t="shared" si="8"/>
        <v>借</v>
      </c>
      <c r="J277" s="9">
        <f t="shared" si="9"/>
        <v>1000</v>
      </c>
    </row>
    <row r="278" spans="1:10" ht="20.100000000000001" customHeight="1" x14ac:dyDescent="0.15">
      <c r="A278" s="10"/>
      <c r="B278" s="5"/>
      <c r="C278" s="10"/>
      <c r="D278" s="10"/>
      <c r="E278" s="10"/>
      <c r="F278" s="10"/>
      <c r="G278" s="8"/>
      <c r="H278" s="8"/>
      <c r="I278" s="8" t="str">
        <f t="shared" si="8"/>
        <v>借</v>
      </c>
      <c r="J278" s="9">
        <f t="shared" si="9"/>
        <v>1000</v>
      </c>
    </row>
    <row r="279" spans="1:10" ht="20.100000000000001" customHeight="1" x14ac:dyDescent="0.15">
      <c r="A279" s="10"/>
      <c r="B279" s="5"/>
      <c r="C279" s="10"/>
      <c r="D279" s="10"/>
      <c r="E279" s="10"/>
      <c r="F279" s="10"/>
      <c r="G279" s="8"/>
      <c r="H279" s="8"/>
      <c r="I279" s="8" t="str">
        <f t="shared" si="8"/>
        <v>借</v>
      </c>
      <c r="J279" s="9">
        <f t="shared" si="9"/>
        <v>1000</v>
      </c>
    </row>
    <row r="280" spans="1:10" ht="20.100000000000001" customHeight="1" x14ac:dyDescent="0.15">
      <c r="A280" s="10"/>
      <c r="B280" s="5"/>
      <c r="C280" s="10"/>
      <c r="D280" s="10"/>
      <c r="E280" s="10"/>
      <c r="F280" s="10"/>
      <c r="G280" s="8"/>
      <c r="H280" s="8"/>
      <c r="I280" s="8" t="str">
        <f t="shared" si="8"/>
        <v>借</v>
      </c>
      <c r="J280" s="9">
        <f t="shared" si="9"/>
        <v>1000</v>
      </c>
    </row>
    <row r="281" spans="1:10" ht="20.100000000000001" customHeight="1" x14ac:dyDescent="0.15">
      <c r="A281" s="10"/>
      <c r="B281" s="5"/>
      <c r="C281" s="10"/>
      <c r="D281" s="10"/>
      <c r="E281" s="10"/>
      <c r="F281" s="10"/>
      <c r="G281" s="8"/>
      <c r="H281" s="8"/>
      <c r="I281" s="8" t="str">
        <f t="shared" si="8"/>
        <v>借</v>
      </c>
      <c r="J281" s="9">
        <f t="shared" si="9"/>
        <v>1000</v>
      </c>
    </row>
    <row r="282" spans="1:10" ht="20.100000000000001" customHeight="1" x14ac:dyDescent="0.15">
      <c r="A282" s="10"/>
      <c r="B282" s="5"/>
      <c r="C282" s="10"/>
      <c r="D282" s="10"/>
      <c r="E282" s="10"/>
      <c r="F282" s="10"/>
      <c r="G282" s="8"/>
      <c r="H282" s="8"/>
      <c r="I282" s="8" t="str">
        <f t="shared" si="8"/>
        <v>借</v>
      </c>
      <c r="J282" s="9">
        <f t="shared" si="9"/>
        <v>1000</v>
      </c>
    </row>
    <row r="283" spans="1:10" ht="20.100000000000001" customHeight="1" x14ac:dyDescent="0.15">
      <c r="A283" s="10"/>
      <c r="B283" s="5"/>
      <c r="C283" s="10"/>
      <c r="D283" s="10"/>
      <c r="E283" s="10"/>
      <c r="F283" s="10"/>
      <c r="G283" s="8"/>
      <c r="H283" s="8"/>
      <c r="I283" s="8" t="str">
        <f t="shared" si="8"/>
        <v>借</v>
      </c>
      <c r="J283" s="9">
        <f t="shared" si="9"/>
        <v>1000</v>
      </c>
    </row>
    <row r="284" spans="1:10" ht="20.100000000000001" customHeight="1" x14ac:dyDescent="0.15">
      <c r="A284" s="10"/>
      <c r="B284" s="5"/>
      <c r="C284" s="10"/>
      <c r="D284" s="10"/>
      <c r="E284" s="10"/>
      <c r="F284" s="10"/>
      <c r="G284" s="8"/>
      <c r="H284" s="8"/>
      <c r="I284" s="8" t="str">
        <f t="shared" si="8"/>
        <v>借</v>
      </c>
      <c r="J284" s="9">
        <f t="shared" si="9"/>
        <v>1000</v>
      </c>
    </row>
    <row r="285" spans="1:10" ht="20.100000000000001" customHeight="1" x14ac:dyDescent="0.15">
      <c r="A285" s="10"/>
      <c r="B285" s="5"/>
      <c r="C285" s="10"/>
      <c r="D285" s="10"/>
      <c r="E285" s="10"/>
      <c r="F285" s="10"/>
      <c r="G285" s="8"/>
      <c r="H285" s="8"/>
      <c r="I285" s="8" t="str">
        <f t="shared" si="8"/>
        <v>借</v>
      </c>
      <c r="J285" s="9">
        <f t="shared" si="9"/>
        <v>1000</v>
      </c>
    </row>
    <row r="286" spans="1:10" ht="20.100000000000001" customHeight="1" x14ac:dyDescent="0.15">
      <c r="A286" s="10"/>
      <c r="B286" s="5"/>
      <c r="C286" s="10"/>
      <c r="D286" s="10"/>
      <c r="E286" s="10"/>
      <c r="F286" s="10"/>
      <c r="G286" s="8"/>
      <c r="H286" s="8"/>
      <c r="I286" s="8" t="str">
        <f t="shared" si="8"/>
        <v>借</v>
      </c>
      <c r="J286" s="9">
        <f t="shared" si="9"/>
        <v>1000</v>
      </c>
    </row>
    <row r="287" spans="1:10" ht="20.100000000000001" customHeight="1" x14ac:dyDescent="0.15">
      <c r="A287" s="10"/>
      <c r="B287" s="5"/>
      <c r="C287" s="10"/>
      <c r="D287" s="10"/>
      <c r="E287" s="10"/>
      <c r="F287" s="10"/>
      <c r="G287" s="8"/>
      <c r="H287" s="8"/>
      <c r="I287" s="8" t="str">
        <f t="shared" si="8"/>
        <v>借</v>
      </c>
      <c r="J287" s="9">
        <f t="shared" si="9"/>
        <v>1000</v>
      </c>
    </row>
    <row r="288" spans="1:10" ht="20.100000000000001" customHeight="1" x14ac:dyDescent="0.15">
      <c r="A288" s="10"/>
      <c r="B288" s="5"/>
      <c r="C288" s="10"/>
      <c r="D288" s="10"/>
      <c r="E288" s="10"/>
      <c r="F288" s="10"/>
      <c r="G288" s="8"/>
      <c r="H288" s="8"/>
      <c r="I288" s="8" t="str">
        <f t="shared" si="8"/>
        <v>借</v>
      </c>
      <c r="J288" s="9">
        <f t="shared" si="9"/>
        <v>1000</v>
      </c>
    </row>
    <row r="289" spans="1:10" ht="20.100000000000001" customHeight="1" x14ac:dyDescent="0.15">
      <c r="A289" s="10"/>
      <c r="B289" s="5"/>
      <c r="C289" s="10"/>
      <c r="D289" s="10"/>
      <c r="E289" s="10"/>
      <c r="F289" s="10"/>
      <c r="G289" s="8"/>
      <c r="H289" s="8"/>
      <c r="I289" s="8" t="str">
        <f t="shared" si="8"/>
        <v>借</v>
      </c>
      <c r="J289" s="9">
        <f t="shared" si="9"/>
        <v>1000</v>
      </c>
    </row>
    <row r="290" spans="1:10" ht="20.100000000000001" customHeight="1" x14ac:dyDescent="0.15">
      <c r="A290" s="10"/>
      <c r="B290" s="5"/>
      <c r="C290" s="10"/>
      <c r="D290" s="10"/>
      <c r="E290" s="10"/>
      <c r="F290" s="10"/>
      <c r="G290" s="8"/>
      <c r="H290" s="8"/>
      <c r="I290" s="8" t="str">
        <f t="shared" si="8"/>
        <v>借</v>
      </c>
      <c r="J290" s="9">
        <f t="shared" si="9"/>
        <v>1000</v>
      </c>
    </row>
    <row r="291" spans="1:10" ht="20.100000000000001" customHeight="1" x14ac:dyDescent="0.15">
      <c r="A291" s="10"/>
      <c r="B291" s="5"/>
      <c r="C291" s="10"/>
      <c r="D291" s="10"/>
      <c r="E291" s="10"/>
      <c r="F291" s="10"/>
      <c r="G291" s="8"/>
      <c r="H291" s="8"/>
      <c r="I291" s="8" t="str">
        <f t="shared" si="8"/>
        <v>借</v>
      </c>
      <c r="J291" s="9">
        <f t="shared" si="9"/>
        <v>1000</v>
      </c>
    </row>
    <row r="292" spans="1:10" ht="20.100000000000001" customHeight="1" x14ac:dyDescent="0.15">
      <c r="A292" s="10"/>
      <c r="B292" s="5"/>
      <c r="C292" s="10"/>
      <c r="D292" s="10"/>
      <c r="E292" s="10"/>
      <c r="F292" s="10"/>
      <c r="G292" s="8"/>
      <c r="H292" s="8"/>
      <c r="I292" s="8" t="str">
        <f t="shared" si="8"/>
        <v>借</v>
      </c>
      <c r="J292" s="9">
        <f t="shared" si="9"/>
        <v>1000</v>
      </c>
    </row>
    <row r="293" spans="1:10" ht="20.100000000000001" customHeight="1" x14ac:dyDescent="0.15">
      <c r="A293" s="10"/>
      <c r="B293" s="5"/>
      <c r="C293" s="10"/>
      <c r="D293" s="10"/>
      <c r="E293" s="10"/>
      <c r="F293" s="10"/>
      <c r="G293" s="8"/>
      <c r="H293" s="8"/>
      <c r="I293" s="8" t="str">
        <f t="shared" si="8"/>
        <v>借</v>
      </c>
      <c r="J293" s="9">
        <f t="shared" si="9"/>
        <v>1000</v>
      </c>
    </row>
    <row r="294" spans="1:10" ht="20.100000000000001" customHeight="1" x14ac:dyDescent="0.15">
      <c r="A294" s="10"/>
      <c r="B294" s="5"/>
      <c r="C294" s="10"/>
      <c r="D294" s="10"/>
      <c r="E294" s="10"/>
      <c r="F294" s="10"/>
      <c r="G294" s="8"/>
      <c r="H294" s="8"/>
      <c r="I294" s="8" t="str">
        <f t="shared" si="8"/>
        <v>借</v>
      </c>
      <c r="J294" s="9">
        <f t="shared" si="9"/>
        <v>1000</v>
      </c>
    </row>
    <row r="295" spans="1:10" ht="20.100000000000001" customHeight="1" x14ac:dyDescent="0.15">
      <c r="A295" s="10"/>
      <c r="B295" s="5"/>
      <c r="C295" s="10"/>
      <c r="D295" s="10"/>
      <c r="E295" s="10"/>
      <c r="F295" s="10"/>
      <c r="G295" s="8"/>
      <c r="H295" s="8"/>
      <c r="I295" s="8" t="str">
        <f t="shared" si="8"/>
        <v>借</v>
      </c>
      <c r="J295" s="9">
        <f t="shared" si="9"/>
        <v>1000</v>
      </c>
    </row>
    <row r="296" spans="1:10" ht="20.100000000000001" customHeight="1" x14ac:dyDescent="0.15">
      <c r="A296" s="10"/>
      <c r="B296" s="5"/>
      <c r="C296" s="10"/>
      <c r="D296" s="10"/>
      <c r="E296" s="10"/>
      <c r="F296" s="10"/>
      <c r="G296" s="8"/>
      <c r="H296" s="8"/>
      <c r="I296" s="8" t="str">
        <f t="shared" si="8"/>
        <v>借</v>
      </c>
      <c r="J296" s="9">
        <f t="shared" si="9"/>
        <v>1000</v>
      </c>
    </row>
    <row r="297" spans="1:10" ht="20.100000000000001" customHeight="1" x14ac:dyDescent="0.15">
      <c r="A297" s="10"/>
      <c r="B297" s="5"/>
      <c r="C297" s="10"/>
      <c r="D297" s="10"/>
      <c r="E297" s="10"/>
      <c r="F297" s="10"/>
      <c r="G297" s="8"/>
      <c r="H297" s="8"/>
      <c r="I297" s="8" t="str">
        <f t="shared" si="8"/>
        <v>借</v>
      </c>
      <c r="J297" s="9">
        <f t="shared" si="9"/>
        <v>1000</v>
      </c>
    </row>
    <row r="298" spans="1:10" ht="20.100000000000001" customHeight="1" x14ac:dyDescent="0.15">
      <c r="A298" s="10"/>
      <c r="B298" s="5"/>
      <c r="C298" s="10"/>
      <c r="D298" s="10"/>
      <c r="E298" s="10"/>
      <c r="F298" s="10"/>
      <c r="G298" s="8"/>
      <c r="H298" s="8"/>
      <c r="I298" s="8" t="str">
        <f t="shared" si="8"/>
        <v>借</v>
      </c>
      <c r="J298" s="9">
        <f t="shared" si="9"/>
        <v>1000</v>
      </c>
    </row>
    <row r="299" spans="1:10" ht="20.100000000000001" customHeight="1" x14ac:dyDescent="0.15">
      <c r="A299" s="10"/>
      <c r="B299" s="5"/>
      <c r="C299" s="10"/>
      <c r="D299" s="10"/>
      <c r="E299" s="10"/>
      <c r="F299" s="10"/>
      <c r="G299" s="8"/>
      <c r="H299" s="8"/>
      <c r="I299" s="8" t="str">
        <f t="shared" si="8"/>
        <v>借</v>
      </c>
      <c r="J299" s="9">
        <f t="shared" si="9"/>
        <v>1000</v>
      </c>
    </row>
    <row r="300" spans="1:10" ht="20.100000000000001" customHeight="1" x14ac:dyDescent="0.15">
      <c r="A300" s="10"/>
      <c r="B300" s="5"/>
      <c r="C300" s="10"/>
      <c r="D300" s="10"/>
      <c r="E300" s="10"/>
      <c r="F300" s="10"/>
      <c r="G300" s="8"/>
      <c r="H300" s="8"/>
      <c r="I300" s="8" t="str">
        <f t="shared" si="8"/>
        <v>借</v>
      </c>
      <c r="J300" s="9">
        <f t="shared" si="9"/>
        <v>1000</v>
      </c>
    </row>
    <row r="301" spans="1:10" ht="20.100000000000001" customHeight="1" x14ac:dyDescent="0.15">
      <c r="A301" s="10"/>
      <c r="B301" s="5"/>
      <c r="C301" s="10"/>
      <c r="D301" s="10"/>
      <c r="E301" s="10"/>
      <c r="F301" s="10"/>
      <c r="G301" s="8"/>
      <c r="H301" s="8"/>
      <c r="I301" s="8" t="str">
        <f t="shared" si="8"/>
        <v>借</v>
      </c>
      <c r="J301" s="9">
        <f t="shared" si="9"/>
        <v>1000</v>
      </c>
    </row>
    <row r="302" spans="1:10" ht="20.100000000000001" customHeight="1" x14ac:dyDescent="0.15">
      <c r="A302" s="10"/>
      <c r="B302" s="5"/>
      <c r="C302" s="10"/>
      <c r="D302" s="10"/>
      <c r="E302" s="10"/>
      <c r="F302" s="10"/>
      <c r="G302" s="8"/>
      <c r="H302" s="8"/>
      <c r="I302" s="8" t="str">
        <f t="shared" si="8"/>
        <v>借</v>
      </c>
      <c r="J302" s="9">
        <f t="shared" si="9"/>
        <v>1000</v>
      </c>
    </row>
    <row r="303" spans="1:10" ht="20.100000000000001" customHeight="1" x14ac:dyDescent="0.15">
      <c r="A303" s="10"/>
      <c r="B303" s="5"/>
      <c r="C303" s="10"/>
      <c r="D303" s="10"/>
      <c r="E303" s="10"/>
      <c r="F303" s="10"/>
      <c r="G303" s="8"/>
      <c r="H303" s="8"/>
      <c r="I303" s="8" t="str">
        <f t="shared" si="8"/>
        <v>借</v>
      </c>
      <c r="J303" s="9">
        <f t="shared" si="9"/>
        <v>1000</v>
      </c>
    </row>
    <row r="304" spans="1:10" ht="20.100000000000001" customHeight="1" x14ac:dyDescent="0.15">
      <c r="A304" s="10"/>
      <c r="B304" s="5"/>
      <c r="C304" s="10"/>
      <c r="D304" s="10"/>
      <c r="E304" s="10"/>
      <c r="F304" s="10"/>
      <c r="G304" s="8"/>
      <c r="H304" s="8"/>
      <c r="I304" s="8" t="str">
        <f t="shared" si="8"/>
        <v>借</v>
      </c>
      <c r="J304" s="9">
        <f t="shared" si="9"/>
        <v>1000</v>
      </c>
    </row>
    <row r="305" spans="1:10" ht="20.100000000000001" customHeight="1" x14ac:dyDescent="0.15">
      <c r="A305" s="10"/>
      <c r="B305" s="5"/>
      <c r="C305" s="10"/>
      <c r="D305" s="10"/>
      <c r="E305" s="10"/>
      <c r="F305" s="10"/>
      <c r="G305" s="8"/>
      <c r="H305" s="8"/>
      <c r="I305" s="8" t="str">
        <f t="shared" si="8"/>
        <v>借</v>
      </c>
      <c r="J305" s="9">
        <f t="shared" si="9"/>
        <v>1000</v>
      </c>
    </row>
    <row r="306" spans="1:10" ht="20.100000000000001" customHeight="1" x14ac:dyDescent="0.15">
      <c r="A306" s="10"/>
      <c r="B306" s="5"/>
      <c r="C306" s="10"/>
      <c r="D306" s="10"/>
      <c r="E306" s="10"/>
      <c r="F306" s="10"/>
      <c r="G306" s="8"/>
      <c r="H306" s="8"/>
      <c r="I306" s="8" t="str">
        <f t="shared" si="8"/>
        <v>借</v>
      </c>
      <c r="J306" s="9">
        <f t="shared" si="9"/>
        <v>1000</v>
      </c>
    </row>
    <row r="307" spans="1:10" ht="20.100000000000001" customHeight="1" x14ac:dyDescent="0.15">
      <c r="A307" s="10"/>
      <c r="B307" s="5"/>
      <c r="C307" s="10"/>
      <c r="D307" s="10"/>
      <c r="E307" s="10"/>
      <c r="F307" s="10"/>
      <c r="G307" s="8"/>
      <c r="H307" s="8"/>
      <c r="I307" s="8" t="str">
        <f t="shared" si="8"/>
        <v>借</v>
      </c>
      <c r="J307" s="9">
        <f t="shared" si="9"/>
        <v>1000</v>
      </c>
    </row>
    <row r="308" spans="1:10" ht="20.100000000000001" customHeight="1" x14ac:dyDescent="0.15">
      <c r="A308" s="10"/>
      <c r="B308" s="5"/>
      <c r="C308" s="10"/>
      <c r="D308" s="10"/>
      <c r="E308" s="10"/>
      <c r="F308" s="10"/>
      <c r="G308" s="8"/>
      <c r="H308" s="8"/>
      <c r="I308" s="8" t="str">
        <f t="shared" si="8"/>
        <v>借</v>
      </c>
      <c r="J308" s="9">
        <f t="shared" si="9"/>
        <v>1000</v>
      </c>
    </row>
    <row r="309" spans="1:10" ht="20.100000000000001" customHeight="1" x14ac:dyDescent="0.15">
      <c r="A309" s="10"/>
      <c r="B309" s="5"/>
      <c r="C309" s="10"/>
      <c r="D309" s="10"/>
      <c r="E309" s="10"/>
      <c r="F309" s="10"/>
      <c r="G309" s="8"/>
      <c r="H309" s="8"/>
      <c r="I309" s="8" t="str">
        <f t="shared" si="8"/>
        <v>借</v>
      </c>
      <c r="J309" s="9">
        <f t="shared" si="9"/>
        <v>1000</v>
      </c>
    </row>
    <row r="310" spans="1:10" ht="20.100000000000001" customHeight="1" x14ac:dyDescent="0.15">
      <c r="A310" s="10"/>
      <c r="B310" s="5"/>
      <c r="C310" s="10"/>
      <c r="D310" s="10"/>
      <c r="E310" s="10"/>
      <c r="F310" s="10"/>
      <c r="G310" s="8"/>
      <c r="H310" s="8"/>
      <c r="I310" s="8" t="str">
        <f t="shared" si="8"/>
        <v>借</v>
      </c>
      <c r="J310" s="9">
        <f t="shared" si="9"/>
        <v>1000</v>
      </c>
    </row>
    <row r="311" spans="1:10" ht="20.100000000000001" customHeight="1" x14ac:dyDescent="0.15">
      <c r="A311" s="10"/>
      <c r="B311" s="5"/>
      <c r="C311" s="10"/>
      <c r="D311" s="10"/>
      <c r="E311" s="10"/>
      <c r="F311" s="10"/>
      <c r="G311" s="8"/>
      <c r="H311" s="8"/>
      <c r="I311" s="8" t="str">
        <f t="shared" si="8"/>
        <v>借</v>
      </c>
      <c r="J311" s="9">
        <f t="shared" si="9"/>
        <v>1000</v>
      </c>
    </row>
    <row r="312" spans="1:10" ht="20.100000000000001" customHeight="1" x14ac:dyDescent="0.15">
      <c r="A312" s="10"/>
      <c r="B312" s="5"/>
      <c r="C312" s="10"/>
      <c r="D312" s="10"/>
      <c r="E312" s="10"/>
      <c r="F312" s="10"/>
      <c r="G312" s="8"/>
      <c r="H312" s="8"/>
      <c r="I312" s="8" t="str">
        <f t="shared" si="8"/>
        <v>借</v>
      </c>
      <c r="J312" s="9">
        <f t="shared" si="9"/>
        <v>1000</v>
      </c>
    </row>
    <row r="313" spans="1:10" ht="20.100000000000001" customHeight="1" x14ac:dyDescent="0.15">
      <c r="A313" s="10"/>
      <c r="B313" s="5"/>
      <c r="C313" s="10"/>
      <c r="D313" s="10"/>
      <c r="E313" s="10"/>
      <c r="F313" s="10"/>
      <c r="G313" s="8"/>
      <c r="H313" s="8"/>
      <c r="I313" s="8" t="str">
        <f t="shared" si="8"/>
        <v>借</v>
      </c>
      <c r="J313" s="9">
        <f t="shared" si="9"/>
        <v>1000</v>
      </c>
    </row>
    <row r="314" spans="1:10" ht="20.100000000000001" customHeight="1" x14ac:dyDescent="0.15">
      <c r="A314" s="10"/>
      <c r="B314" s="5"/>
      <c r="C314" s="10"/>
      <c r="D314" s="10"/>
      <c r="E314" s="10"/>
      <c r="F314" s="10"/>
      <c r="G314" s="8"/>
      <c r="H314" s="8"/>
      <c r="I314" s="8" t="str">
        <f t="shared" si="8"/>
        <v>借</v>
      </c>
      <c r="J314" s="9">
        <f t="shared" si="9"/>
        <v>1000</v>
      </c>
    </row>
    <row r="315" spans="1:10" ht="20.100000000000001" customHeight="1" x14ac:dyDescent="0.15">
      <c r="A315" s="10"/>
      <c r="B315" s="5"/>
      <c r="C315" s="10"/>
      <c r="D315" s="10"/>
      <c r="E315" s="10"/>
      <c r="F315" s="10"/>
      <c r="G315" s="8"/>
      <c r="H315" s="8"/>
      <c r="I315" s="8" t="str">
        <f t="shared" si="8"/>
        <v>借</v>
      </c>
      <c r="J315" s="9">
        <f t="shared" si="9"/>
        <v>1000</v>
      </c>
    </row>
    <row r="316" spans="1:10" ht="20.100000000000001" customHeight="1" x14ac:dyDescent="0.15">
      <c r="A316" s="10"/>
      <c r="B316" s="5"/>
      <c r="C316" s="10"/>
      <c r="D316" s="10"/>
      <c r="E316" s="10"/>
      <c r="F316" s="10"/>
      <c r="G316" s="8"/>
      <c r="H316" s="8"/>
      <c r="I316" s="8" t="str">
        <f t="shared" si="8"/>
        <v>借</v>
      </c>
      <c r="J316" s="9">
        <f t="shared" si="9"/>
        <v>1000</v>
      </c>
    </row>
    <row r="317" spans="1:10" ht="20.100000000000001" customHeight="1" x14ac:dyDescent="0.15">
      <c r="A317" s="10"/>
      <c r="B317" s="5"/>
      <c r="C317" s="10"/>
      <c r="D317" s="10"/>
      <c r="E317" s="10"/>
      <c r="F317" s="10"/>
      <c r="G317" s="8"/>
      <c r="H317" s="8"/>
      <c r="I317" s="8" t="str">
        <f t="shared" si="8"/>
        <v>借</v>
      </c>
      <c r="J317" s="9">
        <f t="shared" si="9"/>
        <v>1000</v>
      </c>
    </row>
    <row r="318" spans="1:10" ht="20.100000000000001" customHeight="1" x14ac:dyDescent="0.15">
      <c r="A318" s="10"/>
      <c r="B318" s="5"/>
      <c r="C318" s="10"/>
      <c r="D318" s="10"/>
      <c r="E318" s="10"/>
      <c r="F318" s="10"/>
      <c r="G318" s="8"/>
      <c r="H318" s="8"/>
      <c r="I318" s="8" t="str">
        <f t="shared" si="8"/>
        <v>借</v>
      </c>
      <c r="J318" s="9">
        <f t="shared" si="9"/>
        <v>1000</v>
      </c>
    </row>
    <row r="319" spans="1:10" ht="20.100000000000001" customHeight="1" x14ac:dyDescent="0.15">
      <c r="A319" s="10"/>
      <c r="B319" s="5"/>
      <c r="C319" s="10"/>
      <c r="D319" s="10"/>
      <c r="E319" s="10"/>
      <c r="F319" s="10"/>
      <c r="G319" s="8"/>
      <c r="H319" s="8"/>
      <c r="I319" s="8" t="str">
        <f t="shared" si="8"/>
        <v>借</v>
      </c>
      <c r="J319" s="9">
        <f t="shared" si="9"/>
        <v>1000</v>
      </c>
    </row>
    <row r="320" spans="1:10" ht="20.100000000000001" customHeight="1" x14ac:dyDescent="0.15">
      <c r="A320" s="10"/>
      <c r="B320" s="5"/>
      <c r="C320" s="10"/>
      <c r="D320" s="10"/>
      <c r="E320" s="10"/>
      <c r="F320" s="10"/>
      <c r="G320" s="8"/>
      <c r="H320" s="8"/>
      <c r="I320" s="8" t="str">
        <f t="shared" si="8"/>
        <v>借</v>
      </c>
      <c r="J320" s="9">
        <f t="shared" si="9"/>
        <v>1000</v>
      </c>
    </row>
    <row r="321" spans="1:10" ht="20.100000000000001" customHeight="1" x14ac:dyDescent="0.15">
      <c r="A321" s="10"/>
      <c r="B321" s="5"/>
      <c r="C321" s="10"/>
      <c r="D321" s="10"/>
      <c r="E321" s="10"/>
      <c r="F321" s="10"/>
      <c r="G321" s="8"/>
      <c r="H321" s="8"/>
      <c r="I321" s="8" t="str">
        <f t="shared" si="8"/>
        <v>借</v>
      </c>
      <c r="J321" s="9">
        <f t="shared" si="9"/>
        <v>1000</v>
      </c>
    </row>
    <row r="322" spans="1:10" ht="20.100000000000001" customHeight="1" x14ac:dyDescent="0.15">
      <c r="A322" s="10"/>
      <c r="B322" s="5"/>
      <c r="C322" s="10"/>
      <c r="D322" s="10"/>
      <c r="E322" s="10"/>
      <c r="F322" s="10"/>
      <c r="G322" s="8"/>
      <c r="H322" s="8"/>
      <c r="I322" s="8" t="str">
        <f t="shared" si="8"/>
        <v>借</v>
      </c>
      <c r="J322" s="9">
        <f t="shared" si="9"/>
        <v>1000</v>
      </c>
    </row>
    <row r="323" spans="1:10" ht="20.100000000000001" customHeight="1" x14ac:dyDescent="0.15">
      <c r="A323" s="10"/>
      <c r="B323" s="5"/>
      <c r="C323" s="10"/>
      <c r="D323" s="10"/>
      <c r="E323" s="10"/>
      <c r="F323" s="10"/>
      <c r="G323" s="8"/>
      <c r="H323" s="8"/>
      <c r="I323" s="8" t="str">
        <f t="shared" si="8"/>
        <v>借</v>
      </c>
      <c r="J323" s="9">
        <f t="shared" si="9"/>
        <v>1000</v>
      </c>
    </row>
    <row r="324" spans="1:10" ht="20.100000000000001" customHeight="1" x14ac:dyDescent="0.15">
      <c r="A324" s="10"/>
      <c r="B324" s="5"/>
      <c r="C324" s="10"/>
      <c r="D324" s="10"/>
      <c r="E324" s="10"/>
      <c r="F324" s="10"/>
      <c r="G324" s="8"/>
      <c r="H324" s="8"/>
      <c r="I324" s="8" t="str">
        <f t="shared" si="8"/>
        <v>借</v>
      </c>
      <c r="J324" s="9">
        <f t="shared" si="9"/>
        <v>1000</v>
      </c>
    </row>
    <row r="325" spans="1:10" ht="20.100000000000001" customHeight="1" x14ac:dyDescent="0.15">
      <c r="A325" s="10"/>
      <c r="B325" s="5"/>
      <c r="C325" s="10"/>
      <c r="D325" s="10"/>
      <c r="E325" s="10"/>
      <c r="F325" s="10"/>
      <c r="G325" s="8"/>
      <c r="H325" s="8"/>
      <c r="I325" s="8" t="str">
        <f t="shared" si="8"/>
        <v>借</v>
      </c>
      <c r="J325" s="9">
        <f t="shared" si="9"/>
        <v>1000</v>
      </c>
    </row>
    <row r="326" spans="1:10" ht="20.100000000000001" customHeight="1" x14ac:dyDescent="0.15">
      <c r="A326" s="10"/>
      <c r="B326" s="5"/>
      <c r="C326" s="10"/>
      <c r="D326" s="10"/>
      <c r="E326" s="10"/>
      <c r="F326" s="10"/>
      <c r="G326" s="8"/>
      <c r="H326" s="8"/>
      <c r="I326" s="8" t="str">
        <f t="shared" ref="I326:I389" si="10">IF((J325+G326-H326)&gt;0,"借","贷")</f>
        <v>借</v>
      </c>
      <c r="J326" s="9">
        <f t="shared" si="9"/>
        <v>1000</v>
      </c>
    </row>
    <row r="327" spans="1:10" ht="20.100000000000001" customHeight="1" x14ac:dyDescent="0.15">
      <c r="A327" s="10"/>
      <c r="B327" s="5"/>
      <c r="C327" s="10"/>
      <c r="D327" s="10"/>
      <c r="E327" s="10"/>
      <c r="F327" s="10"/>
      <c r="G327" s="8"/>
      <c r="H327" s="8"/>
      <c r="I327" s="8" t="str">
        <f t="shared" si="10"/>
        <v>借</v>
      </c>
      <c r="J327" s="9">
        <f t="shared" ref="J327:J390" si="11">J326+G327-H327</f>
        <v>1000</v>
      </c>
    </row>
    <row r="328" spans="1:10" ht="20.100000000000001" customHeight="1" x14ac:dyDescent="0.15">
      <c r="A328" s="10"/>
      <c r="B328" s="5"/>
      <c r="C328" s="10"/>
      <c r="D328" s="10"/>
      <c r="E328" s="10"/>
      <c r="F328" s="10"/>
      <c r="G328" s="8"/>
      <c r="H328" s="8"/>
      <c r="I328" s="8" t="str">
        <f t="shared" si="10"/>
        <v>借</v>
      </c>
      <c r="J328" s="9">
        <f t="shared" si="11"/>
        <v>1000</v>
      </c>
    </row>
    <row r="329" spans="1:10" ht="20.100000000000001" customHeight="1" x14ac:dyDescent="0.15">
      <c r="A329" s="10"/>
      <c r="B329" s="5"/>
      <c r="C329" s="10"/>
      <c r="D329" s="10"/>
      <c r="E329" s="10"/>
      <c r="F329" s="10"/>
      <c r="G329" s="8"/>
      <c r="H329" s="8"/>
      <c r="I329" s="8" t="str">
        <f t="shared" si="10"/>
        <v>借</v>
      </c>
      <c r="J329" s="9">
        <f t="shared" si="11"/>
        <v>1000</v>
      </c>
    </row>
    <row r="330" spans="1:10" ht="20.100000000000001" customHeight="1" x14ac:dyDescent="0.15">
      <c r="A330" s="10"/>
      <c r="B330" s="5"/>
      <c r="C330" s="10"/>
      <c r="D330" s="10"/>
      <c r="E330" s="10"/>
      <c r="F330" s="10"/>
      <c r="G330" s="8"/>
      <c r="H330" s="8"/>
      <c r="I330" s="8" t="str">
        <f t="shared" si="10"/>
        <v>借</v>
      </c>
      <c r="J330" s="9">
        <f t="shared" si="11"/>
        <v>1000</v>
      </c>
    </row>
    <row r="331" spans="1:10" ht="20.100000000000001" customHeight="1" x14ac:dyDescent="0.15">
      <c r="A331" s="10"/>
      <c r="B331" s="5"/>
      <c r="C331" s="10"/>
      <c r="D331" s="10"/>
      <c r="E331" s="10"/>
      <c r="F331" s="10"/>
      <c r="G331" s="8"/>
      <c r="H331" s="8"/>
      <c r="I331" s="8" t="str">
        <f t="shared" si="10"/>
        <v>借</v>
      </c>
      <c r="J331" s="9">
        <f t="shared" si="11"/>
        <v>1000</v>
      </c>
    </row>
    <row r="332" spans="1:10" ht="20.100000000000001" customHeight="1" x14ac:dyDescent="0.15">
      <c r="A332" s="10"/>
      <c r="B332" s="5"/>
      <c r="C332" s="10"/>
      <c r="D332" s="10"/>
      <c r="E332" s="10"/>
      <c r="F332" s="10"/>
      <c r="G332" s="8"/>
      <c r="H332" s="8"/>
      <c r="I332" s="8" t="str">
        <f t="shared" si="10"/>
        <v>借</v>
      </c>
      <c r="J332" s="9">
        <f t="shared" si="11"/>
        <v>1000</v>
      </c>
    </row>
    <row r="333" spans="1:10" ht="20.100000000000001" customHeight="1" x14ac:dyDescent="0.15">
      <c r="A333" s="10"/>
      <c r="B333" s="5"/>
      <c r="C333" s="10"/>
      <c r="D333" s="10"/>
      <c r="E333" s="10"/>
      <c r="F333" s="10"/>
      <c r="G333" s="8"/>
      <c r="H333" s="8"/>
      <c r="I333" s="8" t="str">
        <f t="shared" si="10"/>
        <v>借</v>
      </c>
      <c r="J333" s="9">
        <f t="shared" si="11"/>
        <v>1000</v>
      </c>
    </row>
    <row r="334" spans="1:10" ht="20.100000000000001" customHeight="1" x14ac:dyDescent="0.15">
      <c r="A334" s="10"/>
      <c r="B334" s="5"/>
      <c r="C334" s="10"/>
      <c r="D334" s="10"/>
      <c r="E334" s="10"/>
      <c r="F334" s="10"/>
      <c r="G334" s="8"/>
      <c r="H334" s="8"/>
      <c r="I334" s="8" t="str">
        <f t="shared" si="10"/>
        <v>借</v>
      </c>
      <c r="J334" s="9">
        <f t="shared" si="11"/>
        <v>1000</v>
      </c>
    </row>
    <row r="335" spans="1:10" ht="20.100000000000001" customHeight="1" x14ac:dyDescent="0.15">
      <c r="A335" s="10"/>
      <c r="B335" s="5"/>
      <c r="C335" s="10"/>
      <c r="D335" s="10"/>
      <c r="E335" s="10"/>
      <c r="F335" s="10"/>
      <c r="G335" s="8"/>
      <c r="H335" s="8"/>
      <c r="I335" s="8" t="str">
        <f t="shared" si="10"/>
        <v>借</v>
      </c>
      <c r="J335" s="9">
        <f t="shared" si="11"/>
        <v>1000</v>
      </c>
    </row>
    <row r="336" spans="1:10" ht="20.100000000000001" customHeight="1" x14ac:dyDescent="0.15">
      <c r="A336" s="10"/>
      <c r="B336" s="5"/>
      <c r="C336" s="10"/>
      <c r="D336" s="10"/>
      <c r="E336" s="10"/>
      <c r="F336" s="10"/>
      <c r="G336" s="8"/>
      <c r="H336" s="8"/>
      <c r="I336" s="8" t="str">
        <f t="shared" si="10"/>
        <v>借</v>
      </c>
      <c r="J336" s="9">
        <f t="shared" si="11"/>
        <v>1000</v>
      </c>
    </row>
    <row r="337" spans="1:10" ht="20.100000000000001" customHeight="1" x14ac:dyDescent="0.15">
      <c r="A337" s="10"/>
      <c r="B337" s="5"/>
      <c r="C337" s="10"/>
      <c r="D337" s="10"/>
      <c r="E337" s="10"/>
      <c r="F337" s="10"/>
      <c r="G337" s="8"/>
      <c r="H337" s="8"/>
      <c r="I337" s="8" t="str">
        <f t="shared" si="10"/>
        <v>借</v>
      </c>
      <c r="J337" s="9">
        <f t="shared" si="11"/>
        <v>1000</v>
      </c>
    </row>
    <row r="338" spans="1:10" ht="20.100000000000001" customHeight="1" x14ac:dyDescent="0.15">
      <c r="A338" s="10"/>
      <c r="B338" s="5"/>
      <c r="C338" s="10"/>
      <c r="D338" s="10"/>
      <c r="E338" s="10"/>
      <c r="F338" s="10"/>
      <c r="G338" s="8"/>
      <c r="H338" s="8"/>
      <c r="I338" s="8" t="str">
        <f t="shared" si="10"/>
        <v>借</v>
      </c>
      <c r="J338" s="9">
        <f t="shared" si="11"/>
        <v>1000</v>
      </c>
    </row>
    <row r="339" spans="1:10" ht="20.100000000000001" customHeight="1" x14ac:dyDescent="0.15">
      <c r="A339" s="10"/>
      <c r="B339" s="5"/>
      <c r="C339" s="10"/>
      <c r="D339" s="10"/>
      <c r="E339" s="10"/>
      <c r="F339" s="10"/>
      <c r="G339" s="8"/>
      <c r="H339" s="8"/>
      <c r="I339" s="8" t="str">
        <f t="shared" si="10"/>
        <v>借</v>
      </c>
      <c r="J339" s="9">
        <f t="shared" si="11"/>
        <v>1000</v>
      </c>
    </row>
    <row r="340" spans="1:10" ht="20.100000000000001" customHeight="1" x14ac:dyDescent="0.15">
      <c r="A340" s="10"/>
      <c r="B340" s="5"/>
      <c r="C340" s="10"/>
      <c r="D340" s="10"/>
      <c r="E340" s="10"/>
      <c r="F340" s="10"/>
      <c r="G340" s="8"/>
      <c r="H340" s="8"/>
      <c r="I340" s="8" t="str">
        <f t="shared" si="10"/>
        <v>借</v>
      </c>
      <c r="J340" s="9">
        <f t="shared" si="11"/>
        <v>1000</v>
      </c>
    </row>
    <row r="341" spans="1:10" ht="20.100000000000001" customHeight="1" x14ac:dyDescent="0.15">
      <c r="A341" s="10"/>
      <c r="B341" s="5"/>
      <c r="C341" s="10"/>
      <c r="D341" s="10"/>
      <c r="E341" s="10"/>
      <c r="F341" s="10"/>
      <c r="G341" s="8"/>
      <c r="H341" s="8"/>
      <c r="I341" s="8" t="str">
        <f t="shared" si="10"/>
        <v>借</v>
      </c>
      <c r="J341" s="9">
        <f t="shared" si="11"/>
        <v>1000</v>
      </c>
    </row>
    <row r="342" spans="1:10" ht="20.100000000000001" customHeight="1" x14ac:dyDescent="0.15">
      <c r="A342" s="10"/>
      <c r="B342" s="5"/>
      <c r="C342" s="10"/>
      <c r="D342" s="10"/>
      <c r="E342" s="10"/>
      <c r="F342" s="10"/>
      <c r="G342" s="8"/>
      <c r="H342" s="8"/>
      <c r="I342" s="8" t="str">
        <f t="shared" si="10"/>
        <v>借</v>
      </c>
      <c r="J342" s="9">
        <f t="shared" si="11"/>
        <v>1000</v>
      </c>
    </row>
    <row r="343" spans="1:10" ht="20.100000000000001" customHeight="1" x14ac:dyDescent="0.15">
      <c r="A343" s="10"/>
      <c r="B343" s="5"/>
      <c r="C343" s="10"/>
      <c r="D343" s="10"/>
      <c r="E343" s="10"/>
      <c r="F343" s="10"/>
      <c r="G343" s="8"/>
      <c r="H343" s="8"/>
      <c r="I343" s="8" t="str">
        <f t="shared" si="10"/>
        <v>借</v>
      </c>
      <c r="J343" s="9">
        <f t="shared" si="11"/>
        <v>1000</v>
      </c>
    </row>
    <row r="344" spans="1:10" ht="20.100000000000001" customHeight="1" x14ac:dyDescent="0.15">
      <c r="A344" s="10"/>
      <c r="B344" s="5"/>
      <c r="C344" s="10"/>
      <c r="D344" s="10"/>
      <c r="E344" s="10"/>
      <c r="F344" s="10"/>
      <c r="G344" s="8"/>
      <c r="H344" s="8"/>
      <c r="I344" s="8" t="str">
        <f t="shared" si="10"/>
        <v>借</v>
      </c>
      <c r="J344" s="9">
        <f t="shared" si="11"/>
        <v>1000</v>
      </c>
    </row>
    <row r="345" spans="1:10" ht="20.100000000000001" customHeight="1" x14ac:dyDescent="0.15">
      <c r="A345" s="10"/>
      <c r="B345" s="5"/>
      <c r="C345" s="10"/>
      <c r="D345" s="10"/>
      <c r="E345" s="10"/>
      <c r="F345" s="10"/>
      <c r="G345" s="8"/>
      <c r="H345" s="8"/>
      <c r="I345" s="8" t="str">
        <f t="shared" si="10"/>
        <v>借</v>
      </c>
      <c r="J345" s="9">
        <f t="shared" si="11"/>
        <v>1000</v>
      </c>
    </row>
    <row r="346" spans="1:10" ht="20.100000000000001" customHeight="1" x14ac:dyDescent="0.15">
      <c r="A346" s="10"/>
      <c r="B346" s="5"/>
      <c r="C346" s="10"/>
      <c r="D346" s="10"/>
      <c r="E346" s="10"/>
      <c r="F346" s="10"/>
      <c r="G346" s="8"/>
      <c r="H346" s="8"/>
      <c r="I346" s="8" t="str">
        <f t="shared" si="10"/>
        <v>借</v>
      </c>
      <c r="J346" s="9">
        <f t="shared" si="11"/>
        <v>1000</v>
      </c>
    </row>
    <row r="347" spans="1:10" ht="20.100000000000001" customHeight="1" x14ac:dyDescent="0.15">
      <c r="A347" s="10"/>
      <c r="B347" s="5"/>
      <c r="C347" s="10"/>
      <c r="D347" s="10"/>
      <c r="E347" s="10"/>
      <c r="F347" s="10"/>
      <c r="G347" s="8"/>
      <c r="H347" s="8"/>
      <c r="I347" s="8" t="str">
        <f t="shared" si="10"/>
        <v>借</v>
      </c>
      <c r="J347" s="9">
        <f t="shared" si="11"/>
        <v>1000</v>
      </c>
    </row>
    <row r="348" spans="1:10" ht="20.100000000000001" customHeight="1" x14ac:dyDescent="0.15">
      <c r="A348" s="10"/>
      <c r="B348" s="5"/>
      <c r="C348" s="10"/>
      <c r="D348" s="10"/>
      <c r="E348" s="10"/>
      <c r="F348" s="10"/>
      <c r="G348" s="8"/>
      <c r="H348" s="8"/>
      <c r="I348" s="8" t="str">
        <f t="shared" si="10"/>
        <v>借</v>
      </c>
      <c r="J348" s="9">
        <f t="shared" si="11"/>
        <v>1000</v>
      </c>
    </row>
    <row r="349" spans="1:10" ht="20.100000000000001" customHeight="1" x14ac:dyDescent="0.15">
      <c r="A349" s="10"/>
      <c r="B349" s="5"/>
      <c r="C349" s="10"/>
      <c r="D349" s="10"/>
      <c r="E349" s="10"/>
      <c r="F349" s="10"/>
      <c r="G349" s="8"/>
      <c r="H349" s="8"/>
      <c r="I349" s="8" t="str">
        <f t="shared" si="10"/>
        <v>借</v>
      </c>
      <c r="J349" s="9">
        <f t="shared" si="11"/>
        <v>1000</v>
      </c>
    </row>
    <row r="350" spans="1:10" ht="20.100000000000001" customHeight="1" x14ac:dyDescent="0.15">
      <c r="A350" s="10"/>
      <c r="B350" s="5"/>
      <c r="C350" s="10"/>
      <c r="D350" s="10"/>
      <c r="E350" s="10"/>
      <c r="F350" s="10"/>
      <c r="G350" s="8"/>
      <c r="H350" s="8"/>
      <c r="I350" s="8" t="str">
        <f t="shared" si="10"/>
        <v>借</v>
      </c>
      <c r="J350" s="9">
        <f t="shared" si="11"/>
        <v>1000</v>
      </c>
    </row>
    <row r="351" spans="1:10" ht="20.100000000000001" customHeight="1" x14ac:dyDescent="0.15">
      <c r="A351" s="10"/>
      <c r="B351" s="5"/>
      <c r="C351" s="10"/>
      <c r="D351" s="10"/>
      <c r="E351" s="10"/>
      <c r="F351" s="10"/>
      <c r="G351" s="8"/>
      <c r="H351" s="8"/>
      <c r="I351" s="8" t="str">
        <f t="shared" si="10"/>
        <v>借</v>
      </c>
      <c r="J351" s="9">
        <f t="shared" si="11"/>
        <v>1000</v>
      </c>
    </row>
    <row r="352" spans="1:10" ht="20.100000000000001" customHeight="1" x14ac:dyDescent="0.15">
      <c r="A352" s="10"/>
      <c r="B352" s="5"/>
      <c r="C352" s="10"/>
      <c r="D352" s="10"/>
      <c r="E352" s="10"/>
      <c r="F352" s="10"/>
      <c r="G352" s="8"/>
      <c r="H352" s="8"/>
      <c r="I352" s="8" t="str">
        <f t="shared" si="10"/>
        <v>借</v>
      </c>
      <c r="J352" s="9">
        <f t="shared" si="11"/>
        <v>1000</v>
      </c>
    </row>
    <row r="353" spans="1:10" ht="20.100000000000001" customHeight="1" x14ac:dyDescent="0.15">
      <c r="A353" s="10"/>
      <c r="B353" s="5"/>
      <c r="C353" s="10"/>
      <c r="D353" s="10"/>
      <c r="E353" s="10"/>
      <c r="F353" s="10"/>
      <c r="G353" s="8"/>
      <c r="H353" s="8"/>
      <c r="I353" s="8" t="str">
        <f t="shared" si="10"/>
        <v>借</v>
      </c>
      <c r="J353" s="9">
        <f t="shared" si="11"/>
        <v>1000</v>
      </c>
    </row>
    <row r="354" spans="1:10" ht="20.100000000000001" customHeight="1" x14ac:dyDescent="0.15">
      <c r="A354" s="10"/>
      <c r="B354" s="5"/>
      <c r="C354" s="10"/>
      <c r="D354" s="10"/>
      <c r="E354" s="10"/>
      <c r="F354" s="10"/>
      <c r="G354" s="8"/>
      <c r="H354" s="8"/>
      <c r="I354" s="8" t="str">
        <f t="shared" si="10"/>
        <v>借</v>
      </c>
      <c r="J354" s="9">
        <f t="shared" si="11"/>
        <v>1000</v>
      </c>
    </row>
    <row r="355" spans="1:10" ht="20.100000000000001" customHeight="1" x14ac:dyDescent="0.15">
      <c r="A355" s="10"/>
      <c r="B355" s="5"/>
      <c r="C355" s="10"/>
      <c r="D355" s="10"/>
      <c r="E355" s="10"/>
      <c r="F355" s="10"/>
      <c r="G355" s="8"/>
      <c r="H355" s="8"/>
      <c r="I355" s="8" t="str">
        <f t="shared" si="10"/>
        <v>借</v>
      </c>
      <c r="J355" s="9">
        <f t="shared" si="11"/>
        <v>1000</v>
      </c>
    </row>
    <row r="356" spans="1:10" ht="20.100000000000001" customHeight="1" x14ac:dyDescent="0.15">
      <c r="A356" s="10"/>
      <c r="B356" s="5"/>
      <c r="C356" s="10"/>
      <c r="D356" s="10"/>
      <c r="E356" s="10"/>
      <c r="F356" s="10"/>
      <c r="G356" s="8"/>
      <c r="H356" s="8"/>
      <c r="I356" s="8" t="str">
        <f t="shared" si="10"/>
        <v>借</v>
      </c>
      <c r="J356" s="9">
        <f t="shared" si="11"/>
        <v>1000</v>
      </c>
    </row>
    <row r="357" spans="1:10" ht="20.100000000000001" customHeight="1" x14ac:dyDescent="0.15">
      <c r="A357" s="10"/>
      <c r="B357" s="5"/>
      <c r="C357" s="10"/>
      <c r="D357" s="10"/>
      <c r="E357" s="10"/>
      <c r="F357" s="10"/>
      <c r="G357" s="8"/>
      <c r="H357" s="8"/>
      <c r="I357" s="8" t="str">
        <f t="shared" si="10"/>
        <v>借</v>
      </c>
      <c r="J357" s="9">
        <f t="shared" si="11"/>
        <v>1000</v>
      </c>
    </row>
    <row r="358" spans="1:10" ht="20.100000000000001" customHeight="1" x14ac:dyDescent="0.15">
      <c r="A358" s="10"/>
      <c r="B358" s="5"/>
      <c r="C358" s="10"/>
      <c r="D358" s="10"/>
      <c r="E358" s="10"/>
      <c r="F358" s="10"/>
      <c r="G358" s="8"/>
      <c r="H358" s="8"/>
      <c r="I358" s="8" t="str">
        <f t="shared" si="10"/>
        <v>借</v>
      </c>
      <c r="J358" s="9">
        <f t="shared" si="11"/>
        <v>1000</v>
      </c>
    </row>
    <row r="359" spans="1:10" ht="20.100000000000001" customHeight="1" x14ac:dyDescent="0.15">
      <c r="A359" s="10"/>
      <c r="B359" s="5"/>
      <c r="C359" s="10"/>
      <c r="D359" s="10"/>
      <c r="E359" s="10"/>
      <c r="F359" s="10"/>
      <c r="G359" s="8"/>
      <c r="H359" s="8"/>
      <c r="I359" s="8" t="str">
        <f t="shared" si="10"/>
        <v>借</v>
      </c>
      <c r="J359" s="9">
        <f t="shared" si="11"/>
        <v>1000</v>
      </c>
    </row>
    <row r="360" spans="1:10" ht="20.100000000000001" customHeight="1" x14ac:dyDescent="0.15">
      <c r="A360" s="10"/>
      <c r="B360" s="5"/>
      <c r="C360" s="10"/>
      <c r="D360" s="10"/>
      <c r="E360" s="10"/>
      <c r="F360" s="10"/>
      <c r="G360" s="8"/>
      <c r="H360" s="8"/>
      <c r="I360" s="8" t="str">
        <f t="shared" si="10"/>
        <v>借</v>
      </c>
      <c r="J360" s="9">
        <f t="shared" si="11"/>
        <v>1000</v>
      </c>
    </row>
    <row r="361" spans="1:10" ht="20.100000000000001" customHeight="1" x14ac:dyDescent="0.15">
      <c r="A361" s="10"/>
      <c r="B361" s="5"/>
      <c r="C361" s="10"/>
      <c r="D361" s="10"/>
      <c r="E361" s="10"/>
      <c r="F361" s="10"/>
      <c r="G361" s="8"/>
      <c r="H361" s="8"/>
      <c r="I361" s="8" t="str">
        <f t="shared" si="10"/>
        <v>借</v>
      </c>
      <c r="J361" s="9">
        <f t="shared" si="11"/>
        <v>1000</v>
      </c>
    </row>
    <row r="362" spans="1:10" ht="20.100000000000001" customHeight="1" x14ac:dyDescent="0.15">
      <c r="A362" s="10"/>
      <c r="B362" s="5"/>
      <c r="C362" s="10"/>
      <c r="D362" s="10"/>
      <c r="E362" s="10"/>
      <c r="F362" s="10"/>
      <c r="G362" s="8"/>
      <c r="H362" s="8"/>
      <c r="I362" s="8" t="str">
        <f t="shared" si="10"/>
        <v>借</v>
      </c>
      <c r="J362" s="9">
        <f t="shared" si="11"/>
        <v>1000</v>
      </c>
    </row>
    <row r="363" spans="1:10" ht="20.100000000000001" customHeight="1" x14ac:dyDescent="0.15">
      <c r="A363" s="10"/>
      <c r="B363" s="5"/>
      <c r="C363" s="10"/>
      <c r="D363" s="10"/>
      <c r="E363" s="10"/>
      <c r="F363" s="10"/>
      <c r="G363" s="8"/>
      <c r="H363" s="8"/>
      <c r="I363" s="8" t="str">
        <f t="shared" si="10"/>
        <v>借</v>
      </c>
      <c r="J363" s="9">
        <f t="shared" si="11"/>
        <v>1000</v>
      </c>
    </row>
    <row r="364" spans="1:10" ht="20.100000000000001" customHeight="1" x14ac:dyDescent="0.15">
      <c r="A364" s="10"/>
      <c r="B364" s="5"/>
      <c r="C364" s="10"/>
      <c r="D364" s="10"/>
      <c r="E364" s="10"/>
      <c r="F364" s="10"/>
      <c r="G364" s="8"/>
      <c r="H364" s="8"/>
      <c r="I364" s="8" t="str">
        <f t="shared" si="10"/>
        <v>借</v>
      </c>
      <c r="J364" s="9">
        <f t="shared" si="11"/>
        <v>1000</v>
      </c>
    </row>
    <row r="365" spans="1:10" ht="20.100000000000001" customHeight="1" x14ac:dyDescent="0.15">
      <c r="B365" s="5"/>
      <c r="C365" s="10"/>
      <c r="D365" s="10"/>
      <c r="E365" s="10"/>
      <c r="F365" s="10"/>
      <c r="G365" s="8"/>
      <c r="H365" s="8"/>
      <c r="I365" s="8" t="str">
        <f t="shared" si="10"/>
        <v>借</v>
      </c>
      <c r="J365" s="9">
        <f t="shared" si="11"/>
        <v>1000</v>
      </c>
    </row>
    <row r="366" spans="1:10" ht="20.100000000000001" customHeight="1" x14ac:dyDescent="0.15">
      <c r="B366" s="5"/>
      <c r="C366" s="10"/>
      <c r="D366" s="10"/>
      <c r="E366" s="10"/>
      <c r="F366" s="10"/>
      <c r="G366" s="8"/>
      <c r="H366" s="8"/>
      <c r="I366" s="8" t="str">
        <f t="shared" si="10"/>
        <v>借</v>
      </c>
      <c r="J366" s="9">
        <f t="shared" si="11"/>
        <v>1000</v>
      </c>
    </row>
    <row r="367" spans="1:10" ht="20.100000000000001" customHeight="1" x14ac:dyDescent="0.15">
      <c r="B367" s="5"/>
      <c r="C367" s="7"/>
      <c r="D367" s="10"/>
      <c r="E367" s="10"/>
      <c r="F367" s="10"/>
      <c r="G367" s="8"/>
      <c r="H367" s="8"/>
      <c r="I367" s="8" t="str">
        <f t="shared" si="10"/>
        <v>借</v>
      </c>
      <c r="J367" s="9">
        <f t="shared" si="11"/>
        <v>1000</v>
      </c>
    </row>
    <row r="368" spans="1:10" ht="20.100000000000001" customHeight="1" x14ac:dyDescent="0.15">
      <c r="B368" s="5"/>
      <c r="C368" s="7"/>
      <c r="D368" s="10"/>
      <c r="E368" s="10"/>
      <c r="F368" s="10"/>
      <c r="G368" s="8"/>
      <c r="H368" s="8"/>
      <c r="I368" s="8" t="str">
        <f t="shared" si="10"/>
        <v>借</v>
      </c>
      <c r="J368" s="9">
        <f t="shared" si="11"/>
        <v>1000</v>
      </c>
    </row>
    <row r="369" spans="2:10" ht="20.100000000000001" customHeight="1" x14ac:dyDescent="0.15">
      <c r="B369" s="5"/>
      <c r="C369" s="7"/>
      <c r="D369" s="10"/>
      <c r="E369" s="10"/>
      <c r="F369" s="10"/>
      <c r="G369" s="8"/>
      <c r="H369" s="8"/>
      <c r="I369" s="8" t="str">
        <f t="shared" si="10"/>
        <v>借</v>
      </c>
      <c r="J369" s="9">
        <f t="shared" si="11"/>
        <v>1000</v>
      </c>
    </row>
    <row r="370" spans="2:10" ht="20.100000000000001" customHeight="1" x14ac:dyDescent="0.15">
      <c r="B370" s="5"/>
      <c r="C370" s="7"/>
      <c r="D370" s="10"/>
      <c r="E370" s="10"/>
      <c r="F370" s="10"/>
      <c r="G370" s="8"/>
      <c r="H370" s="8"/>
      <c r="I370" s="8" t="str">
        <f t="shared" si="10"/>
        <v>借</v>
      </c>
      <c r="J370" s="9">
        <f t="shared" si="11"/>
        <v>1000</v>
      </c>
    </row>
    <row r="371" spans="2:10" ht="20.100000000000001" customHeight="1" x14ac:dyDescent="0.15">
      <c r="B371" s="5"/>
      <c r="C371" s="7"/>
      <c r="D371" s="10"/>
      <c r="E371" s="10"/>
      <c r="F371" s="10"/>
      <c r="G371" s="8"/>
      <c r="H371" s="8"/>
      <c r="I371" s="8" t="str">
        <f t="shared" si="10"/>
        <v>借</v>
      </c>
      <c r="J371" s="9">
        <f t="shared" si="11"/>
        <v>1000</v>
      </c>
    </row>
    <row r="372" spans="2:10" ht="20.100000000000001" customHeight="1" x14ac:dyDescent="0.15">
      <c r="B372" s="5"/>
      <c r="C372" s="7"/>
      <c r="D372" s="10"/>
      <c r="E372" s="10"/>
      <c r="F372" s="10"/>
      <c r="G372" s="8"/>
      <c r="H372" s="8"/>
      <c r="I372" s="8" t="str">
        <f t="shared" si="10"/>
        <v>借</v>
      </c>
      <c r="J372" s="9">
        <f t="shared" si="11"/>
        <v>1000</v>
      </c>
    </row>
    <row r="373" spans="2:10" ht="20.100000000000001" customHeight="1" x14ac:dyDescent="0.15">
      <c r="B373" s="5"/>
      <c r="C373" s="7"/>
      <c r="D373" s="10"/>
      <c r="E373" s="10"/>
      <c r="F373" s="10"/>
      <c r="G373" s="8"/>
      <c r="H373" s="8"/>
      <c r="I373" s="8" t="str">
        <f t="shared" si="10"/>
        <v>借</v>
      </c>
      <c r="J373" s="9">
        <f t="shared" si="11"/>
        <v>1000</v>
      </c>
    </row>
    <row r="374" spans="2:10" ht="20.100000000000001" customHeight="1" x14ac:dyDescent="0.15">
      <c r="B374" s="5"/>
      <c r="C374" s="7"/>
      <c r="D374" s="10"/>
      <c r="E374" s="10"/>
      <c r="F374" s="10"/>
      <c r="G374" s="8"/>
      <c r="H374" s="8"/>
      <c r="I374" s="8" t="str">
        <f t="shared" si="10"/>
        <v>借</v>
      </c>
      <c r="J374" s="9">
        <f t="shared" si="11"/>
        <v>1000</v>
      </c>
    </row>
    <row r="375" spans="2:10" ht="20.100000000000001" customHeight="1" x14ac:dyDescent="0.15">
      <c r="B375" s="5"/>
      <c r="C375" s="7"/>
      <c r="D375" s="10"/>
      <c r="E375" s="10"/>
      <c r="F375" s="10"/>
      <c r="G375" s="8"/>
      <c r="H375" s="8"/>
      <c r="I375" s="8" t="str">
        <f t="shared" si="10"/>
        <v>借</v>
      </c>
      <c r="J375" s="9">
        <f t="shared" si="11"/>
        <v>1000</v>
      </c>
    </row>
    <row r="376" spans="2:10" ht="20.100000000000001" customHeight="1" x14ac:dyDescent="0.15">
      <c r="B376" s="5"/>
      <c r="C376" s="7"/>
      <c r="D376" s="10"/>
      <c r="E376" s="10"/>
      <c r="F376" s="10"/>
      <c r="G376" s="8"/>
      <c r="H376" s="8"/>
      <c r="I376" s="8" t="str">
        <f t="shared" si="10"/>
        <v>借</v>
      </c>
      <c r="J376" s="9">
        <f t="shared" si="11"/>
        <v>1000</v>
      </c>
    </row>
    <row r="377" spans="2:10" ht="20.100000000000001" customHeight="1" x14ac:dyDescent="0.15">
      <c r="B377" s="5"/>
      <c r="C377" s="7"/>
      <c r="D377" s="10"/>
      <c r="E377" s="10"/>
      <c r="F377" s="10"/>
      <c r="G377" s="8"/>
      <c r="H377" s="8"/>
      <c r="I377" s="8" t="str">
        <f t="shared" si="10"/>
        <v>借</v>
      </c>
      <c r="J377" s="9">
        <f t="shared" si="11"/>
        <v>1000</v>
      </c>
    </row>
    <row r="378" spans="2:10" ht="20.100000000000001" customHeight="1" x14ac:dyDescent="0.15">
      <c r="B378" s="5"/>
      <c r="C378" s="7"/>
      <c r="D378" s="10"/>
      <c r="E378" s="10"/>
      <c r="F378" s="10"/>
      <c r="G378" s="8"/>
      <c r="H378" s="8"/>
      <c r="I378" s="8" t="str">
        <f t="shared" si="10"/>
        <v>借</v>
      </c>
      <c r="J378" s="9">
        <f t="shared" si="11"/>
        <v>1000</v>
      </c>
    </row>
    <row r="379" spans="2:10" ht="20.100000000000001" customHeight="1" x14ac:dyDescent="0.15">
      <c r="B379" s="5"/>
      <c r="C379" s="7"/>
      <c r="D379" s="10"/>
      <c r="E379" s="10"/>
      <c r="F379" s="10"/>
      <c r="G379" s="8"/>
      <c r="H379" s="8"/>
      <c r="I379" s="8" t="str">
        <f t="shared" si="10"/>
        <v>借</v>
      </c>
      <c r="J379" s="9">
        <f t="shared" si="11"/>
        <v>1000</v>
      </c>
    </row>
    <row r="380" spans="2:10" ht="20.100000000000001" customHeight="1" x14ac:dyDescent="0.15">
      <c r="B380" s="5"/>
      <c r="C380" s="7"/>
      <c r="D380" s="10"/>
      <c r="E380" s="10"/>
      <c r="F380" s="10"/>
      <c r="G380" s="8"/>
      <c r="H380" s="8"/>
      <c r="I380" s="8" t="str">
        <f t="shared" si="10"/>
        <v>借</v>
      </c>
      <c r="J380" s="9">
        <f t="shared" si="11"/>
        <v>1000</v>
      </c>
    </row>
    <row r="381" spans="2:10" ht="20.100000000000001" customHeight="1" x14ac:dyDescent="0.15">
      <c r="B381" s="5"/>
      <c r="C381" s="7"/>
      <c r="D381" s="10"/>
      <c r="E381" s="10"/>
      <c r="F381" s="10"/>
      <c r="G381" s="8"/>
      <c r="H381" s="8"/>
      <c r="I381" s="8" t="str">
        <f t="shared" si="10"/>
        <v>借</v>
      </c>
      <c r="J381" s="9">
        <f t="shared" si="11"/>
        <v>1000</v>
      </c>
    </row>
    <row r="382" spans="2:10" ht="20.100000000000001" customHeight="1" x14ac:dyDescent="0.15">
      <c r="B382" s="5"/>
      <c r="C382" s="7"/>
      <c r="D382" s="10"/>
      <c r="E382" s="10"/>
      <c r="F382" s="10"/>
      <c r="G382" s="8"/>
      <c r="H382" s="8"/>
      <c r="I382" s="8" t="str">
        <f t="shared" si="10"/>
        <v>借</v>
      </c>
      <c r="J382" s="9">
        <f t="shared" si="11"/>
        <v>1000</v>
      </c>
    </row>
    <row r="383" spans="2:10" ht="20.100000000000001" customHeight="1" x14ac:dyDescent="0.15">
      <c r="B383" s="5"/>
      <c r="C383" s="7"/>
      <c r="D383" s="10"/>
      <c r="E383" s="10"/>
      <c r="F383" s="10"/>
      <c r="G383" s="8"/>
      <c r="H383" s="8"/>
      <c r="I383" s="8" t="str">
        <f t="shared" si="10"/>
        <v>借</v>
      </c>
      <c r="J383" s="9">
        <f t="shared" si="11"/>
        <v>1000</v>
      </c>
    </row>
    <row r="384" spans="2:10" ht="20.100000000000001" customHeight="1" x14ac:dyDescent="0.15">
      <c r="B384" s="5"/>
      <c r="C384" s="10"/>
      <c r="D384" s="10"/>
      <c r="E384" s="10"/>
      <c r="F384" s="10"/>
      <c r="G384" s="8"/>
      <c r="H384" s="8"/>
      <c r="I384" s="8" t="str">
        <f t="shared" si="10"/>
        <v>借</v>
      </c>
      <c r="J384" s="9">
        <f t="shared" si="11"/>
        <v>1000</v>
      </c>
    </row>
    <row r="385" spans="2:10" ht="20.100000000000001" customHeight="1" x14ac:dyDescent="0.15">
      <c r="B385" s="5"/>
      <c r="C385" s="10"/>
      <c r="D385" s="10"/>
      <c r="E385" s="10"/>
      <c r="F385" s="10"/>
      <c r="G385" s="8"/>
      <c r="H385" s="8"/>
      <c r="I385" s="8" t="str">
        <f t="shared" si="10"/>
        <v>借</v>
      </c>
      <c r="J385" s="9">
        <f t="shared" si="11"/>
        <v>1000</v>
      </c>
    </row>
    <row r="386" spans="2:10" ht="20.100000000000001" customHeight="1" x14ac:dyDescent="0.15">
      <c r="B386" s="5"/>
      <c r="C386" s="10"/>
      <c r="D386" s="10"/>
      <c r="E386" s="10"/>
      <c r="F386" s="10"/>
      <c r="G386" s="8"/>
      <c r="H386" s="8"/>
      <c r="I386" s="8" t="str">
        <f t="shared" si="10"/>
        <v>借</v>
      </c>
      <c r="J386" s="9">
        <f t="shared" si="11"/>
        <v>1000</v>
      </c>
    </row>
    <row r="387" spans="2:10" ht="20.100000000000001" customHeight="1" x14ac:dyDescent="0.15">
      <c r="B387" s="5"/>
      <c r="C387" s="10"/>
      <c r="D387" s="10"/>
      <c r="E387" s="10"/>
      <c r="F387" s="10"/>
      <c r="G387" s="8"/>
      <c r="H387" s="8"/>
      <c r="I387" s="8" t="str">
        <f t="shared" si="10"/>
        <v>借</v>
      </c>
      <c r="J387" s="9">
        <f t="shared" si="11"/>
        <v>1000</v>
      </c>
    </row>
    <row r="388" spans="2:10" ht="20.100000000000001" customHeight="1" x14ac:dyDescent="0.15">
      <c r="B388" s="5"/>
      <c r="C388" s="10"/>
      <c r="D388" s="10"/>
      <c r="E388" s="10"/>
      <c r="F388" s="10"/>
      <c r="G388" s="8"/>
      <c r="H388" s="8"/>
      <c r="I388" s="8" t="str">
        <f t="shared" si="10"/>
        <v>借</v>
      </c>
      <c r="J388" s="9">
        <f t="shared" si="11"/>
        <v>1000</v>
      </c>
    </row>
    <row r="389" spans="2:10" ht="20.100000000000001" customHeight="1" x14ac:dyDescent="0.15">
      <c r="B389" s="5"/>
      <c r="C389" s="10"/>
      <c r="D389" s="10"/>
      <c r="E389" s="10"/>
      <c r="F389" s="10"/>
      <c r="G389" s="8"/>
      <c r="H389" s="8"/>
      <c r="I389" s="8" t="str">
        <f t="shared" si="10"/>
        <v>借</v>
      </c>
      <c r="J389" s="9">
        <f t="shared" si="11"/>
        <v>1000</v>
      </c>
    </row>
    <row r="390" spans="2:10" ht="20.100000000000001" customHeight="1" x14ac:dyDescent="0.15">
      <c r="B390" s="5"/>
      <c r="C390" s="10"/>
      <c r="D390" s="10"/>
      <c r="E390" s="10"/>
      <c r="F390" s="10"/>
      <c r="G390" s="8"/>
      <c r="H390" s="8"/>
      <c r="I390" s="8" t="str">
        <f t="shared" ref="I390:I453" si="12">IF((J389+G390-H390)&gt;0,"借","贷")</f>
        <v>借</v>
      </c>
      <c r="J390" s="9">
        <f t="shared" si="11"/>
        <v>1000</v>
      </c>
    </row>
    <row r="391" spans="2:10" ht="20.100000000000001" customHeight="1" x14ac:dyDescent="0.15">
      <c r="B391" s="5"/>
      <c r="C391" s="10"/>
      <c r="D391" s="10"/>
      <c r="E391" s="10"/>
      <c r="F391" s="10"/>
      <c r="G391" s="8"/>
      <c r="H391" s="8"/>
      <c r="I391" s="8" t="str">
        <f t="shared" si="12"/>
        <v>借</v>
      </c>
      <c r="J391" s="9">
        <f t="shared" ref="J391:J454" si="13">J390+G391-H391</f>
        <v>1000</v>
      </c>
    </row>
    <row r="392" spans="2:10" ht="20.100000000000001" customHeight="1" x14ac:dyDescent="0.15">
      <c r="B392" s="5"/>
      <c r="C392" s="10"/>
      <c r="D392" s="10"/>
      <c r="E392" s="10"/>
      <c r="F392" s="10"/>
      <c r="G392" s="8"/>
      <c r="H392" s="8"/>
      <c r="I392" s="8" t="str">
        <f t="shared" si="12"/>
        <v>借</v>
      </c>
      <c r="J392" s="9">
        <f t="shared" si="13"/>
        <v>1000</v>
      </c>
    </row>
    <row r="393" spans="2:10" ht="20.100000000000001" customHeight="1" x14ac:dyDescent="0.15">
      <c r="B393" s="5"/>
      <c r="C393" s="10"/>
      <c r="D393" s="10"/>
      <c r="E393" s="10"/>
      <c r="F393" s="10"/>
      <c r="G393" s="8"/>
      <c r="H393" s="8"/>
      <c r="I393" s="8" t="str">
        <f t="shared" si="12"/>
        <v>借</v>
      </c>
      <c r="J393" s="9">
        <f t="shared" si="13"/>
        <v>1000</v>
      </c>
    </row>
    <row r="394" spans="2:10" ht="20.100000000000001" customHeight="1" x14ac:dyDescent="0.15">
      <c r="B394" s="5"/>
      <c r="C394" s="10"/>
      <c r="D394" s="10"/>
      <c r="E394" s="10"/>
      <c r="F394" s="10"/>
      <c r="G394" s="8"/>
      <c r="H394" s="8"/>
      <c r="I394" s="8" t="str">
        <f t="shared" si="12"/>
        <v>借</v>
      </c>
      <c r="J394" s="9">
        <f t="shared" si="13"/>
        <v>1000</v>
      </c>
    </row>
    <row r="395" spans="2:10" ht="20.100000000000001" customHeight="1" x14ac:dyDescent="0.15">
      <c r="B395" s="5"/>
      <c r="C395" s="10"/>
      <c r="D395" s="10"/>
      <c r="E395" s="10"/>
      <c r="F395" s="10"/>
      <c r="G395" s="8"/>
      <c r="H395" s="8"/>
      <c r="I395" s="8" t="str">
        <f t="shared" si="12"/>
        <v>借</v>
      </c>
      <c r="J395" s="9">
        <f t="shared" si="13"/>
        <v>1000</v>
      </c>
    </row>
    <row r="396" spans="2:10" ht="20.100000000000001" customHeight="1" x14ac:dyDescent="0.15">
      <c r="B396" s="5"/>
      <c r="C396" s="10"/>
      <c r="D396" s="10"/>
      <c r="E396" s="10"/>
      <c r="F396" s="10"/>
      <c r="G396" s="8"/>
      <c r="H396" s="8"/>
      <c r="I396" s="8" t="str">
        <f t="shared" si="12"/>
        <v>借</v>
      </c>
      <c r="J396" s="9">
        <f t="shared" si="13"/>
        <v>1000</v>
      </c>
    </row>
    <row r="397" spans="2:10" ht="20.100000000000001" customHeight="1" x14ac:dyDescent="0.15">
      <c r="B397" s="5"/>
      <c r="C397" s="10"/>
      <c r="D397" s="10"/>
      <c r="E397" s="10"/>
      <c r="F397" s="10"/>
      <c r="G397" s="8"/>
      <c r="H397" s="8"/>
      <c r="I397" s="8" t="str">
        <f t="shared" si="12"/>
        <v>借</v>
      </c>
      <c r="J397" s="9">
        <f t="shared" si="13"/>
        <v>1000</v>
      </c>
    </row>
    <row r="398" spans="2:10" ht="20.100000000000001" customHeight="1" x14ac:dyDescent="0.15">
      <c r="B398" s="5"/>
      <c r="C398" s="10"/>
      <c r="D398" s="10"/>
      <c r="E398" s="10"/>
      <c r="F398" s="10"/>
      <c r="G398" s="8"/>
      <c r="H398" s="8"/>
      <c r="I398" s="8" t="str">
        <f t="shared" si="12"/>
        <v>借</v>
      </c>
      <c r="J398" s="9">
        <f t="shared" si="13"/>
        <v>1000</v>
      </c>
    </row>
    <row r="399" spans="2:10" ht="20.100000000000001" customHeight="1" x14ac:dyDescent="0.15">
      <c r="B399" s="5"/>
      <c r="C399" s="10"/>
      <c r="D399" s="10"/>
      <c r="E399" s="10"/>
      <c r="F399" s="10"/>
      <c r="G399" s="8"/>
      <c r="H399" s="8"/>
      <c r="I399" s="8" t="str">
        <f t="shared" si="12"/>
        <v>借</v>
      </c>
      <c r="J399" s="9">
        <f t="shared" si="13"/>
        <v>1000</v>
      </c>
    </row>
    <row r="400" spans="2:10" ht="20.100000000000001" customHeight="1" x14ac:dyDescent="0.15">
      <c r="B400" s="5"/>
      <c r="C400" s="10"/>
      <c r="D400" s="10"/>
      <c r="E400" s="10"/>
      <c r="F400" s="10"/>
      <c r="G400" s="8"/>
      <c r="H400" s="8"/>
      <c r="I400" s="8" t="str">
        <f t="shared" si="12"/>
        <v>借</v>
      </c>
      <c r="J400" s="9">
        <f t="shared" si="13"/>
        <v>1000</v>
      </c>
    </row>
    <row r="401" spans="2:10" ht="20.100000000000001" customHeight="1" x14ac:dyDescent="0.15">
      <c r="B401" s="5"/>
      <c r="C401" s="10"/>
      <c r="D401" s="10"/>
      <c r="E401" s="10"/>
      <c r="F401" s="10"/>
      <c r="G401" s="8"/>
      <c r="H401" s="8"/>
      <c r="I401" s="8" t="str">
        <f t="shared" si="12"/>
        <v>借</v>
      </c>
      <c r="J401" s="9">
        <f t="shared" si="13"/>
        <v>1000</v>
      </c>
    </row>
    <row r="402" spans="2:10" ht="20.100000000000001" customHeight="1" x14ac:dyDescent="0.15">
      <c r="B402" s="5"/>
      <c r="C402" s="10"/>
      <c r="D402" s="10"/>
      <c r="E402" s="10"/>
      <c r="F402" s="10"/>
      <c r="G402" s="8"/>
      <c r="H402" s="8"/>
      <c r="I402" s="8" t="str">
        <f t="shared" si="12"/>
        <v>借</v>
      </c>
      <c r="J402" s="9">
        <f t="shared" si="13"/>
        <v>1000</v>
      </c>
    </row>
    <row r="403" spans="2:10" ht="20.100000000000001" customHeight="1" x14ac:dyDescent="0.15">
      <c r="B403" s="5"/>
      <c r="C403" s="10"/>
      <c r="D403" s="10"/>
      <c r="E403" s="10"/>
      <c r="F403" s="10"/>
      <c r="G403" s="8"/>
      <c r="H403" s="8"/>
      <c r="I403" s="8" t="str">
        <f t="shared" si="12"/>
        <v>借</v>
      </c>
      <c r="J403" s="9">
        <f t="shared" si="13"/>
        <v>1000</v>
      </c>
    </row>
    <row r="404" spans="2:10" ht="20.100000000000001" customHeight="1" x14ac:dyDescent="0.15">
      <c r="B404" s="5"/>
      <c r="C404" s="10"/>
      <c r="D404" s="10"/>
      <c r="E404" s="10"/>
      <c r="F404" s="10"/>
      <c r="G404" s="8"/>
      <c r="H404" s="8"/>
      <c r="I404" s="8" t="str">
        <f t="shared" si="12"/>
        <v>借</v>
      </c>
      <c r="J404" s="9">
        <f t="shared" si="13"/>
        <v>1000</v>
      </c>
    </row>
    <row r="405" spans="2:10" ht="20.100000000000001" customHeight="1" x14ac:dyDescent="0.15">
      <c r="B405" s="5"/>
      <c r="C405" s="10"/>
      <c r="D405" s="10"/>
      <c r="E405" s="10"/>
      <c r="F405" s="10"/>
      <c r="G405" s="8"/>
      <c r="H405" s="8"/>
      <c r="I405" s="8" t="str">
        <f t="shared" si="12"/>
        <v>借</v>
      </c>
      <c r="J405" s="9">
        <f t="shared" si="13"/>
        <v>1000</v>
      </c>
    </row>
    <row r="406" spans="2:10" ht="20.100000000000001" customHeight="1" x14ac:dyDescent="0.15">
      <c r="B406" s="5"/>
      <c r="C406" s="10"/>
      <c r="D406" s="10"/>
      <c r="E406" s="10"/>
      <c r="F406" s="10"/>
      <c r="G406" s="8"/>
      <c r="H406" s="8"/>
      <c r="I406" s="8" t="str">
        <f t="shared" si="12"/>
        <v>借</v>
      </c>
      <c r="J406" s="9">
        <f t="shared" si="13"/>
        <v>1000</v>
      </c>
    </row>
    <row r="407" spans="2:10" ht="20.100000000000001" customHeight="1" x14ac:dyDescent="0.15">
      <c r="B407" s="5"/>
      <c r="C407" s="10"/>
      <c r="D407" s="10"/>
      <c r="E407" s="10"/>
      <c r="F407" s="10"/>
      <c r="G407" s="8"/>
      <c r="H407" s="8"/>
      <c r="I407" s="8" t="str">
        <f t="shared" si="12"/>
        <v>借</v>
      </c>
      <c r="J407" s="9">
        <f t="shared" si="13"/>
        <v>1000</v>
      </c>
    </row>
    <row r="408" spans="2:10" ht="20.100000000000001" customHeight="1" x14ac:dyDescent="0.15">
      <c r="B408" s="5"/>
      <c r="C408" s="10"/>
      <c r="D408" s="10"/>
      <c r="E408" s="10"/>
      <c r="F408" s="10"/>
      <c r="G408" s="8"/>
      <c r="H408" s="8"/>
      <c r="I408" s="8" t="str">
        <f t="shared" si="12"/>
        <v>借</v>
      </c>
      <c r="J408" s="9">
        <f t="shared" si="13"/>
        <v>1000</v>
      </c>
    </row>
    <row r="409" spans="2:10" ht="20.100000000000001" customHeight="1" x14ac:dyDescent="0.15">
      <c r="B409" s="5"/>
      <c r="C409" s="10"/>
      <c r="D409" s="10"/>
      <c r="E409" s="10"/>
      <c r="F409" s="10"/>
      <c r="G409" s="8"/>
      <c r="H409" s="8"/>
      <c r="I409" s="8" t="str">
        <f t="shared" si="12"/>
        <v>借</v>
      </c>
      <c r="J409" s="9">
        <f t="shared" si="13"/>
        <v>1000</v>
      </c>
    </row>
    <row r="410" spans="2:10" ht="20.100000000000001" customHeight="1" x14ac:dyDescent="0.15">
      <c r="B410" s="5"/>
      <c r="C410" s="10"/>
      <c r="D410" s="10"/>
      <c r="E410" s="10"/>
      <c r="F410" s="10"/>
      <c r="G410" s="8"/>
      <c r="H410" s="8"/>
      <c r="I410" s="8" t="str">
        <f t="shared" si="12"/>
        <v>借</v>
      </c>
      <c r="J410" s="9">
        <f t="shared" si="13"/>
        <v>1000</v>
      </c>
    </row>
    <row r="411" spans="2:10" ht="20.100000000000001" customHeight="1" x14ac:dyDescent="0.15">
      <c r="B411" s="5"/>
      <c r="C411" s="10"/>
      <c r="D411" s="10"/>
      <c r="E411" s="10"/>
      <c r="F411" s="10"/>
      <c r="G411" s="8"/>
      <c r="H411" s="8"/>
      <c r="I411" s="8" t="str">
        <f t="shared" si="12"/>
        <v>借</v>
      </c>
      <c r="J411" s="9">
        <f t="shared" si="13"/>
        <v>1000</v>
      </c>
    </row>
    <row r="412" spans="2:10" ht="20.100000000000001" customHeight="1" x14ac:dyDescent="0.15">
      <c r="B412" s="5"/>
      <c r="C412" s="10"/>
      <c r="D412" s="10"/>
      <c r="E412" s="10"/>
      <c r="F412" s="10"/>
      <c r="G412" s="8"/>
      <c r="H412" s="8"/>
      <c r="I412" s="8" t="str">
        <f t="shared" si="12"/>
        <v>借</v>
      </c>
      <c r="J412" s="9">
        <f t="shared" si="13"/>
        <v>1000</v>
      </c>
    </row>
    <row r="413" spans="2:10" ht="20.100000000000001" customHeight="1" x14ac:dyDescent="0.15">
      <c r="B413" s="5"/>
      <c r="C413" s="10"/>
      <c r="D413" s="10"/>
      <c r="E413" s="10"/>
      <c r="F413" s="10"/>
      <c r="G413" s="8"/>
      <c r="H413" s="8"/>
      <c r="I413" s="8" t="str">
        <f t="shared" si="12"/>
        <v>借</v>
      </c>
      <c r="J413" s="9">
        <f t="shared" si="13"/>
        <v>1000</v>
      </c>
    </row>
    <row r="414" spans="2:10" ht="20.100000000000001" customHeight="1" x14ac:dyDescent="0.15">
      <c r="B414" s="5"/>
      <c r="C414" s="10"/>
      <c r="D414" s="10"/>
      <c r="E414" s="10"/>
      <c r="F414" s="10"/>
      <c r="G414" s="8"/>
      <c r="H414" s="8"/>
      <c r="I414" s="8" t="str">
        <f t="shared" si="12"/>
        <v>借</v>
      </c>
      <c r="J414" s="9">
        <f t="shared" si="13"/>
        <v>1000</v>
      </c>
    </row>
    <row r="415" spans="2:10" ht="20.100000000000001" customHeight="1" x14ac:dyDescent="0.15">
      <c r="B415" s="5"/>
      <c r="C415" s="10"/>
      <c r="D415" s="10"/>
      <c r="E415" s="10"/>
      <c r="F415" s="10"/>
      <c r="G415" s="8"/>
      <c r="H415" s="8"/>
      <c r="I415" s="8" t="str">
        <f t="shared" si="12"/>
        <v>借</v>
      </c>
      <c r="J415" s="9">
        <f t="shared" si="13"/>
        <v>1000</v>
      </c>
    </row>
    <row r="416" spans="2:10" ht="20.100000000000001" customHeight="1" x14ac:dyDescent="0.15">
      <c r="B416" s="5"/>
      <c r="C416" s="10"/>
      <c r="D416" s="10"/>
      <c r="E416" s="10"/>
      <c r="F416" s="10"/>
      <c r="G416" s="8"/>
      <c r="H416" s="8"/>
      <c r="I416" s="8" t="str">
        <f t="shared" si="12"/>
        <v>借</v>
      </c>
      <c r="J416" s="9">
        <f t="shared" si="13"/>
        <v>1000</v>
      </c>
    </row>
    <row r="417" spans="2:10" ht="20.100000000000001" customHeight="1" x14ac:dyDescent="0.15">
      <c r="B417" s="5"/>
      <c r="C417" s="10"/>
      <c r="D417" s="10"/>
      <c r="E417" s="10"/>
      <c r="F417" s="10"/>
      <c r="G417" s="8"/>
      <c r="H417" s="8"/>
      <c r="I417" s="8" t="str">
        <f t="shared" si="12"/>
        <v>借</v>
      </c>
      <c r="J417" s="9">
        <f t="shared" si="13"/>
        <v>1000</v>
      </c>
    </row>
    <row r="418" spans="2:10" ht="20.100000000000001" customHeight="1" x14ac:dyDescent="0.15">
      <c r="B418" s="5"/>
      <c r="C418" s="10"/>
      <c r="D418" s="10"/>
      <c r="E418" s="10"/>
      <c r="F418" s="10"/>
      <c r="G418" s="8"/>
      <c r="H418" s="8"/>
      <c r="I418" s="8" t="str">
        <f t="shared" si="12"/>
        <v>借</v>
      </c>
      <c r="J418" s="9">
        <f t="shared" si="13"/>
        <v>1000</v>
      </c>
    </row>
    <row r="419" spans="2:10" ht="20.100000000000001" customHeight="1" x14ac:dyDescent="0.15">
      <c r="B419" s="5"/>
      <c r="C419" s="10"/>
      <c r="D419" s="10"/>
      <c r="E419" s="10"/>
      <c r="F419" s="10"/>
      <c r="G419" s="8"/>
      <c r="H419" s="8"/>
      <c r="I419" s="8" t="str">
        <f t="shared" si="12"/>
        <v>借</v>
      </c>
      <c r="J419" s="9">
        <f t="shared" si="13"/>
        <v>1000</v>
      </c>
    </row>
    <row r="420" spans="2:10" ht="20.100000000000001" customHeight="1" x14ac:dyDescent="0.15">
      <c r="B420" s="5"/>
      <c r="C420" s="10"/>
      <c r="D420" s="10"/>
      <c r="E420" s="10"/>
      <c r="F420" s="10"/>
      <c r="G420" s="8"/>
      <c r="H420" s="8"/>
      <c r="I420" s="8" t="str">
        <f t="shared" si="12"/>
        <v>借</v>
      </c>
      <c r="J420" s="9">
        <f t="shared" si="13"/>
        <v>1000</v>
      </c>
    </row>
    <row r="421" spans="2:10" ht="20.100000000000001" customHeight="1" x14ac:dyDescent="0.15">
      <c r="B421" s="5"/>
      <c r="C421" s="10"/>
      <c r="D421" s="10"/>
      <c r="E421" s="10"/>
      <c r="F421" s="10"/>
      <c r="G421" s="8"/>
      <c r="H421" s="8"/>
      <c r="I421" s="8" t="str">
        <f t="shared" si="12"/>
        <v>借</v>
      </c>
      <c r="J421" s="9">
        <f t="shared" si="13"/>
        <v>1000</v>
      </c>
    </row>
    <row r="422" spans="2:10" ht="20.100000000000001" customHeight="1" x14ac:dyDescent="0.15">
      <c r="B422" s="5"/>
      <c r="C422" s="10"/>
      <c r="D422" s="10"/>
      <c r="E422" s="10"/>
      <c r="F422" s="10"/>
      <c r="G422" s="8"/>
      <c r="H422" s="8"/>
      <c r="I422" s="8" t="str">
        <f t="shared" si="12"/>
        <v>借</v>
      </c>
      <c r="J422" s="9">
        <f t="shared" si="13"/>
        <v>1000</v>
      </c>
    </row>
    <row r="423" spans="2:10" ht="20.100000000000001" customHeight="1" x14ac:dyDescent="0.15">
      <c r="B423" s="5"/>
      <c r="C423" s="10"/>
      <c r="D423" s="10"/>
      <c r="E423" s="10"/>
      <c r="F423" s="10"/>
      <c r="G423" s="8"/>
      <c r="H423" s="8"/>
      <c r="I423" s="8" t="str">
        <f t="shared" si="12"/>
        <v>借</v>
      </c>
      <c r="J423" s="9">
        <f t="shared" si="13"/>
        <v>1000</v>
      </c>
    </row>
    <row r="424" spans="2:10" ht="20.100000000000001" customHeight="1" x14ac:dyDescent="0.15">
      <c r="B424" s="5"/>
      <c r="C424" s="10"/>
      <c r="D424" s="10"/>
      <c r="E424" s="10"/>
      <c r="F424" s="10"/>
      <c r="G424" s="8"/>
      <c r="H424" s="8"/>
      <c r="I424" s="8" t="str">
        <f t="shared" si="12"/>
        <v>借</v>
      </c>
      <c r="J424" s="9">
        <f t="shared" si="13"/>
        <v>1000</v>
      </c>
    </row>
    <row r="425" spans="2:10" ht="20.100000000000001" customHeight="1" x14ac:dyDescent="0.15">
      <c r="B425" s="5"/>
      <c r="C425" s="10"/>
      <c r="D425" s="10"/>
      <c r="E425" s="10"/>
      <c r="F425" s="10"/>
      <c r="G425" s="8"/>
      <c r="H425" s="8"/>
      <c r="I425" s="8" t="str">
        <f t="shared" si="12"/>
        <v>借</v>
      </c>
      <c r="J425" s="9">
        <f t="shared" si="13"/>
        <v>1000</v>
      </c>
    </row>
    <row r="426" spans="2:10" ht="20.100000000000001" customHeight="1" x14ac:dyDescent="0.15">
      <c r="B426" s="5"/>
      <c r="C426" s="10"/>
      <c r="D426" s="10"/>
      <c r="E426" s="10"/>
      <c r="F426" s="10"/>
      <c r="G426" s="8"/>
      <c r="H426" s="8"/>
      <c r="I426" s="8" t="str">
        <f t="shared" si="12"/>
        <v>借</v>
      </c>
      <c r="J426" s="9">
        <f t="shared" si="13"/>
        <v>1000</v>
      </c>
    </row>
    <row r="427" spans="2:10" ht="20.100000000000001" customHeight="1" x14ac:dyDescent="0.15">
      <c r="B427" s="5"/>
      <c r="C427" s="10"/>
      <c r="D427" s="10"/>
      <c r="E427" s="10"/>
      <c r="F427" s="10"/>
      <c r="G427" s="8"/>
      <c r="H427" s="8"/>
      <c r="I427" s="8" t="str">
        <f t="shared" si="12"/>
        <v>借</v>
      </c>
      <c r="J427" s="9">
        <f t="shared" si="13"/>
        <v>1000</v>
      </c>
    </row>
    <row r="428" spans="2:10" ht="20.100000000000001" customHeight="1" x14ac:dyDescent="0.15">
      <c r="B428" s="5"/>
      <c r="C428" s="10"/>
      <c r="D428" s="10"/>
      <c r="E428" s="10"/>
      <c r="F428" s="10"/>
      <c r="G428" s="8"/>
      <c r="H428" s="8"/>
      <c r="I428" s="8" t="str">
        <f t="shared" si="12"/>
        <v>借</v>
      </c>
      <c r="J428" s="9">
        <f t="shared" si="13"/>
        <v>1000</v>
      </c>
    </row>
    <row r="429" spans="2:10" ht="20.100000000000001" customHeight="1" x14ac:dyDescent="0.15">
      <c r="B429" s="5"/>
      <c r="C429" s="10"/>
      <c r="D429" s="10"/>
      <c r="E429" s="10"/>
      <c r="F429" s="10"/>
      <c r="G429" s="8"/>
      <c r="H429" s="8"/>
      <c r="I429" s="8" t="str">
        <f t="shared" si="12"/>
        <v>借</v>
      </c>
      <c r="J429" s="9">
        <f t="shared" si="13"/>
        <v>1000</v>
      </c>
    </row>
    <row r="430" spans="2:10" ht="20.100000000000001" customHeight="1" x14ac:dyDescent="0.15">
      <c r="B430" s="5"/>
      <c r="C430" s="10"/>
      <c r="D430" s="10"/>
      <c r="E430" s="10"/>
      <c r="F430" s="10"/>
      <c r="G430" s="8"/>
      <c r="H430" s="8"/>
      <c r="I430" s="8" t="str">
        <f t="shared" si="12"/>
        <v>借</v>
      </c>
      <c r="J430" s="9">
        <f t="shared" si="13"/>
        <v>1000</v>
      </c>
    </row>
    <row r="431" spans="2:10" ht="20.100000000000001" customHeight="1" x14ac:dyDescent="0.15">
      <c r="B431" s="5"/>
      <c r="C431" s="10"/>
      <c r="D431" s="10"/>
      <c r="E431" s="10"/>
      <c r="F431" s="10"/>
      <c r="G431" s="8"/>
      <c r="H431" s="8"/>
      <c r="I431" s="8" t="str">
        <f t="shared" si="12"/>
        <v>借</v>
      </c>
      <c r="J431" s="9">
        <f t="shared" si="13"/>
        <v>1000</v>
      </c>
    </row>
    <row r="432" spans="2:10" ht="20.100000000000001" customHeight="1" x14ac:dyDescent="0.15">
      <c r="B432" s="5"/>
      <c r="C432" s="10"/>
      <c r="D432" s="10"/>
      <c r="E432" s="10"/>
      <c r="F432" s="10"/>
      <c r="G432" s="8"/>
      <c r="H432" s="8"/>
      <c r="I432" s="8" t="str">
        <f t="shared" si="12"/>
        <v>借</v>
      </c>
      <c r="J432" s="9">
        <f t="shared" si="13"/>
        <v>1000</v>
      </c>
    </row>
    <row r="433" spans="2:10" ht="20.100000000000001" customHeight="1" x14ac:dyDescent="0.15">
      <c r="B433" s="5"/>
      <c r="C433" s="10"/>
      <c r="D433" s="10"/>
      <c r="E433" s="10"/>
      <c r="F433" s="10"/>
      <c r="G433" s="8"/>
      <c r="H433" s="8"/>
      <c r="I433" s="8" t="str">
        <f t="shared" si="12"/>
        <v>借</v>
      </c>
      <c r="J433" s="9">
        <f t="shared" si="13"/>
        <v>1000</v>
      </c>
    </row>
    <row r="434" spans="2:10" ht="20.100000000000001" customHeight="1" x14ac:dyDescent="0.15">
      <c r="B434" s="5"/>
      <c r="C434" s="10"/>
      <c r="D434" s="10"/>
      <c r="E434" s="10"/>
      <c r="F434" s="10"/>
      <c r="G434" s="8"/>
      <c r="H434" s="8"/>
      <c r="I434" s="8" t="str">
        <f t="shared" si="12"/>
        <v>借</v>
      </c>
      <c r="J434" s="9">
        <f t="shared" si="13"/>
        <v>1000</v>
      </c>
    </row>
    <row r="435" spans="2:10" ht="20.100000000000001" customHeight="1" x14ac:dyDescent="0.15">
      <c r="B435" s="5"/>
      <c r="C435" s="10"/>
      <c r="D435" s="10"/>
      <c r="E435" s="10"/>
      <c r="F435" s="10"/>
      <c r="G435" s="8"/>
      <c r="H435" s="8"/>
      <c r="I435" s="8" t="str">
        <f t="shared" si="12"/>
        <v>借</v>
      </c>
      <c r="J435" s="9">
        <f t="shared" si="13"/>
        <v>1000</v>
      </c>
    </row>
    <row r="436" spans="2:10" ht="20.100000000000001" customHeight="1" x14ac:dyDescent="0.15">
      <c r="B436" s="5"/>
      <c r="C436" s="10"/>
      <c r="D436" s="10"/>
      <c r="E436" s="10"/>
      <c r="F436" s="10"/>
      <c r="G436" s="8"/>
      <c r="H436" s="8"/>
      <c r="I436" s="8" t="str">
        <f t="shared" si="12"/>
        <v>借</v>
      </c>
      <c r="J436" s="9">
        <f t="shared" si="13"/>
        <v>1000</v>
      </c>
    </row>
    <row r="437" spans="2:10" ht="20.100000000000001" customHeight="1" x14ac:dyDescent="0.15">
      <c r="B437" s="5"/>
      <c r="C437" s="10"/>
      <c r="D437" s="10"/>
      <c r="E437" s="10"/>
      <c r="F437" s="10"/>
      <c r="G437" s="8"/>
      <c r="H437" s="8"/>
      <c r="I437" s="8" t="str">
        <f t="shared" si="12"/>
        <v>借</v>
      </c>
      <c r="J437" s="9">
        <f t="shared" si="13"/>
        <v>1000</v>
      </c>
    </row>
    <row r="438" spans="2:10" ht="20.100000000000001" customHeight="1" x14ac:dyDescent="0.15">
      <c r="B438" s="5"/>
      <c r="C438" s="10"/>
      <c r="D438" s="10"/>
      <c r="E438" s="10"/>
      <c r="F438" s="10"/>
      <c r="G438" s="8"/>
      <c r="H438" s="8"/>
      <c r="I438" s="8" t="str">
        <f t="shared" si="12"/>
        <v>借</v>
      </c>
      <c r="J438" s="9">
        <f t="shared" si="13"/>
        <v>1000</v>
      </c>
    </row>
    <row r="439" spans="2:10" ht="20.100000000000001" customHeight="1" x14ac:dyDescent="0.15">
      <c r="B439" s="5"/>
      <c r="C439" s="10"/>
      <c r="D439" s="10"/>
      <c r="E439" s="10"/>
      <c r="F439" s="10"/>
      <c r="G439" s="8"/>
      <c r="H439" s="8"/>
      <c r="I439" s="8" t="str">
        <f t="shared" si="12"/>
        <v>借</v>
      </c>
      <c r="J439" s="9">
        <f t="shared" si="13"/>
        <v>1000</v>
      </c>
    </row>
    <row r="440" spans="2:10" ht="20.100000000000001" customHeight="1" x14ac:dyDescent="0.15">
      <c r="B440" s="5"/>
      <c r="C440" s="10"/>
      <c r="D440" s="10"/>
      <c r="E440" s="10"/>
      <c r="F440" s="10"/>
      <c r="G440" s="8"/>
      <c r="H440" s="8"/>
      <c r="I440" s="8" t="str">
        <f t="shared" si="12"/>
        <v>借</v>
      </c>
      <c r="J440" s="9">
        <f t="shared" si="13"/>
        <v>1000</v>
      </c>
    </row>
    <row r="441" spans="2:10" ht="20.100000000000001" customHeight="1" x14ac:dyDescent="0.15">
      <c r="B441" s="5"/>
      <c r="C441" s="10"/>
      <c r="D441" s="10"/>
      <c r="E441" s="10"/>
      <c r="F441" s="10"/>
      <c r="G441" s="8"/>
      <c r="H441" s="8"/>
      <c r="I441" s="8" t="str">
        <f t="shared" si="12"/>
        <v>借</v>
      </c>
      <c r="J441" s="9">
        <f t="shared" si="13"/>
        <v>1000</v>
      </c>
    </row>
    <row r="442" spans="2:10" ht="20.100000000000001" customHeight="1" x14ac:dyDescent="0.15">
      <c r="B442" s="5"/>
      <c r="C442" s="10"/>
      <c r="D442" s="10"/>
      <c r="E442" s="10"/>
      <c r="F442" s="10"/>
      <c r="G442" s="8"/>
      <c r="H442" s="8"/>
      <c r="I442" s="8" t="str">
        <f t="shared" si="12"/>
        <v>借</v>
      </c>
      <c r="J442" s="9">
        <f t="shared" si="13"/>
        <v>1000</v>
      </c>
    </row>
    <row r="443" spans="2:10" ht="20.100000000000001" customHeight="1" x14ac:dyDescent="0.15">
      <c r="B443" s="5"/>
      <c r="C443" s="10"/>
      <c r="D443" s="10"/>
      <c r="E443" s="10"/>
      <c r="F443" s="10"/>
      <c r="G443" s="8"/>
      <c r="H443" s="8"/>
      <c r="I443" s="8" t="str">
        <f t="shared" si="12"/>
        <v>借</v>
      </c>
      <c r="J443" s="9">
        <f t="shared" si="13"/>
        <v>1000</v>
      </c>
    </row>
    <row r="444" spans="2:10" ht="20.100000000000001" customHeight="1" x14ac:dyDescent="0.15">
      <c r="B444" s="5"/>
      <c r="C444" s="10"/>
      <c r="D444" s="10"/>
      <c r="E444" s="10"/>
      <c r="F444" s="10"/>
      <c r="G444" s="8"/>
      <c r="H444" s="8"/>
      <c r="I444" s="8" t="str">
        <f t="shared" si="12"/>
        <v>借</v>
      </c>
      <c r="J444" s="9">
        <f t="shared" si="13"/>
        <v>1000</v>
      </c>
    </row>
    <row r="445" spans="2:10" ht="20.100000000000001" customHeight="1" x14ac:dyDescent="0.15">
      <c r="B445" s="5"/>
      <c r="C445" s="10"/>
      <c r="D445" s="10"/>
      <c r="E445" s="10"/>
      <c r="F445" s="10"/>
      <c r="G445" s="8"/>
      <c r="H445" s="8"/>
      <c r="I445" s="8" t="str">
        <f t="shared" si="12"/>
        <v>借</v>
      </c>
      <c r="J445" s="9">
        <f t="shared" si="13"/>
        <v>1000</v>
      </c>
    </row>
    <row r="446" spans="2:10" ht="20.100000000000001" customHeight="1" x14ac:dyDescent="0.15">
      <c r="B446" s="5"/>
      <c r="C446" s="10"/>
      <c r="D446" s="10"/>
      <c r="E446" s="10"/>
      <c r="F446" s="10"/>
      <c r="G446" s="8"/>
      <c r="H446" s="8"/>
      <c r="I446" s="8" t="str">
        <f t="shared" si="12"/>
        <v>借</v>
      </c>
      <c r="J446" s="9">
        <f t="shared" si="13"/>
        <v>1000</v>
      </c>
    </row>
    <row r="447" spans="2:10" ht="20.100000000000001" customHeight="1" x14ac:dyDescent="0.15">
      <c r="B447" s="5"/>
      <c r="C447" s="10"/>
      <c r="D447" s="10"/>
      <c r="E447" s="10"/>
      <c r="F447" s="10"/>
      <c r="G447" s="8"/>
      <c r="H447" s="8"/>
      <c r="I447" s="8" t="str">
        <f t="shared" si="12"/>
        <v>借</v>
      </c>
      <c r="J447" s="9">
        <f t="shared" si="13"/>
        <v>1000</v>
      </c>
    </row>
    <row r="448" spans="2:10" ht="20.100000000000001" customHeight="1" x14ac:dyDescent="0.15">
      <c r="B448" s="5"/>
      <c r="C448" s="10"/>
      <c r="D448" s="10"/>
      <c r="E448" s="10"/>
      <c r="F448" s="10"/>
      <c r="G448" s="8"/>
      <c r="H448" s="8"/>
      <c r="I448" s="8" t="str">
        <f t="shared" si="12"/>
        <v>借</v>
      </c>
      <c r="J448" s="9">
        <f t="shared" si="13"/>
        <v>1000</v>
      </c>
    </row>
    <row r="449" spans="2:10" ht="20.100000000000001" customHeight="1" x14ac:dyDescent="0.15">
      <c r="B449" s="5"/>
      <c r="C449" s="10"/>
      <c r="D449" s="10"/>
      <c r="E449" s="10"/>
      <c r="F449" s="10"/>
      <c r="G449" s="8"/>
      <c r="H449" s="8"/>
      <c r="I449" s="8" t="str">
        <f t="shared" si="12"/>
        <v>借</v>
      </c>
      <c r="J449" s="9">
        <f t="shared" si="13"/>
        <v>1000</v>
      </c>
    </row>
    <row r="450" spans="2:10" ht="20.100000000000001" customHeight="1" x14ac:dyDescent="0.15">
      <c r="B450" s="5"/>
      <c r="C450" s="10"/>
      <c r="D450" s="10"/>
      <c r="E450" s="10"/>
      <c r="F450" s="10"/>
      <c r="G450" s="8"/>
      <c r="H450" s="8"/>
      <c r="I450" s="8" t="str">
        <f t="shared" si="12"/>
        <v>借</v>
      </c>
      <c r="J450" s="9">
        <f t="shared" si="13"/>
        <v>1000</v>
      </c>
    </row>
    <row r="451" spans="2:10" ht="20.100000000000001" customHeight="1" x14ac:dyDescent="0.15">
      <c r="B451" s="5"/>
      <c r="C451" s="10"/>
      <c r="D451" s="10"/>
      <c r="E451" s="10"/>
      <c r="F451" s="10"/>
      <c r="G451" s="8"/>
      <c r="H451" s="8"/>
      <c r="I451" s="8" t="str">
        <f t="shared" si="12"/>
        <v>借</v>
      </c>
      <c r="J451" s="9">
        <f t="shared" si="13"/>
        <v>1000</v>
      </c>
    </row>
    <row r="452" spans="2:10" ht="20.100000000000001" customHeight="1" x14ac:dyDescent="0.15">
      <c r="B452" s="5"/>
      <c r="C452" s="10"/>
      <c r="D452" s="10"/>
      <c r="E452" s="10"/>
      <c r="F452" s="10"/>
      <c r="G452" s="8"/>
      <c r="H452" s="8"/>
      <c r="I452" s="8" t="str">
        <f t="shared" si="12"/>
        <v>借</v>
      </c>
      <c r="J452" s="9">
        <f t="shared" si="13"/>
        <v>1000</v>
      </c>
    </row>
    <row r="453" spans="2:10" ht="20.100000000000001" customHeight="1" x14ac:dyDescent="0.15">
      <c r="B453" s="5"/>
      <c r="C453" s="10"/>
      <c r="D453" s="10"/>
      <c r="E453" s="10"/>
      <c r="F453" s="10"/>
      <c r="G453" s="8"/>
      <c r="H453" s="8"/>
      <c r="I453" s="8" t="str">
        <f t="shared" si="12"/>
        <v>借</v>
      </c>
      <c r="J453" s="9">
        <f t="shared" si="13"/>
        <v>1000</v>
      </c>
    </row>
    <row r="454" spans="2:10" ht="20.100000000000001" customHeight="1" x14ac:dyDescent="0.15">
      <c r="B454" s="5"/>
      <c r="C454" s="10"/>
      <c r="D454" s="10"/>
      <c r="E454" s="10"/>
      <c r="F454" s="10"/>
      <c r="G454" s="8"/>
      <c r="H454" s="8"/>
      <c r="I454" s="8" t="str">
        <f t="shared" ref="I454:I497" si="14">IF((J453+G454-H454)&gt;0,"借","贷")</f>
        <v>借</v>
      </c>
      <c r="J454" s="9">
        <f t="shared" si="13"/>
        <v>1000</v>
      </c>
    </row>
    <row r="455" spans="2:10" ht="20.100000000000001" customHeight="1" x14ac:dyDescent="0.15">
      <c r="B455" s="5"/>
      <c r="C455" s="10"/>
      <c r="D455" s="10"/>
      <c r="E455" s="10"/>
      <c r="F455" s="10"/>
      <c r="G455" s="8"/>
      <c r="H455" s="8"/>
      <c r="I455" s="8" t="str">
        <f t="shared" si="14"/>
        <v>借</v>
      </c>
      <c r="J455" s="9">
        <f t="shared" ref="J455:J497" si="15">J454+G455-H455</f>
        <v>1000</v>
      </c>
    </row>
    <row r="456" spans="2:10" ht="20.100000000000001" customHeight="1" x14ac:dyDescent="0.15">
      <c r="B456" s="5"/>
      <c r="C456" s="10"/>
      <c r="D456" s="10"/>
      <c r="E456" s="10"/>
      <c r="F456" s="10"/>
      <c r="G456" s="8"/>
      <c r="H456" s="8"/>
      <c r="I456" s="8" t="str">
        <f t="shared" si="14"/>
        <v>借</v>
      </c>
      <c r="J456" s="9">
        <f t="shared" si="15"/>
        <v>1000</v>
      </c>
    </row>
    <row r="457" spans="2:10" ht="20.100000000000001" customHeight="1" x14ac:dyDescent="0.15">
      <c r="B457" s="5"/>
      <c r="C457" s="10"/>
      <c r="D457" s="10"/>
      <c r="E457" s="10"/>
      <c r="F457" s="10"/>
      <c r="G457" s="8"/>
      <c r="H457" s="8"/>
      <c r="I457" s="8" t="str">
        <f t="shared" si="14"/>
        <v>借</v>
      </c>
      <c r="J457" s="9">
        <f t="shared" si="15"/>
        <v>1000</v>
      </c>
    </row>
    <row r="458" spans="2:10" ht="20.100000000000001" customHeight="1" x14ac:dyDescent="0.15">
      <c r="B458" s="5"/>
      <c r="C458" s="10"/>
      <c r="D458" s="10"/>
      <c r="E458" s="10"/>
      <c r="F458" s="10"/>
      <c r="G458" s="8"/>
      <c r="H458" s="8"/>
      <c r="I458" s="8" t="str">
        <f t="shared" si="14"/>
        <v>借</v>
      </c>
      <c r="J458" s="9">
        <f t="shared" si="15"/>
        <v>1000</v>
      </c>
    </row>
    <row r="459" spans="2:10" ht="20.100000000000001" customHeight="1" x14ac:dyDescent="0.15">
      <c r="B459" s="5"/>
      <c r="C459" s="10"/>
      <c r="D459" s="10"/>
      <c r="E459" s="10"/>
      <c r="F459" s="10"/>
      <c r="G459" s="8"/>
      <c r="H459" s="8"/>
      <c r="I459" s="8" t="str">
        <f t="shared" si="14"/>
        <v>借</v>
      </c>
      <c r="J459" s="9">
        <f t="shared" si="15"/>
        <v>1000</v>
      </c>
    </row>
    <row r="460" spans="2:10" ht="20.100000000000001" customHeight="1" x14ac:dyDescent="0.15">
      <c r="B460" s="5"/>
      <c r="C460" s="10"/>
      <c r="D460" s="10"/>
      <c r="E460" s="10"/>
      <c r="F460" s="10"/>
      <c r="G460" s="8"/>
      <c r="H460" s="8"/>
      <c r="I460" s="8" t="str">
        <f t="shared" si="14"/>
        <v>借</v>
      </c>
      <c r="J460" s="9">
        <f t="shared" si="15"/>
        <v>1000</v>
      </c>
    </row>
    <row r="461" spans="2:10" ht="20.100000000000001" customHeight="1" x14ac:dyDescent="0.15">
      <c r="B461" s="5"/>
      <c r="C461" s="10"/>
      <c r="D461" s="10"/>
      <c r="E461" s="10"/>
      <c r="F461" s="10"/>
      <c r="G461" s="8"/>
      <c r="H461" s="8"/>
      <c r="I461" s="8" t="str">
        <f t="shared" si="14"/>
        <v>借</v>
      </c>
      <c r="J461" s="9">
        <f t="shared" si="15"/>
        <v>1000</v>
      </c>
    </row>
    <row r="462" spans="2:10" ht="20.100000000000001" customHeight="1" x14ac:dyDescent="0.15">
      <c r="B462" s="5"/>
      <c r="C462" s="10"/>
      <c r="D462" s="10"/>
      <c r="E462" s="10"/>
      <c r="F462" s="10"/>
      <c r="G462" s="8"/>
      <c r="H462" s="8"/>
      <c r="I462" s="8" t="str">
        <f t="shared" si="14"/>
        <v>借</v>
      </c>
      <c r="J462" s="9">
        <f t="shared" si="15"/>
        <v>1000</v>
      </c>
    </row>
    <row r="463" spans="2:10" ht="20.100000000000001" customHeight="1" x14ac:dyDescent="0.15">
      <c r="B463" s="5"/>
      <c r="C463" s="10"/>
      <c r="D463" s="10"/>
      <c r="E463" s="10"/>
      <c r="F463" s="10"/>
      <c r="G463" s="8"/>
      <c r="H463" s="8"/>
      <c r="I463" s="8" t="str">
        <f t="shared" si="14"/>
        <v>借</v>
      </c>
      <c r="J463" s="9">
        <f t="shared" si="15"/>
        <v>1000</v>
      </c>
    </row>
    <row r="464" spans="2:10" ht="20.100000000000001" customHeight="1" x14ac:dyDescent="0.15">
      <c r="B464" s="5"/>
      <c r="C464" s="10"/>
      <c r="D464" s="10"/>
      <c r="E464" s="10"/>
      <c r="F464" s="10"/>
      <c r="G464" s="8"/>
      <c r="H464" s="8"/>
      <c r="I464" s="8" t="str">
        <f t="shared" si="14"/>
        <v>借</v>
      </c>
      <c r="J464" s="9">
        <f t="shared" si="15"/>
        <v>1000</v>
      </c>
    </row>
    <row r="465" spans="2:10" ht="20.100000000000001" customHeight="1" x14ac:dyDescent="0.15">
      <c r="B465" s="5"/>
      <c r="C465" s="10"/>
      <c r="D465" s="10"/>
      <c r="E465" s="10"/>
      <c r="F465" s="10"/>
      <c r="G465" s="8"/>
      <c r="H465" s="8"/>
      <c r="I465" s="8" t="str">
        <f t="shared" si="14"/>
        <v>借</v>
      </c>
      <c r="J465" s="9">
        <f t="shared" si="15"/>
        <v>1000</v>
      </c>
    </row>
    <row r="466" spans="2:10" ht="20.100000000000001" customHeight="1" x14ac:dyDescent="0.15">
      <c r="B466" s="5"/>
      <c r="C466" s="10"/>
      <c r="D466" s="10"/>
      <c r="E466" s="10"/>
      <c r="F466" s="10"/>
      <c r="G466" s="8"/>
      <c r="H466" s="8"/>
      <c r="I466" s="8" t="str">
        <f t="shared" si="14"/>
        <v>借</v>
      </c>
      <c r="J466" s="9">
        <f t="shared" si="15"/>
        <v>1000</v>
      </c>
    </row>
    <row r="467" spans="2:10" ht="20.100000000000001" customHeight="1" x14ac:dyDescent="0.15">
      <c r="B467" s="5"/>
      <c r="C467" s="10"/>
      <c r="D467" s="10"/>
      <c r="E467" s="10"/>
      <c r="F467" s="10"/>
      <c r="G467" s="8"/>
      <c r="H467" s="8"/>
      <c r="I467" s="8" t="str">
        <f t="shared" si="14"/>
        <v>借</v>
      </c>
      <c r="J467" s="9">
        <f t="shared" si="15"/>
        <v>1000</v>
      </c>
    </row>
    <row r="468" spans="2:10" ht="20.100000000000001" customHeight="1" x14ac:dyDescent="0.15">
      <c r="B468" s="5"/>
      <c r="C468" s="10"/>
      <c r="D468" s="10"/>
      <c r="E468" s="10"/>
      <c r="F468" s="10"/>
      <c r="G468" s="8"/>
      <c r="H468" s="8"/>
      <c r="I468" s="8" t="str">
        <f t="shared" si="14"/>
        <v>借</v>
      </c>
      <c r="J468" s="9">
        <f t="shared" si="15"/>
        <v>1000</v>
      </c>
    </row>
    <row r="469" spans="2:10" ht="20.100000000000001" customHeight="1" x14ac:dyDescent="0.15">
      <c r="B469" s="5"/>
      <c r="C469" s="10"/>
      <c r="D469" s="10"/>
      <c r="E469" s="10"/>
      <c r="F469" s="10"/>
      <c r="G469" s="8"/>
      <c r="H469" s="8"/>
      <c r="I469" s="8" t="str">
        <f t="shared" si="14"/>
        <v>借</v>
      </c>
      <c r="J469" s="9">
        <f t="shared" si="15"/>
        <v>1000</v>
      </c>
    </row>
    <row r="470" spans="2:10" ht="20.100000000000001" customHeight="1" x14ac:dyDescent="0.15">
      <c r="B470" s="5"/>
      <c r="C470" s="10"/>
      <c r="D470" s="10"/>
      <c r="E470" s="10"/>
      <c r="F470" s="10"/>
      <c r="G470" s="8"/>
      <c r="H470" s="8"/>
      <c r="I470" s="8" t="str">
        <f t="shared" si="14"/>
        <v>借</v>
      </c>
      <c r="J470" s="9">
        <f t="shared" si="15"/>
        <v>1000</v>
      </c>
    </row>
    <row r="471" spans="2:10" ht="20.100000000000001" customHeight="1" x14ac:dyDescent="0.15">
      <c r="B471" s="5"/>
      <c r="C471" s="10"/>
      <c r="D471" s="10"/>
      <c r="E471" s="10"/>
      <c r="F471" s="10"/>
      <c r="G471" s="8"/>
      <c r="H471" s="8"/>
      <c r="I471" s="8" t="str">
        <f t="shared" si="14"/>
        <v>借</v>
      </c>
      <c r="J471" s="9">
        <f t="shared" si="15"/>
        <v>1000</v>
      </c>
    </row>
    <row r="472" spans="2:10" ht="20.100000000000001" customHeight="1" x14ac:dyDescent="0.15">
      <c r="B472" s="5"/>
      <c r="C472" s="10"/>
      <c r="D472" s="10"/>
      <c r="E472" s="10"/>
      <c r="F472" s="10"/>
      <c r="G472" s="8"/>
      <c r="H472" s="8"/>
      <c r="I472" s="8" t="str">
        <f t="shared" si="14"/>
        <v>借</v>
      </c>
      <c r="J472" s="9">
        <f t="shared" si="15"/>
        <v>1000</v>
      </c>
    </row>
    <row r="473" spans="2:10" ht="20.100000000000001" customHeight="1" x14ac:dyDescent="0.15">
      <c r="B473" s="5"/>
      <c r="C473" s="10"/>
      <c r="D473" s="10"/>
      <c r="E473" s="10"/>
      <c r="F473" s="10"/>
      <c r="G473" s="8"/>
      <c r="H473" s="8"/>
      <c r="I473" s="8" t="str">
        <f t="shared" si="14"/>
        <v>借</v>
      </c>
      <c r="J473" s="9">
        <f t="shared" si="15"/>
        <v>1000</v>
      </c>
    </row>
    <row r="474" spans="2:10" ht="20.100000000000001" customHeight="1" x14ac:dyDescent="0.15">
      <c r="B474" s="5"/>
      <c r="C474" s="10"/>
      <c r="D474" s="10"/>
      <c r="E474" s="10"/>
      <c r="F474" s="10"/>
      <c r="G474" s="8"/>
      <c r="H474" s="8"/>
      <c r="I474" s="8" t="str">
        <f t="shared" si="14"/>
        <v>借</v>
      </c>
      <c r="J474" s="9">
        <f t="shared" si="15"/>
        <v>1000</v>
      </c>
    </row>
    <row r="475" spans="2:10" ht="20.100000000000001" customHeight="1" x14ac:dyDescent="0.15">
      <c r="B475" s="5"/>
      <c r="C475" s="10"/>
      <c r="D475" s="10"/>
      <c r="E475" s="10"/>
      <c r="F475" s="10"/>
      <c r="G475" s="8"/>
      <c r="H475" s="8"/>
      <c r="I475" s="8" t="str">
        <f t="shared" si="14"/>
        <v>借</v>
      </c>
      <c r="J475" s="9">
        <f t="shared" si="15"/>
        <v>1000</v>
      </c>
    </row>
    <row r="476" spans="2:10" ht="20.100000000000001" customHeight="1" x14ac:dyDescent="0.15">
      <c r="B476" s="5"/>
      <c r="C476" s="10"/>
      <c r="D476" s="10"/>
      <c r="E476" s="10"/>
      <c r="F476" s="10"/>
      <c r="G476" s="8"/>
      <c r="H476" s="8"/>
      <c r="I476" s="8" t="str">
        <f t="shared" si="14"/>
        <v>借</v>
      </c>
      <c r="J476" s="9">
        <f t="shared" si="15"/>
        <v>1000</v>
      </c>
    </row>
    <row r="477" spans="2:10" ht="20.100000000000001" customHeight="1" x14ac:dyDescent="0.15">
      <c r="B477" s="5"/>
      <c r="C477" s="10"/>
      <c r="D477" s="10"/>
      <c r="E477" s="10"/>
      <c r="F477" s="10"/>
      <c r="G477" s="8"/>
      <c r="H477" s="8"/>
      <c r="I477" s="8" t="str">
        <f t="shared" si="14"/>
        <v>借</v>
      </c>
      <c r="J477" s="9">
        <f t="shared" si="15"/>
        <v>1000</v>
      </c>
    </row>
    <row r="478" spans="2:10" ht="20.100000000000001" customHeight="1" x14ac:dyDescent="0.15">
      <c r="B478" s="5"/>
      <c r="C478" s="10"/>
      <c r="D478" s="10"/>
      <c r="E478" s="10"/>
      <c r="F478" s="10"/>
      <c r="G478" s="8"/>
      <c r="H478" s="8"/>
      <c r="I478" s="8" t="str">
        <f t="shared" si="14"/>
        <v>借</v>
      </c>
      <c r="J478" s="9">
        <f t="shared" si="15"/>
        <v>1000</v>
      </c>
    </row>
    <row r="479" spans="2:10" ht="20.100000000000001" customHeight="1" x14ac:dyDescent="0.15">
      <c r="B479" s="5"/>
      <c r="C479" s="10"/>
      <c r="D479" s="10"/>
      <c r="E479" s="10"/>
      <c r="F479" s="10"/>
      <c r="G479" s="8"/>
      <c r="H479" s="8"/>
      <c r="I479" s="8" t="str">
        <f t="shared" si="14"/>
        <v>借</v>
      </c>
      <c r="J479" s="9">
        <f t="shared" si="15"/>
        <v>1000</v>
      </c>
    </row>
    <row r="480" spans="2:10" ht="20.100000000000001" customHeight="1" x14ac:dyDescent="0.15">
      <c r="B480" s="5"/>
      <c r="C480" s="10"/>
      <c r="D480" s="10"/>
      <c r="E480" s="10"/>
      <c r="F480" s="10"/>
      <c r="G480" s="8"/>
      <c r="H480" s="8"/>
      <c r="I480" s="8" t="str">
        <f t="shared" si="14"/>
        <v>借</v>
      </c>
      <c r="J480" s="9">
        <f t="shared" si="15"/>
        <v>1000</v>
      </c>
    </row>
    <row r="481" spans="2:10" ht="20.100000000000001" customHeight="1" x14ac:dyDescent="0.15">
      <c r="B481" s="5"/>
      <c r="C481" s="10"/>
      <c r="D481" s="10"/>
      <c r="E481" s="10"/>
      <c r="F481" s="10"/>
      <c r="G481" s="8"/>
      <c r="H481" s="8"/>
      <c r="I481" s="8" t="str">
        <f t="shared" si="14"/>
        <v>借</v>
      </c>
      <c r="J481" s="9">
        <f t="shared" si="15"/>
        <v>1000</v>
      </c>
    </row>
    <row r="482" spans="2:10" ht="20.100000000000001" customHeight="1" x14ac:dyDescent="0.15">
      <c r="B482" s="5"/>
      <c r="C482" s="10"/>
      <c r="D482" s="10"/>
      <c r="E482" s="10"/>
      <c r="F482" s="10"/>
      <c r="G482" s="8"/>
      <c r="H482" s="8"/>
      <c r="I482" s="8" t="str">
        <f t="shared" si="14"/>
        <v>借</v>
      </c>
      <c r="J482" s="9">
        <f t="shared" si="15"/>
        <v>1000</v>
      </c>
    </row>
    <row r="483" spans="2:10" ht="20.100000000000001" customHeight="1" x14ac:dyDescent="0.15">
      <c r="B483" s="5"/>
      <c r="C483" s="10"/>
      <c r="D483" s="10"/>
      <c r="E483" s="10"/>
      <c r="F483" s="10"/>
      <c r="G483" s="8"/>
      <c r="H483" s="8"/>
      <c r="I483" s="8" t="str">
        <f t="shared" si="14"/>
        <v>借</v>
      </c>
      <c r="J483" s="9">
        <f t="shared" si="15"/>
        <v>1000</v>
      </c>
    </row>
    <row r="484" spans="2:10" ht="20.100000000000001" customHeight="1" x14ac:dyDescent="0.15">
      <c r="B484" s="5"/>
      <c r="C484" s="10"/>
      <c r="D484" s="10"/>
      <c r="E484" s="10"/>
      <c r="F484" s="10"/>
      <c r="G484" s="8"/>
      <c r="H484" s="8"/>
      <c r="I484" s="8" t="str">
        <f t="shared" si="14"/>
        <v>借</v>
      </c>
      <c r="J484" s="9">
        <f t="shared" si="15"/>
        <v>1000</v>
      </c>
    </row>
    <row r="485" spans="2:10" ht="20.100000000000001" customHeight="1" x14ac:dyDescent="0.15">
      <c r="B485" s="5"/>
      <c r="C485" s="10"/>
      <c r="D485" s="10"/>
      <c r="E485" s="10"/>
      <c r="F485" s="10"/>
      <c r="G485" s="8"/>
      <c r="H485" s="8"/>
      <c r="I485" s="8" t="str">
        <f t="shared" si="14"/>
        <v>借</v>
      </c>
      <c r="J485" s="9">
        <f t="shared" si="15"/>
        <v>1000</v>
      </c>
    </row>
    <row r="486" spans="2:10" ht="20.100000000000001" customHeight="1" x14ac:dyDescent="0.15">
      <c r="B486" s="5"/>
      <c r="C486" s="10"/>
      <c r="D486" s="10"/>
      <c r="E486" s="10"/>
      <c r="F486" s="10"/>
      <c r="G486" s="8"/>
      <c r="H486" s="8"/>
      <c r="I486" s="8" t="str">
        <f t="shared" si="14"/>
        <v>借</v>
      </c>
      <c r="J486" s="9">
        <f t="shared" si="15"/>
        <v>1000</v>
      </c>
    </row>
    <row r="487" spans="2:10" ht="20.100000000000001" customHeight="1" x14ac:dyDescent="0.15">
      <c r="B487" s="5"/>
      <c r="C487" s="10"/>
      <c r="D487" s="10"/>
      <c r="E487" s="10"/>
      <c r="F487" s="10"/>
      <c r="G487" s="8"/>
      <c r="H487" s="8"/>
      <c r="I487" s="8" t="str">
        <f t="shared" si="14"/>
        <v>借</v>
      </c>
      <c r="J487" s="9">
        <f t="shared" si="15"/>
        <v>1000</v>
      </c>
    </row>
    <row r="488" spans="2:10" ht="20.100000000000001" customHeight="1" x14ac:dyDescent="0.15">
      <c r="B488" s="5"/>
      <c r="C488" s="10"/>
      <c r="D488" s="10"/>
      <c r="E488" s="10"/>
      <c r="F488" s="10"/>
      <c r="G488" s="8"/>
      <c r="H488" s="8"/>
      <c r="I488" s="8" t="str">
        <f t="shared" si="14"/>
        <v>借</v>
      </c>
      <c r="J488" s="9">
        <f t="shared" si="15"/>
        <v>1000</v>
      </c>
    </row>
    <row r="489" spans="2:10" ht="20.100000000000001" customHeight="1" x14ac:dyDescent="0.15">
      <c r="B489" s="5"/>
      <c r="C489" s="10"/>
      <c r="D489" s="10"/>
      <c r="E489" s="10"/>
      <c r="F489" s="10"/>
      <c r="G489" s="8"/>
      <c r="H489" s="8"/>
      <c r="I489" s="8" t="str">
        <f t="shared" si="14"/>
        <v>借</v>
      </c>
      <c r="J489" s="9">
        <f t="shared" si="15"/>
        <v>1000</v>
      </c>
    </row>
    <row r="490" spans="2:10" ht="20.100000000000001" customHeight="1" x14ac:dyDescent="0.15">
      <c r="B490" s="5"/>
      <c r="C490" s="10"/>
      <c r="D490" s="10"/>
      <c r="E490" s="10"/>
      <c r="F490" s="10"/>
      <c r="G490" s="8"/>
      <c r="H490" s="8"/>
      <c r="I490" s="8" t="str">
        <f t="shared" si="14"/>
        <v>借</v>
      </c>
      <c r="J490" s="9">
        <f t="shared" si="15"/>
        <v>1000</v>
      </c>
    </row>
    <row r="491" spans="2:10" ht="20.100000000000001" customHeight="1" x14ac:dyDescent="0.15">
      <c r="B491" s="5"/>
      <c r="C491" s="10"/>
      <c r="D491" s="10"/>
      <c r="E491" s="10"/>
      <c r="F491" s="10"/>
      <c r="G491" s="8"/>
      <c r="H491" s="8"/>
      <c r="I491" s="8" t="str">
        <f t="shared" si="14"/>
        <v>借</v>
      </c>
      <c r="J491" s="9">
        <f t="shared" si="15"/>
        <v>1000</v>
      </c>
    </row>
    <row r="492" spans="2:10" ht="20.100000000000001" customHeight="1" x14ac:dyDescent="0.15">
      <c r="B492" s="5"/>
      <c r="C492" s="10"/>
      <c r="D492" s="10"/>
      <c r="E492" s="10"/>
      <c r="F492" s="10"/>
      <c r="G492" s="8"/>
      <c r="H492" s="8"/>
      <c r="I492" s="8" t="str">
        <f t="shared" si="14"/>
        <v>借</v>
      </c>
      <c r="J492" s="9">
        <f t="shared" si="15"/>
        <v>1000</v>
      </c>
    </row>
    <row r="493" spans="2:10" ht="20.100000000000001" customHeight="1" x14ac:dyDescent="0.15">
      <c r="B493" s="5"/>
      <c r="C493" s="10"/>
      <c r="D493" s="10"/>
      <c r="E493" s="10"/>
      <c r="F493" s="10"/>
      <c r="G493" s="8"/>
      <c r="H493" s="8"/>
      <c r="I493" s="8" t="str">
        <f t="shared" si="14"/>
        <v>借</v>
      </c>
      <c r="J493" s="9">
        <f t="shared" si="15"/>
        <v>1000</v>
      </c>
    </row>
    <row r="494" spans="2:10" ht="20.100000000000001" customHeight="1" x14ac:dyDescent="0.15">
      <c r="B494" s="5"/>
      <c r="C494" s="10"/>
      <c r="D494" s="10"/>
      <c r="E494" s="10"/>
      <c r="F494" s="10"/>
      <c r="G494" s="8"/>
      <c r="H494" s="8"/>
      <c r="I494" s="8" t="str">
        <f t="shared" si="14"/>
        <v>借</v>
      </c>
      <c r="J494" s="9">
        <f t="shared" si="15"/>
        <v>1000</v>
      </c>
    </row>
    <row r="495" spans="2:10" ht="20.100000000000001" customHeight="1" x14ac:dyDescent="0.15">
      <c r="B495" s="5"/>
      <c r="C495" s="10"/>
      <c r="D495" s="10"/>
      <c r="E495" s="10"/>
      <c r="F495" s="10"/>
      <c r="G495" s="8"/>
      <c r="H495" s="8"/>
      <c r="I495" s="8" t="str">
        <f t="shared" si="14"/>
        <v>借</v>
      </c>
      <c r="J495" s="9">
        <f t="shared" si="15"/>
        <v>1000</v>
      </c>
    </row>
    <row r="496" spans="2:10" ht="20.100000000000001" customHeight="1" x14ac:dyDescent="0.15">
      <c r="B496" s="5"/>
      <c r="C496" s="10"/>
      <c r="D496" s="10"/>
      <c r="E496" s="10"/>
      <c r="F496" s="10"/>
      <c r="G496" s="8"/>
      <c r="H496" s="8"/>
      <c r="I496" s="8" t="str">
        <f t="shared" si="14"/>
        <v>借</v>
      </c>
      <c r="J496" s="9">
        <f t="shared" si="15"/>
        <v>1000</v>
      </c>
    </row>
    <row r="497" spans="2:10" ht="20.100000000000001" customHeight="1" x14ac:dyDescent="0.15">
      <c r="B497" s="5"/>
      <c r="C497" s="10"/>
      <c r="D497" s="10"/>
      <c r="E497" s="10"/>
      <c r="F497" s="10"/>
      <c r="G497" s="8"/>
      <c r="H497" s="8"/>
      <c r="I497" s="8" t="str">
        <f t="shared" si="14"/>
        <v>借</v>
      </c>
      <c r="J497" s="9">
        <f t="shared" si="15"/>
        <v>1000</v>
      </c>
    </row>
  </sheetData>
  <mergeCells count="2">
    <mergeCell ref="A1:J1"/>
    <mergeCell ref="A2:J2"/>
  </mergeCells>
  <phoneticPr fontId="21" type="noConversion"/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90"/>
  <sheetViews>
    <sheetView topLeftCell="G1" workbookViewId="0">
      <selection activeCell="R15" sqref="R15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83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SUM(H5:H189993)</f>
        <v>0</v>
      </c>
      <c r="I3" s="4">
        <f>SUM(I5:I189993)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>IF((K5+H6-I6)&gt;0,"借","贷")</f>
        <v>借</v>
      </c>
      <c r="K6" s="9">
        <f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ref="J7:J24" si="0">IF((K6+H7-I7)&gt;0,"借","贷")</f>
        <v>借</v>
      </c>
      <c r="K7" s="9">
        <f t="shared" ref="K7:K22" si="1">K6+H7-I7</f>
        <v>100</v>
      </c>
    </row>
    <row r="8" spans="1:12" ht="20.100000000000001" customHeight="1" x14ac:dyDescent="0.15">
      <c r="A8" s="5"/>
      <c r="B8" s="10"/>
      <c r="C8" s="10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10"/>
      <c r="C11" s="10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ref="K23:K86" si="2">K22+H23-I23</f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2"/>
        <v>100</v>
      </c>
    </row>
    <row r="25" spans="1:11" ht="20.100000000000001" customHeight="1" x14ac:dyDescent="0.15">
      <c r="A25" s="5"/>
      <c r="B25" s="5"/>
      <c r="C25" s="10"/>
      <c r="D25" s="10"/>
      <c r="E25" s="11"/>
      <c r="F25" s="10"/>
      <c r="G25" s="10"/>
      <c r="H25" s="8"/>
      <c r="I25" s="8"/>
      <c r="J25" s="8" t="str">
        <f t="shared" ref="J25:J45" si="3">IF((K24+H25-I25)&gt;0,"借","贷")</f>
        <v>借</v>
      </c>
      <c r="K25" s="9">
        <f t="shared" si="2"/>
        <v>100</v>
      </c>
    </row>
    <row r="26" spans="1:11" ht="20.100000000000001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3"/>
        <v>借</v>
      </c>
      <c r="K26" s="9">
        <f t="shared" si="2"/>
        <v>100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3"/>
        <v>借</v>
      </c>
      <c r="K27" s="9">
        <f t="shared" si="2"/>
        <v>100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3"/>
        <v>借</v>
      </c>
      <c r="K28" s="9">
        <f t="shared" si="2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3"/>
        <v>借</v>
      </c>
      <c r="K29" s="9">
        <f t="shared" si="2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3"/>
        <v>借</v>
      </c>
      <c r="K30" s="9">
        <f t="shared" si="2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3"/>
        <v>借</v>
      </c>
      <c r="K31" s="9">
        <f t="shared" si="2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3"/>
        <v>借</v>
      </c>
      <c r="K32" s="9">
        <f t="shared" si="2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3"/>
        <v>借</v>
      </c>
      <c r="K33" s="9">
        <f t="shared" si="2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3"/>
        <v>借</v>
      </c>
      <c r="K34" s="9">
        <f t="shared" si="2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3"/>
        <v>借</v>
      </c>
      <c r="K35" s="9">
        <f t="shared" si="2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3"/>
        <v>借</v>
      </c>
      <c r="K36" s="9">
        <f t="shared" si="2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3"/>
        <v>借</v>
      </c>
      <c r="K37" s="9">
        <f t="shared" si="2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3"/>
        <v>借</v>
      </c>
      <c r="K38" s="9">
        <f t="shared" si="2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3"/>
        <v>借</v>
      </c>
      <c r="K39" s="9">
        <f t="shared" si="2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3"/>
        <v>借</v>
      </c>
      <c r="K40" s="9">
        <f t="shared" si="2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3"/>
        <v>借</v>
      </c>
      <c r="K41" s="9">
        <f t="shared" si="2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3"/>
        <v>借</v>
      </c>
      <c r="K42" s="9">
        <f t="shared" si="2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3"/>
        <v>借</v>
      </c>
      <c r="K43" s="9">
        <f t="shared" si="2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3"/>
        <v>借</v>
      </c>
      <c r="K44" s="9">
        <f t="shared" si="2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3"/>
        <v>借</v>
      </c>
      <c r="K45" s="9">
        <f t="shared" si="2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ref="J46:J51" si="4">IF((K45+H46-I47)&gt;0,"借","贷")</f>
        <v>借</v>
      </c>
      <c r="K46" s="9">
        <f t="shared" si="2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4"/>
        <v>借</v>
      </c>
      <c r="K47" s="9">
        <f t="shared" si="2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4"/>
        <v>借</v>
      </c>
      <c r="K48" s="9">
        <f t="shared" si="2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4"/>
        <v>借</v>
      </c>
      <c r="K49" s="9">
        <f t="shared" si="2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4"/>
        <v>借</v>
      </c>
      <c r="K50" s="9">
        <f t="shared" si="2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4"/>
        <v>借</v>
      </c>
      <c r="K51" s="9">
        <f t="shared" si="2"/>
        <v>100</v>
      </c>
    </row>
    <row r="52" spans="1:11" ht="20.100000000000001" customHeight="1" x14ac:dyDescent="0.15">
      <c r="A52" s="10"/>
      <c r="B52" s="24"/>
      <c r="C52" s="12"/>
      <c r="D52" s="12"/>
      <c r="E52" s="12"/>
      <c r="F52" s="12"/>
      <c r="G52" s="12"/>
      <c r="H52" s="25"/>
      <c r="I52" s="25"/>
      <c r="J52" s="25" t="str">
        <f t="shared" ref="J52:J57" si="5">IF((K51+H52-I54)&gt;0,"借","贷")</f>
        <v>借</v>
      </c>
      <c r="K52" s="9">
        <f t="shared" si="2"/>
        <v>100</v>
      </c>
    </row>
    <row r="53" spans="1:11" ht="20.100000000000001" customHeight="1" x14ac:dyDescent="0.15">
      <c r="A53" s="10"/>
      <c r="B53" s="24"/>
      <c r="C53" s="12"/>
      <c r="D53" s="12"/>
      <c r="E53" s="12"/>
      <c r="F53" s="12"/>
      <c r="G53" s="12"/>
      <c r="H53" s="25"/>
      <c r="I53" s="25"/>
      <c r="J53" s="25" t="str">
        <f t="shared" si="5"/>
        <v>借</v>
      </c>
      <c r="K53" s="9">
        <f t="shared" si="2"/>
        <v>100</v>
      </c>
    </row>
    <row r="54" spans="1:11" ht="20.100000000000001" customHeight="1" x14ac:dyDescent="0.15">
      <c r="A54" s="10"/>
      <c r="B54" s="24"/>
      <c r="C54" s="12"/>
      <c r="D54" s="12"/>
      <c r="E54" s="12"/>
      <c r="F54" s="12"/>
      <c r="G54" s="12"/>
      <c r="H54" s="25"/>
      <c r="I54" s="25"/>
      <c r="J54" s="25" t="str">
        <f t="shared" si="5"/>
        <v>借</v>
      </c>
      <c r="K54" s="9">
        <f t="shared" si="2"/>
        <v>100</v>
      </c>
    </row>
    <row r="55" spans="1:11" ht="20.100000000000001" customHeight="1" x14ac:dyDescent="0.15">
      <c r="A55" s="10"/>
      <c r="B55" s="24"/>
      <c r="C55" s="12"/>
      <c r="D55" s="12"/>
      <c r="E55" s="12"/>
      <c r="F55" s="12"/>
      <c r="G55" s="12"/>
      <c r="H55" s="25"/>
      <c r="I55" s="25"/>
      <c r="J55" s="25" t="str">
        <f t="shared" si="5"/>
        <v>借</v>
      </c>
      <c r="K55" s="9">
        <f t="shared" si="2"/>
        <v>100</v>
      </c>
    </row>
    <row r="56" spans="1:11" ht="20.100000000000001" customHeight="1" x14ac:dyDescent="0.15">
      <c r="A56" s="10"/>
      <c r="B56" s="5"/>
      <c r="C56" s="10"/>
      <c r="D56" s="12"/>
      <c r="E56" s="12"/>
      <c r="F56" s="12"/>
      <c r="G56" s="12"/>
      <c r="H56" s="25"/>
      <c r="I56" s="25"/>
      <c r="J56" s="25" t="str">
        <f t="shared" si="5"/>
        <v>借</v>
      </c>
      <c r="K56" s="9">
        <f t="shared" si="2"/>
        <v>100</v>
      </c>
    </row>
    <row r="57" spans="1:11" ht="20.100000000000001" customHeight="1" x14ac:dyDescent="0.15">
      <c r="A57" s="10"/>
      <c r="B57" s="5"/>
      <c r="C57" s="10"/>
      <c r="D57" s="12"/>
      <c r="E57" s="12"/>
      <c r="F57" s="12"/>
      <c r="G57" s="12"/>
      <c r="H57" s="25"/>
      <c r="I57" s="25"/>
      <c r="J57" s="25" t="str">
        <f t="shared" si="5"/>
        <v>借</v>
      </c>
      <c r="K57" s="9">
        <f t="shared" si="2"/>
        <v>100</v>
      </c>
    </row>
    <row r="58" spans="1:11" ht="20.100000000000001" customHeight="1" x14ac:dyDescent="0.15">
      <c r="A58" s="10"/>
      <c r="B58" s="5"/>
      <c r="C58" s="10"/>
      <c r="D58" s="12"/>
      <c r="E58" s="12"/>
      <c r="F58" s="12"/>
      <c r="G58" s="12"/>
      <c r="H58" s="25"/>
      <c r="I58" s="25"/>
      <c r="J58" s="25" t="str">
        <f t="shared" ref="J58:J81" si="6">IF((K57+H58-I58)&gt;0,"借","贷")</f>
        <v>借</v>
      </c>
      <c r="K58" s="9">
        <f t="shared" si="2"/>
        <v>100</v>
      </c>
    </row>
    <row r="59" spans="1:11" ht="20.100000000000001" customHeight="1" x14ac:dyDescent="0.15">
      <c r="A59" s="10"/>
      <c r="B59" s="5"/>
      <c r="C59" s="10"/>
      <c r="D59" s="12"/>
      <c r="E59" s="12"/>
      <c r="F59" s="12"/>
      <c r="G59" s="12"/>
      <c r="H59" s="8"/>
      <c r="I59" s="8"/>
      <c r="J59" s="8" t="str">
        <f t="shared" si="6"/>
        <v>借</v>
      </c>
      <c r="K59" s="9">
        <f t="shared" si="2"/>
        <v>100</v>
      </c>
    </row>
    <row r="60" spans="1:11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6"/>
        <v>借</v>
      </c>
      <c r="K60" s="9">
        <f t="shared" si="2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6"/>
        <v>借</v>
      </c>
      <c r="K61" s="9">
        <f t="shared" si="2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6"/>
        <v>借</v>
      </c>
      <c r="K62" s="9">
        <f t="shared" si="2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6"/>
        <v>借</v>
      </c>
      <c r="K63" s="9">
        <f t="shared" si="2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6"/>
        <v>借</v>
      </c>
      <c r="K64" s="9">
        <f t="shared" si="2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6"/>
        <v>借</v>
      </c>
      <c r="K65" s="9">
        <f t="shared" si="2"/>
        <v>100</v>
      </c>
    </row>
    <row r="66" spans="1:11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8"/>
      <c r="J66" s="8" t="str">
        <f t="shared" si="6"/>
        <v>借</v>
      </c>
      <c r="K66" s="9">
        <f t="shared" si="2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4"/>
      <c r="G67" s="14"/>
      <c r="H67" s="8"/>
      <c r="I67" s="8"/>
      <c r="J67" s="8" t="str">
        <f t="shared" si="6"/>
        <v>借</v>
      </c>
      <c r="K67" s="9">
        <f t="shared" si="2"/>
        <v>100</v>
      </c>
    </row>
    <row r="68" spans="1:11" ht="20.100000000000001" customHeight="1" x14ac:dyDescent="0.15">
      <c r="A68" s="5"/>
      <c r="B68" s="5"/>
      <c r="C68" s="10"/>
      <c r="D68" s="12"/>
      <c r="E68" s="10"/>
      <c r="F68" s="12"/>
      <c r="G68" s="12"/>
      <c r="H68" s="8"/>
      <c r="I68" s="8"/>
      <c r="J68" s="8" t="str">
        <f t="shared" si="6"/>
        <v>借</v>
      </c>
      <c r="K68" s="9">
        <f t="shared" si="2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6"/>
        <v>借</v>
      </c>
      <c r="K69" s="9">
        <f t="shared" si="2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si="6"/>
        <v>借</v>
      </c>
      <c r="K70" s="9">
        <f t="shared" si="2"/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2"/>
      <c r="G71" s="12"/>
      <c r="H71" s="8"/>
      <c r="I71" s="15"/>
      <c r="J71" s="8" t="str">
        <f t="shared" si="6"/>
        <v>借</v>
      </c>
      <c r="K71" s="9">
        <f t="shared" si="2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6"/>
        <v>借</v>
      </c>
      <c r="K72" s="9">
        <f t="shared" si="2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2"/>
      <c r="G73" s="12"/>
      <c r="H73" s="8"/>
      <c r="I73" s="8"/>
      <c r="J73" s="8" t="str">
        <f t="shared" si="6"/>
        <v>借</v>
      </c>
      <c r="K73" s="9">
        <f t="shared" si="2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6"/>
        <v>借</v>
      </c>
      <c r="K74" s="9">
        <f t="shared" si="2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2"/>
      <c r="G75" s="12"/>
      <c r="H75" s="8"/>
      <c r="I75" s="8"/>
      <c r="J75" s="8" t="str">
        <f t="shared" si="6"/>
        <v>借</v>
      </c>
      <c r="K75" s="9">
        <f t="shared" si="2"/>
        <v>100</v>
      </c>
    </row>
    <row r="76" spans="1:11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6"/>
        <v>借</v>
      </c>
      <c r="K76" s="9">
        <f t="shared" si="2"/>
        <v>100</v>
      </c>
    </row>
    <row r="77" spans="1:11" ht="20.100000000000001" customHeight="1" x14ac:dyDescent="0.15">
      <c r="A77" s="5"/>
      <c r="B77" s="5"/>
      <c r="C77" s="5"/>
      <c r="D77" s="10"/>
      <c r="E77" s="10"/>
      <c r="F77" s="12"/>
      <c r="G77" s="12"/>
      <c r="H77" s="8"/>
      <c r="I77" s="8"/>
      <c r="J77" s="8" t="str">
        <f t="shared" si="6"/>
        <v>借</v>
      </c>
      <c r="K77" s="9">
        <f t="shared" si="2"/>
        <v>100</v>
      </c>
    </row>
    <row r="78" spans="1:11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8"/>
      <c r="J78" s="8" t="str">
        <f t="shared" si="6"/>
        <v>借</v>
      </c>
      <c r="K78" s="9">
        <f t="shared" si="2"/>
        <v>100</v>
      </c>
    </row>
    <row r="79" spans="1:11" ht="20.100000000000001" customHeight="1" x14ac:dyDescent="0.15">
      <c r="A79" s="10"/>
      <c r="B79" s="5"/>
      <c r="C79" s="5"/>
      <c r="D79" s="10"/>
      <c r="E79" s="10"/>
      <c r="F79" s="12"/>
      <c r="G79" s="12"/>
      <c r="H79" s="8"/>
      <c r="I79" s="8"/>
      <c r="J79" s="8" t="str">
        <f t="shared" si="6"/>
        <v>借</v>
      </c>
      <c r="K79" s="9">
        <f t="shared" si="2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0"/>
      <c r="G80" s="10"/>
      <c r="H80" s="8"/>
      <c r="I80" s="8"/>
      <c r="J80" s="8" t="str">
        <f t="shared" si="6"/>
        <v>借</v>
      </c>
      <c r="K80" s="9">
        <f t="shared" si="2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2"/>
      <c r="G81" s="12"/>
      <c r="H81" s="8"/>
      <c r="I81" s="8"/>
      <c r="J81" s="8" t="str">
        <f t="shared" si="6"/>
        <v>借</v>
      </c>
      <c r="K81" s="9">
        <f t="shared" si="2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ref="J82:J126" si="7">IF((K81+H82-I82)&gt;0,"借","贷")</f>
        <v>借</v>
      </c>
      <c r="K82" s="9">
        <f t="shared" si="2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7"/>
        <v>借</v>
      </c>
      <c r="K83" s="9">
        <f t="shared" si="2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7"/>
        <v>借</v>
      </c>
      <c r="K84" s="9">
        <f t="shared" si="2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7"/>
        <v>借</v>
      </c>
      <c r="K85" s="9">
        <f t="shared" si="2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7"/>
        <v>借</v>
      </c>
      <c r="K86" s="9">
        <f t="shared" si="2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7"/>
        <v>借</v>
      </c>
      <c r="K87" s="9">
        <f t="shared" ref="K87:K150" si="8">K86+H87-I87</f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7"/>
        <v>借</v>
      </c>
      <c r="K88" s="9">
        <f t="shared" si="8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7"/>
        <v>借</v>
      </c>
      <c r="K89" s="9">
        <f t="shared" si="8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7"/>
        <v>借</v>
      </c>
      <c r="K90" s="9">
        <f t="shared" si="8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7"/>
        <v>借</v>
      </c>
      <c r="K91" s="9">
        <f t="shared" si="8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7"/>
        <v>借</v>
      </c>
      <c r="K92" s="9">
        <f t="shared" si="8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7"/>
        <v>借</v>
      </c>
      <c r="K93" s="9">
        <f t="shared" si="8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7"/>
        <v>借</v>
      </c>
      <c r="K94" s="9">
        <f t="shared" si="8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7"/>
        <v>借</v>
      </c>
      <c r="K95" s="9">
        <f t="shared" si="8"/>
        <v>100</v>
      </c>
    </row>
    <row r="96" spans="1:11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7"/>
        <v>借</v>
      </c>
      <c r="K96" s="9">
        <f t="shared" si="8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7"/>
        <v>借</v>
      </c>
      <c r="K97" s="9">
        <f t="shared" si="8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7"/>
        <v>借</v>
      </c>
      <c r="K98" s="9">
        <f t="shared" si="8"/>
        <v>100</v>
      </c>
    </row>
    <row r="99" spans="1:11" ht="20.100000000000001" customHeight="1" x14ac:dyDescent="0.15">
      <c r="A99" s="5"/>
      <c r="B99" s="5"/>
      <c r="C99" s="5"/>
      <c r="D99" s="10"/>
      <c r="E99" s="16"/>
      <c r="F99" s="10"/>
      <c r="G99" s="10"/>
      <c r="H99" s="8"/>
      <c r="I99" s="8"/>
      <c r="J99" s="8" t="str">
        <f t="shared" si="7"/>
        <v>借</v>
      </c>
      <c r="K99" s="9">
        <f t="shared" si="8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7"/>
        <v>借</v>
      </c>
      <c r="K100" s="9">
        <f t="shared" si="8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7"/>
        <v>借</v>
      </c>
      <c r="K101" s="9">
        <f t="shared" si="8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7"/>
        <v>借</v>
      </c>
      <c r="K102" s="9">
        <f t="shared" si="8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7"/>
        <v>借</v>
      </c>
      <c r="K103" s="9">
        <f t="shared" si="8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7"/>
        <v>借</v>
      </c>
      <c r="K104" s="9">
        <f t="shared" si="8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7"/>
        <v>借</v>
      </c>
      <c r="K105" s="9">
        <f t="shared" si="8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7"/>
        <v>借</v>
      </c>
      <c r="K106" s="9">
        <f t="shared" si="8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7"/>
        <v>借</v>
      </c>
      <c r="K107" s="9">
        <f t="shared" si="8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7"/>
        <v>借</v>
      </c>
      <c r="K108" s="9">
        <f t="shared" si="8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7"/>
        <v>借</v>
      </c>
      <c r="K109" s="9">
        <f t="shared" si="8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7"/>
        <v>借</v>
      </c>
      <c r="K110" s="9">
        <f t="shared" si="8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7"/>
        <v>借</v>
      </c>
      <c r="K111" s="9">
        <f t="shared" si="8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7"/>
        <v>借</v>
      </c>
      <c r="K112" s="9">
        <f t="shared" si="8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7"/>
        <v>借</v>
      </c>
      <c r="K113" s="9">
        <f t="shared" si="8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7"/>
        <v>借</v>
      </c>
      <c r="K114" s="9">
        <f t="shared" si="8"/>
        <v>100</v>
      </c>
    </row>
    <row r="115" spans="1:11" ht="20.100000000000001" customHeight="1" x14ac:dyDescent="0.15">
      <c r="A115" s="10"/>
      <c r="B115" s="5"/>
      <c r="C115" s="10"/>
      <c r="D115" s="10"/>
      <c r="E115" s="10"/>
      <c r="F115" s="10"/>
      <c r="G115" s="10"/>
      <c r="H115" s="8"/>
      <c r="I115" s="8"/>
      <c r="J115" s="8" t="str">
        <f t="shared" si="7"/>
        <v>借</v>
      </c>
      <c r="K115" s="9">
        <f t="shared" si="8"/>
        <v>100</v>
      </c>
    </row>
    <row r="116" spans="1:11" ht="20.100000000000001" customHeight="1" x14ac:dyDescent="0.15">
      <c r="A116" s="10"/>
      <c r="B116" s="5"/>
      <c r="C116" s="10"/>
      <c r="D116" s="10"/>
      <c r="E116" s="17"/>
      <c r="F116" s="10"/>
      <c r="G116" s="10"/>
      <c r="H116" s="8"/>
      <c r="I116" s="8"/>
      <c r="J116" s="8" t="str">
        <f t="shared" si="7"/>
        <v>借</v>
      </c>
      <c r="K116" s="9">
        <f t="shared" si="8"/>
        <v>100</v>
      </c>
    </row>
    <row r="117" spans="1:11" ht="20.100000000000001" customHeight="1" x14ac:dyDescent="0.15">
      <c r="A117" s="5"/>
      <c r="B117" s="5"/>
      <c r="C117" s="10"/>
      <c r="D117" s="10"/>
      <c r="E117" s="10"/>
      <c r="F117" s="10"/>
      <c r="G117" s="10"/>
      <c r="H117" s="8"/>
      <c r="I117" s="8"/>
      <c r="J117" s="8" t="str">
        <f t="shared" si="7"/>
        <v>借</v>
      </c>
      <c r="K117" s="9">
        <f t="shared" si="8"/>
        <v>100</v>
      </c>
    </row>
    <row r="118" spans="1:11" ht="20.100000000000001" customHeight="1" x14ac:dyDescent="0.15">
      <c r="A118" s="5"/>
      <c r="B118" s="5"/>
      <c r="C118" s="10"/>
      <c r="D118" s="10"/>
      <c r="E118" s="10"/>
      <c r="F118" s="10"/>
      <c r="G118" s="10"/>
      <c r="H118" s="8"/>
      <c r="I118" s="8"/>
      <c r="J118" s="8" t="str">
        <f t="shared" si="7"/>
        <v>借</v>
      </c>
      <c r="K118" s="9">
        <f t="shared" si="8"/>
        <v>100</v>
      </c>
    </row>
    <row r="119" spans="1:11" ht="20.100000000000001" customHeight="1" x14ac:dyDescent="0.15">
      <c r="A119" s="5"/>
      <c r="B119" s="5"/>
      <c r="C119" s="10"/>
      <c r="D119" s="10"/>
      <c r="E119" s="10"/>
      <c r="F119" s="10"/>
      <c r="G119" s="10"/>
      <c r="H119" s="8"/>
      <c r="I119" s="8"/>
      <c r="J119" s="8" t="str">
        <f t="shared" si="7"/>
        <v>借</v>
      </c>
      <c r="K119" s="9">
        <f t="shared" si="8"/>
        <v>100</v>
      </c>
    </row>
    <row r="120" spans="1:11" ht="20.100000000000001" customHeight="1" x14ac:dyDescent="0.15">
      <c r="A120" s="5"/>
      <c r="B120" s="5"/>
      <c r="C120" s="10"/>
      <c r="D120" s="10"/>
      <c r="E120" s="10"/>
      <c r="F120" s="10"/>
      <c r="G120" s="10"/>
      <c r="H120" s="8"/>
      <c r="I120" s="8"/>
      <c r="J120" s="8" t="str">
        <f t="shared" si="7"/>
        <v>借</v>
      </c>
      <c r="K120" s="9">
        <f t="shared" si="8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7"/>
        <v>借</v>
      </c>
      <c r="K121" s="9">
        <f t="shared" si="8"/>
        <v>100</v>
      </c>
    </row>
    <row r="122" spans="1:11" ht="20.100000000000001" customHeight="1" x14ac:dyDescent="0.15">
      <c r="A122" s="5"/>
      <c r="B122" s="5"/>
      <c r="C122" s="5"/>
      <c r="D122" s="10"/>
      <c r="E122" s="16"/>
      <c r="F122" s="10"/>
      <c r="G122" s="10"/>
      <c r="H122" s="8"/>
      <c r="I122" s="8"/>
      <c r="J122" s="8" t="str">
        <f t="shared" si="7"/>
        <v>借</v>
      </c>
      <c r="K122" s="9">
        <f t="shared" si="8"/>
        <v>100</v>
      </c>
    </row>
    <row r="123" spans="1:11" ht="20.100000000000001" customHeight="1" x14ac:dyDescent="0.15">
      <c r="A123" s="10"/>
      <c r="B123" s="5"/>
      <c r="C123" s="5"/>
      <c r="D123" s="10"/>
      <c r="E123" s="16"/>
      <c r="F123" s="10"/>
      <c r="G123" s="10"/>
      <c r="H123" s="8"/>
      <c r="I123" s="8"/>
      <c r="J123" s="8" t="str">
        <f t="shared" si="7"/>
        <v>借</v>
      </c>
      <c r="K123" s="9">
        <f t="shared" si="8"/>
        <v>100</v>
      </c>
    </row>
    <row r="124" spans="1:11" ht="20.100000000000001" customHeight="1" x14ac:dyDescent="0.15">
      <c r="A124" s="10"/>
      <c r="B124" s="5"/>
      <c r="C124" s="5"/>
      <c r="D124" s="10"/>
      <c r="E124" s="16"/>
      <c r="F124" s="10"/>
      <c r="G124" s="10"/>
      <c r="H124" s="8"/>
      <c r="I124" s="8"/>
      <c r="J124" s="8" t="str">
        <f t="shared" si="7"/>
        <v>借</v>
      </c>
      <c r="K124" s="9">
        <f t="shared" si="8"/>
        <v>100</v>
      </c>
    </row>
    <row r="125" spans="1:11" ht="20.100000000000001" customHeight="1" x14ac:dyDescent="0.15">
      <c r="A125" s="5"/>
      <c r="B125" s="5"/>
      <c r="C125" s="5"/>
      <c r="D125" s="10"/>
      <c r="E125" s="16"/>
      <c r="F125" s="10"/>
      <c r="G125" s="10"/>
      <c r="H125" s="8"/>
      <c r="I125" s="8"/>
      <c r="J125" s="8" t="str">
        <f t="shared" si="7"/>
        <v>借</v>
      </c>
      <c r="K125" s="9">
        <f t="shared" si="8"/>
        <v>100</v>
      </c>
    </row>
    <row r="126" spans="1:11" ht="20.100000000000001" customHeight="1" x14ac:dyDescent="0.15">
      <c r="A126" s="5"/>
      <c r="B126" s="5"/>
      <c r="C126" s="5"/>
      <c r="D126" s="10"/>
      <c r="E126" s="16"/>
      <c r="F126" s="10"/>
      <c r="G126" s="10"/>
      <c r="H126" s="8"/>
      <c r="I126" s="8"/>
      <c r="J126" s="8" t="str">
        <f t="shared" si="7"/>
        <v>借</v>
      </c>
      <c r="K126" s="9">
        <f t="shared" si="8"/>
        <v>100</v>
      </c>
    </row>
    <row r="127" spans="1:11" ht="20.100000000000001" customHeight="1" x14ac:dyDescent="0.15">
      <c r="A127" s="5"/>
      <c r="B127" s="5"/>
      <c r="C127" s="5"/>
      <c r="D127" s="10"/>
      <c r="E127" s="16"/>
      <c r="F127" s="10"/>
      <c r="G127" s="10"/>
      <c r="H127" s="8"/>
      <c r="I127" s="8"/>
      <c r="J127" s="8" t="str">
        <f t="shared" ref="J127:J190" si="9">IF((K126+H127-I127)&gt;0,"借","贷")</f>
        <v>借</v>
      </c>
      <c r="K127" s="9">
        <f t="shared" si="8"/>
        <v>100</v>
      </c>
    </row>
    <row r="128" spans="1:11" ht="20.100000000000001" customHeight="1" x14ac:dyDescent="0.15">
      <c r="A128" s="5"/>
      <c r="B128" s="5"/>
      <c r="C128" s="5"/>
      <c r="D128" s="10"/>
      <c r="E128" s="16"/>
      <c r="F128" s="10"/>
      <c r="G128" s="10"/>
      <c r="H128" s="8"/>
      <c r="I128" s="8"/>
      <c r="J128" s="8" t="str">
        <f t="shared" si="9"/>
        <v>借</v>
      </c>
      <c r="K128" s="9">
        <f t="shared" si="8"/>
        <v>100</v>
      </c>
    </row>
    <row r="129" spans="1:11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9"/>
        <v>借</v>
      </c>
      <c r="K129" s="9">
        <f t="shared" si="8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9"/>
        <v>借</v>
      </c>
      <c r="K130" s="9">
        <f t="shared" si="8"/>
        <v>100</v>
      </c>
    </row>
    <row r="131" spans="1:11" ht="20.100000000000001" customHeight="1" x14ac:dyDescent="0.15">
      <c r="A131" s="10"/>
      <c r="B131" s="5"/>
      <c r="C131" s="5"/>
      <c r="D131" s="10"/>
      <c r="E131" s="10"/>
      <c r="F131" s="10"/>
      <c r="G131" s="10"/>
      <c r="H131" s="8"/>
      <c r="I131" s="8"/>
      <c r="J131" s="8" t="str">
        <f t="shared" si="9"/>
        <v>借</v>
      </c>
      <c r="K131" s="9">
        <f t="shared" si="8"/>
        <v>100</v>
      </c>
    </row>
    <row r="132" spans="1:11" ht="20.100000000000001" customHeight="1" x14ac:dyDescent="0.15">
      <c r="A132" s="10"/>
      <c r="B132" s="5"/>
      <c r="C132" s="5"/>
      <c r="D132" s="10"/>
      <c r="E132" s="10"/>
      <c r="F132" s="10"/>
      <c r="G132" s="10"/>
      <c r="H132" s="8"/>
      <c r="I132" s="8"/>
      <c r="J132" s="8" t="str">
        <f t="shared" si="9"/>
        <v>借</v>
      </c>
      <c r="K132" s="9">
        <f t="shared" si="8"/>
        <v>100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9"/>
        <v>借</v>
      </c>
      <c r="K133" s="9">
        <f t="shared" si="8"/>
        <v>100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9"/>
        <v>借</v>
      </c>
      <c r="K134" s="9">
        <f t="shared" si="8"/>
        <v>100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9"/>
        <v>借</v>
      </c>
      <c r="K135" s="9">
        <f t="shared" si="8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9"/>
        <v>借</v>
      </c>
      <c r="K136" s="9">
        <f t="shared" si="8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9"/>
        <v>借</v>
      </c>
      <c r="K137" s="9">
        <f t="shared" si="8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9"/>
        <v>借</v>
      </c>
      <c r="K138" s="9">
        <f t="shared" si="8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9"/>
        <v>借</v>
      </c>
      <c r="K139" s="9">
        <f t="shared" si="8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9"/>
        <v>借</v>
      </c>
      <c r="K140" s="9">
        <f t="shared" si="8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9"/>
        <v>借</v>
      </c>
      <c r="K141" s="9">
        <f t="shared" si="8"/>
        <v>100</v>
      </c>
    </row>
    <row r="142" spans="1:11" ht="20.100000000000001" customHeight="1" x14ac:dyDescent="0.15">
      <c r="A142" s="10"/>
      <c r="B142" s="5"/>
      <c r="C142" s="5"/>
      <c r="D142" s="10"/>
      <c r="E142" s="10"/>
      <c r="F142" s="10"/>
      <c r="G142" s="10"/>
      <c r="H142" s="8"/>
      <c r="I142" s="8"/>
      <c r="J142" s="8" t="str">
        <f t="shared" si="9"/>
        <v>借</v>
      </c>
      <c r="K142" s="9">
        <f t="shared" si="8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9"/>
        <v>借</v>
      </c>
      <c r="K143" s="9">
        <f t="shared" si="8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9"/>
        <v>借</v>
      </c>
      <c r="K144" s="9">
        <f t="shared" si="8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9"/>
        <v>借</v>
      </c>
      <c r="K145" s="9">
        <f t="shared" si="8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9"/>
        <v>借</v>
      </c>
      <c r="K146" s="9">
        <f t="shared" si="8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9"/>
        <v>借</v>
      </c>
      <c r="K147" s="9">
        <f t="shared" si="8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9"/>
        <v>借</v>
      </c>
      <c r="K148" s="9">
        <f t="shared" si="8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9"/>
        <v>借</v>
      </c>
      <c r="K149" s="9">
        <f t="shared" si="8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9"/>
        <v>借</v>
      </c>
      <c r="K150" s="9">
        <f t="shared" si="8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9"/>
        <v>借</v>
      </c>
      <c r="K151" s="9">
        <f t="shared" ref="K151:K214" si="10">K150+H151-I151</f>
        <v>100</v>
      </c>
    </row>
    <row r="152" spans="1:11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9"/>
        <v>借</v>
      </c>
      <c r="K152" s="9">
        <f t="shared" si="10"/>
        <v>100</v>
      </c>
    </row>
    <row r="153" spans="1:11" ht="20.100000000000001" customHeight="1" x14ac:dyDescent="0.15">
      <c r="A153" s="10"/>
      <c r="B153" s="5"/>
      <c r="C153" s="5"/>
      <c r="D153" s="10"/>
      <c r="E153" s="10"/>
      <c r="F153" s="10"/>
      <c r="G153" s="10"/>
      <c r="H153" s="8"/>
      <c r="I153" s="8"/>
      <c r="J153" s="8" t="str">
        <f t="shared" si="9"/>
        <v>借</v>
      </c>
      <c r="K153" s="9">
        <f t="shared" si="10"/>
        <v>100</v>
      </c>
    </row>
    <row r="154" spans="1:11" ht="20.100000000000001" customHeight="1" x14ac:dyDescent="0.15">
      <c r="A154" s="10"/>
      <c r="B154" s="5"/>
      <c r="C154" s="5"/>
      <c r="D154" s="10"/>
      <c r="E154" s="18"/>
      <c r="F154" s="10"/>
      <c r="G154" s="10"/>
      <c r="H154" s="8"/>
      <c r="I154" s="8"/>
      <c r="J154" s="8" t="str">
        <f t="shared" si="9"/>
        <v>借</v>
      </c>
      <c r="K154" s="9">
        <f t="shared" si="10"/>
        <v>100</v>
      </c>
    </row>
    <row r="155" spans="1:11" ht="20.100000000000001" customHeight="1" x14ac:dyDescent="0.15">
      <c r="A155" s="10"/>
      <c r="B155" s="5"/>
      <c r="C155" s="5"/>
      <c r="D155" s="10"/>
      <c r="E155" s="10"/>
      <c r="F155" s="10"/>
      <c r="G155" s="10"/>
      <c r="H155" s="8"/>
      <c r="I155" s="8"/>
      <c r="J155" s="8" t="str">
        <f t="shared" si="9"/>
        <v>借</v>
      </c>
      <c r="K155" s="9">
        <f t="shared" si="10"/>
        <v>100</v>
      </c>
    </row>
    <row r="156" spans="1:11" ht="20.100000000000001" customHeight="1" x14ac:dyDescent="0.15">
      <c r="A156" s="10"/>
      <c r="B156" s="5"/>
      <c r="C156" s="10"/>
      <c r="D156" s="10"/>
      <c r="E156" s="10"/>
      <c r="F156" s="10"/>
      <c r="G156" s="10"/>
      <c r="H156" s="8"/>
      <c r="I156" s="8"/>
      <c r="J156" s="8" t="str">
        <f t="shared" si="9"/>
        <v>借</v>
      </c>
      <c r="K156" s="9">
        <f t="shared" si="10"/>
        <v>100</v>
      </c>
    </row>
    <row r="157" spans="1:11" ht="20.100000000000001" customHeight="1" x14ac:dyDescent="0.15">
      <c r="A157" s="10"/>
      <c r="B157" s="5"/>
      <c r="C157" s="10"/>
      <c r="D157" s="10"/>
      <c r="E157" s="10"/>
      <c r="F157" s="10"/>
      <c r="G157" s="10"/>
      <c r="H157" s="8"/>
      <c r="I157" s="8"/>
      <c r="J157" s="8" t="str">
        <f t="shared" si="9"/>
        <v>借</v>
      </c>
      <c r="K157" s="9">
        <f t="shared" si="10"/>
        <v>100</v>
      </c>
    </row>
    <row r="158" spans="1:11" ht="20.100000000000001" customHeight="1" x14ac:dyDescent="0.15">
      <c r="A158" s="10"/>
      <c r="B158" s="5"/>
      <c r="C158" s="10"/>
      <c r="D158" s="10"/>
      <c r="E158" s="10"/>
      <c r="F158" s="10"/>
      <c r="G158" s="10"/>
      <c r="H158" s="8"/>
      <c r="I158" s="8"/>
      <c r="J158" s="8" t="str">
        <f t="shared" si="9"/>
        <v>借</v>
      </c>
      <c r="K158" s="9">
        <f t="shared" si="10"/>
        <v>100</v>
      </c>
    </row>
    <row r="159" spans="1:11" ht="20.100000000000001" customHeight="1" x14ac:dyDescent="0.15">
      <c r="A159" s="10"/>
      <c r="B159" s="5"/>
      <c r="C159" s="10"/>
      <c r="D159" s="10"/>
      <c r="E159" s="10"/>
      <c r="F159" s="10"/>
      <c r="G159" s="10"/>
      <c r="H159" s="8"/>
      <c r="I159" s="8"/>
      <c r="J159" s="8" t="str">
        <f t="shared" si="9"/>
        <v>借</v>
      </c>
      <c r="K159" s="9">
        <f t="shared" si="10"/>
        <v>100</v>
      </c>
    </row>
    <row r="160" spans="1:11" ht="20.100000000000001" customHeight="1" x14ac:dyDescent="0.15">
      <c r="A160" s="10"/>
      <c r="B160" s="5"/>
      <c r="C160" s="10"/>
      <c r="D160" s="10"/>
      <c r="E160" s="10"/>
      <c r="F160" s="10"/>
      <c r="G160" s="10"/>
      <c r="H160" s="8"/>
      <c r="I160" s="8"/>
      <c r="J160" s="8" t="str">
        <f t="shared" si="9"/>
        <v>借</v>
      </c>
      <c r="K160" s="9">
        <f t="shared" si="10"/>
        <v>100</v>
      </c>
    </row>
    <row r="161" spans="1:11" ht="20.100000000000001" customHeight="1" x14ac:dyDescent="0.15">
      <c r="A161" s="10"/>
      <c r="B161" s="5"/>
      <c r="C161" s="10"/>
      <c r="D161" s="10"/>
      <c r="E161" s="10"/>
      <c r="F161" s="10"/>
      <c r="G161" s="10"/>
      <c r="H161" s="8"/>
      <c r="I161" s="8"/>
      <c r="J161" s="8" t="str">
        <f t="shared" si="9"/>
        <v>借</v>
      </c>
      <c r="K161" s="9">
        <f t="shared" si="10"/>
        <v>100</v>
      </c>
    </row>
    <row r="162" spans="1:11" ht="20.100000000000001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9"/>
        <v>借</v>
      </c>
      <c r="K162" s="9">
        <f t="shared" si="10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9"/>
        <v>借</v>
      </c>
      <c r="K163" s="9">
        <f t="shared" si="10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9"/>
        <v>借</v>
      </c>
      <c r="K164" s="9">
        <f t="shared" si="10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9"/>
        <v>借</v>
      </c>
      <c r="K165" s="9">
        <f t="shared" si="10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9"/>
        <v>借</v>
      </c>
      <c r="K166" s="9">
        <f t="shared" si="10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9"/>
        <v>借</v>
      </c>
      <c r="K167" s="9">
        <f t="shared" si="10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9"/>
        <v>借</v>
      </c>
      <c r="K168" s="9">
        <f t="shared" si="10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9"/>
        <v>借</v>
      </c>
      <c r="K169" s="9">
        <f t="shared" si="10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9"/>
        <v>借</v>
      </c>
      <c r="K170" s="9">
        <f t="shared" si="10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9"/>
        <v>借</v>
      </c>
      <c r="K171" s="9">
        <f t="shared" si="10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9"/>
        <v>借</v>
      </c>
      <c r="K172" s="9">
        <f t="shared" si="10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9"/>
        <v>借</v>
      </c>
      <c r="K173" s="9">
        <f t="shared" si="10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9"/>
        <v>借</v>
      </c>
      <c r="K174" s="9">
        <f t="shared" si="10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9"/>
        <v>借</v>
      </c>
      <c r="K175" s="9">
        <f t="shared" si="10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9"/>
        <v>借</v>
      </c>
      <c r="K176" s="9">
        <f t="shared" si="10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9"/>
        <v>借</v>
      </c>
      <c r="K177" s="9">
        <f t="shared" si="10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9"/>
        <v>借</v>
      </c>
      <c r="K178" s="9">
        <f t="shared" si="10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9"/>
        <v>借</v>
      </c>
      <c r="K179" s="9">
        <f t="shared" si="10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9"/>
        <v>借</v>
      </c>
      <c r="K180" s="9">
        <f t="shared" si="10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9"/>
        <v>借</v>
      </c>
      <c r="K181" s="9">
        <f t="shared" si="10"/>
        <v>100</v>
      </c>
    </row>
    <row r="182" spans="1:11" ht="20.100000000000001" customHeight="1" x14ac:dyDescent="0.15">
      <c r="A182" s="10"/>
      <c r="B182" s="5"/>
      <c r="C182" s="10"/>
      <c r="D182" s="10"/>
      <c r="E182" s="19"/>
      <c r="F182" s="10"/>
      <c r="G182" s="10"/>
      <c r="H182" s="8"/>
      <c r="I182" s="8"/>
      <c r="J182" s="8" t="str">
        <f t="shared" si="9"/>
        <v>借</v>
      </c>
      <c r="K182" s="9">
        <f t="shared" si="10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9"/>
        <v>借</v>
      </c>
      <c r="K183" s="9">
        <f t="shared" si="10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9"/>
        <v>借</v>
      </c>
      <c r="K184" s="9">
        <f t="shared" si="10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9"/>
        <v>借</v>
      </c>
      <c r="K185" s="9">
        <f t="shared" si="10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9"/>
        <v>借</v>
      </c>
      <c r="K186" s="9">
        <f t="shared" si="10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9"/>
        <v>借</v>
      </c>
      <c r="K187" s="9">
        <f t="shared" si="10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9"/>
        <v>借</v>
      </c>
      <c r="K188" s="9">
        <f t="shared" si="10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9"/>
        <v>借</v>
      </c>
      <c r="K189" s="9">
        <f t="shared" si="10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9"/>
        <v>借</v>
      </c>
      <c r="K190" s="9">
        <f t="shared" si="10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ref="J191:J254" si="11">IF((K190+H191-I191)&gt;0,"借","贷")</f>
        <v>借</v>
      </c>
      <c r="K191" s="9">
        <f t="shared" si="10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11"/>
        <v>借</v>
      </c>
      <c r="K192" s="9">
        <f t="shared" si="10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11"/>
        <v>借</v>
      </c>
      <c r="K193" s="9">
        <f t="shared" si="10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11"/>
        <v>借</v>
      </c>
      <c r="K194" s="9">
        <f t="shared" si="10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11"/>
        <v>借</v>
      </c>
      <c r="K195" s="9">
        <f t="shared" si="10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11"/>
        <v>借</v>
      </c>
      <c r="K196" s="9">
        <f t="shared" si="10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11"/>
        <v>借</v>
      </c>
      <c r="K197" s="9">
        <f t="shared" si="10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11"/>
        <v>借</v>
      </c>
      <c r="K198" s="9">
        <f t="shared" si="10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11"/>
        <v>借</v>
      </c>
      <c r="K199" s="9">
        <f t="shared" si="10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100</v>
      </c>
    </row>
    <row r="205" spans="1:11" ht="20.100000000000001" customHeight="1" x14ac:dyDescent="0.15">
      <c r="A205" s="10"/>
      <c r="B205" s="5"/>
      <c r="C205" s="10"/>
      <c r="D205" s="10"/>
      <c r="E205" s="20"/>
      <c r="F205" s="10"/>
      <c r="G205" s="10"/>
      <c r="H205" s="8"/>
      <c r="I205" s="8"/>
      <c r="J205" s="8" t="str">
        <f t="shared" si="11"/>
        <v>借</v>
      </c>
      <c r="K205" s="9">
        <f t="shared" si="10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1"/>
        <v>借</v>
      </c>
      <c r="K213" s="9">
        <f t="shared" si="10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ref="K215:K278" si="12">K214+H215-I215</f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2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2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2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2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2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2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2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2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2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2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2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2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2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2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2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9">
        <f t="shared" si="12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2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2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2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23" t="str">
        <f t="shared" si="11"/>
        <v>借</v>
      </c>
      <c r="K235" s="9">
        <f t="shared" si="12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23" t="str">
        <f t="shared" si="11"/>
        <v>借</v>
      </c>
      <c r="K236" s="9">
        <f t="shared" si="12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23" t="str">
        <f t="shared" si="11"/>
        <v>借</v>
      </c>
      <c r="K237" s="9">
        <f t="shared" si="12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23" t="str">
        <f t="shared" si="11"/>
        <v>借</v>
      </c>
      <c r="K238" s="9">
        <f t="shared" si="12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23" t="str">
        <f t="shared" si="11"/>
        <v>借</v>
      </c>
      <c r="K239" s="9">
        <f t="shared" si="12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23" t="str">
        <f t="shared" si="11"/>
        <v>借</v>
      </c>
      <c r="K240" s="9">
        <f t="shared" si="12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1"/>
        <v>借</v>
      </c>
      <c r="K241" s="9">
        <f t="shared" si="12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1"/>
        <v>借</v>
      </c>
      <c r="K242" s="9">
        <f t="shared" si="12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1"/>
        <v>借</v>
      </c>
      <c r="K243" s="9">
        <f t="shared" si="12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1"/>
        <v>借</v>
      </c>
      <c r="K244" s="9">
        <f t="shared" si="12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11"/>
        <v>借</v>
      </c>
      <c r="K245" s="9">
        <f t="shared" si="12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11"/>
        <v>借</v>
      </c>
      <c r="K246" s="9">
        <f t="shared" si="12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1"/>
        <v>借</v>
      </c>
      <c r="K247" s="9">
        <f t="shared" si="12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1"/>
        <v>借</v>
      </c>
      <c r="K248" s="9">
        <f t="shared" si="12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2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2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2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2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2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2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ref="J255:J318" si="13">IF((K254+H255-I255)&gt;0,"借","贷")</f>
        <v>借</v>
      </c>
      <c r="K255" s="9">
        <f t="shared" si="12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3"/>
        <v>借</v>
      </c>
      <c r="K256" s="9">
        <f t="shared" si="12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3"/>
        <v>借</v>
      </c>
      <c r="K257" s="9">
        <f t="shared" si="12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3"/>
        <v>借</v>
      </c>
      <c r="K258" s="9">
        <f t="shared" si="12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3"/>
        <v>借</v>
      </c>
      <c r="K259" s="9">
        <f t="shared" si="12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3"/>
        <v>借</v>
      </c>
      <c r="K260" s="9">
        <f t="shared" si="12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3"/>
        <v>借</v>
      </c>
      <c r="K261" s="9">
        <f t="shared" si="12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2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2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ref="K279:K342" si="14">K278+H279-I279</f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4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4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4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4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4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4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4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4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4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4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4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4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4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4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4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4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4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4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4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4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4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4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si="14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4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4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4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4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4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4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4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4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4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4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4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4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4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4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4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4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ref="J319:J382" si="15">IF((K318+H319-I319)&gt;0,"借","贷")</f>
        <v>借</v>
      </c>
      <c r="K319" s="9">
        <f t="shared" si="14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5"/>
        <v>借</v>
      </c>
      <c r="K320" s="9">
        <f t="shared" si="14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5"/>
        <v>借</v>
      </c>
      <c r="K321" s="9">
        <f t="shared" si="14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5"/>
        <v>借</v>
      </c>
      <c r="K322" s="9">
        <f t="shared" si="14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5"/>
        <v>借</v>
      </c>
      <c r="K323" s="9">
        <f t="shared" si="14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5"/>
        <v>借</v>
      </c>
      <c r="K324" s="9">
        <f t="shared" si="14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5"/>
        <v>借</v>
      </c>
      <c r="K325" s="9">
        <f t="shared" si="14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4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4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ref="K343:K406" si="16">K342+H343-I343</f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6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6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6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6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6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6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6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6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6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6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6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6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6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6"/>
        <v>100</v>
      </c>
    </row>
    <row r="358" spans="1:11" ht="20.100000000000001" customHeight="1" x14ac:dyDescent="0.15"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6"/>
        <v>100</v>
      </c>
    </row>
    <row r="359" spans="1:11" ht="20.100000000000001" customHeight="1" x14ac:dyDescent="0.15"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6"/>
        <v>100</v>
      </c>
    </row>
    <row r="360" spans="1:11" ht="20.100000000000001" customHeight="1" x14ac:dyDescent="0.15">
      <c r="B360" s="5"/>
      <c r="C360" s="7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6"/>
        <v>100</v>
      </c>
    </row>
    <row r="361" spans="1:11" ht="20.100000000000001" customHeight="1" x14ac:dyDescent="0.15">
      <c r="B361" s="5"/>
      <c r="C361" s="7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6"/>
        <v>100</v>
      </c>
    </row>
    <row r="362" spans="1:11" ht="20.100000000000001" customHeight="1" x14ac:dyDescent="0.15">
      <c r="B362" s="5"/>
      <c r="C362" s="7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6"/>
        <v>100</v>
      </c>
    </row>
    <row r="363" spans="1:11" ht="20.100000000000001" customHeight="1" x14ac:dyDescent="0.15">
      <c r="B363" s="5"/>
      <c r="C363" s="7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6"/>
        <v>100</v>
      </c>
    </row>
    <row r="364" spans="1:11" ht="20.100000000000001" customHeight="1" x14ac:dyDescent="0.15">
      <c r="B364" s="5"/>
      <c r="C364" s="7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6"/>
        <v>100</v>
      </c>
    </row>
    <row r="365" spans="1:11" ht="20.100000000000001" customHeight="1" x14ac:dyDescent="0.15">
      <c r="B365" s="5"/>
      <c r="C365" s="7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6"/>
        <v>100</v>
      </c>
    </row>
    <row r="366" spans="1:11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si="16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6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6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6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6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6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6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6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6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6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6"/>
        <v>100</v>
      </c>
    </row>
    <row r="377" spans="2:11" ht="20.100000000000001" customHeight="1" x14ac:dyDescent="0.15">
      <c r="B377" s="5"/>
      <c r="C377" s="10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6"/>
        <v>100</v>
      </c>
    </row>
    <row r="378" spans="2:11" ht="20.100000000000001" customHeight="1" x14ac:dyDescent="0.15">
      <c r="B378" s="5"/>
      <c r="C378" s="10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6"/>
        <v>100</v>
      </c>
    </row>
    <row r="379" spans="2:11" ht="20.100000000000001" customHeight="1" x14ac:dyDescent="0.15">
      <c r="B379" s="5"/>
      <c r="C379" s="10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6"/>
        <v>100</v>
      </c>
    </row>
    <row r="380" spans="2:11" ht="20.100000000000001" customHeight="1" x14ac:dyDescent="0.15">
      <c r="B380" s="5"/>
      <c r="C380" s="10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6"/>
        <v>100</v>
      </c>
    </row>
    <row r="381" spans="2:11" ht="20.100000000000001" customHeight="1" x14ac:dyDescent="0.15">
      <c r="B381" s="5"/>
      <c r="C381" s="10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6"/>
        <v>100</v>
      </c>
    </row>
    <row r="382" spans="2:11" ht="20.100000000000001" customHeight="1" x14ac:dyDescent="0.15">
      <c r="B382" s="5"/>
      <c r="C382" s="10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6"/>
        <v>100</v>
      </c>
    </row>
    <row r="383" spans="2:11" ht="20.100000000000001" customHeight="1" x14ac:dyDescent="0.15">
      <c r="B383" s="5"/>
      <c r="C383" s="10"/>
      <c r="D383" s="10"/>
      <c r="E383" s="10"/>
      <c r="F383" s="10"/>
      <c r="G383" s="10"/>
      <c r="H383" s="8"/>
      <c r="I383" s="8"/>
      <c r="J383" s="8" t="str">
        <f t="shared" ref="J383:J446" si="17">IF((K382+H383-I383)&gt;0,"借","贷")</f>
        <v>借</v>
      </c>
      <c r="K383" s="9">
        <f t="shared" si="16"/>
        <v>100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7"/>
        <v>借</v>
      </c>
      <c r="K384" s="9">
        <f t="shared" si="16"/>
        <v>100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7"/>
        <v>借</v>
      </c>
      <c r="K385" s="9">
        <f t="shared" si="16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7"/>
        <v>借</v>
      </c>
      <c r="K386" s="9">
        <f t="shared" si="16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7"/>
        <v>借</v>
      </c>
      <c r="K387" s="9">
        <f t="shared" si="16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7"/>
        <v>借</v>
      </c>
      <c r="K388" s="9">
        <f t="shared" si="16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7"/>
        <v>借</v>
      </c>
      <c r="K389" s="9">
        <f t="shared" si="16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7"/>
        <v>借</v>
      </c>
      <c r="K390" s="9">
        <f t="shared" si="16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7"/>
        <v>借</v>
      </c>
      <c r="K391" s="9">
        <f t="shared" si="16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ref="K407:K470" si="18">K406+H407-I407</f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8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8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8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8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8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8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8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8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8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8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8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8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8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8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8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8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8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8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8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8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8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8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si="18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8"/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8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8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8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8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8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8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8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8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8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8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8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8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8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8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8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ref="J447:J490" si="19">IF((K446+H447-I447)&gt;0,"借","贷")</f>
        <v>借</v>
      </c>
      <c r="K447" s="9">
        <f t="shared" si="18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9"/>
        <v>借</v>
      </c>
      <c r="K448" s="9">
        <f t="shared" si="18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9"/>
        <v>借</v>
      </c>
      <c r="K449" s="9">
        <f t="shared" si="18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9"/>
        <v>借</v>
      </c>
      <c r="K450" s="9">
        <f t="shared" si="18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9"/>
        <v>借</v>
      </c>
      <c r="K451" s="9">
        <f t="shared" si="18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9"/>
        <v>借</v>
      </c>
      <c r="K452" s="9">
        <f t="shared" si="18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9"/>
        <v>借</v>
      </c>
      <c r="K453" s="9">
        <f t="shared" si="18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9"/>
        <v>借</v>
      </c>
      <c r="K454" s="9">
        <f t="shared" si="18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9"/>
        <v>借</v>
      </c>
      <c r="K455" s="9">
        <f t="shared" si="18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ref="K471:K490" si="20">K470+H471-I471</f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20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20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20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20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20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20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20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20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20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20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20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20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20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20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20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20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20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20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20"/>
        <v>100</v>
      </c>
    </row>
  </sheetData>
  <autoFilter ref="A4:L490" xr:uid="{00000000-0009-0000-0000-000018000000}"/>
  <mergeCells count="2">
    <mergeCell ref="A1:K1"/>
    <mergeCell ref="A2:K2"/>
  </mergeCells>
  <phoneticPr fontId="21" type="noConversion"/>
  <dataValidations count="1">
    <dataValidation type="list" allowBlank="1" showInputMessage="1" showErrorMessage="1" sqref="G5:G1048576" xr:uid="{00000000-0002-0000-18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96"/>
  <sheetViews>
    <sheetView topLeftCell="G1" workbookViewId="0">
      <selection activeCell="L8" sqref="L8:L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84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SUM(H5:H189999)</f>
        <v>0</v>
      </c>
      <c r="I3" s="4">
        <f>SUM(I5:I189999)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10" t="s">
        <v>75</v>
      </c>
      <c r="E5" s="10"/>
      <c r="F5" s="10"/>
      <c r="G5" s="10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46" si="0">IF((K5+H6-I6)&gt;0,"借","贷")</f>
        <v>借</v>
      </c>
      <c r="K6" s="9">
        <f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ref="K7:K68" si="1">K6+H7-I7</f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10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ref="J47:J53" si="2">IF((K46+H47-I48)&gt;0,"借","贷")</f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1"/>
        <v>100</v>
      </c>
    </row>
    <row r="53" spans="1:11" ht="20.100000000000001" customHeight="1" x14ac:dyDescent="0.15">
      <c r="A53" s="10"/>
      <c r="B53" s="24"/>
      <c r="C53" s="12"/>
      <c r="D53" s="12"/>
      <c r="E53" s="12"/>
      <c r="F53" s="12"/>
      <c r="G53" s="12"/>
      <c r="H53" s="25"/>
      <c r="I53" s="25"/>
      <c r="J53" s="25" t="str">
        <f t="shared" si="2"/>
        <v>借</v>
      </c>
      <c r="K53" s="9">
        <f t="shared" si="1"/>
        <v>100</v>
      </c>
    </row>
    <row r="54" spans="1:11" ht="20.100000000000001" customHeight="1" x14ac:dyDescent="0.15">
      <c r="A54" s="10"/>
      <c r="B54" s="24"/>
      <c r="C54" s="12"/>
      <c r="D54" s="12"/>
      <c r="E54" s="12"/>
      <c r="F54" s="12"/>
      <c r="G54" s="12"/>
      <c r="H54" s="25"/>
      <c r="I54" s="25"/>
      <c r="J54" s="25" t="str">
        <f t="shared" ref="J54:J117" si="3">IF((K53+H54-I54)&gt;0,"借","贷")</f>
        <v>借</v>
      </c>
      <c r="K54" s="9">
        <f t="shared" si="1"/>
        <v>100</v>
      </c>
    </row>
    <row r="55" spans="1:11" ht="20.100000000000001" customHeight="1" x14ac:dyDescent="0.15">
      <c r="A55" s="10"/>
      <c r="B55" s="24"/>
      <c r="C55" s="12"/>
      <c r="D55" s="12"/>
      <c r="E55" s="12"/>
      <c r="F55" s="12"/>
      <c r="G55" s="12"/>
      <c r="H55" s="25"/>
      <c r="I55" s="25"/>
      <c r="J55" s="25" t="str">
        <f t="shared" si="3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26"/>
      <c r="E56" s="12"/>
      <c r="F56" s="12"/>
      <c r="G56" s="12"/>
      <c r="H56" s="25"/>
      <c r="I56" s="25"/>
      <c r="J56" s="25" t="str">
        <f t="shared" si="3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2"/>
      <c r="E57" s="12"/>
      <c r="F57" s="12"/>
      <c r="G57" s="12"/>
      <c r="H57" s="25"/>
      <c r="I57" s="25"/>
      <c r="J57" s="25" t="str">
        <f t="shared" si="3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2"/>
      <c r="E58" s="12"/>
      <c r="F58" s="12"/>
      <c r="G58" s="12"/>
      <c r="H58" s="25"/>
      <c r="I58" s="25"/>
      <c r="J58" s="25" t="str">
        <f t="shared" si="3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2"/>
      <c r="H59" s="8"/>
      <c r="I59" s="8"/>
      <c r="J59" s="8" t="str">
        <f t="shared" si="3"/>
        <v>借</v>
      </c>
      <c r="K59" s="9">
        <f t="shared" si="1"/>
        <v>100</v>
      </c>
    </row>
    <row r="60" spans="1:11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3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3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3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3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3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3"/>
        <v>借</v>
      </c>
      <c r="K65" s="9">
        <f t="shared" si="1"/>
        <v>100</v>
      </c>
    </row>
    <row r="66" spans="1:11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8"/>
      <c r="J66" s="8" t="str">
        <f t="shared" si="3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4"/>
      <c r="G67" s="14"/>
      <c r="H67" s="8"/>
      <c r="I67" s="8"/>
      <c r="J67" s="8" t="str">
        <f t="shared" si="3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3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3"/>
        <v>借</v>
      </c>
      <c r="K69" s="9">
        <f t="shared" ref="K69:K132" si="4">K68+H69-I69</f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si="3"/>
        <v>借</v>
      </c>
      <c r="K70" s="9">
        <f t="shared" si="4"/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3"/>
        <v>借</v>
      </c>
      <c r="K71" s="9">
        <f t="shared" si="4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3"/>
        <v>借</v>
      </c>
      <c r="K72" s="9">
        <f t="shared" si="4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8"/>
      <c r="J73" s="8" t="str">
        <f t="shared" si="3"/>
        <v>借</v>
      </c>
      <c r="K73" s="9">
        <f t="shared" si="4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3"/>
        <v>借</v>
      </c>
      <c r="K74" s="9">
        <f t="shared" si="4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4"/>
      <c r="G75" s="14"/>
      <c r="H75" s="8"/>
      <c r="I75" s="8"/>
      <c r="J75" s="8" t="str">
        <f t="shared" si="3"/>
        <v>借</v>
      </c>
      <c r="K75" s="9">
        <f t="shared" si="4"/>
        <v>100</v>
      </c>
    </row>
    <row r="76" spans="1:11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3"/>
        <v>借</v>
      </c>
      <c r="K76" s="9">
        <f t="shared" si="4"/>
        <v>100</v>
      </c>
    </row>
    <row r="77" spans="1:11" ht="20.100000000000001" customHeight="1" x14ac:dyDescent="0.15">
      <c r="A77" s="10"/>
      <c r="B77" s="5"/>
      <c r="C77" s="5"/>
      <c r="D77" s="10"/>
      <c r="E77" s="10"/>
      <c r="F77" s="14"/>
      <c r="G77" s="14"/>
      <c r="H77" s="8"/>
      <c r="I77" s="8"/>
      <c r="J77" s="8" t="str">
        <f t="shared" si="3"/>
        <v>借</v>
      </c>
      <c r="K77" s="9">
        <f t="shared" si="4"/>
        <v>100</v>
      </c>
    </row>
    <row r="78" spans="1:11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15"/>
      <c r="J78" s="8" t="str">
        <f t="shared" si="3"/>
        <v>借</v>
      </c>
      <c r="K78" s="9">
        <f t="shared" si="4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3"/>
        <v>借</v>
      </c>
      <c r="K79" s="9">
        <f t="shared" si="4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3"/>
        <v>借</v>
      </c>
      <c r="K80" s="9">
        <f t="shared" si="4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3"/>
        <v>借</v>
      </c>
      <c r="K81" s="9">
        <f t="shared" si="4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3"/>
        <v>借</v>
      </c>
      <c r="K82" s="9">
        <f t="shared" si="4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3"/>
        <v>借</v>
      </c>
      <c r="K83" s="9">
        <f t="shared" si="4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3"/>
        <v>借</v>
      </c>
      <c r="K84" s="9">
        <f t="shared" si="4"/>
        <v>100</v>
      </c>
    </row>
    <row r="85" spans="1:11" ht="20.100000000000001" customHeight="1" x14ac:dyDescent="0.15">
      <c r="A85" s="10"/>
      <c r="B85" s="5"/>
      <c r="C85" s="5"/>
      <c r="D85" s="10"/>
      <c r="E85" s="10"/>
      <c r="F85" s="10"/>
      <c r="G85" s="10"/>
      <c r="H85" s="8"/>
      <c r="I85" s="8"/>
      <c r="J85" s="8" t="str">
        <f t="shared" si="3"/>
        <v>借</v>
      </c>
      <c r="K85" s="9">
        <f t="shared" si="4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3"/>
        <v>借</v>
      </c>
      <c r="K86" s="9">
        <f t="shared" si="4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3"/>
        <v>借</v>
      </c>
      <c r="K87" s="9">
        <f t="shared" si="4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3"/>
        <v>借</v>
      </c>
      <c r="K88" s="9">
        <f t="shared" si="4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3"/>
        <v>借</v>
      </c>
      <c r="K89" s="9">
        <f t="shared" si="4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3"/>
        <v>借</v>
      </c>
      <c r="K90" s="9">
        <f t="shared" si="4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3"/>
        <v>借</v>
      </c>
      <c r="K91" s="9">
        <f t="shared" si="4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3"/>
        <v>借</v>
      </c>
      <c r="K92" s="9">
        <f t="shared" si="4"/>
        <v>100</v>
      </c>
    </row>
    <row r="93" spans="1:11" ht="20.100000000000001" customHeight="1" x14ac:dyDescent="0.15">
      <c r="A93" s="10"/>
      <c r="B93" s="5"/>
      <c r="C93" s="5"/>
      <c r="D93" s="10"/>
      <c r="E93" s="10"/>
      <c r="F93" s="10"/>
      <c r="G93" s="10"/>
      <c r="H93" s="8"/>
      <c r="I93" s="8"/>
      <c r="J93" s="8" t="str">
        <f t="shared" si="3"/>
        <v>借</v>
      </c>
      <c r="K93" s="9">
        <f t="shared" si="4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3"/>
        <v>借</v>
      </c>
      <c r="K94" s="9">
        <f t="shared" si="4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3"/>
        <v>借</v>
      </c>
      <c r="K95" s="9">
        <f t="shared" si="4"/>
        <v>100</v>
      </c>
    </row>
    <row r="96" spans="1:11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3"/>
        <v>借</v>
      </c>
      <c r="K96" s="9">
        <f t="shared" si="4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3"/>
        <v>借</v>
      </c>
      <c r="K97" s="9">
        <f t="shared" si="4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3"/>
        <v>借</v>
      </c>
      <c r="K98" s="9">
        <f t="shared" si="4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3"/>
        <v>借</v>
      </c>
      <c r="K99" s="9">
        <f t="shared" si="4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3"/>
        <v>借</v>
      </c>
      <c r="K100" s="9">
        <f t="shared" si="4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3"/>
        <v>借</v>
      </c>
      <c r="K101" s="9">
        <f t="shared" si="4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3"/>
        <v>借</v>
      </c>
      <c r="K102" s="9">
        <f t="shared" si="4"/>
        <v>100</v>
      </c>
    </row>
    <row r="103" spans="1:11" ht="20.100000000000001" customHeight="1" x14ac:dyDescent="0.15">
      <c r="A103" s="10"/>
      <c r="B103" s="5"/>
      <c r="C103" s="5"/>
      <c r="D103" s="10"/>
      <c r="E103" s="10"/>
      <c r="F103" s="10"/>
      <c r="G103" s="10"/>
      <c r="H103" s="8"/>
      <c r="I103" s="8"/>
      <c r="J103" s="8" t="str">
        <f t="shared" si="3"/>
        <v>借</v>
      </c>
      <c r="K103" s="9">
        <f t="shared" si="4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3"/>
        <v>借</v>
      </c>
      <c r="K104" s="9">
        <f t="shared" si="4"/>
        <v>100</v>
      </c>
    </row>
    <row r="105" spans="1:11" ht="20.100000000000001" customHeight="1" x14ac:dyDescent="0.15">
      <c r="A105" s="5"/>
      <c r="B105" s="5"/>
      <c r="C105" s="5"/>
      <c r="D105" s="10"/>
      <c r="E105" s="16"/>
      <c r="F105" s="10"/>
      <c r="G105" s="10"/>
      <c r="H105" s="8"/>
      <c r="I105" s="8"/>
      <c r="J105" s="8" t="str">
        <f t="shared" si="3"/>
        <v>借</v>
      </c>
      <c r="K105" s="9">
        <f t="shared" si="4"/>
        <v>100</v>
      </c>
    </row>
    <row r="106" spans="1:11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3"/>
        <v>借</v>
      </c>
      <c r="K106" s="9">
        <f t="shared" si="4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3"/>
        <v>借</v>
      </c>
      <c r="K107" s="9">
        <f t="shared" si="4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3"/>
        <v>借</v>
      </c>
      <c r="K108" s="9">
        <f t="shared" si="4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3"/>
        <v>借</v>
      </c>
      <c r="K109" s="9">
        <f t="shared" si="4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3"/>
        <v>借</v>
      </c>
      <c r="K110" s="9">
        <f t="shared" si="4"/>
        <v>100</v>
      </c>
    </row>
    <row r="111" spans="1:11" ht="20.100000000000001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3"/>
        <v>借</v>
      </c>
      <c r="K111" s="9">
        <f t="shared" si="4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3"/>
        <v>借</v>
      </c>
      <c r="K112" s="9">
        <f t="shared" si="4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3"/>
        <v>借</v>
      </c>
      <c r="K113" s="9">
        <f t="shared" si="4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3"/>
        <v>借</v>
      </c>
      <c r="K114" s="9">
        <f t="shared" si="4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3"/>
        <v>借</v>
      </c>
      <c r="K115" s="9">
        <f t="shared" si="4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3"/>
        <v>借</v>
      </c>
      <c r="K116" s="9">
        <f t="shared" si="4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3"/>
        <v>借</v>
      </c>
      <c r="K117" s="9">
        <f t="shared" si="4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ref="J118:J181" si="5">IF((K117+H118-I118)&gt;0,"借","贷")</f>
        <v>借</v>
      </c>
      <c r="K118" s="9">
        <f t="shared" si="4"/>
        <v>100</v>
      </c>
    </row>
    <row r="119" spans="1:11" ht="20.100000000000001" customHeight="1" x14ac:dyDescent="0.15">
      <c r="A119" s="10"/>
      <c r="B119" s="5"/>
      <c r="C119" s="5"/>
      <c r="D119" s="10"/>
      <c r="E119" s="10"/>
      <c r="F119" s="10"/>
      <c r="G119" s="10"/>
      <c r="H119" s="8"/>
      <c r="I119" s="8"/>
      <c r="J119" s="8" t="str">
        <f t="shared" si="5"/>
        <v>借</v>
      </c>
      <c r="K119" s="9">
        <f t="shared" si="4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5"/>
        <v>借</v>
      </c>
      <c r="K120" s="9">
        <f t="shared" si="4"/>
        <v>100</v>
      </c>
    </row>
    <row r="121" spans="1:11" ht="20.100000000000001" customHeight="1" x14ac:dyDescent="0.15">
      <c r="A121" s="10"/>
      <c r="B121" s="5"/>
      <c r="C121" s="10"/>
      <c r="D121" s="10"/>
      <c r="E121" s="10"/>
      <c r="F121" s="10"/>
      <c r="G121" s="10"/>
      <c r="H121" s="8"/>
      <c r="I121" s="8"/>
      <c r="J121" s="8" t="str">
        <f t="shared" si="5"/>
        <v>借</v>
      </c>
      <c r="K121" s="9">
        <f t="shared" si="4"/>
        <v>100</v>
      </c>
    </row>
    <row r="122" spans="1:11" ht="20.100000000000001" customHeight="1" x14ac:dyDescent="0.15">
      <c r="A122" s="10"/>
      <c r="B122" s="5"/>
      <c r="C122" s="10"/>
      <c r="D122" s="10"/>
      <c r="E122" s="17"/>
      <c r="F122" s="10"/>
      <c r="G122" s="10"/>
      <c r="H122" s="8"/>
      <c r="I122" s="8"/>
      <c r="J122" s="8" t="str">
        <f t="shared" si="5"/>
        <v>借</v>
      </c>
      <c r="K122" s="9">
        <f t="shared" si="4"/>
        <v>100</v>
      </c>
    </row>
    <row r="123" spans="1:11" ht="20.100000000000001" customHeight="1" x14ac:dyDescent="0.15">
      <c r="A123" s="5"/>
      <c r="B123" s="5"/>
      <c r="C123" s="10"/>
      <c r="D123" s="10"/>
      <c r="E123" s="10"/>
      <c r="F123" s="10"/>
      <c r="G123" s="10"/>
      <c r="H123" s="8"/>
      <c r="I123" s="8"/>
      <c r="J123" s="8" t="str">
        <f t="shared" si="5"/>
        <v>借</v>
      </c>
      <c r="K123" s="9">
        <f t="shared" si="4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5"/>
        <v>借</v>
      </c>
      <c r="K124" s="9">
        <f t="shared" si="4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5"/>
        <v>借</v>
      </c>
      <c r="K125" s="9">
        <f t="shared" si="4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5"/>
        <v>借</v>
      </c>
      <c r="K126" s="9">
        <f t="shared" si="4"/>
        <v>100</v>
      </c>
    </row>
    <row r="127" spans="1:11" ht="20.100000000000001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5"/>
        <v>借</v>
      </c>
      <c r="K127" s="9">
        <f t="shared" si="4"/>
        <v>100</v>
      </c>
    </row>
    <row r="128" spans="1:11" ht="20.100000000000001" customHeight="1" x14ac:dyDescent="0.15">
      <c r="A128" s="5"/>
      <c r="B128" s="5"/>
      <c r="C128" s="5"/>
      <c r="D128" s="10"/>
      <c r="E128" s="16"/>
      <c r="F128" s="10"/>
      <c r="G128" s="10"/>
      <c r="H128" s="8"/>
      <c r="I128" s="8"/>
      <c r="J128" s="8" t="str">
        <f t="shared" si="5"/>
        <v>借</v>
      </c>
      <c r="K128" s="9">
        <f t="shared" si="4"/>
        <v>100</v>
      </c>
    </row>
    <row r="129" spans="1:11" ht="20.100000000000001" customHeight="1" x14ac:dyDescent="0.15">
      <c r="A129" s="10"/>
      <c r="B129" s="5"/>
      <c r="C129" s="5"/>
      <c r="D129" s="10"/>
      <c r="E129" s="16"/>
      <c r="F129" s="10"/>
      <c r="G129" s="10"/>
      <c r="H129" s="8"/>
      <c r="I129" s="8"/>
      <c r="J129" s="8" t="str">
        <f t="shared" si="5"/>
        <v>借</v>
      </c>
      <c r="K129" s="9">
        <f t="shared" si="4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5"/>
        <v>借</v>
      </c>
      <c r="K130" s="9">
        <f t="shared" si="4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5"/>
        <v>借</v>
      </c>
      <c r="K131" s="9">
        <f t="shared" si="4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5"/>
        <v>借</v>
      </c>
      <c r="K132" s="9">
        <f t="shared" si="4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5"/>
        <v>借</v>
      </c>
      <c r="K133" s="9">
        <f t="shared" ref="K133:K171" si="6">K132+H133-I133</f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5"/>
        <v>借</v>
      </c>
      <c r="K134" s="9">
        <f t="shared" si="6"/>
        <v>100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5"/>
        <v>借</v>
      </c>
      <c r="K135" s="9">
        <f t="shared" si="6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5"/>
        <v>借</v>
      </c>
      <c r="K136" s="9">
        <f t="shared" si="6"/>
        <v>100</v>
      </c>
    </row>
    <row r="137" spans="1:11" ht="20.100000000000001" customHeight="1" x14ac:dyDescent="0.15">
      <c r="A137" s="10"/>
      <c r="B137" s="5"/>
      <c r="C137" s="5"/>
      <c r="D137" s="10"/>
      <c r="E137" s="10"/>
      <c r="F137" s="10"/>
      <c r="G137" s="10"/>
      <c r="H137" s="8"/>
      <c r="I137" s="8"/>
      <c r="J137" s="8" t="str">
        <f t="shared" si="5"/>
        <v>借</v>
      </c>
      <c r="K137" s="9">
        <f t="shared" si="6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5"/>
        <v>借</v>
      </c>
      <c r="K138" s="9">
        <f t="shared" si="6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5"/>
        <v>借</v>
      </c>
      <c r="K139" s="9">
        <f t="shared" si="6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5"/>
        <v>借</v>
      </c>
      <c r="K140" s="9">
        <f t="shared" si="6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5"/>
        <v>借</v>
      </c>
      <c r="K141" s="9">
        <f t="shared" si="6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5"/>
        <v>借</v>
      </c>
      <c r="K142" s="9">
        <f t="shared" si="6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5"/>
        <v>借</v>
      </c>
      <c r="K143" s="9">
        <f t="shared" si="6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5"/>
        <v>借</v>
      </c>
      <c r="K144" s="9">
        <f t="shared" si="6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5"/>
        <v>借</v>
      </c>
      <c r="K145" s="9">
        <f t="shared" si="6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5"/>
        <v>借</v>
      </c>
      <c r="K146" s="9">
        <f t="shared" si="6"/>
        <v>100</v>
      </c>
    </row>
    <row r="147" spans="1:11" ht="20.100000000000001" customHeight="1" x14ac:dyDescent="0.15">
      <c r="A147" s="10"/>
      <c r="B147" s="5"/>
      <c r="C147" s="5"/>
      <c r="D147" s="10"/>
      <c r="E147" s="10"/>
      <c r="F147" s="10"/>
      <c r="G147" s="10"/>
      <c r="H147" s="8"/>
      <c r="I147" s="8"/>
      <c r="J147" s="8" t="str">
        <f t="shared" si="5"/>
        <v>借</v>
      </c>
      <c r="K147" s="9">
        <f t="shared" si="6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5"/>
        <v>借</v>
      </c>
      <c r="K148" s="9">
        <f t="shared" si="6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5"/>
        <v>借</v>
      </c>
      <c r="K149" s="9">
        <f t="shared" si="6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5"/>
        <v>借</v>
      </c>
      <c r="K150" s="9">
        <f t="shared" si="6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5"/>
        <v>借</v>
      </c>
      <c r="K151" s="9">
        <f t="shared" si="6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5"/>
        <v>借</v>
      </c>
      <c r="K152" s="9">
        <f t="shared" si="6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5"/>
        <v>借</v>
      </c>
      <c r="K153" s="9">
        <f t="shared" si="6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5"/>
        <v>借</v>
      </c>
      <c r="K154" s="9">
        <f t="shared" si="6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5"/>
        <v>借</v>
      </c>
      <c r="K155" s="9">
        <f t="shared" si="6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5"/>
        <v>借</v>
      </c>
      <c r="K156" s="9">
        <f t="shared" si="6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5"/>
        <v>借</v>
      </c>
      <c r="K157" s="9">
        <f t="shared" si="6"/>
        <v>100</v>
      </c>
    </row>
    <row r="158" spans="1:11" ht="20.100000000000001" customHeight="1" x14ac:dyDescent="0.15">
      <c r="A158" s="10"/>
      <c r="B158" s="5"/>
      <c r="C158" s="5"/>
      <c r="D158" s="10"/>
      <c r="E158" s="10"/>
      <c r="F158" s="10"/>
      <c r="G158" s="10"/>
      <c r="H158" s="8"/>
      <c r="I158" s="8"/>
      <c r="J158" s="8" t="str">
        <f t="shared" si="5"/>
        <v>借</v>
      </c>
      <c r="K158" s="9">
        <f t="shared" si="6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5"/>
        <v>借</v>
      </c>
      <c r="K159" s="9">
        <f t="shared" si="6"/>
        <v>100</v>
      </c>
    </row>
    <row r="160" spans="1:11" ht="20.100000000000001" customHeight="1" x14ac:dyDescent="0.15">
      <c r="A160" s="10"/>
      <c r="B160" s="5"/>
      <c r="C160" s="5"/>
      <c r="D160" s="10"/>
      <c r="E160" s="18"/>
      <c r="F160" s="10"/>
      <c r="G160" s="10"/>
      <c r="H160" s="8"/>
      <c r="I160" s="8"/>
      <c r="J160" s="8" t="str">
        <f t="shared" si="5"/>
        <v>借</v>
      </c>
      <c r="K160" s="9">
        <f t="shared" si="6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5"/>
        <v>借</v>
      </c>
      <c r="K161" s="9">
        <f t="shared" si="6"/>
        <v>100</v>
      </c>
    </row>
    <row r="162" spans="1:11" ht="20.100000000000001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5"/>
        <v>借</v>
      </c>
      <c r="K162" s="9">
        <f t="shared" si="6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5"/>
        <v>借</v>
      </c>
      <c r="K163" s="9">
        <f t="shared" si="6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5"/>
        <v>借</v>
      </c>
      <c r="K164" s="9">
        <f t="shared" si="6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5"/>
        <v>借</v>
      </c>
      <c r="K165" s="9">
        <f t="shared" si="6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5"/>
        <v>借</v>
      </c>
      <c r="K166" s="9">
        <f t="shared" si="6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5"/>
        <v>借</v>
      </c>
      <c r="K167" s="9">
        <f t="shared" si="6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5"/>
        <v>借</v>
      </c>
      <c r="K168" s="9">
        <f t="shared" si="6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5"/>
        <v>借</v>
      </c>
      <c r="K169" s="9">
        <f t="shared" si="6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5"/>
        <v>借</v>
      </c>
      <c r="K170" s="9">
        <f t="shared" si="6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5"/>
        <v>借</v>
      </c>
      <c r="K171" s="9">
        <f t="shared" si="6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5"/>
        <v>借</v>
      </c>
      <c r="K172" s="9">
        <f t="shared" ref="K172:K235" si="7">_xlfn.IFS(J171="借",K171+H172-I172,J171="贷",H172-I172-K171)</f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5"/>
        <v>借</v>
      </c>
      <c r="K173" s="9">
        <f t="shared" si="7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5"/>
        <v>借</v>
      </c>
      <c r="K174" s="9">
        <f t="shared" si="7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5"/>
        <v>借</v>
      </c>
      <c r="K175" s="9">
        <f t="shared" si="7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5"/>
        <v>借</v>
      </c>
      <c r="K176" s="9">
        <f t="shared" si="7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5"/>
        <v>借</v>
      </c>
      <c r="K177" s="9">
        <f t="shared" si="7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5"/>
        <v>借</v>
      </c>
      <c r="K178" s="9">
        <f t="shared" si="7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5"/>
        <v>借</v>
      </c>
      <c r="K179" s="9">
        <f t="shared" si="7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5"/>
        <v>借</v>
      </c>
      <c r="K180" s="9">
        <f t="shared" si="7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5"/>
        <v>借</v>
      </c>
      <c r="K181" s="9">
        <f t="shared" si="7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ref="J182:J245" si="8">IF((K181+H182-I182)&gt;0,"借","贷")</f>
        <v>借</v>
      </c>
      <c r="K182" s="9">
        <f t="shared" si="7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7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7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7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7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7"/>
        <v>100</v>
      </c>
    </row>
    <row r="188" spans="1:11" ht="20.100000000000001" customHeight="1" x14ac:dyDescent="0.15">
      <c r="A188" s="10"/>
      <c r="B188" s="5"/>
      <c r="C188" s="10"/>
      <c r="D188" s="10"/>
      <c r="E188" s="19"/>
      <c r="F188" s="10"/>
      <c r="G188" s="10"/>
      <c r="H188" s="8"/>
      <c r="I188" s="8"/>
      <c r="J188" s="8" t="str">
        <f t="shared" si="8"/>
        <v>借</v>
      </c>
      <c r="K188" s="9">
        <f t="shared" si="7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7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8"/>
        <v>借</v>
      </c>
      <c r="K190" s="9">
        <f t="shared" si="7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7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7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7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7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7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7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7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7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8"/>
        <v>借</v>
      </c>
      <c r="K199" s="9">
        <f t="shared" si="7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8"/>
        <v>借</v>
      </c>
      <c r="K200" s="9">
        <f t="shared" si="7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8"/>
        <v>借</v>
      </c>
      <c r="K201" s="9">
        <f t="shared" si="7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7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7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7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7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7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7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7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7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7"/>
        <v>100</v>
      </c>
    </row>
    <row r="211" spans="1:11" ht="20.100000000000001" customHeight="1" x14ac:dyDescent="0.15">
      <c r="A211" s="10"/>
      <c r="B211" s="5"/>
      <c r="C211" s="10"/>
      <c r="D211" s="10"/>
      <c r="E211" s="20"/>
      <c r="F211" s="10"/>
      <c r="G211" s="10"/>
      <c r="H211" s="8"/>
      <c r="I211" s="8"/>
      <c r="J211" s="8" t="str">
        <f t="shared" si="8"/>
        <v>借</v>
      </c>
      <c r="K211" s="9">
        <f t="shared" si="7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8"/>
        <v>借</v>
      </c>
      <c r="K212" s="9">
        <f t="shared" si="7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8"/>
        <v>借</v>
      </c>
      <c r="K213" s="9">
        <f t="shared" si="7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8"/>
        <v>借</v>
      </c>
      <c r="K214" s="9">
        <f t="shared" si="7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8"/>
        <v>借</v>
      </c>
      <c r="K215" s="9">
        <f t="shared" si="7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7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7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7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7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7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7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7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7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7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7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7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7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7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21">
        <f t="shared" si="7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7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7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7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21">
        <f t="shared" si="7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7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7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ref="K236:K299" si="9">_xlfn.IFS(J235="借",K235+H236-I236,J235="贷",H236-I236-K235)</f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9">
        <f t="shared" si="9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9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9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si="9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23" t="str">
        <f t="shared" si="8"/>
        <v>借</v>
      </c>
      <c r="K241" s="9">
        <f t="shared" si="9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8"/>
        <v>借</v>
      </c>
      <c r="K242" s="9">
        <f t="shared" si="9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8"/>
        <v>借</v>
      </c>
      <c r="K243" s="9">
        <f t="shared" si="9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8"/>
        <v>借</v>
      </c>
      <c r="K244" s="9">
        <f t="shared" si="9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ref="J246:J309" si="10">IF((K245+H246-I246)&gt;0,"借","贷")</f>
        <v>借</v>
      </c>
      <c r="K246" s="9">
        <f t="shared" si="9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0"/>
        <v>借</v>
      </c>
      <c r="K247" s="9">
        <f t="shared" si="9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0"/>
        <v>借</v>
      </c>
      <c r="K248" s="9">
        <f t="shared" si="9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0"/>
        <v>借</v>
      </c>
      <c r="K249" s="9">
        <f t="shared" si="9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0"/>
        <v>借</v>
      </c>
      <c r="K250" s="9">
        <f t="shared" si="9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0"/>
        <v>借</v>
      </c>
      <c r="K251" s="9">
        <f t="shared" si="9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0"/>
        <v>借</v>
      </c>
      <c r="K252" s="9">
        <f t="shared" si="9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0"/>
        <v>借</v>
      </c>
      <c r="K253" s="9">
        <f t="shared" si="9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0"/>
        <v>借</v>
      </c>
      <c r="K254" s="9">
        <f t="shared" si="9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0"/>
        <v>借</v>
      </c>
      <c r="K255" s="9">
        <f t="shared" si="9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0"/>
        <v>借</v>
      </c>
      <c r="K256" s="9">
        <f t="shared" si="9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0"/>
        <v>借</v>
      </c>
      <c r="K257" s="9">
        <f t="shared" si="9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0"/>
        <v>借</v>
      </c>
      <c r="K258" s="9">
        <f t="shared" si="9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0"/>
        <v>借</v>
      </c>
      <c r="K259" s="9">
        <f t="shared" si="9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0"/>
        <v>借</v>
      </c>
      <c r="K260" s="9">
        <f t="shared" si="9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0"/>
        <v>借</v>
      </c>
      <c r="K261" s="9">
        <f t="shared" si="9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0"/>
        <v>借</v>
      </c>
      <c r="K262" s="9">
        <f t="shared" si="9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0"/>
        <v>借</v>
      </c>
      <c r="K263" s="9">
        <f t="shared" si="9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0"/>
        <v>借</v>
      </c>
      <c r="K264" s="9">
        <f t="shared" si="9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0"/>
        <v>借</v>
      </c>
      <c r="K265" s="9">
        <f t="shared" si="9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9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9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9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9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9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9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9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9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9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9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9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9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9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9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9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9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9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9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9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9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9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9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9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9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9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9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9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9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9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9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9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9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9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9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ref="K300:K363" si="11">_xlfn.IFS(J299="借",K299+H300-I300,J299="贷",H300-I300-K299)</f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11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11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11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si="11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ref="J310:J373" si="12">IF((K309+H310-I310)&gt;0,"借","贷")</f>
        <v>借</v>
      </c>
      <c r="K310" s="9">
        <f t="shared" si="11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2"/>
        <v>借</v>
      </c>
      <c r="K311" s="9">
        <f t="shared" si="11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2"/>
        <v>借</v>
      </c>
      <c r="K312" s="9">
        <f t="shared" si="11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2"/>
        <v>借</v>
      </c>
      <c r="K313" s="9">
        <f t="shared" si="11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2"/>
        <v>借</v>
      </c>
      <c r="K314" s="9">
        <f t="shared" si="11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2"/>
        <v>借</v>
      </c>
      <c r="K315" s="9">
        <f t="shared" si="11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2"/>
        <v>借</v>
      </c>
      <c r="K316" s="9">
        <f t="shared" si="11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2"/>
        <v>借</v>
      </c>
      <c r="K317" s="9">
        <f t="shared" si="11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2"/>
        <v>借</v>
      </c>
      <c r="K318" s="9">
        <f t="shared" si="11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2"/>
        <v>借</v>
      </c>
      <c r="K319" s="9">
        <f t="shared" si="11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2"/>
        <v>借</v>
      </c>
      <c r="K320" s="9">
        <f t="shared" si="11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2"/>
        <v>借</v>
      </c>
      <c r="K321" s="9">
        <f t="shared" si="11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2"/>
        <v>借</v>
      </c>
      <c r="K322" s="9">
        <f t="shared" si="11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2"/>
        <v>借</v>
      </c>
      <c r="K323" s="9">
        <f t="shared" si="11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2"/>
        <v>借</v>
      </c>
      <c r="K324" s="9">
        <f t="shared" si="11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2"/>
        <v>借</v>
      </c>
      <c r="K325" s="9">
        <f t="shared" si="11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2"/>
        <v>借</v>
      </c>
      <c r="K326" s="9">
        <f t="shared" si="11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2"/>
        <v>借</v>
      </c>
      <c r="K327" s="9">
        <f t="shared" si="11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2"/>
        <v>借</v>
      </c>
      <c r="K328" s="9">
        <f t="shared" si="11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2"/>
        <v>借</v>
      </c>
      <c r="K329" s="9">
        <f t="shared" si="11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1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1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1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1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1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1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1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1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1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1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1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1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1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1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1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1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1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1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1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1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1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1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1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1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1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1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1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1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1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1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1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1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1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1"/>
        <v>100</v>
      </c>
    </row>
    <row r="364" spans="1:11" ht="20.100000000000001" customHeight="1" x14ac:dyDescent="0.15"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ref="K364:K427" si="13">_xlfn.IFS(J363="借",K363+H364-I364,J363="贷",H364-I364-K363)</f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3"/>
        <v>100</v>
      </c>
    </row>
    <row r="366" spans="1:11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3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3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si="13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100</v>
      </c>
    </row>
    <row r="373" spans="2:11" ht="20.100000000000001" customHeight="1" x14ac:dyDescent="0.15">
      <c r="B373" s="5">
        <v>4</v>
      </c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ref="J374:J437" si="14">IF((K373+H374-I374)&gt;0,"借","贷")</f>
        <v>借</v>
      </c>
      <c r="K374" s="9">
        <f t="shared" si="13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4"/>
        <v>借</v>
      </c>
      <c r="K375" s="9">
        <f t="shared" si="13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4"/>
        <v>借</v>
      </c>
      <c r="K376" s="9">
        <f t="shared" si="13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4"/>
        <v>借</v>
      </c>
      <c r="K377" s="9">
        <f t="shared" si="13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4"/>
        <v>借</v>
      </c>
      <c r="K378" s="9">
        <f t="shared" si="13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4"/>
        <v>借</v>
      </c>
      <c r="K379" s="9">
        <f t="shared" si="13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4"/>
        <v>借</v>
      </c>
      <c r="K380" s="9">
        <f t="shared" si="13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4"/>
        <v>借</v>
      </c>
      <c r="K381" s="9">
        <f t="shared" si="13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4"/>
        <v>借</v>
      </c>
      <c r="K382" s="9">
        <f t="shared" si="13"/>
        <v>100</v>
      </c>
    </row>
    <row r="383" spans="2:11" ht="20.100000000000001" customHeight="1" x14ac:dyDescent="0.15">
      <c r="B383" s="5">
        <v>4</v>
      </c>
      <c r="C383" s="10"/>
      <c r="D383" s="10"/>
      <c r="E383" s="10"/>
      <c r="F383" s="10"/>
      <c r="G383" s="10"/>
      <c r="H383" s="8"/>
      <c r="I383" s="8"/>
      <c r="J383" s="8" t="str">
        <f t="shared" si="14"/>
        <v>借</v>
      </c>
      <c r="K383" s="9">
        <f t="shared" si="13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4"/>
        <v>借</v>
      </c>
      <c r="K384" s="9">
        <f t="shared" si="13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4"/>
        <v>借</v>
      </c>
      <c r="K385" s="9">
        <f t="shared" si="13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4"/>
        <v>借</v>
      </c>
      <c r="K386" s="9">
        <f t="shared" si="13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4"/>
        <v>借</v>
      </c>
      <c r="K387" s="9">
        <f t="shared" si="13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4"/>
        <v>借</v>
      </c>
      <c r="K388" s="9">
        <f t="shared" si="13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4"/>
        <v>借</v>
      </c>
      <c r="K389" s="9">
        <f t="shared" si="13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si="14"/>
        <v>借</v>
      </c>
      <c r="K390" s="9">
        <f t="shared" si="13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4"/>
        <v>借</v>
      </c>
      <c r="K391" s="9">
        <f t="shared" si="13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4"/>
        <v>借</v>
      </c>
      <c r="K392" s="9">
        <f t="shared" si="13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4"/>
        <v>借</v>
      </c>
      <c r="K393" s="9">
        <f t="shared" si="13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3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3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3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3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3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3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3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3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3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3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3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3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3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3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3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3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3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3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3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3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3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3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3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3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3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3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3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3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3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3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3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3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3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3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ref="K428:K491" si="15">_xlfn.IFS(J427="借",K427+H428-I428,J427="贷",H428-I428-K427)</f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5"/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5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5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si="15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ref="J438:J496" si="16">IF((K437+H438-I438)&gt;0,"借","贷")</f>
        <v>借</v>
      </c>
      <c r="K438" s="9">
        <f t="shared" si="15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6"/>
        <v>借</v>
      </c>
      <c r="K439" s="9">
        <f t="shared" si="15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6"/>
        <v>借</v>
      </c>
      <c r="K440" s="9">
        <f t="shared" si="15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6"/>
        <v>借</v>
      </c>
      <c r="K441" s="9">
        <f t="shared" si="15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6"/>
        <v>借</v>
      </c>
      <c r="K442" s="9">
        <f t="shared" si="15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6"/>
        <v>借</v>
      </c>
      <c r="K443" s="9">
        <f t="shared" si="15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6"/>
        <v>借</v>
      </c>
      <c r="K444" s="9">
        <f t="shared" si="15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6"/>
        <v>借</v>
      </c>
      <c r="K445" s="9">
        <f t="shared" si="15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6"/>
        <v>借</v>
      </c>
      <c r="K446" s="9">
        <f t="shared" si="15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6"/>
        <v>借</v>
      </c>
      <c r="K447" s="9">
        <f t="shared" si="15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6"/>
        <v>借</v>
      </c>
      <c r="K448" s="9">
        <f t="shared" si="15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6"/>
        <v>借</v>
      </c>
      <c r="K449" s="9">
        <f t="shared" si="15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6"/>
        <v>借</v>
      </c>
      <c r="K450" s="9">
        <f t="shared" si="15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6"/>
        <v>借</v>
      </c>
      <c r="K451" s="9">
        <f t="shared" si="15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6"/>
        <v>借</v>
      </c>
      <c r="K452" s="9">
        <f t="shared" si="15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6"/>
        <v>借</v>
      </c>
      <c r="K453" s="9">
        <f t="shared" si="15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si="16"/>
        <v>借</v>
      </c>
      <c r="K454" s="9">
        <f t="shared" si="15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6"/>
        <v>借</v>
      </c>
      <c r="K455" s="9">
        <f t="shared" si="15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6"/>
        <v>借</v>
      </c>
      <c r="K456" s="9">
        <f t="shared" si="15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6"/>
        <v>借</v>
      </c>
      <c r="K457" s="9">
        <f t="shared" si="15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5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5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5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5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5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5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5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5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5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5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5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5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5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5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5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5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5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5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5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5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5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5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5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5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5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5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5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5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5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5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5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5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5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5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ref="K492:K496" si="17">_xlfn.IFS(J491="借",K491+H492-I492,J491="贷",H492-I492-K491)</f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7"/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7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7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si="17"/>
        <v>100</v>
      </c>
    </row>
  </sheetData>
  <mergeCells count="2">
    <mergeCell ref="A1:K1"/>
    <mergeCell ref="A2:K2"/>
  </mergeCells>
  <phoneticPr fontId="21" type="noConversion"/>
  <dataValidations count="1">
    <dataValidation type="list" allowBlank="1" showInputMessage="1" showErrorMessage="1" sqref="G5:G1048576" xr:uid="{00000000-0002-0000-1900-000000000000}">
      <formula1>#REF!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87"/>
  <sheetViews>
    <sheetView topLeftCell="E1" workbookViewId="0">
      <selection activeCell="N14" sqref="N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85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SUM(H5:H12990)</f>
        <v>0</v>
      </c>
      <c r="I3" s="4">
        <f>SUM(I5:I12990)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">
        <v>39</v>
      </c>
      <c r="K6" s="9">
        <f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">
        <v>39</v>
      </c>
      <c r="K7" s="9">
        <f t="shared" ref="K7:K70" si="0">K6+H7-I7</f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">
        <v>39</v>
      </c>
      <c r="K8" s="9">
        <f t="shared" si="0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">
        <v>39</v>
      </c>
      <c r="K9" s="9">
        <f t="shared" si="0"/>
        <v>100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">
        <v>39</v>
      </c>
      <c r="K10" s="9">
        <f t="shared" si="0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">
        <v>39</v>
      </c>
      <c r="K11" s="9">
        <f t="shared" si="0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">
        <v>39</v>
      </c>
      <c r="K12" s="9">
        <f t="shared" si="0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">
        <v>39</v>
      </c>
      <c r="K13" s="9">
        <f t="shared" si="0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">
        <v>39</v>
      </c>
      <c r="K14" s="9">
        <f t="shared" si="0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">
        <v>39</v>
      </c>
      <c r="K15" s="9">
        <f t="shared" si="0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">
        <v>39</v>
      </c>
      <c r="K16" s="9">
        <f t="shared" si="0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ref="J17:J57" si="1">IF((K16+H17-I17)&gt;0,"借","贷")</f>
        <v>借</v>
      </c>
      <c r="K17" s="9">
        <f t="shared" si="0"/>
        <v>100</v>
      </c>
    </row>
    <row r="18" spans="1:11" ht="20.100000000000001" customHeight="1" x14ac:dyDescent="0.15">
      <c r="A18" s="5"/>
      <c r="B18" s="5"/>
      <c r="C18" s="10"/>
      <c r="D18" s="10"/>
      <c r="E18" s="10"/>
      <c r="F18" s="10"/>
      <c r="G18" s="10"/>
      <c r="H18" s="8"/>
      <c r="I18" s="8"/>
      <c r="J18" s="8" t="str">
        <f t="shared" si="1"/>
        <v>借</v>
      </c>
      <c r="K18" s="9">
        <f t="shared" si="0"/>
        <v>100</v>
      </c>
    </row>
    <row r="19" spans="1:11" ht="20.100000000000001" customHeight="1" x14ac:dyDescent="0.15">
      <c r="A19" s="5"/>
      <c r="B19" s="5"/>
      <c r="C19" s="10"/>
      <c r="D19" s="10"/>
      <c r="E19" s="10"/>
      <c r="F19" s="10"/>
      <c r="G19" s="10"/>
      <c r="H19" s="8"/>
      <c r="I19" s="8"/>
      <c r="J19" s="8" t="str">
        <f t="shared" si="1"/>
        <v>借</v>
      </c>
      <c r="K19" s="9">
        <f t="shared" si="0"/>
        <v>100</v>
      </c>
    </row>
    <row r="20" spans="1:11" ht="20.100000000000001" customHeight="1" x14ac:dyDescent="0.15">
      <c r="A20" s="5"/>
      <c r="B20" s="5"/>
      <c r="C20" s="10"/>
      <c r="D20" s="10"/>
      <c r="E20" s="10"/>
      <c r="F20" s="10"/>
      <c r="G20" s="10"/>
      <c r="H20" s="8"/>
      <c r="I20" s="8"/>
      <c r="J20" s="8" t="str">
        <f t="shared" si="1"/>
        <v>借</v>
      </c>
      <c r="K20" s="9">
        <f t="shared" si="0"/>
        <v>100</v>
      </c>
    </row>
    <row r="21" spans="1:11" ht="20.100000000000001" customHeight="1" x14ac:dyDescent="0.15">
      <c r="A21" s="5"/>
      <c r="B21" s="5"/>
      <c r="C21" s="10"/>
      <c r="D21" s="10"/>
      <c r="E21" s="11"/>
      <c r="F21" s="10"/>
      <c r="G21" s="10"/>
      <c r="H21" s="8"/>
      <c r="I21" s="8"/>
      <c r="J21" s="8" t="str">
        <f t="shared" si="1"/>
        <v>借</v>
      </c>
      <c r="K21" s="9">
        <f t="shared" si="0"/>
        <v>100</v>
      </c>
    </row>
    <row r="22" spans="1:11" ht="20.100000000000001" customHeight="1" x14ac:dyDescent="0.15">
      <c r="A22" s="5"/>
      <c r="B22" s="5"/>
      <c r="C22" s="10"/>
      <c r="D22" s="10"/>
      <c r="E22" s="10"/>
      <c r="F22" s="10"/>
      <c r="G22" s="10"/>
      <c r="H22" s="8"/>
      <c r="I22" s="8"/>
      <c r="J22" s="8" t="str">
        <f t="shared" si="1"/>
        <v>借</v>
      </c>
      <c r="K22" s="9">
        <f t="shared" si="0"/>
        <v>100</v>
      </c>
    </row>
    <row r="23" spans="1:11" ht="20.100000000000001" customHeight="1" x14ac:dyDescent="0.15">
      <c r="A23" s="5"/>
      <c r="B23" s="5"/>
      <c r="C23" s="10"/>
      <c r="D23" s="10"/>
      <c r="E23" s="10"/>
      <c r="F23" s="10"/>
      <c r="G23" s="10"/>
      <c r="H23" s="8"/>
      <c r="I23" s="8"/>
      <c r="J23" s="8" t="str">
        <f t="shared" si="1"/>
        <v>借</v>
      </c>
      <c r="K23" s="9">
        <f t="shared" si="0"/>
        <v>100</v>
      </c>
    </row>
    <row r="24" spans="1:11" ht="20.100000000000001" customHeight="1" x14ac:dyDescent="0.15">
      <c r="A24" s="5"/>
      <c r="B24" s="5"/>
      <c r="C24" s="10"/>
      <c r="D24" s="10"/>
      <c r="E24" s="10"/>
      <c r="F24" s="10"/>
      <c r="G24" s="10"/>
      <c r="H24" s="8"/>
      <c r="I24" s="8"/>
      <c r="J24" s="8" t="str">
        <f t="shared" si="1"/>
        <v>借</v>
      </c>
      <c r="K24" s="9">
        <f t="shared" si="0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1"/>
        <v>借</v>
      </c>
      <c r="K25" s="9">
        <f t="shared" si="0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1"/>
        <v>借</v>
      </c>
      <c r="K26" s="9">
        <f t="shared" si="0"/>
        <v>100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1"/>
        <v>借</v>
      </c>
      <c r="K27" s="9">
        <f t="shared" si="0"/>
        <v>100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1"/>
        <v>借</v>
      </c>
      <c r="K28" s="9">
        <f t="shared" si="0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1"/>
        <v>借</v>
      </c>
      <c r="K29" s="9">
        <f t="shared" si="0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1"/>
        <v>借</v>
      </c>
      <c r="K30" s="9">
        <f t="shared" si="0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1"/>
        <v>借</v>
      </c>
      <c r="K31" s="9">
        <f t="shared" si="0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1"/>
        <v>借</v>
      </c>
      <c r="K32" s="9">
        <f t="shared" si="0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1"/>
        <v>借</v>
      </c>
      <c r="K33" s="9">
        <f t="shared" si="0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1"/>
        <v>借</v>
      </c>
      <c r="K34" s="9">
        <f t="shared" si="0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1"/>
        <v>借</v>
      </c>
      <c r="K35" s="9">
        <f t="shared" si="0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1"/>
        <v>借</v>
      </c>
      <c r="K36" s="9">
        <f t="shared" si="0"/>
        <v>100</v>
      </c>
    </row>
    <row r="37" spans="1:11" ht="20.100000000000001" customHeight="1" x14ac:dyDescent="0.15">
      <c r="A37" s="5"/>
      <c r="B37" s="5"/>
      <c r="C37" s="5"/>
      <c r="D37" s="10"/>
      <c r="E37" s="10"/>
      <c r="F37" s="10"/>
      <c r="G37" s="10"/>
      <c r="H37" s="8"/>
      <c r="I37" s="8"/>
      <c r="J37" s="8" t="str">
        <f t="shared" si="1"/>
        <v>借</v>
      </c>
      <c r="K37" s="9">
        <f t="shared" si="0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1"/>
        <v>借</v>
      </c>
      <c r="K38" s="9">
        <f t="shared" si="0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1"/>
        <v>借</v>
      </c>
      <c r="K39" s="9">
        <f t="shared" si="0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1"/>
        <v>借</v>
      </c>
      <c r="K40" s="9">
        <f t="shared" si="0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1"/>
        <v>借</v>
      </c>
      <c r="K41" s="9">
        <f t="shared" si="0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1"/>
        <v>借</v>
      </c>
      <c r="K42" s="9">
        <f t="shared" si="0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1"/>
        <v>借</v>
      </c>
      <c r="K43" s="9">
        <f t="shared" si="0"/>
        <v>100</v>
      </c>
    </row>
    <row r="44" spans="1:11" ht="20.100000000000001" customHeight="1" x14ac:dyDescent="0.15">
      <c r="A44" s="10"/>
      <c r="B44" s="5"/>
      <c r="C44" s="10"/>
      <c r="D44" s="10"/>
      <c r="E44" s="10"/>
      <c r="F44" s="10"/>
      <c r="G44" s="10"/>
      <c r="H44" s="8"/>
      <c r="I44" s="8"/>
      <c r="J44" s="8" t="str">
        <f t="shared" si="1"/>
        <v>借</v>
      </c>
      <c r="K44" s="9">
        <f t="shared" si="0"/>
        <v>100</v>
      </c>
    </row>
    <row r="45" spans="1:11" ht="20.100000000000001" customHeight="1" x14ac:dyDescent="0.15">
      <c r="A45" s="10"/>
      <c r="B45" s="5"/>
      <c r="C45" s="10"/>
      <c r="D45" s="10"/>
      <c r="E45" s="10"/>
      <c r="F45" s="10"/>
      <c r="G45" s="10"/>
      <c r="H45" s="8"/>
      <c r="I45" s="8"/>
      <c r="J45" s="8" t="str">
        <f t="shared" si="1"/>
        <v>借</v>
      </c>
      <c r="K45" s="9">
        <f t="shared" si="0"/>
        <v>100</v>
      </c>
    </row>
    <row r="46" spans="1:11" ht="20.100000000000001" customHeight="1" x14ac:dyDescent="0.15">
      <c r="A46" s="10"/>
      <c r="B46" s="5"/>
      <c r="C46" s="10"/>
      <c r="D46" s="10"/>
      <c r="E46" s="10"/>
      <c r="F46" s="10"/>
      <c r="G46" s="10"/>
      <c r="H46" s="8"/>
      <c r="I46" s="8"/>
      <c r="J46" s="8" t="str">
        <f t="shared" si="1"/>
        <v>借</v>
      </c>
      <c r="K46" s="9">
        <f t="shared" si="0"/>
        <v>100</v>
      </c>
    </row>
    <row r="47" spans="1:11" ht="20.100000000000001" customHeight="1" x14ac:dyDescent="0.15">
      <c r="A47" s="10"/>
      <c r="B47" s="5"/>
      <c r="C47" s="10"/>
      <c r="D47" s="10"/>
      <c r="E47" s="10"/>
      <c r="F47" s="10"/>
      <c r="G47" s="10"/>
      <c r="H47" s="8"/>
      <c r="I47" s="8"/>
      <c r="J47" s="8" t="str">
        <f t="shared" si="1"/>
        <v>借</v>
      </c>
      <c r="K47" s="9">
        <f t="shared" si="0"/>
        <v>100</v>
      </c>
    </row>
    <row r="48" spans="1:11" ht="20.100000000000001" customHeight="1" x14ac:dyDescent="0.15">
      <c r="A48" s="10"/>
      <c r="B48" s="5"/>
      <c r="C48" s="10"/>
      <c r="D48" s="13"/>
      <c r="E48" s="10"/>
      <c r="F48" s="10"/>
      <c r="G48" s="10"/>
      <c r="H48" s="8"/>
      <c r="I48" s="8"/>
      <c r="J48" s="8" t="str">
        <f t="shared" si="1"/>
        <v>借</v>
      </c>
      <c r="K48" s="9">
        <f t="shared" si="0"/>
        <v>100</v>
      </c>
    </row>
    <row r="49" spans="1:11" ht="20.100000000000001" customHeight="1" x14ac:dyDescent="0.15">
      <c r="A49" s="10"/>
      <c r="B49" s="5"/>
      <c r="C49" s="10"/>
      <c r="D49" s="10"/>
      <c r="E49" s="10"/>
      <c r="F49" s="10"/>
      <c r="G49" s="10"/>
      <c r="H49" s="8"/>
      <c r="I49" s="8"/>
      <c r="J49" s="8" t="str">
        <f t="shared" si="1"/>
        <v>借</v>
      </c>
      <c r="K49" s="9">
        <f t="shared" si="0"/>
        <v>100</v>
      </c>
    </row>
    <row r="50" spans="1:11" ht="20.100000000000001" customHeight="1" x14ac:dyDescent="0.15">
      <c r="A50" s="10"/>
      <c r="B50" s="5"/>
      <c r="C50" s="10"/>
      <c r="D50" s="10"/>
      <c r="E50" s="10"/>
      <c r="F50" s="10"/>
      <c r="G50" s="10"/>
      <c r="H50" s="8"/>
      <c r="I50" s="8"/>
      <c r="J50" s="8" t="str">
        <f t="shared" si="1"/>
        <v>借</v>
      </c>
      <c r="K50" s="9">
        <f t="shared" si="0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1"/>
        <v>借</v>
      </c>
      <c r="K51" s="9">
        <f t="shared" si="0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1"/>
        <v>借</v>
      </c>
      <c r="K52" s="9">
        <f t="shared" si="0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1"/>
        <v>借</v>
      </c>
      <c r="K53" s="9">
        <f t="shared" si="0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1"/>
        <v>借</v>
      </c>
      <c r="K54" s="9">
        <f t="shared" si="0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1"/>
        <v>借</v>
      </c>
      <c r="K55" s="9">
        <f t="shared" si="0"/>
        <v>100</v>
      </c>
    </row>
    <row r="56" spans="1:11" ht="20.100000000000001" customHeight="1" x14ac:dyDescent="0.15">
      <c r="A56" s="5"/>
      <c r="B56" s="5"/>
      <c r="C56" s="10"/>
      <c r="D56" s="10"/>
      <c r="E56" s="10"/>
      <c r="F56" s="10"/>
      <c r="G56" s="10"/>
      <c r="H56" s="8"/>
      <c r="I56" s="8"/>
      <c r="J56" s="8" t="str">
        <f t="shared" si="1"/>
        <v>借</v>
      </c>
      <c r="K56" s="9">
        <f t="shared" si="0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1"/>
        <v>借</v>
      </c>
      <c r="K57" s="9">
        <f t="shared" si="0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4"/>
      <c r="G58" s="14"/>
      <c r="H58" s="8"/>
      <c r="I58" s="8"/>
      <c r="J58" s="8" t="str">
        <f t="shared" ref="J58:J121" si="2">IF((K57+H58-I58)&gt;0,"借","贷")</f>
        <v>借</v>
      </c>
      <c r="K58" s="9">
        <f t="shared" si="0"/>
        <v>100</v>
      </c>
    </row>
    <row r="59" spans="1:11" ht="20.100000000000001" customHeight="1" x14ac:dyDescent="0.15">
      <c r="A59" s="5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0"/>
        <v>100</v>
      </c>
    </row>
    <row r="60" spans="1:11" ht="20.100000000000001" customHeight="1" x14ac:dyDescent="0.15">
      <c r="A60" s="5"/>
      <c r="B60" s="5"/>
      <c r="C60" s="10"/>
      <c r="D60" s="10"/>
      <c r="E60" s="10"/>
      <c r="F60" s="14"/>
      <c r="G60" s="14"/>
      <c r="H60" s="8"/>
      <c r="I60" s="15"/>
      <c r="J60" s="8" t="str">
        <f t="shared" si="2"/>
        <v>借</v>
      </c>
      <c r="K60" s="9">
        <f t="shared" si="0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15"/>
      <c r="J61" s="8" t="str">
        <f t="shared" si="2"/>
        <v>借</v>
      </c>
      <c r="K61" s="9">
        <f t="shared" si="0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5"/>
      <c r="J62" s="8" t="str">
        <f t="shared" si="2"/>
        <v>借</v>
      </c>
      <c r="K62" s="9">
        <f t="shared" si="0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5"/>
      <c r="J63" s="8" t="str">
        <f t="shared" si="2"/>
        <v>借</v>
      </c>
      <c r="K63" s="9">
        <f t="shared" si="0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0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0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4"/>
      <c r="G66" s="14"/>
      <c r="H66" s="8"/>
      <c r="I66" s="8"/>
      <c r="J66" s="8" t="str">
        <f t="shared" si="2"/>
        <v>借</v>
      </c>
      <c r="K66" s="9">
        <f t="shared" si="0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0"/>
        <v>100</v>
      </c>
    </row>
    <row r="68" spans="1:11" ht="20.100000000000001" customHeight="1" x14ac:dyDescent="0.15">
      <c r="A68" s="10"/>
      <c r="B68" s="5"/>
      <c r="C68" s="5"/>
      <c r="D68" s="10"/>
      <c r="E68" s="10"/>
      <c r="F68" s="14"/>
      <c r="G68" s="14"/>
      <c r="H68" s="8"/>
      <c r="I68" s="8"/>
      <c r="J68" s="8" t="str">
        <f t="shared" si="2"/>
        <v>借</v>
      </c>
      <c r="K68" s="9">
        <f t="shared" si="0"/>
        <v>100</v>
      </c>
    </row>
    <row r="69" spans="1:11" ht="20.100000000000001" customHeight="1" x14ac:dyDescent="0.15">
      <c r="A69" s="5"/>
      <c r="B69" s="5"/>
      <c r="C69" s="5"/>
      <c r="D69" s="10"/>
      <c r="E69" s="10"/>
      <c r="F69" s="10"/>
      <c r="G69" s="10"/>
      <c r="H69" s="8"/>
      <c r="I69" s="15"/>
      <c r="J69" s="8" t="str">
        <f t="shared" si="2"/>
        <v>借</v>
      </c>
      <c r="K69" s="9">
        <f t="shared" si="0"/>
        <v>100</v>
      </c>
    </row>
    <row r="70" spans="1:11" ht="20.100000000000001" customHeight="1" x14ac:dyDescent="0.15">
      <c r="A70" s="5"/>
      <c r="B70" s="5"/>
      <c r="C70" s="5"/>
      <c r="D70" s="10"/>
      <c r="E70" s="10"/>
      <c r="F70" s="10"/>
      <c r="G70" s="10"/>
      <c r="H70" s="8"/>
      <c r="I70" s="15"/>
      <c r="J70" s="8" t="str">
        <f t="shared" si="2"/>
        <v>借</v>
      </c>
      <c r="K70" s="9">
        <f t="shared" si="0"/>
        <v>100</v>
      </c>
    </row>
    <row r="71" spans="1:11" ht="20.100000000000001" customHeight="1" x14ac:dyDescent="0.15">
      <c r="A71" s="5"/>
      <c r="B71" s="5"/>
      <c r="C71" s="5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ref="K71:K134" si="3">K70+H71-I71</f>
        <v>100</v>
      </c>
    </row>
    <row r="72" spans="1:11" ht="20.100000000000001" customHeight="1" x14ac:dyDescent="0.15">
      <c r="A72" s="5"/>
      <c r="B72" s="5"/>
      <c r="C72" s="5"/>
      <c r="D72" s="10"/>
      <c r="E72" s="10"/>
      <c r="F72" s="10"/>
      <c r="G72" s="10"/>
      <c r="H72" s="8"/>
      <c r="I72" s="8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5"/>
      <c r="D73" s="10"/>
      <c r="E73" s="10"/>
      <c r="F73" s="10"/>
      <c r="G73" s="10"/>
      <c r="H73" s="8"/>
      <c r="I73" s="8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5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5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10"/>
      <c r="B76" s="5"/>
      <c r="C76" s="5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5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10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10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5"/>
      <c r="B96" s="5"/>
      <c r="C96" s="5"/>
      <c r="D96" s="10"/>
      <c r="E96" s="16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10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10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10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10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10"/>
      <c r="D113" s="10"/>
      <c r="E113" s="17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10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10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10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10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6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6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6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5"/>
      <c r="B122" s="5"/>
      <c r="C122" s="5"/>
      <c r="D122" s="10"/>
      <c r="E122" s="16"/>
      <c r="F122" s="10"/>
      <c r="G122" s="10"/>
      <c r="H122" s="8"/>
      <c r="I122" s="8"/>
      <c r="J122" s="8" t="str">
        <f t="shared" ref="J122:J185" si="4">IF((K121+H122-I122)&gt;0,"借","贷")</f>
        <v>借</v>
      </c>
      <c r="K122" s="9">
        <f t="shared" si="3"/>
        <v>100</v>
      </c>
    </row>
    <row r="123" spans="1:11" ht="20.100000000000001" customHeight="1" x14ac:dyDescent="0.15">
      <c r="A123" s="5"/>
      <c r="B123" s="5"/>
      <c r="C123" s="5"/>
      <c r="D123" s="10"/>
      <c r="E123" s="16"/>
      <c r="F123" s="10"/>
      <c r="G123" s="10"/>
      <c r="H123" s="8"/>
      <c r="I123" s="8"/>
      <c r="J123" s="8" t="str">
        <f t="shared" si="4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5"/>
      <c r="D124" s="10"/>
      <c r="E124" s="16"/>
      <c r="F124" s="10"/>
      <c r="G124" s="10"/>
      <c r="H124" s="8"/>
      <c r="I124" s="8"/>
      <c r="J124" s="8" t="str">
        <f t="shared" si="4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5"/>
      <c r="D125" s="10"/>
      <c r="E125" s="16"/>
      <c r="F125" s="10"/>
      <c r="G125" s="10"/>
      <c r="H125" s="8"/>
      <c r="I125" s="8"/>
      <c r="J125" s="8" t="str">
        <f t="shared" si="4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5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3"/>
        <v>100</v>
      </c>
    </row>
    <row r="128" spans="1:11" ht="20.100000000000001" customHeight="1" x14ac:dyDescent="0.15">
      <c r="A128" s="10"/>
      <c r="B128" s="5"/>
      <c r="C128" s="5"/>
      <c r="D128" s="10"/>
      <c r="E128" s="10"/>
      <c r="F128" s="10"/>
      <c r="G128" s="10"/>
      <c r="H128" s="8"/>
      <c r="I128" s="8"/>
      <c r="J128" s="8" t="str">
        <f t="shared" si="4"/>
        <v>借</v>
      </c>
      <c r="K128" s="9">
        <f t="shared" si="3"/>
        <v>100</v>
      </c>
    </row>
    <row r="129" spans="1:11" ht="20.100000000000001" customHeight="1" x14ac:dyDescent="0.15">
      <c r="A129" s="10"/>
      <c r="B129" s="5"/>
      <c r="C129" s="5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0"/>
      <c r="F131" s="10"/>
      <c r="G131" s="10"/>
      <c r="H131" s="8"/>
      <c r="I131" s="8"/>
      <c r="J131" s="8" t="str">
        <f t="shared" si="4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0"/>
      <c r="F132" s="10"/>
      <c r="G132" s="10"/>
      <c r="H132" s="8"/>
      <c r="I132" s="8"/>
      <c r="J132" s="8" t="str">
        <f t="shared" si="4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4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4"/>
        <v>借</v>
      </c>
      <c r="K134" s="9">
        <f t="shared" si="3"/>
        <v>100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ref="K135:K198" si="5">K134+H135-I135</f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8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10"/>
      <c r="B153" s="5"/>
      <c r="C153" s="10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10"/>
      <c r="B154" s="5"/>
      <c r="C154" s="10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10"/>
      <c r="B155" s="5"/>
      <c r="C155" s="10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10"/>
      <c r="B156" s="5"/>
      <c r="C156" s="10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10"/>
      <c r="B157" s="5"/>
      <c r="C157" s="10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10"/>
      <c r="B158" s="5"/>
      <c r="C158" s="10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10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10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10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5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5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5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5"/>
        <v>100</v>
      </c>
    </row>
    <row r="179" spans="1:11" ht="20.100000000000001" customHeight="1" x14ac:dyDescent="0.15">
      <c r="A179" s="10"/>
      <c r="B179" s="5"/>
      <c r="C179" s="10"/>
      <c r="D179" s="10"/>
      <c r="E179" s="19"/>
      <c r="F179" s="10"/>
      <c r="G179" s="10"/>
      <c r="H179" s="8"/>
      <c r="I179" s="8"/>
      <c r="J179" s="8" t="str">
        <f t="shared" si="4"/>
        <v>借</v>
      </c>
      <c r="K179" s="9">
        <f t="shared" si="5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5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5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ref="J186:J249" si="6">IF((K185+H186-I186)&gt;0,"借","贷")</f>
        <v>借</v>
      </c>
      <c r="K186" s="9">
        <f t="shared" si="5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5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5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5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5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6"/>
        <v>借</v>
      </c>
      <c r="K191" s="9">
        <f t="shared" si="5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5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5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5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5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5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5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5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ref="K199:K262" si="7">K198+H199-I199</f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100</v>
      </c>
    </row>
    <row r="202" spans="1:11" ht="20.100000000000001" customHeight="1" x14ac:dyDescent="0.15">
      <c r="A202" s="10"/>
      <c r="B202" s="5"/>
      <c r="C202" s="10"/>
      <c r="D202" s="10"/>
      <c r="E202" s="20"/>
      <c r="F202" s="10"/>
      <c r="G202" s="10"/>
      <c r="H202" s="8"/>
      <c r="I202" s="8"/>
      <c r="J202" s="8" t="str">
        <f t="shared" si="6"/>
        <v>借</v>
      </c>
      <c r="K202" s="9">
        <f t="shared" si="7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6"/>
        <v>借</v>
      </c>
      <c r="K213" s="9">
        <f t="shared" si="7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23" t="str">
        <f t="shared" si="6"/>
        <v>借</v>
      </c>
      <c r="K232" s="9">
        <f t="shared" si="7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23" t="str">
        <f t="shared" si="6"/>
        <v>借</v>
      </c>
      <c r="K233" s="9">
        <f t="shared" si="7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23" t="str">
        <f t="shared" si="6"/>
        <v>借</v>
      </c>
      <c r="K234" s="9">
        <f t="shared" si="7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23" t="str">
        <f t="shared" si="6"/>
        <v>借</v>
      </c>
      <c r="K235" s="9">
        <f t="shared" si="7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23" t="str">
        <f t="shared" si="6"/>
        <v>借</v>
      </c>
      <c r="K236" s="9">
        <f t="shared" si="7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23" t="str">
        <f t="shared" si="6"/>
        <v>借</v>
      </c>
      <c r="K237" s="9">
        <f t="shared" si="7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6"/>
        <v>借</v>
      </c>
      <c r="K243" s="9">
        <f t="shared" si="7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6"/>
        <v>借</v>
      </c>
      <c r="K244" s="9">
        <f t="shared" si="7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6"/>
        <v>借</v>
      </c>
      <c r="K245" s="9">
        <f t="shared" si="7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6"/>
        <v>借</v>
      </c>
      <c r="K246" s="9">
        <f t="shared" si="7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6"/>
        <v>借</v>
      </c>
      <c r="K247" s="9">
        <f t="shared" si="7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6"/>
        <v>借</v>
      </c>
      <c r="K248" s="9">
        <f t="shared" si="7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ref="J250:J313" si="8">IF((K249+H250-I250)&gt;0,"借","贷")</f>
        <v>借</v>
      </c>
      <c r="K250" s="9">
        <f t="shared" si="7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8"/>
        <v>借</v>
      </c>
      <c r="K251" s="9">
        <f t="shared" si="7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8"/>
        <v>借</v>
      </c>
      <c r="K252" s="9">
        <f t="shared" si="7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8"/>
        <v>借</v>
      </c>
      <c r="K253" s="9">
        <f t="shared" si="7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8"/>
        <v>借</v>
      </c>
      <c r="K254" s="9">
        <f t="shared" si="7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8"/>
        <v>借</v>
      </c>
      <c r="K255" s="9">
        <f t="shared" si="7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8"/>
        <v>借</v>
      </c>
      <c r="K256" s="9">
        <f t="shared" si="7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8"/>
        <v>借</v>
      </c>
      <c r="K257" s="9">
        <f t="shared" si="7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8"/>
        <v>借</v>
      </c>
      <c r="K258" s="9">
        <f t="shared" si="7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8"/>
        <v>借</v>
      </c>
      <c r="K259" s="9">
        <f t="shared" si="7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8"/>
        <v>借</v>
      </c>
      <c r="K260" s="9">
        <f t="shared" si="7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8"/>
        <v>借</v>
      </c>
      <c r="K261" s="9">
        <f t="shared" si="7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8"/>
        <v>借</v>
      </c>
      <c r="K262" s="9">
        <f t="shared" si="7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ref="K263:K326" si="9">K262+H263-I263</f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ref="J314:J377" si="10">IF((K313+H314-I314)&gt;0,"借","贷")</f>
        <v>借</v>
      </c>
      <c r="K314" s="9">
        <f t="shared" si="9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0"/>
        <v>借</v>
      </c>
      <c r="K315" s="9">
        <f t="shared" si="9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0"/>
        <v>借</v>
      </c>
      <c r="K316" s="9">
        <f t="shared" si="9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0"/>
        <v>借</v>
      </c>
      <c r="K317" s="9">
        <f t="shared" si="9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0"/>
        <v>借</v>
      </c>
      <c r="K318" s="9">
        <f t="shared" si="9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0"/>
        <v>借</v>
      </c>
      <c r="K319" s="9">
        <f t="shared" si="9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0"/>
        <v>借</v>
      </c>
      <c r="K320" s="9">
        <f t="shared" si="9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0"/>
        <v>借</v>
      </c>
      <c r="K321" s="9">
        <f t="shared" si="9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0"/>
        <v>借</v>
      </c>
      <c r="K322" s="9">
        <f t="shared" si="9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0"/>
        <v>借</v>
      </c>
      <c r="K323" s="9">
        <f t="shared" si="9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0"/>
        <v>借</v>
      </c>
      <c r="K324" s="9">
        <f t="shared" si="9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0"/>
        <v>借</v>
      </c>
      <c r="K325" s="9">
        <f t="shared" si="9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0"/>
        <v>借</v>
      </c>
      <c r="K326" s="9">
        <f t="shared" si="9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ref="K327:K390" si="11">K326+H327-I327</f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100</v>
      </c>
    </row>
    <row r="355" spans="1:11" ht="20.100000000000001" customHeight="1" x14ac:dyDescent="0.15"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100</v>
      </c>
    </row>
    <row r="356" spans="1:11" ht="20.100000000000001" customHeight="1" x14ac:dyDescent="0.15"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100</v>
      </c>
    </row>
    <row r="357" spans="1:11" ht="20.100000000000001" customHeight="1" x14ac:dyDescent="0.15">
      <c r="B357" s="5"/>
      <c r="C357" s="7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100</v>
      </c>
    </row>
    <row r="358" spans="1:11" ht="20.100000000000001" customHeight="1" x14ac:dyDescent="0.15">
      <c r="B358" s="5"/>
      <c r="C358" s="7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100</v>
      </c>
    </row>
    <row r="359" spans="1:11" ht="20.100000000000001" customHeight="1" x14ac:dyDescent="0.15">
      <c r="B359" s="5"/>
      <c r="C359" s="7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100</v>
      </c>
    </row>
    <row r="360" spans="1:11" ht="20.100000000000001" customHeight="1" x14ac:dyDescent="0.15">
      <c r="B360" s="5"/>
      <c r="C360" s="7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100</v>
      </c>
    </row>
    <row r="361" spans="1:11" ht="20.100000000000001" customHeight="1" x14ac:dyDescent="0.15">
      <c r="B361" s="5"/>
      <c r="C361" s="7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100</v>
      </c>
    </row>
    <row r="362" spans="1:11" ht="20.100000000000001" customHeight="1" x14ac:dyDescent="0.15">
      <c r="B362" s="5"/>
      <c r="C362" s="7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100</v>
      </c>
    </row>
    <row r="363" spans="1:11" ht="20.100000000000001" customHeight="1" x14ac:dyDescent="0.15">
      <c r="B363" s="5"/>
      <c r="C363" s="7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100</v>
      </c>
    </row>
    <row r="364" spans="1:11" ht="20.100000000000001" customHeight="1" x14ac:dyDescent="0.15">
      <c r="B364" s="5"/>
      <c r="C364" s="7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100</v>
      </c>
    </row>
    <row r="365" spans="1:11" ht="20.100000000000001" customHeight="1" x14ac:dyDescent="0.15">
      <c r="B365" s="5"/>
      <c r="C365" s="7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100</v>
      </c>
    </row>
    <row r="366" spans="1:11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100</v>
      </c>
    </row>
    <row r="374" spans="2:11" ht="20.100000000000001" customHeight="1" x14ac:dyDescent="0.15">
      <c r="B374" s="5"/>
      <c r="C374" s="10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100</v>
      </c>
    </row>
    <row r="375" spans="2:11" ht="20.100000000000001" customHeight="1" x14ac:dyDescent="0.15">
      <c r="B375" s="5"/>
      <c r="C375" s="10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100</v>
      </c>
    </row>
    <row r="376" spans="2:11" ht="20.100000000000001" customHeight="1" x14ac:dyDescent="0.15">
      <c r="B376" s="5"/>
      <c r="C376" s="10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100</v>
      </c>
    </row>
    <row r="377" spans="2:11" ht="20.100000000000001" customHeight="1" x14ac:dyDescent="0.15">
      <c r="B377" s="5"/>
      <c r="C377" s="10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100</v>
      </c>
    </row>
    <row r="378" spans="2:11" ht="20.100000000000001" customHeight="1" x14ac:dyDescent="0.15">
      <c r="B378" s="5"/>
      <c r="C378" s="10"/>
      <c r="D378" s="10"/>
      <c r="E378" s="10"/>
      <c r="F378" s="10"/>
      <c r="G378" s="10"/>
      <c r="H378" s="8"/>
      <c r="I378" s="8"/>
      <c r="J378" s="8" t="str">
        <f t="shared" ref="J378:J441" si="12">IF((K377+H378-I378)&gt;0,"借","贷")</f>
        <v>借</v>
      </c>
      <c r="K378" s="9">
        <f t="shared" si="11"/>
        <v>100</v>
      </c>
    </row>
    <row r="379" spans="2:11" ht="20.100000000000001" customHeight="1" x14ac:dyDescent="0.15">
      <c r="B379" s="5"/>
      <c r="C379" s="10"/>
      <c r="D379" s="10"/>
      <c r="E379" s="10"/>
      <c r="F379" s="10"/>
      <c r="G379" s="10"/>
      <c r="H379" s="8"/>
      <c r="I379" s="8"/>
      <c r="J379" s="8" t="str">
        <f t="shared" si="12"/>
        <v>借</v>
      </c>
      <c r="K379" s="9">
        <f t="shared" si="11"/>
        <v>100</v>
      </c>
    </row>
    <row r="380" spans="2:11" ht="20.100000000000001" customHeight="1" x14ac:dyDescent="0.15">
      <c r="B380" s="5"/>
      <c r="C380" s="10"/>
      <c r="D380" s="10"/>
      <c r="E380" s="10"/>
      <c r="F380" s="10"/>
      <c r="G380" s="10"/>
      <c r="H380" s="8"/>
      <c r="I380" s="8"/>
      <c r="J380" s="8" t="str">
        <f t="shared" si="12"/>
        <v>借</v>
      </c>
      <c r="K380" s="9">
        <f t="shared" si="11"/>
        <v>100</v>
      </c>
    </row>
    <row r="381" spans="2:11" ht="20.100000000000001" customHeight="1" x14ac:dyDescent="0.15">
      <c r="B381" s="5"/>
      <c r="C381" s="10"/>
      <c r="D381" s="10"/>
      <c r="E381" s="10"/>
      <c r="F381" s="10"/>
      <c r="G381" s="10"/>
      <c r="H381" s="8"/>
      <c r="I381" s="8"/>
      <c r="J381" s="8" t="str">
        <f t="shared" si="12"/>
        <v>借</v>
      </c>
      <c r="K381" s="9">
        <f t="shared" si="11"/>
        <v>100</v>
      </c>
    </row>
    <row r="382" spans="2:11" ht="20.100000000000001" customHeight="1" x14ac:dyDescent="0.15">
      <c r="B382" s="5"/>
      <c r="C382" s="10"/>
      <c r="D382" s="10"/>
      <c r="E382" s="10"/>
      <c r="F382" s="10"/>
      <c r="G382" s="10"/>
      <c r="H382" s="8"/>
      <c r="I382" s="8"/>
      <c r="J382" s="8" t="str">
        <f t="shared" si="12"/>
        <v>借</v>
      </c>
      <c r="K382" s="9">
        <f t="shared" si="11"/>
        <v>100</v>
      </c>
    </row>
    <row r="383" spans="2:11" ht="20.100000000000001" customHeight="1" x14ac:dyDescent="0.15">
      <c r="B383" s="5"/>
      <c r="C383" s="10"/>
      <c r="D383" s="10"/>
      <c r="E383" s="10"/>
      <c r="F383" s="10"/>
      <c r="G383" s="10"/>
      <c r="H383" s="8"/>
      <c r="I383" s="8"/>
      <c r="J383" s="8" t="str">
        <f t="shared" si="12"/>
        <v>借</v>
      </c>
      <c r="K383" s="9">
        <f t="shared" si="11"/>
        <v>100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2"/>
        <v>借</v>
      </c>
      <c r="K384" s="9">
        <f t="shared" si="11"/>
        <v>100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2"/>
        <v>借</v>
      </c>
      <c r="K385" s="9">
        <f t="shared" si="11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2"/>
        <v>借</v>
      </c>
      <c r="K386" s="9">
        <f t="shared" si="11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2"/>
        <v>借</v>
      </c>
      <c r="K387" s="9">
        <f t="shared" si="11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2"/>
        <v>借</v>
      </c>
      <c r="K388" s="9">
        <f t="shared" si="11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2"/>
        <v>借</v>
      </c>
      <c r="K389" s="9">
        <f t="shared" si="11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2"/>
        <v>借</v>
      </c>
      <c r="K390" s="9">
        <f t="shared" si="11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ref="K391:K454" si="13">K390+H391-I391</f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ref="J442:J487" si="14">IF((K441+H442-I442)&gt;0,"借","贷")</f>
        <v>借</v>
      </c>
      <c r="K442" s="9">
        <f t="shared" si="13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4"/>
        <v>借</v>
      </c>
      <c r="K443" s="9">
        <f t="shared" si="13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4"/>
        <v>借</v>
      </c>
      <c r="K444" s="9">
        <f t="shared" si="13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4"/>
        <v>借</v>
      </c>
      <c r="K445" s="9">
        <f t="shared" si="13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4"/>
        <v>借</v>
      </c>
      <c r="K446" s="9">
        <f t="shared" si="13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4"/>
        <v>借</v>
      </c>
      <c r="K447" s="9">
        <f t="shared" si="13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4"/>
        <v>借</v>
      </c>
      <c r="K448" s="9">
        <f t="shared" si="13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4"/>
        <v>借</v>
      </c>
      <c r="K449" s="9">
        <f t="shared" si="13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4"/>
        <v>借</v>
      </c>
      <c r="K450" s="9">
        <f t="shared" si="13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4"/>
        <v>借</v>
      </c>
      <c r="K451" s="9">
        <f t="shared" si="13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4"/>
        <v>借</v>
      </c>
      <c r="K452" s="9">
        <f t="shared" si="13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4"/>
        <v>借</v>
      </c>
      <c r="K453" s="9">
        <f t="shared" si="13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4"/>
        <v>借</v>
      </c>
      <c r="K454" s="9">
        <f t="shared" si="13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ref="K455:K487" si="15">K454+H455-I455</f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100</v>
      </c>
    </row>
  </sheetData>
  <mergeCells count="2">
    <mergeCell ref="A1:K1"/>
    <mergeCell ref="A2:K2"/>
  </mergeCells>
  <phoneticPr fontId="21" type="noConversion"/>
  <dataValidations count="1">
    <dataValidation type="list" allowBlank="1" showInputMessage="1" showErrorMessage="1" sqref="G5:G1048576" xr:uid="{00000000-0002-0000-1A00-000000000000}">
      <formula1>#REF!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499"/>
  <sheetViews>
    <sheetView topLeftCell="D1" workbookViewId="0">
      <selection activeCell="L14" sqref="L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86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6565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6565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6565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6565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6565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6565</v>
      </c>
    </row>
    <row r="10" spans="1:12" ht="20.100000000000001" customHeight="1" x14ac:dyDescent="0.15">
      <c r="A10" s="5"/>
      <c r="B10" s="10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6565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6565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6565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6565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6565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6565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6565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6565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6565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6565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6565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6565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6565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6565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6565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6565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6565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6565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6565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6565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6565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6565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6565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6565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6565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6565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6565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6565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6565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6565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6565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6565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6565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6565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6565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6565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6565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6565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6565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6565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6565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6565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6565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6565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6565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6565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6565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6565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6565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6565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6565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6565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6565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6565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6565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6565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6565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6565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6565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6565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6565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6565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6565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6565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6565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6565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6565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6565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6565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6565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6565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6565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6565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6565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6565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6565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6565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6565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6565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6565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6565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6565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6565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6565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6565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6565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6565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6565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6565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6565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6565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6565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6565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6565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6565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6565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6565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6565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6565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6565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6565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6565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6565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6565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6565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6565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6565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6565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6565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6565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6565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6565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6565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6565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6565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6565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6565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6565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6565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6565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6565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6565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6565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6565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6565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6565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6565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6565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6565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6565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6565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6565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6565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6565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6565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6565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6565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6565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6565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6565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6565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6565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6565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6565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6565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6565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6565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6565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6565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6565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6565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6565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6565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6565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6565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6565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6565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6565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6565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6565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6565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6565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6565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6565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6565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6565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6565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6565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6565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6565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6565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6565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6565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6565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6565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6565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6565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6565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6565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6565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6565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6565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6565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6565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6565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6565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6565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6565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6565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6565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6565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6565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6565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6565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6565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6565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6565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6565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6565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6565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6565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6565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6565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6565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6565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6565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6565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6565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6565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6565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6565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6565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6565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6565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6565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6565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6565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6565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6565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6565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6565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6565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6565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6565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6565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6565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6565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6565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6565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6565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6565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6565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6565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6565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6565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6565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6565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6565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6565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6565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6565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6565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6565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6565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6565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6565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6565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6565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6565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6565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6565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6565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6565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6565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6565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6565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6565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6565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6565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6565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6565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6565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6565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6565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6565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6565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6565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6565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6565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6565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6565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6565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6565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6565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6565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6565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6565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6565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6565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6565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6565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6565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6565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6565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6565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6565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6565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6565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6565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6565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6565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6565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6565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6565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6565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6565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6565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6565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6565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6565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6565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6565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6565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6565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6565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6565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6565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6565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6565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6565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6565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6565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6565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6565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6565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6565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6565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6565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6565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6565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6565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6565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6565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6565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6565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6565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6565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6565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6565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6565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6565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6565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6565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6565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6565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6565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6565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6565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6565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6565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6565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6565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6565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6565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6565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6565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6565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6565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6565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6565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6565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6565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6565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6565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6565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6565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6565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6565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6565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6565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6565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6565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6565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6565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6565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6565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6565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6565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6565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6565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6565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6565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6565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6565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6565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6565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6565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6565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6565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6565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6565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6565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6565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6565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6565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6565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6565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6565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6565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6565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6565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6565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6565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6565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6565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6565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6565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6565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6565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6565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6565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6565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6565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6565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6565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6565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6565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6565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6565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6565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6565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6565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6565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6565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6565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6565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6565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6565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6565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6565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6565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6565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6565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6565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6565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6565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6565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6565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6565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6565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6565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6565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6565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6565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6565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6565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6565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6565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6565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6565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6565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6565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6565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6565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6565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6565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6565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6565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6565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6565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6565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6565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6565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6565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6565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6565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6565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6565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6565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6565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6565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6565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6565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6565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6565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6565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6565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6565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6565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6565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6565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6565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6565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6565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6565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6565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6565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6565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6565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6565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6565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6565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6565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6565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6565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6565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6565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6565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6565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6565</v>
      </c>
    </row>
  </sheetData>
  <mergeCells count="2">
    <mergeCell ref="A1:K1"/>
    <mergeCell ref="A2:K2"/>
  </mergeCells>
  <phoneticPr fontId="21" type="noConversion"/>
  <dataValidations count="1">
    <dataValidation type="list" allowBlank="1" showInputMessage="1" showErrorMessage="1" sqref="G5:G1048576" xr:uid="{00000000-0002-0000-1B00-000000000000}">
      <formula1>#REF!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99"/>
  <sheetViews>
    <sheetView topLeftCell="D3" workbookViewId="0">
      <selection activeCell="G18" sqref="G1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87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2000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2000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2000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2000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2000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2000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2000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2000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2000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2000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2000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2000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2000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2000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2000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2000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2000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2000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2000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2000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2000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2000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2000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2000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2000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2000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2000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2000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2000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2000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2000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2000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2000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2000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2000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2000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2000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2000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2000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2000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2000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2000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2000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2000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2000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2000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2000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2000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2000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2000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2000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2000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2000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2000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2000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2000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2000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2000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2000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2000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2000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2000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2000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2000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2000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2000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2000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2000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2000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2000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2000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2000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2000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2000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2000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2000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2000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2000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2000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2000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2000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2000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2000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2000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2000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2000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2000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2000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2000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2000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2000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2000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2000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2000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2000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2000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2000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2000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2000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2000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2000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2000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2000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2000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2000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2000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2000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2000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2000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2000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2000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2000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2000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2000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2000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2000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2000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2000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2000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2000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2000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2000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2000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2000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2000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2000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2000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2000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2000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2000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2000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2000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2000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2000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2000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2000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2000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2000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2000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2000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2000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2000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2000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2000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2000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2000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2000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2000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2000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2000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2000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2000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2000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2000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2000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2000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2000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2000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2000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2000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2000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2000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2000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2000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2000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2000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2000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2000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2000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2000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2000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2000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2000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2000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2000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2000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2000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2000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2000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2000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2000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2000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2000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2000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2000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2000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2000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2000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2000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2000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2000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2000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2000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2000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2000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2000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2000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2000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2000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2000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2000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2000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2000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2000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2000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2000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2000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2000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2000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2000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2000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2000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2000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2000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2000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2000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2000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2000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2000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2000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2000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2000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2000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2000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2000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2000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2000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2000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2000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2000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2000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2000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2000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2000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2000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2000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2000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2000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2000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2000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2000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2000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2000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2000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2000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2000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2000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2000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2000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2000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2000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2000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2000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2000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2000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2000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2000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2000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2000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2000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2000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2000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2000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2000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2000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2000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2000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2000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2000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2000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2000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2000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2000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2000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2000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2000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2000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2000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2000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2000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2000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2000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2000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2000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2000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2000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2000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2000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2000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2000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2000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2000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2000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2000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2000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2000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2000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2000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2000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2000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2000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2000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2000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2000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2000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2000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2000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2000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2000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2000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2000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2000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2000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2000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2000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2000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2000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2000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2000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2000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2000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2000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2000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2000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2000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2000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2000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2000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2000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2000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2000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2000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2000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2000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2000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2000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2000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2000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2000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2000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2000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2000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2000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2000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2000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2000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2000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2000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2000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2000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2000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2000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2000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2000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2000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2000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2000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2000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2000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2000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2000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2000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2000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2000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2000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2000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2000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2000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2000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2000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2000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2000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2000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2000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2000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2000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2000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2000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2000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2000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2000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2000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2000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2000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2000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2000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2000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2000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2000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2000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2000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2000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2000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2000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2000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2000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2000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2000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2000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2000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2000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2000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2000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2000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2000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2000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2000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2000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2000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2000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2000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2000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2000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2000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2000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2000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2000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2000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2000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2000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2000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2000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2000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2000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2000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2000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2000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2000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2000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2000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2000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2000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2000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2000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2000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2000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2000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2000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2000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2000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2000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2000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2000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2000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2000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2000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2000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2000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2000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2000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2000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2000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2000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2000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2000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2000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2000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2000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2000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2000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2000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2000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2000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2000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2000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2000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2000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2000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2000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2000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2000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2000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2000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2000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2000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2000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2000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2000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2000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2000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2000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2000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2000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2000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2000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2000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2000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2000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2000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2000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2000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2000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2000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2000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2000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2000</v>
      </c>
    </row>
  </sheetData>
  <mergeCells count="2">
    <mergeCell ref="A1:K1"/>
    <mergeCell ref="A2:K2"/>
  </mergeCells>
  <phoneticPr fontId="21" type="noConversion"/>
  <dataValidations count="1">
    <dataValidation type="list" allowBlank="1" showInputMessage="1" showErrorMessage="1" sqref="G1:G2 G5:G1048576" xr:uid="{00000000-0002-0000-1C00-000000000000}">
      <formula1>#REF!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499"/>
  <sheetViews>
    <sheetView topLeftCell="G1" workbookViewId="0">
      <selection activeCell="Q19" sqref="Q19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88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100</v>
      </c>
    </row>
  </sheetData>
  <mergeCells count="2">
    <mergeCell ref="A1:K1"/>
    <mergeCell ref="A2:K2"/>
  </mergeCells>
  <phoneticPr fontId="21" type="noConversion"/>
  <dataValidations count="1">
    <dataValidation type="list" allowBlank="1" showInputMessage="1" showErrorMessage="1" sqref="G5:G1048576" xr:uid="{00000000-0002-0000-1D00-000000000000}">
      <formula1>#REF!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99"/>
  <sheetViews>
    <sheetView topLeftCell="B1" workbookViewId="0">
      <selection activeCell="G14" sqref="G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89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100</v>
      </c>
    </row>
  </sheetData>
  <mergeCells count="2">
    <mergeCell ref="A1:K1"/>
    <mergeCell ref="A2:K2"/>
  </mergeCells>
  <phoneticPr fontId="21" type="noConversion"/>
  <dataValidations count="1">
    <dataValidation type="list" allowBlank="1" showInputMessage="1" showErrorMessage="1" sqref="G5:G1048576" xr:uid="{00000000-0002-0000-1E00-000000000000}">
      <formula1>#REF!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499"/>
  <sheetViews>
    <sheetView workbookViewId="0">
      <selection activeCell="H18" sqref="H1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90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100</v>
      </c>
    </row>
  </sheetData>
  <mergeCells count="2">
    <mergeCell ref="A1:K1"/>
    <mergeCell ref="A2:K2"/>
  </mergeCells>
  <phoneticPr fontId="21" type="noConversion"/>
  <dataValidations count="1">
    <dataValidation type="list" allowBlank="1" showInputMessage="1" showErrorMessage="1" sqref="G5:G1048576" xr:uid="{00000000-0002-0000-1F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497"/>
  <sheetViews>
    <sheetView topLeftCell="B1" workbookViewId="0">
      <selection activeCell="F14" sqref="F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91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</v>
      </c>
      <c r="L5" t="s">
        <v>57</v>
      </c>
    </row>
    <row r="6" spans="1:12" ht="20.100000000000001" customHeight="1" x14ac:dyDescent="0.15">
      <c r="A6" s="5"/>
      <c r="B6" s="5"/>
      <c r="C6" s="5"/>
      <c r="D6" s="10"/>
      <c r="E6" s="10"/>
      <c r="F6" s="7"/>
      <c r="G6" s="7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  <c r="L9" t="s">
        <v>79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  <c r="L10" t="s">
        <v>57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  <c r="L11" t="s">
        <v>57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  <c r="L13" t="s">
        <v>57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  <c r="L14" t="s">
        <v>57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  <c r="L15" t="s">
        <v>57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1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97"/>
  <sheetViews>
    <sheetView topLeftCell="D1" workbookViewId="0">
      <selection activeCell="F11" sqref="F11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92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7"/>
      <c r="E6" s="7"/>
      <c r="F6" s="7"/>
      <c r="G6" s="7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1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496"/>
  <sheetViews>
    <sheetView topLeftCell="D1" workbookViewId="0">
      <selection activeCell="H17" sqref="H17"/>
    </sheetView>
  </sheetViews>
  <sheetFormatPr defaultColWidth="9" defaultRowHeight="15" customHeight="1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1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15" customHeight="1" x14ac:dyDescent="0.15">
      <c r="A2" s="67" t="s">
        <v>93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15" customHeight="1" x14ac:dyDescent="0.15">
      <c r="A3" s="3"/>
      <c r="B3" s="3"/>
      <c r="C3" s="3"/>
      <c r="D3" s="3"/>
      <c r="E3" s="3"/>
      <c r="F3" s="3"/>
      <c r="G3" s="3"/>
      <c r="H3" s="4">
        <f>SUM(H5:H189999)</f>
        <v>0</v>
      </c>
      <c r="I3" s="4">
        <f>SUM(I5:I189999)</f>
        <v>0</v>
      </c>
      <c r="J3" s="4"/>
      <c r="K3" s="3">
        <f>K5+H3-I3</f>
        <v>100</v>
      </c>
    </row>
    <row r="4" spans="1:12" ht="15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15" customHeight="1" x14ac:dyDescent="0.15">
      <c r="A5" s="5">
        <v>2026</v>
      </c>
      <c r="B5" s="5"/>
      <c r="C5" s="5"/>
      <c r="D5" s="10"/>
      <c r="E5" s="10"/>
      <c r="F5" s="10"/>
      <c r="G5" s="10"/>
      <c r="H5" s="8"/>
      <c r="I5" s="8"/>
      <c r="J5" s="8" t="s">
        <v>39</v>
      </c>
      <c r="K5" s="9">
        <v>100</v>
      </c>
    </row>
    <row r="6" spans="1:12" ht="15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46" si="0">IF((K5+H6-I6)&gt;0,"借","贷")</f>
        <v>借</v>
      </c>
      <c r="K6" s="9">
        <f t="shared" ref="K6:K69" si="1">K5+H6-I6</f>
        <v>100</v>
      </c>
    </row>
    <row r="7" spans="1:12" ht="15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15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15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15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15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15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15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15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15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15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15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15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15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15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15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15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15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15" customHeight="1" x14ac:dyDescent="0.15">
      <c r="A24" s="5"/>
      <c r="B24" s="5"/>
      <c r="C24" s="10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15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15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15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15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15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15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15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15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15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15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15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15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15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15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15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15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15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15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15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15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15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15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15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ref="J47:J53" si="2">IF((K46+H47-I48)&gt;0,"借","贷")</f>
        <v>借</v>
      </c>
      <c r="K47" s="9">
        <f t="shared" si="1"/>
        <v>100</v>
      </c>
    </row>
    <row r="48" spans="1:11" ht="15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1"/>
        <v>100</v>
      </c>
    </row>
    <row r="49" spans="1:11" ht="15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1"/>
        <v>100</v>
      </c>
    </row>
    <row r="50" spans="1:11" ht="15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1"/>
        <v>100</v>
      </c>
    </row>
    <row r="51" spans="1:11" ht="15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1"/>
        <v>100</v>
      </c>
    </row>
    <row r="52" spans="1:11" ht="15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1"/>
        <v>100</v>
      </c>
    </row>
    <row r="53" spans="1:11" ht="15" customHeight="1" x14ac:dyDescent="0.15">
      <c r="A53" s="10"/>
      <c r="B53" s="24"/>
      <c r="C53" s="12"/>
      <c r="D53" s="12"/>
      <c r="E53" s="12"/>
      <c r="F53" s="12"/>
      <c r="G53" s="12"/>
      <c r="H53" s="25"/>
      <c r="I53" s="25"/>
      <c r="J53" s="25" t="str">
        <f t="shared" si="2"/>
        <v>借</v>
      </c>
      <c r="K53" s="9">
        <f t="shared" si="1"/>
        <v>100</v>
      </c>
    </row>
    <row r="54" spans="1:11" ht="15" customHeight="1" x14ac:dyDescent="0.15">
      <c r="A54" s="10"/>
      <c r="B54" s="24"/>
      <c r="C54" s="12"/>
      <c r="D54" s="12"/>
      <c r="E54" s="12"/>
      <c r="F54" s="12"/>
      <c r="G54" s="12"/>
      <c r="H54" s="25"/>
      <c r="I54" s="25"/>
      <c r="J54" s="25" t="str">
        <f t="shared" ref="J54:J117" si="3">IF((K53+H54-I54)&gt;0,"借","贷")</f>
        <v>借</v>
      </c>
      <c r="K54" s="9">
        <f t="shared" si="1"/>
        <v>100</v>
      </c>
    </row>
    <row r="55" spans="1:11" ht="15" customHeight="1" x14ac:dyDescent="0.15">
      <c r="A55" s="10"/>
      <c r="B55" s="24"/>
      <c r="C55" s="12"/>
      <c r="D55" s="12"/>
      <c r="E55" s="12"/>
      <c r="F55" s="12"/>
      <c r="G55" s="12"/>
      <c r="H55" s="25"/>
      <c r="I55" s="25"/>
      <c r="J55" s="25" t="str">
        <f t="shared" si="3"/>
        <v>借</v>
      </c>
      <c r="K55" s="9">
        <f t="shared" si="1"/>
        <v>100</v>
      </c>
    </row>
    <row r="56" spans="1:11" ht="15" customHeight="1" x14ac:dyDescent="0.15">
      <c r="A56" s="10"/>
      <c r="B56" s="5"/>
      <c r="C56" s="10"/>
      <c r="D56" s="26"/>
      <c r="E56" s="12"/>
      <c r="F56" s="12"/>
      <c r="G56" s="12"/>
      <c r="H56" s="25"/>
      <c r="I56" s="25"/>
      <c r="J56" s="25" t="str">
        <f t="shared" si="3"/>
        <v>借</v>
      </c>
      <c r="K56" s="9">
        <f t="shared" si="1"/>
        <v>100</v>
      </c>
    </row>
    <row r="57" spans="1:11" ht="15" customHeight="1" x14ac:dyDescent="0.15">
      <c r="A57" s="10"/>
      <c r="B57" s="5"/>
      <c r="C57" s="10"/>
      <c r="D57" s="12"/>
      <c r="E57" s="12"/>
      <c r="F57" s="12"/>
      <c r="G57" s="12"/>
      <c r="H57" s="25"/>
      <c r="I57" s="25"/>
      <c r="J57" s="25" t="str">
        <f t="shared" si="3"/>
        <v>借</v>
      </c>
      <c r="K57" s="9">
        <f t="shared" si="1"/>
        <v>100</v>
      </c>
    </row>
    <row r="58" spans="1:11" ht="15" customHeight="1" x14ac:dyDescent="0.15">
      <c r="A58" s="10"/>
      <c r="B58" s="5"/>
      <c r="C58" s="10"/>
      <c r="D58" s="12"/>
      <c r="E58" s="12"/>
      <c r="F58" s="12"/>
      <c r="G58" s="12"/>
      <c r="H58" s="25"/>
      <c r="I58" s="25"/>
      <c r="J58" s="25" t="str">
        <f t="shared" si="3"/>
        <v>借</v>
      </c>
      <c r="K58" s="9">
        <f t="shared" si="1"/>
        <v>100</v>
      </c>
    </row>
    <row r="59" spans="1:11" ht="15" customHeight="1" x14ac:dyDescent="0.15">
      <c r="A59" s="10"/>
      <c r="B59" s="5"/>
      <c r="C59" s="10"/>
      <c r="D59" s="10"/>
      <c r="E59" s="10"/>
      <c r="F59" s="10"/>
      <c r="G59" s="12"/>
      <c r="H59" s="8"/>
      <c r="I59" s="8"/>
      <c r="J59" s="8" t="str">
        <f t="shared" si="3"/>
        <v>借</v>
      </c>
      <c r="K59" s="9">
        <f t="shared" si="1"/>
        <v>100</v>
      </c>
    </row>
    <row r="60" spans="1:11" ht="15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3"/>
        <v>借</v>
      </c>
      <c r="K60" s="9">
        <f t="shared" si="1"/>
        <v>100</v>
      </c>
    </row>
    <row r="61" spans="1:11" ht="15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3"/>
        <v>借</v>
      </c>
      <c r="K61" s="9">
        <f t="shared" si="1"/>
        <v>100</v>
      </c>
    </row>
    <row r="62" spans="1:11" ht="15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3"/>
        <v>借</v>
      </c>
      <c r="K62" s="9">
        <f t="shared" si="1"/>
        <v>100</v>
      </c>
    </row>
    <row r="63" spans="1:11" ht="15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3"/>
        <v>借</v>
      </c>
      <c r="K63" s="9">
        <f t="shared" si="1"/>
        <v>100</v>
      </c>
    </row>
    <row r="64" spans="1:11" ht="15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3"/>
        <v>借</v>
      </c>
      <c r="K64" s="9">
        <f t="shared" si="1"/>
        <v>100</v>
      </c>
    </row>
    <row r="65" spans="1:11" ht="15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3"/>
        <v>借</v>
      </c>
      <c r="K65" s="9">
        <f t="shared" si="1"/>
        <v>100</v>
      </c>
    </row>
    <row r="66" spans="1:11" ht="15" customHeight="1" x14ac:dyDescent="0.15">
      <c r="A66" s="10"/>
      <c r="B66" s="5"/>
      <c r="C66" s="10"/>
      <c r="D66" s="10"/>
      <c r="E66" s="10"/>
      <c r="F66" s="10"/>
      <c r="G66" s="10"/>
      <c r="H66" s="8"/>
      <c r="I66" s="8"/>
      <c r="J66" s="8" t="str">
        <f t="shared" si="3"/>
        <v>借</v>
      </c>
      <c r="K66" s="9">
        <f t="shared" si="1"/>
        <v>100</v>
      </c>
    </row>
    <row r="67" spans="1:11" ht="15" customHeight="1" x14ac:dyDescent="0.15">
      <c r="A67" s="10"/>
      <c r="B67" s="5"/>
      <c r="C67" s="10"/>
      <c r="D67" s="10"/>
      <c r="E67" s="10"/>
      <c r="F67" s="14"/>
      <c r="G67" s="14"/>
      <c r="H67" s="8"/>
      <c r="I67" s="8"/>
      <c r="J67" s="8" t="str">
        <f t="shared" si="3"/>
        <v>借</v>
      </c>
      <c r="K67" s="9">
        <f t="shared" si="1"/>
        <v>100</v>
      </c>
    </row>
    <row r="68" spans="1:11" ht="15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3"/>
        <v>借</v>
      </c>
      <c r="K68" s="9">
        <f t="shared" si="1"/>
        <v>100</v>
      </c>
    </row>
    <row r="69" spans="1:11" ht="15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3"/>
        <v>借</v>
      </c>
      <c r="K69" s="9">
        <f t="shared" si="1"/>
        <v>100</v>
      </c>
    </row>
    <row r="70" spans="1:11" ht="15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si="3"/>
        <v>借</v>
      </c>
      <c r="K70" s="9">
        <f t="shared" ref="K70:K133" si="4">K69+H70-I70</f>
        <v>100</v>
      </c>
    </row>
    <row r="71" spans="1:11" ht="15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3"/>
        <v>借</v>
      </c>
      <c r="K71" s="9">
        <f t="shared" si="4"/>
        <v>100</v>
      </c>
    </row>
    <row r="72" spans="1:11" ht="15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3"/>
        <v>借</v>
      </c>
      <c r="K72" s="9">
        <f t="shared" si="4"/>
        <v>100</v>
      </c>
    </row>
    <row r="73" spans="1:11" ht="15" customHeight="1" x14ac:dyDescent="0.15">
      <c r="A73" s="5"/>
      <c r="B73" s="5"/>
      <c r="C73" s="10"/>
      <c r="D73" s="10"/>
      <c r="E73" s="10"/>
      <c r="F73" s="10"/>
      <c r="G73" s="10"/>
      <c r="H73" s="8"/>
      <c r="I73" s="8"/>
      <c r="J73" s="8" t="str">
        <f t="shared" si="3"/>
        <v>借</v>
      </c>
      <c r="K73" s="9">
        <f t="shared" si="4"/>
        <v>100</v>
      </c>
    </row>
    <row r="74" spans="1:11" ht="15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3"/>
        <v>借</v>
      </c>
      <c r="K74" s="9">
        <f t="shared" si="4"/>
        <v>100</v>
      </c>
    </row>
    <row r="75" spans="1:11" ht="15" customHeight="1" x14ac:dyDescent="0.15">
      <c r="A75" s="5"/>
      <c r="B75" s="5"/>
      <c r="C75" s="10"/>
      <c r="D75" s="10"/>
      <c r="E75" s="10"/>
      <c r="F75" s="14"/>
      <c r="G75" s="14"/>
      <c r="H75" s="8"/>
      <c r="I75" s="8"/>
      <c r="J75" s="8" t="str">
        <f t="shared" si="3"/>
        <v>借</v>
      </c>
      <c r="K75" s="9">
        <f t="shared" si="4"/>
        <v>100</v>
      </c>
    </row>
    <row r="76" spans="1:11" ht="15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3"/>
        <v>借</v>
      </c>
      <c r="K76" s="9">
        <f t="shared" si="4"/>
        <v>100</v>
      </c>
    </row>
    <row r="77" spans="1:11" ht="15" customHeight="1" x14ac:dyDescent="0.15">
      <c r="A77" s="10"/>
      <c r="B77" s="5"/>
      <c r="C77" s="5"/>
      <c r="D77" s="10"/>
      <c r="E77" s="10"/>
      <c r="F77" s="14"/>
      <c r="G77" s="14"/>
      <c r="H77" s="8"/>
      <c r="I77" s="8"/>
      <c r="J77" s="8" t="str">
        <f t="shared" si="3"/>
        <v>借</v>
      </c>
      <c r="K77" s="9">
        <f t="shared" si="4"/>
        <v>100</v>
      </c>
    </row>
    <row r="78" spans="1:11" ht="15" customHeight="1" x14ac:dyDescent="0.15">
      <c r="A78" s="5"/>
      <c r="B78" s="5"/>
      <c r="C78" s="5"/>
      <c r="D78" s="10"/>
      <c r="E78" s="10"/>
      <c r="F78" s="10"/>
      <c r="G78" s="10"/>
      <c r="H78" s="8"/>
      <c r="I78" s="15"/>
      <c r="J78" s="8" t="str">
        <f t="shared" si="3"/>
        <v>借</v>
      </c>
      <c r="K78" s="9">
        <f t="shared" si="4"/>
        <v>100</v>
      </c>
    </row>
    <row r="79" spans="1:11" ht="15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3"/>
        <v>借</v>
      </c>
      <c r="K79" s="9">
        <f t="shared" si="4"/>
        <v>100</v>
      </c>
    </row>
    <row r="80" spans="1:11" ht="15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3"/>
        <v>借</v>
      </c>
      <c r="K80" s="9">
        <f t="shared" si="4"/>
        <v>100</v>
      </c>
    </row>
    <row r="81" spans="1:11" ht="15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3"/>
        <v>借</v>
      </c>
      <c r="K81" s="9">
        <f t="shared" si="4"/>
        <v>100</v>
      </c>
    </row>
    <row r="82" spans="1:11" ht="15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3"/>
        <v>借</v>
      </c>
      <c r="K82" s="9">
        <f t="shared" si="4"/>
        <v>100</v>
      </c>
    </row>
    <row r="83" spans="1:11" ht="15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3"/>
        <v>借</v>
      </c>
      <c r="K83" s="9">
        <f t="shared" si="4"/>
        <v>100</v>
      </c>
    </row>
    <row r="84" spans="1:11" ht="15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3"/>
        <v>借</v>
      </c>
      <c r="K84" s="9">
        <f t="shared" si="4"/>
        <v>100</v>
      </c>
    </row>
    <row r="85" spans="1:11" ht="15" customHeight="1" x14ac:dyDescent="0.15">
      <c r="A85" s="10"/>
      <c r="B85" s="5"/>
      <c r="C85" s="5"/>
      <c r="D85" s="10"/>
      <c r="E85" s="10"/>
      <c r="F85" s="10"/>
      <c r="G85" s="10"/>
      <c r="H85" s="8"/>
      <c r="I85" s="8"/>
      <c r="J85" s="8" t="str">
        <f t="shared" si="3"/>
        <v>借</v>
      </c>
      <c r="K85" s="9">
        <f t="shared" si="4"/>
        <v>100</v>
      </c>
    </row>
    <row r="86" spans="1:11" ht="15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3"/>
        <v>借</v>
      </c>
      <c r="K86" s="9">
        <f t="shared" si="4"/>
        <v>100</v>
      </c>
    </row>
    <row r="87" spans="1:11" ht="15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3"/>
        <v>借</v>
      </c>
      <c r="K87" s="9">
        <f t="shared" si="4"/>
        <v>100</v>
      </c>
    </row>
    <row r="88" spans="1:11" ht="15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3"/>
        <v>借</v>
      </c>
      <c r="K88" s="9">
        <f t="shared" si="4"/>
        <v>100</v>
      </c>
    </row>
    <row r="89" spans="1:11" ht="15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3"/>
        <v>借</v>
      </c>
      <c r="K89" s="9">
        <f t="shared" si="4"/>
        <v>100</v>
      </c>
    </row>
    <row r="90" spans="1:11" ht="15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3"/>
        <v>借</v>
      </c>
      <c r="K90" s="9">
        <f t="shared" si="4"/>
        <v>100</v>
      </c>
    </row>
    <row r="91" spans="1:11" ht="15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3"/>
        <v>借</v>
      </c>
      <c r="K91" s="9">
        <f t="shared" si="4"/>
        <v>100</v>
      </c>
    </row>
    <row r="92" spans="1:11" ht="15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3"/>
        <v>借</v>
      </c>
      <c r="K92" s="9">
        <f t="shared" si="4"/>
        <v>100</v>
      </c>
    </row>
    <row r="93" spans="1:11" ht="15" customHeight="1" x14ac:dyDescent="0.15">
      <c r="A93" s="10"/>
      <c r="B93" s="5"/>
      <c r="C93" s="5"/>
      <c r="D93" s="10"/>
      <c r="E93" s="10"/>
      <c r="F93" s="10"/>
      <c r="G93" s="10"/>
      <c r="H93" s="8"/>
      <c r="I93" s="8"/>
      <c r="J93" s="8" t="str">
        <f t="shared" si="3"/>
        <v>借</v>
      </c>
      <c r="K93" s="9">
        <f t="shared" si="4"/>
        <v>100</v>
      </c>
    </row>
    <row r="94" spans="1:11" ht="15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3"/>
        <v>借</v>
      </c>
      <c r="K94" s="9">
        <f t="shared" si="4"/>
        <v>100</v>
      </c>
    </row>
    <row r="95" spans="1:11" ht="15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3"/>
        <v>借</v>
      </c>
      <c r="K95" s="9">
        <f t="shared" si="4"/>
        <v>100</v>
      </c>
    </row>
    <row r="96" spans="1:11" ht="15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3"/>
        <v>借</v>
      </c>
      <c r="K96" s="9">
        <f t="shared" si="4"/>
        <v>100</v>
      </c>
    </row>
    <row r="97" spans="1:11" ht="15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3"/>
        <v>借</v>
      </c>
      <c r="K97" s="9">
        <f t="shared" si="4"/>
        <v>100</v>
      </c>
    </row>
    <row r="98" spans="1:11" ht="15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3"/>
        <v>借</v>
      </c>
      <c r="K98" s="9">
        <f t="shared" si="4"/>
        <v>100</v>
      </c>
    </row>
    <row r="99" spans="1:11" ht="15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3"/>
        <v>借</v>
      </c>
      <c r="K99" s="9">
        <f t="shared" si="4"/>
        <v>100</v>
      </c>
    </row>
    <row r="100" spans="1:11" ht="15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3"/>
        <v>借</v>
      </c>
      <c r="K100" s="9">
        <f t="shared" si="4"/>
        <v>100</v>
      </c>
    </row>
    <row r="101" spans="1:11" ht="15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3"/>
        <v>借</v>
      </c>
      <c r="K101" s="9">
        <f t="shared" si="4"/>
        <v>100</v>
      </c>
    </row>
    <row r="102" spans="1:11" ht="15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3"/>
        <v>借</v>
      </c>
      <c r="K102" s="9">
        <f t="shared" si="4"/>
        <v>100</v>
      </c>
    </row>
    <row r="103" spans="1:11" ht="15" customHeight="1" x14ac:dyDescent="0.15">
      <c r="A103" s="10"/>
      <c r="B103" s="5"/>
      <c r="C103" s="5"/>
      <c r="D103" s="10"/>
      <c r="E103" s="10"/>
      <c r="F103" s="10"/>
      <c r="G103" s="10"/>
      <c r="H103" s="8"/>
      <c r="I103" s="8"/>
      <c r="J103" s="8" t="str">
        <f t="shared" si="3"/>
        <v>借</v>
      </c>
      <c r="K103" s="9">
        <f t="shared" si="4"/>
        <v>100</v>
      </c>
    </row>
    <row r="104" spans="1:11" ht="15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3"/>
        <v>借</v>
      </c>
      <c r="K104" s="9">
        <f t="shared" si="4"/>
        <v>100</v>
      </c>
    </row>
    <row r="105" spans="1:11" ht="15" customHeight="1" x14ac:dyDescent="0.15">
      <c r="A105" s="5"/>
      <c r="B105" s="5"/>
      <c r="C105" s="5"/>
      <c r="D105" s="10"/>
      <c r="E105" s="16"/>
      <c r="F105" s="10"/>
      <c r="G105" s="10"/>
      <c r="H105" s="8"/>
      <c r="I105" s="8"/>
      <c r="J105" s="8" t="str">
        <f t="shared" si="3"/>
        <v>借</v>
      </c>
      <c r="K105" s="9">
        <f t="shared" si="4"/>
        <v>100</v>
      </c>
    </row>
    <row r="106" spans="1:11" ht="15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3"/>
        <v>借</v>
      </c>
      <c r="K106" s="9">
        <f t="shared" si="4"/>
        <v>100</v>
      </c>
    </row>
    <row r="107" spans="1:11" ht="15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3"/>
        <v>借</v>
      </c>
      <c r="K107" s="9">
        <f t="shared" si="4"/>
        <v>100</v>
      </c>
    </row>
    <row r="108" spans="1:11" ht="15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3"/>
        <v>借</v>
      </c>
      <c r="K108" s="9">
        <f t="shared" si="4"/>
        <v>100</v>
      </c>
    </row>
    <row r="109" spans="1:11" ht="15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3"/>
        <v>借</v>
      </c>
      <c r="K109" s="9">
        <f t="shared" si="4"/>
        <v>100</v>
      </c>
    </row>
    <row r="110" spans="1:11" ht="15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3"/>
        <v>借</v>
      </c>
      <c r="K110" s="9">
        <f t="shared" si="4"/>
        <v>100</v>
      </c>
    </row>
    <row r="111" spans="1:11" ht="15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3"/>
        <v>借</v>
      </c>
      <c r="K111" s="9">
        <f t="shared" si="4"/>
        <v>100</v>
      </c>
    </row>
    <row r="112" spans="1:11" ht="15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3"/>
        <v>借</v>
      </c>
      <c r="K112" s="9">
        <f t="shared" si="4"/>
        <v>100</v>
      </c>
    </row>
    <row r="113" spans="1:11" ht="15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3"/>
        <v>借</v>
      </c>
      <c r="K113" s="9">
        <f t="shared" si="4"/>
        <v>100</v>
      </c>
    </row>
    <row r="114" spans="1:11" ht="15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3"/>
        <v>借</v>
      </c>
      <c r="K114" s="9">
        <f t="shared" si="4"/>
        <v>100</v>
      </c>
    </row>
    <row r="115" spans="1:11" ht="15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3"/>
        <v>借</v>
      </c>
      <c r="K115" s="9">
        <f t="shared" si="4"/>
        <v>100</v>
      </c>
    </row>
    <row r="116" spans="1:11" ht="15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3"/>
        <v>借</v>
      </c>
      <c r="K116" s="9">
        <f t="shared" si="4"/>
        <v>100</v>
      </c>
    </row>
    <row r="117" spans="1:11" ht="15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3"/>
        <v>借</v>
      </c>
      <c r="K117" s="9">
        <f t="shared" si="4"/>
        <v>100</v>
      </c>
    </row>
    <row r="118" spans="1:11" ht="15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ref="J118:J181" si="5">IF((K117+H118-I118)&gt;0,"借","贷")</f>
        <v>借</v>
      </c>
      <c r="K118" s="9">
        <f t="shared" si="4"/>
        <v>100</v>
      </c>
    </row>
    <row r="119" spans="1:11" ht="15" customHeight="1" x14ac:dyDescent="0.15">
      <c r="A119" s="10"/>
      <c r="B119" s="5"/>
      <c r="C119" s="5"/>
      <c r="D119" s="10"/>
      <c r="E119" s="10"/>
      <c r="F119" s="10"/>
      <c r="G119" s="10"/>
      <c r="H119" s="8"/>
      <c r="I119" s="8"/>
      <c r="J119" s="8" t="str">
        <f t="shared" si="5"/>
        <v>借</v>
      </c>
      <c r="K119" s="9">
        <f t="shared" si="4"/>
        <v>100</v>
      </c>
    </row>
    <row r="120" spans="1:11" ht="15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5"/>
        <v>借</v>
      </c>
      <c r="K120" s="9">
        <f t="shared" si="4"/>
        <v>100</v>
      </c>
    </row>
    <row r="121" spans="1:11" ht="15" customHeight="1" x14ac:dyDescent="0.15">
      <c r="A121" s="10"/>
      <c r="B121" s="5"/>
      <c r="C121" s="10"/>
      <c r="D121" s="10"/>
      <c r="E121" s="10"/>
      <c r="F121" s="10"/>
      <c r="G121" s="10"/>
      <c r="H121" s="8"/>
      <c r="I121" s="8"/>
      <c r="J121" s="8" t="str">
        <f t="shared" si="5"/>
        <v>借</v>
      </c>
      <c r="K121" s="9">
        <f t="shared" si="4"/>
        <v>100</v>
      </c>
    </row>
    <row r="122" spans="1:11" ht="15" customHeight="1" x14ac:dyDescent="0.15">
      <c r="A122" s="10"/>
      <c r="B122" s="5"/>
      <c r="C122" s="10"/>
      <c r="D122" s="10"/>
      <c r="E122" s="17"/>
      <c r="F122" s="10"/>
      <c r="G122" s="10"/>
      <c r="H122" s="8"/>
      <c r="I122" s="8"/>
      <c r="J122" s="8" t="str">
        <f t="shared" si="5"/>
        <v>借</v>
      </c>
      <c r="K122" s="9">
        <f t="shared" si="4"/>
        <v>100</v>
      </c>
    </row>
    <row r="123" spans="1:11" ht="15" customHeight="1" x14ac:dyDescent="0.15">
      <c r="A123" s="5"/>
      <c r="B123" s="5"/>
      <c r="C123" s="10"/>
      <c r="D123" s="10"/>
      <c r="E123" s="10"/>
      <c r="F123" s="10"/>
      <c r="G123" s="10"/>
      <c r="H123" s="8"/>
      <c r="I123" s="8"/>
      <c r="J123" s="8" t="str">
        <f t="shared" si="5"/>
        <v>借</v>
      </c>
      <c r="K123" s="9">
        <f t="shared" si="4"/>
        <v>100</v>
      </c>
    </row>
    <row r="124" spans="1:11" ht="15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5"/>
        <v>借</v>
      </c>
      <c r="K124" s="9">
        <f t="shared" si="4"/>
        <v>100</v>
      </c>
    </row>
    <row r="125" spans="1:11" ht="15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5"/>
        <v>借</v>
      </c>
      <c r="K125" s="9">
        <f t="shared" si="4"/>
        <v>100</v>
      </c>
    </row>
    <row r="126" spans="1:11" ht="15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5"/>
        <v>借</v>
      </c>
      <c r="K126" s="9">
        <f t="shared" si="4"/>
        <v>100</v>
      </c>
    </row>
    <row r="127" spans="1:11" ht="15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5"/>
        <v>借</v>
      </c>
      <c r="K127" s="9">
        <f t="shared" si="4"/>
        <v>100</v>
      </c>
    </row>
    <row r="128" spans="1:11" ht="15" customHeight="1" x14ac:dyDescent="0.15">
      <c r="A128" s="5"/>
      <c r="B128" s="5"/>
      <c r="C128" s="5"/>
      <c r="D128" s="10"/>
      <c r="E128" s="16"/>
      <c r="F128" s="10"/>
      <c r="G128" s="10"/>
      <c r="H128" s="8"/>
      <c r="I128" s="8"/>
      <c r="J128" s="8" t="str">
        <f t="shared" si="5"/>
        <v>借</v>
      </c>
      <c r="K128" s="9">
        <f t="shared" si="4"/>
        <v>100</v>
      </c>
    </row>
    <row r="129" spans="1:11" ht="15" customHeight="1" x14ac:dyDescent="0.15">
      <c r="A129" s="10"/>
      <c r="B129" s="5"/>
      <c r="C129" s="5"/>
      <c r="D129" s="10"/>
      <c r="E129" s="16"/>
      <c r="F129" s="10"/>
      <c r="G129" s="10"/>
      <c r="H129" s="8"/>
      <c r="I129" s="8"/>
      <c r="J129" s="8" t="str">
        <f t="shared" si="5"/>
        <v>借</v>
      </c>
      <c r="K129" s="9">
        <f t="shared" si="4"/>
        <v>100</v>
      </c>
    </row>
    <row r="130" spans="1:11" ht="15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5"/>
        <v>借</v>
      </c>
      <c r="K130" s="9">
        <f t="shared" si="4"/>
        <v>100</v>
      </c>
    </row>
    <row r="131" spans="1:11" ht="15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5"/>
        <v>借</v>
      </c>
      <c r="K131" s="9">
        <f t="shared" si="4"/>
        <v>100</v>
      </c>
    </row>
    <row r="132" spans="1:11" ht="15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5"/>
        <v>借</v>
      </c>
      <c r="K132" s="9">
        <f t="shared" si="4"/>
        <v>100</v>
      </c>
    </row>
    <row r="133" spans="1:11" ht="15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5"/>
        <v>借</v>
      </c>
      <c r="K133" s="9">
        <f t="shared" si="4"/>
        <v>100</v>
      </c>
    </row>
    <row r="134" spans="1:11" ht="15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5"/>
        <v>借</v>
      </c>
      <c r="K134" s="9">
        <f t="shared" ref="K134:K171" si="6">K133+H134-I134</f>
        <v>100</v>
      </c>
    </row>
    <row r="135" spans="1:11" ht="15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5"/>
        <v>借</v>
      </c>
      <c r="K135" s="9">
        <f t="shared" si="6"/>
        <v>100</v>
      </c>
    </row>
    <row r="136" spans="1:11" ht="15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5"/>
        <v>借</v>
      </c>
      <c r="K136" s="9">
        <f t="shared" si="6"/>
        <v>100</v>
      </c>
    </row>
    <row r="137" spans="1:11" ht="15" customHeight="1" x14ac:dyDescent="0.15">
      <c r="A137" s="10"/>
      <c r="B137" s="5"/>
      <c r="C137" s="5"/>
      <c r="D137" s="10"/>
      <c r="E137" s="10"/>
      <c r="F137" s="10"/>
      <c r="G137" s="10"/>
      <c r="H137" s="8"/>
      <c r="I137" s="8"/>
      <c r="J137" s="8" t="str">
        <f t="shared" si="5"/>
        <v>借</v>
      </c>
      <c r="K137" s="9">
        <f t="shared" si="6"/>
        <v>100</v>
      </c>
    </row>
    <row r="138" spans="1:11" ht="15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5"/>
        <v>借</v>
      </c>
      <c r="K138" s="9">
        <f t="shared" si="6"/>
        <v>100</v>
      </c>
    </row>
    <row r="139" spans="1:11" ht="15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5"/>
        <v>借</v>
      </c>
      <c r="K139" s="9">
        <f t="shared" si="6"/>
        <v>100</v>
      </c>
    </row>
    <row r="140" spans="1:11" ht="15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5"/>
        <v>借</v>
      </c>
      <c r="K140" s="9">
        <f t="shared" si="6"/>
        <v>100</v>
      </c>
    </row>
    <row r="141" spans="1:11" ht="15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5"/>
        <v>借</v>
      </c>
      <c r="K141" s="9">
        <f t="shared" si="6"/>
        <v>100</v>
      </c>
    </row>
    <row r="142" spans="1:11" ht="15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5"/>
        <v>借</v>
      </c>
      <c r="K142" s="9">
        <f t="shared" si="6"/>
        <v>100</v>
      </c>
    </row>
    <row r="143" spans="1:11" ht="15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5"/>
        <v>借</v>
      </c>
      <c r="K143" s="9">
        <f t="shared" si="6"/>
        <v>100</v>
      </c>
    </row>
    <row r="144" spans="1:11" ht="15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5"/>
        <v>借</v>
      </c>
      <c r="K144" s="9">
        <f t="shared" si="6"/>
        <v>100</v>
      </c>
    </row>
    <row r="145" spans="1:11" ht="15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5"/>
        <v>借</v>
      </c>
      <c r="K145" s="9">
        <f t="shared" si="6"/>
        <v>100</v>
      </c>
    </row>
    <row r="146" spans="1:11" ht="15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5"/>
        <v>借</v>
      </c>
      <c r="K146" s="9">
        <f t="shared" si="6"/>
        <v>100</v>
      </c>
    </row>
    <row r="147" spans="1:11" ht="15" customHeight="1" x14ac:dyDescent="0.15">
      <c r="A147" s="10"/>
      <c r="B147" s="5"/>
      <c r="C147" s="5"/>
      <c r="D147" s="10"/>
      <c r="E147" s="10"/>
      <c r="F147" s="10"/>
      <c r="G147" s="10"/>
      <c r="H147" s="8"/>
      <c r="I147" s="8"/>
      <c r="J147" s="8" t="str">
        <f t="shared" si="5"/>
        <v>借</v>
      </c>
      <c r="K147" s="9">
        <f t="shared" si="6"/>
        <v>100</v>
      </c>
    </row>
    <row r="148" spans="1:11" ht="15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5"/>
        <v>借</v>
      </c>
      <c r="K148" s="9">
        <f t="shared" si="6"/>
        <v>100</v>
      </c>
    </row>
    <row r="149" spans="1:11" ht="15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5"/>
        <v>借</v>
      </c>
      <c r="K149" s="9">
        <f t="shared" si="6"/>
        <v>100</v>
      </c>
    </row>
    <row r="150" spans="1:11" ht="15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5"/>
        <v>借</v>
      </c>
      <c r="K150" s="9">
        <f t="shared" si="6"/>
        <v>100</v>
      </c>
    </row>
    <row r="151" spans="1:11" ht="15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5"/>
        <v>借</v>
      </c>
      <c r="K151" s="9">
        <f t="shared" si="6"/>
        <v>100</v>
      </c>
    </row>
    <row r="152" spans="1:11" ht="15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5"/>
        <v>借</v>
      </c>
      <c r="K152" s="9">
        <f t="shared" si="6"/>
        <v>100</v>
      </c>
    </row>
    <row r="153" spans="1:11" ht="15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5"/>
        <v>借</v>
      </c>
      <c r="K153" s="9">
        <f t="shared" si="6"/>
        <v>100</v>
      </c>
    </row>
    <row r="154" spans="1:11" ht="15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5"/>
        <v>借</v>
      </c>
      <c r="K154" s="9">
        <f t="shared" si="6"/>
        <v>100</v>
      </c>
    </row>
    <row r="155" spans="1:11" ht="15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5"/>
        <v>借</v>
      </c>
      <c r="K155" s="9">
        <f t="shared" si="6"/>
        <v>100</v>
      </c>
    </row>
    <row r="156" spans="1:11" ht="15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5"/>
        <v>借</v>
      </c>
      <c r="K156" s="9">
        <f t="shared" si="6"/>
        <v>100</v>
      </c>
    </row>
    <row r="157" spans="1:11" ht="15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5"/>
        <v>借</v>
      </c>
      <c r="K157" s="9">
        <f t="shared" si="6"/>
        <v>100</v>
      </c>
    </row>
    <row r="158" spans="1:11" ht="15" customHeight="1" x14ac:dyDescent="0.15">
      <c r="A158" s="10"/>
      <c r="B158" s="5"/>
      <c r="C158" s="5"/>
      <c r="D158" s="10"/>
      <c r="E158" s="10"/>
      <c r="F158" s="10"/>
      <c r="G158" s="10"/>
      <c r="H158" s="8"/>
      <c r="I158" s="8"/>
      <c r="J158" s="8" t="str">
        <f t="shared" si="5"/>
        <v>借</v>
      </c>
      <c r="K158" s="9">
        <f t="shared" si="6"/>
        <v>100</v>
      </c>
    </row>
    <row r="159" spans="1:11" ht="15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5"/>
        <v>借</v>
      </c>
      <c r="K159" s="9">
        <f t="shared" si="6"/>
        <v>100</v>
      </c>
    </row>
    <row r="160" spans="1:11" ht="15" customHeight="1" x14ac:dyDescent="0.15">
      <c r="A160" s="10"/>
      <c r="B160" s="5"/>
      <c r="C160" s="5"/>
      <c r="D160" s="10"/>
      <c r="E160" s="18"/>
      <c r="F160" s="10"/>
      <c r="G160" s="10"/>
      <c r="H160" s="8"/>
      <c r="I160" s="8"/>
      <c r="J160" s="8" t="str">
        <f t="shared" si="5"/>
        <v>借</v>
      </c>
      <c r="K160" s="9">
        <f t="shared" si="6"/>
        <v>100</v>
      </c>
    </row>
    <row r="161" spans="1:11" ht="15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5"/>
        <v>借</v>
      </c>
      <c r="K161" s="9">
        <f t="shared" si="6"/>
        <v>100</v>
      </c>
    </row>
    <row r="162" spans="1:11" ht="15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5"/>
        <v>借</v>
      </c>
      <c r="K162" s="9">
        <f t="shared" si="6"/>
        <v>100</v>
      </c>
    </row>
    <row r="163" spans="1:11" ht="15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5"/>
        <v>借</v>
      </c>
      <c r="K163" s="9">
        <f t="shared" si="6"/>
        <v>100</v>
      </c>
    </row>
    <row r="164" spans="1:11" ht="15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5"/>
        <v>借</v>
      </c>
      <c r="K164" s="9">
        <f t="shared" si="6"/>
        <v>100</v>
      </c>
    </row>
    <row r="165" spans="1:11" ht="15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5"/>
        <v>借</v>
      </c>
      <c r="K165" s="9">
        <f t="shared" si="6"/>
        <v>100</v>
      </c>
    </row>
    <row r="166" spans="1:11" ht="15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5"/>
        <v>借</v>
      </c>
      <c r="K166" s="9">
        <f t="shared" si="6"/>
        <v>100</v>
      </c>
    </row>
    <row r="167" spans="1:11" ht="15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5"/>
        <v>借</v>
      </c>
      <c r="K167" s="9">
        <f t="shared" si="6"/>
        <v>100</v>
      </c>
    </row>
    <row r="168" spans="1:11" ht="15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5"/>
        <v>借</v>
      </c>
      <c r="K168" s="9">
        <f t="shared" si="6"/>
        <v>100</v>
      </c>
    </row>
    <row r="169" spans="1:11" ht="15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5"/>
        <v>借</v>
      </c>
      <c r="K169" s="9">
        <f t="shared" si="6"/>
        <v>100</v>
      </c>
    </row>
    <row r="170" spans="1:11" ht="15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5"/>
        <v>借</v>
      </c>
      <c r="K170" s="9">
        <f t="shared" si="6"/>
        <v>100</v>
      </c>
    </row>
    <row r="171" spans="1:11" ht="15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5"/>
        <v>借</v>
      </c>
      <c r="K171" s="9">
        <f t="shared" si="6"/>
        <v>100</v>
      </c>
    </row>
    <row r="172" spans="1:11" ht="15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5"/>
        <v>借</v>
      </c>
      <c r="K172" s="9">
        <f t="shared" ref="K172:K235" si="7">_xlfn.IFS(J171="借",K171+H172-I172,J171="贷",H172-I172-K171)</f>
        <v>100</v>
      </c>
    </row>
    <row r="173" spans="1:11" ht="15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5"/>
        <v>借</v>
      </c>
      <c r="K173" s="9">
        <f t="shared" si="7"/>
        <v>100</v>
      </c>
    </row>
    <row r="174" spans="1:11" ht="15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5"/>
        <v>借</v>
      </c>
      <c r="K174" s="9">
        <f t="shared" si="7"/>
        <v>100</v>
      </c>
    </row>
    <row r="175" spans="1:11" ht="15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5"/>
        <v>借</v>
      </c>
      <c r="K175" s="9">
        <f t="shared" si="7"/>
        <v>100</v>
      </c>
    </row>
    <row r="176" spans="1:11" ht="15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5"/>
        <v>借</v>
      </c>
      <c r="K176" s="9">
        <f t="shared" si="7"/>
        <v>100</v>
      </c>
    </row>
    <row r="177" spans="1:11" ht="15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5"/>
        <v>借</v>
      </c>
      <c r="K177" s="9">
        <f t="shared" si="7"/>
        <v>100</v>
      </c>
    </row>
    <row r="178" spans="1:11" ht="15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5"/>
        <v>借</v>
      </c>
      <c r="K178" s="9">
        <f t="shared" si="7"/>
        <v>100</v>
      </c>
    </row>
    <row r="179" spans="1:11" ht="15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5"/>
        <v>借</v>
      </c>
      <c r="K179" s="9">
        <f t="shared" si="7"/>
        <v>100</v>
      </c>
    </row>
    <row r="180" spans="1:11" ht="15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5"/>
        <v>借</v>
      </c>
      <c r="K180" s="9">
        <f t="shared" si="7"/>
        <v>100</v>
      </c>
    </row>
    <row r="181" spans="1:11" ht="15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5"/>
        <v>借</v>
      </c>
      <c r="K181" s="9">
        <f t="shared" si="7"/>
        <v>100</v>
      </c>
    </row>
    <row r="182" spans="1:11" ht="15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ref="J182:J245" si="8">IF((K181+H182-I182)&gt;0,"借","贷")</f>
        <v>借</v>
      </c>
      <c r="K182" s="9">
        <f t="shared" si="7"/>
        <v>100</v>
      </c>
    </row>
    <row r="183" spans="1:11" ht="15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7"/>
        <v>100</v>
      </c>
    </row>
    <row r="184" spans="1:11" ht="15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7"/>
        <v>100</v>
      </c>
    </row>
    <row r="185" spans="1:11" ht="15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7"/>
        <v>100</v>
      </c>
    </row>
    <row r="186" spans="1:11" ht="15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7"/>
        <v>100</v>
      </c>
    </row>
    <row r="187" spans="1:11" ht="15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7"/>
        <v>100</v>
      </c>
    </row>
    <row r="188" spans="1:11" ht="15" customHeight="1" x14ac:dyDescent="0.15">
      <c r="A188" s="10"/>
      <c r="B188" s="5"/>
      <c r="C188" s="10"/>
      <c r="D188" s="10"/>
      <c r="E188" s="19"/>
      <c r="F188" s="10"/>
      <c r="G188" s="10"/>
      <c r="H188" s="8"/>
      <c r="I188" s="8"/>
      <c r="J188" s="8" t="str">
        <f t="shared" si="8"/>
        <v>借</v>
      </c>
      <c r="K188" s="9">
        <f t="shared" si="7"/>
        <v>100</v>
      </c>
    </row>
    <row r="189" spans="1:11" ht="15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7"/>
        <v>100</v>
      </c>
    </row>
    <row r="190" spans="1:11" ht="15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8"/>
        <v>借</v>
      </c>
      <c r="K190" s="9">
        <f t="shared" si="7"/>
        <v>100</v>
      </c>
    </row>
    <row r="191" spans="1:11" ht="15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7"/>
        <v>100</v>
      </c>
    </row>
    <row r="192" spans="1:11" ht="15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7"/>
        <v>100</v>
      </c>
    </row>
    <row r="193" spans="1:11" ht="15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7"/>
        <v>100</v>
      </c>
    </row>
    <row r="194" spans="1:11" ht="15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7"/>
        <v>100</v>
      </c>
    </row>
    <row r="195" spans="1:11" ht="15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7"/>
        <v>100</v>
      </c>
    </row>
    <row r="196" spans="1:11" ht="15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7"/>
        <v>100</v>
      </c>
    </row>
    <row r="197" spans="1:11" ht="15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7"/>
        <v>100</v>
      </c>
    </row>
    <row r="198" spans="1:11" ht="15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7"/>
        <v>100</v>
      </c>
    </row>
    <row r="199" spans="1:11" ht="15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8"/>
        <v>借</v>
      </c>
      <c r="K199" s="9">
        <f t="shared" si="7"/>
        <v>100</v>
      </c>
    </row>
    <row r="200" spans="1:11" ht="15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8"/>
        <v>借</v>
      </c>
      <c r="K200" s="9">
        <f t="shared" si="7"/>
        <v>100</v>
      </c>
    </row>
    <row r="201" spans="1:11" ht="15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8"/>
        <v>借</v>
      </c>
      <c r="K201" s="9">
        <f t="shared" si="7"/>
        <v>100</v>
      </c>
    </row>
    <row r="202" spans="1:11" ht="15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7"/>
        <v>100</v>
      </c>
    </row>
    <row r="203" spans="1:11" ht="15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7"/>
        <v>100</v>
      </c>
    </row>
    <row r="204" spans="1:11" ht="15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7"/>
        <v>100</v>
      </c>
    </row>
    <row r="205" spans="1:11" ht="15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7"/>
        <v>100</v>
      </c>
    </row>
    <row r="206" spans="1:11" ht="15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7"/>
        <v>100</v>
      </c>
    </row>
    <row r="207" spans="1:11" ht="15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7"/>
        <v>100</v>
      </c>
    </row>
    <row r="208" spans="1:11" ht="15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7"/>
        <v>100</v>
      </c>
    </row>
    <row r="209" spans="1:11" ht="15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7"/>
        <v>100</v>
      </c>
    </row>
    <row r="210" spans="1:11" ht="15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7"/>
        <v>100</v>
      </c>
    </row>
    <row r="211" spans="1:11" ht="15" customHeight="1" x14ac:dyDescent="0.15">
      <c r="A211" s="10"/>
      <c r="B211" s="5"/>
      <c r="C211" s="10"/>
      <c r="D211" s="10"/>
      <c r="E211" s="20"/>
      <c r="F211" s="10"/>
      <c r="G211" s="10"/>
      <c r="H211" s="8"/>
      <c r="I211" s="8"/>
      <c r="J211" s="8" t="str">
        <f t="shared" si="8"/>
        <v>借</v>
      </c>
      <c r="K211" s="9">
        <f t="shared" si="7"/>
        <v>100</v>
      </c>
    </row>
    <row r="212" spans="1:11" ht="15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8"/>
        <v>借</v>
      </c>
      <c r="K212" s="9">
        <f t="shared" si="7"/>
        <v>100</v>
      </c>
    </row>
    <row r="213" spans="1:11" ht="15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8"/>
        <v>借</v>
      </c>
      <c r="K213" s="9">
        <f t="shared" si="7"/>
        <v>100</v>
      </c>
    </row>
    <row r="214" spans="1:11" ht="15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8"/>
        <v>借</v>
      </c>
      <c r="K214" s="9">
        <f t="shared" si="7"/>
        <v>100</v>
      </c>
    </row>
    <row r="215" spans="1:11" ht="15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8"/>
        <v>借</v>
      </c>
      <c r="K215" s="9">
        <f t="shared" si="7"/>
        <v>100</v>
      </c>
    </row>
    <row r="216" spans="1:11" ht="15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7"/>
        <v>100</v>
      </c>
    </row>
    <row r="217" spans="1:11" ht="15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7"/>
        <v>100</v>
      </c>
    </row>
    <row r="218" spans="1:11" ht="15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7"/>
        <v>100</v>
      </c>
    </row>
    <row r="219" spans="1:11" ht="15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7"/>
        <v>100</v>
      </c>
    </row>
    <row r="220" spans="1:11" ht="15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7"/>
        <v>100</v>
      </c>
    </row>
    <row r="221" spans="1:11" ht="15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7"/>
        <v>100</v>
      </c>
    </row>
    <row r="222" spans="1:11" ht="15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7"/>
        <v>100</v>
      </c>
    </row>
    <row r="223" spans="1:11" ht="15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7"/>
        <v>100</v>
      </c>
    </row>
    <row r="224" spans="1:11" ht="15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7"/>
        <v>100</v>
      </c>
    </row>
    <row r="225" spans="1:11" ht="15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7"/>
        <v>100</v>
      </c>
    </row>
    <row r="226" spans="1:11" ht="15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7"/>
        <v>100</v>
      </c>
    </row>
    <row r="227" spans="1:11" ht="15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7"/>
        <v>100</v>
      </c>
    </row>
    <row r="228" spans="1:11" ht="15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7"/>
        <v>100</v>
      </c>
    </row>
    <row r="229" spans="1:11" ht="15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21">
        <f t="shared" si="7"/>
        <v>100</v>
      </c>
    </row>
    <row r="230" spans="1:11" ht="15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7"/>
        <v>100</v>
      </c>
    </row>
    <row r="231" spans="1:11" ht="15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7"/>
        <v>100</v>
      </c>
    </row>
    <row r="232" spans="1:11" ht="15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7"/>
        <v>100</v>
      </c>
    </row>
    <row r="233" spans="1:11" ht="15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21">
        <f t="shared" si="7"/>
        <v>100</v>
      </c>
    </row>
    <row r="234" spans="1:11" ht="15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7"/>
        <v>100</v>
      </c>
    </row>
    <row r="235" spans="1:11" ht="15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7"/>
        <v>100</v>
      </c>
    </row>
    <row r="236" spans="1:11" ht="15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ref="K236:K299" si="9">_xlfn.IFS(J235="借",K235+H236-I236,J235="贷",H236-I236-K235)</f>
        <v>100</v>
      </c>
    </row>
    <row r="237" spans="1:11" ht="15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9">
        <f t="shared" si="9"/>
        <v>100</v>
      </c>
    </row>
    <row r="238" spans="1:11" ht="15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9"/>
        <v>100</v>
      </c>
    </row>
    <row r="239" spans="1:11" ht="15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9"/>
        <v>100</v>
      </c>
    </row>
    <row r="240" spans="1:11" ht="15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si="9"/>
        <v>100</v>
      </c>
    </row>
    <row r="241" spans="1:11" ht="15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23" t="str">
        <f t="shared" si="8"/>
        <v>借</v>
      </c>
      <c r="K241" s="9">
        <f t="shared" si="9"/>
        <v>100</v>
      </c>
    </row>
    <row r="242" spans="1:11" ht="15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8"/>
        <v>借</v>
      </c>
      <c r="K242" s="9">
        <f t="shared" si="9"/>
        <v>100</v>
      </c>
    </row>
    <row r="243" spans="1:11" ht="15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8"/>
        <v>借</v>
      </c>
      <c r="K243" s="9">
        <f t="shared" si="9"/>
        <v>100</v>
      </c>
    </row>
    <row r="244" spans="1:11" ht="15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8"/>
        <v>借</v>
      </c>
      <c r="K244" s="9">
        <f t="shared" si="9"/>
        <v>100</v>
      </c>
    </row>
    <row r="245" spans="1:11" ht="15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100</v>
      </c>
    </row>
    <row r="246" spans="1:11" ht="15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ref="J246:J309" si="10">IF((K245+H246-I246)&gt;0,"借","贷")</f>
        <v>借</v>
      </c>
      <c r="K246" s="9">
        <f t="shared" si="9"/>
        <v>100</v>
      </c>
    </row>
    <row r="247" spans="1:11" ht="15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0"/>
        <v>借</v>
      </c>
      <c r="K247" s="9">
        <f t="shared" si="9"/>
        <v>100</v>
      </c>
    </row>
    <row r="248" spans="1:11" ht="15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0"/>
        <v>借</v>
      </c>
      <c r="K248" s="9">
        <f t="shared" si="9"/>
        <v>100</v>
      </c>
    </row>
    <row r="249" spans="1:11" ht="15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0"/>
        <v>借</v>
      </c>
      <c r="K249" s="9">
        <f t="shared" si="9"/>
        <v>100</v>
      </c>
    </row>
    <row r="250" spans="1:11" ht="15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0"/>
        <v>借</v>
      </c>
      <c r="K250" s="9">
        <f t="shared" si="9"/>
        <v>100</v>
      </c>
    </row>
    <row r="251" spans="1:11" ht="15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0"/>
        <v>借</v>
      </c>
      <c r="K251" s="9">
        <f t="shared" si="9"/>
        <v>100</v>
      </c>
    </row>
    <row r="252" spans="1:11" ht="15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0"/>
        <v>借</v>
      </c>
      <c r="K252" s="9">
        <f t="shared" si="9"/>
        <v>100</v>
      </c>
    </row>
    <row r="253" spans="1:11" ht="15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0"/>
        <v>借</v>
      </c>
      <c r="K253" s="9">
        <f t="shared" si="9"/>
        <v>100</v>
      </c>
    </row>
    <row r="254" spans="1:11" ht="15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0"/>
        <v>借</v>
      </c>
      <c r="K254" s="9">
        <f t="shared" si="9"/>
        <v>100</v>
      </c>
    </row>
    <row r="255" spans="1:11" ht="15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0"/>
        <v>借</v>
      </c>
      <c r="K255" s="9">
        <f t="shared" si="9"/>
        <v>100</v>
      </c>
    </row>
    <row r="256" spans="1:11" ht="15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0"/>
        <v>借</v>
      </c>
      <c r="K256" s="9">
        <f t="shared" si="9"/>
        <v>100</v>
      </c>
    </row>
    <row r="257" spans="1:11" ht="15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0"/>
        <v>借</v>
      </c>
      <c r="K257" s="9">
        <f t="shared" si="9"/>
        <v>100</v>
      </c>
    </row>
    <row r="258" spans="1:11" ht="15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0"/>
        <v>借</v>
      </c>
      <c r="K258" s="9">
        <f t="shared" si="9"/>
        <v>100</v>
      </c>
    </row>
    <row r="259" spans="1:11" ht="15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0"/>
        <v>借</v>
      </c>
      <c r="K259" s="9">
        <f t="shared" si="9"/>
        <v>100</v>
      </c>
    </row>
    <row r="260" spans="1:11" ht="15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0"/>
        <v>借</v>
      </c>
      <c r="K260" s="9">
        <f t="shared" si="9"/>
        <v>100</v>
      </c>
    </row>
    <row r="261" spans="1:11" ht="15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0"/>
        <v>借</v>
      </c>
      <c r="K261" s="9">
        <f t="shared" si="9"/>
        <v>100</v>
      </c>
    </row>
    <row r="262" spans="1:11" ht="15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0"/>
        <v>借</v>
      </c>
      <c r="K262" s="9">
        <f t="shared" si="9"/>
        <v>100</v>
      </c>
    </row>
    <row r="263" spans="1:11" ht="15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0"/>
        <v>借</v>
      </c>
      <c r="K263" s="9">
        <f t="shared" si="9"/>
        <v>100</v>
      </c>
    </row>
    <row r="264" spans="1:11" ht="15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0"/>
        <v>借</v>
      </c>
      <c r="K264" s="9">
        <f t="shared" si="9"/>
        <v>100</v>
      </c>
    </row>
    <row r="265" spans="1:11" ht="15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0"/>
        <v>借</v>
      </c>
      <c r="K265" s="9">
        <f t="shared" si="9"/>
        <v>100</v>
      </c>
    </row>
    <row r="266" spans="1:11" ht="15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9"/>
        <v>100</v>
      </c>
    </row>
    <row r="267" spans="1:11" ht="15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9"/>
        <v>100</v>
      </c>
    </row>
    <row r="268" spans="1:11" ht="15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9"/>
        <v>100</v>
      </c>
    </row>
    <row r="269" spans="1:11" ht="15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9"/>
        <v>100</v>
      </c>
    </row>
    <row r="270" spans="1:11" ht="15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9"/>
        <v>100</v>
      </c>
    </row>
    <row r="271" spans="1:11" ht="15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9"/>
        <v>100</v>
      </c>
    </row>
    <row r="272" spans="1:11" ht="15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9"/>
        <v>100</v>
      </c>
    </row>
    <row r="273" spans="1:11" ht="15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9"/>
        <v>100</v>
      </c>
    </row>
    <row r="274" spans="1:11" ht="15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9"/>
        <v>100</v>
      </c>
    </row>
    <row r="275" spans="1:11" ht="15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9"/>
        <v>100</v>
      </c>
    </row>
    <row r="276" spans="1:11" ht="15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9"/>
        <v>100</v>
      </c>
    </row>
    <row r="277" spans="1:11" ht="15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9"/>
        <v>100</v>
      </c>
    </row>
    <row r="278" spans="1:11" ht="15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9"/>
        <v>100</v>
      </c>
    </row>
    <row r="279" spans="1:11" ht="15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9"/>
        <v>100</v>
      </c>
    </row>
    <row r="280" spans="1:11" ht="15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9"/>
        <v>100</v>
      </c>
    </row>
    <row r="281" spans="1:11" ht="15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9"/>
        <v>100</v>
      </c>
    </row>
    <row r="282" spans="1:11" ht="15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9"/>
        <v>100</v>
      </c>
    </row>
    <row r="283" spans="1:11" ht="15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9"/>
        <v>100</v>
      </c>
    </row>
    <row r="284" spans="1:11" ht="15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9"/>
        <v>100</v>
      </c>
    </row>
    <row r="285" spans="1:11" ht="15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9"/>
        <v>100</v>
      </c>
    </row>
    <row r="286" spans="1:11" ht="15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9"/>
        <v>100</v>
      </c>
    </row>
    <row r="287" spans="1:11" ht="15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9"/>
        <v>100</v>
      </c>
    </row>
    <row r="288" spans="1:11" ht="15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9"/>
        <v>100</v>
      </c>
    </row>
    <row r="289" spans="1:11" ht="15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9"/>
        <v>100</v>
      </c>
    </row>
    <row r="290" spans="1:11" ht="15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9"/>
        <v>100</v>
      </c>
    </row>
    <row r="291" spans="1:11" ht="15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9"/>
        <v>100</v>
      </c>
    </row>
    <row r="292" spans="1:11" ht="15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9"/>
        <v>100</v>
      </c>
    </row>
    <row r="293" spans="1:11" ht="15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9"/>
        <v>100</v>
      </c>
    </row>
    <row r="294" spans="1:11" ht="15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9"/>
        <v>100</v>
      </c>
    </row>
    <row r="295" spans="1:11" ht="15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9"/>
        <v>100</v>
      </c>
    </row>
    <row r="296" spans="1:11" ht="15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9"/>
        <v>100</v>
      </c>
    </row>
    <row r="297" spans="1:11" ht="15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9"/>
        <v>100</v>
      </c>
    </row>
    <row r="298" spans="1:11" ht="15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9"/>
        <v>100</v>
      </c>
    </row>
    <row r="299" spans="1:11" ht="15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9"/>
        <v>100</v>
      </c>
    </row>
    <row r="300" spans="1:11" ht="15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ref="K300:K363" si="11">_xlfn.IFS(J299="借",K299+H300-I300,J299="贷",H300-I300-K299)</f>
        <v>100</v>
      </c>
    </row>
    <row r="301" spans="1:11" ht="15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11"/>
        <v>100</v>
      </c>
    </row>
    <row r="302" spans="1:11" ht="15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11"/>
        <v>100</v>
      </c>
    </row>
    <row r="303" spans="1:11" ht="15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11"/>
        <v>100</v>
      </c>
    </row>
    <row r="304" spans="1:11" ht="15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si="11"/>
        <v>100</v>
      </c>
    </row>
    <row r="305" spans="1:11" ht="15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100</v>
      </c>
    </row>
    <row r="306" spans="1:11" ht="15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100</v>
      </c>
    </row>
    <row r="307" spans="1:11" ht="15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100</v>
      </c>
    </row>
    <row r="308" spans="1:11" ht="15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100</v>
      </c>
    </row>
    <row r="309" spans="1:11" ht="15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100</v>
      </c>
    </row>
    <row r="310" spans="1:11" ht="15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ref="J310:J373" si="12">IF((K309+H310-I310)&gt;0,"借","贷")</f>
        <v>借</v>
      </c>
      <c r="K310" s="9">
        <f t="shared" si="11"/>
        <v>100</v>
      </c>
    </row>
    <row r="311" spans="1:11" ht="15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2"/>
        <v>借</v>
      </c>
      <c r="K311" s="9">
        <f t="shared" si="11"/>
        <v>100</v>
      </c>
    </row>
    <row r="312" spans="1:11" ht="15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2"/>
        <v>借</v>
      </c>
      <c r="K312" s="9">
        <f t="shared" si="11"/>
        <v>100</v>
      </c>
    </row>
    <row r="313" spans="1:11" ht="15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2"/>
        <v>借</v>
      </c>
      <c r="K313" s="9">
        <f t="shared" si="11"/>
        <v>100</v>
      </c>
    </row>
    <row r="314" spans="1:11" ht="15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2"/>
        <v>借</v>
      </c>
      <c r="K314" s="9">
        <f t="shared" si="11"/>
        <v>100</v>
      </c>
    </row>
    <row r="315" spans="1:11" ht="15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2"/>
        <v>借</v>
      </c>
      <c r="K315" s="9">
        <f t="shared" si="11"/>
        <v>100</v>
      </c>
    </row>
    <row r="316" spans="1:11" ht="15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2"/>
        <v>借</v>
      </c>
      <c r="K316" s="9">
        <f t="shared" si="11"/>
        <v>100</v>
      </c>
    </row>
    <row r="317" spans="1:11" ht="15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2"/>
        <v>借</v>
      </c>
      <c r="K317" s="9">
        <f t="shared" si="11"/>
        <v>100</v>
      </c>
    </row>
    <row r="318" spans="1:11" ht="15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2"/>
        <v>借</v>
      </c>
      <c r="K318" s="9">
        <f t="shared" si="11"/>
        <v>100</v>
      </c>
    </row>
    <row r="319" spans="1:11" ht="15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2"/>
        <v>借</v>
      </c>
      <c r="K319" s="9">
        <f t="shared" si="11"/>
        <v>100</v>
      </c>
    </row>
    <row r="320" spans="1:11" ht="15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2"/>
        <v>借</v>
      </c>
      <c r="K320" s="9">
        <f t="shared" si="11"/>
        <v>100</v>
      </c>
    </row>
    <row r="321" spans="1:11" ht="15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2"/>
        <v>借</v>
      </c>
      <c r="K321" s="9">
        <f t="shared" si="11"/>
        <v>100</v>
      </c>
    </row>
    <row r="322" spans="1:11" ht="15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2"/>
        <v>借</v>
      </c>
      <c r="K322" s="9">
        <f t="shared" si="11"/>
        <v>100</v>
      </c>
    </row>
    <row r="323" spans="1:11" ht="15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2"/>
        <v>借</v>
      </c>
      <c r="K323" s="9">
        <f t="shared" si="11"/>
        <v>100</v>
      </c>
    </row>
    <row r="324" spans="1:11" ht="15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2"/>
        <v>借</v>
      </c>
      <c r="K324" s="9">
        <f t="shared" si="11"/>
        <v>100</v>
      </c>
    </row>
    <row r="325" spans="1:11" ht="15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2"/>
        <v>借</v>
      </c>
      <c r="K325" s="9">
        <f t="shared" si="11"/>
        <v>100</v>
      </c>
    </row>
    <row r="326" spans="1:11" ht="15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2"/>
        <v>借</v>
      </c>
      <c r="K326" s="9">
        <f t="shared" si="11"/>
        <v>100</v>
      </c>
    </row>
    <row r="327" spans="1:11" ht="15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2"/>
        <v>借</v>
      </c>
      <c r="K327" s="9">
        <f t="shared" si="11"/>
        <v>100</v>
      </c>
    </row>
    <row r="328" spans="1:11" ht="15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2"/>
        <v>借</v>
      </c>
      <c r="K328" s="9">
        <f t="shared" si="11"/>
        <v>100</v>
      </c>
    </row>
    <row r="329" spans="1:11" ht="15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2"/>
        <v>借</v>
      </c>
      <c r="K329" s="9">
        <f t="shared" si="11"/>
        <v>100</v>
      </c>
    </row>
    <row r="330" spans="1:11" ht="15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1"/>
        <v>100</v>
      </c>
    </row>
    <row r="331" spans="1:11" ht="15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1"/>
        <v>100</v>
      </c>
    </row>
    <row r="332" spans="1:11" ht="15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1"/>
        <v>100</v>
      </c>
    </row>
    <row r="333" spans="1:11" ht="15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1"/>
        <v>100</v>
      </c>
    </row>
    <row r="334" spans="1:11" ht="15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1"/>
        <v>100</v>
      </c>
    </row>
    <row r="335" spans="1:11" ht="15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1"/>
        <v>100</v>
      </c>
    </row>
    <row r="336" spans="1:11" ht="15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1"/>
        <v>100</v>
      </c>
    </row>
    <row r="337" spans="1:11" ht="15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1"/>
        <v>100</v>
      </c>
    </row>
    <row r="338" spans="1:11" ht="15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1"/>
        <v>100</v>
      </c>
    </row>
    <row r="339" spans="1:11" ht="15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1"/>
        <v>100</v>
      </c>
    </row>
    <row r="340" spans="1:11" ht="15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1"/>
        <v>100</v>
      </c>
    </row>
    <row r="341" spans="1:11" ht="15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1"/>
        <v>100</v>
      </c>
    </row>
    <row r="342" spans="1:11" ht="15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1"/>
        <v>100</v>
      </c>
    </row>
    <row r="343" spans="1:11" ht="15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1"/>
        <v>100</v>
      </c>
    </row>
    <row r="344" spans="1:11" ht="15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1"/>
        <v>100</v>
      </c>
    </row>
    <row r="345" spans="1:11" ht="15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1"/>
        <v>100</v>
      </c>
    </row>
    <row r="346" spans="1:11" ht="15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1"/>
        <v>100</v>
      </c>
    </row>
    <row r="347" spans="1:11" ht="15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1"/>
        <v>100</v>
      </c>
    </row>
    <row r="348" spans="1:11" ht="15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1"/>
        <v>100</v>
      </c>
    </row>
    <row r="349" spans="1:11" ht="15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1"/>
        <v>100</v>
      </c>
    </row>
    <row r="350" spans="1:11" ht="15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1"/>
        <v>100</v>
      </c>
    </row>
    <row r="351" spans="1:11" ht="15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1"/>
        <v>100</v>
      </c>
    </row>
    <row r="352" spans="1:11" ht="15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1"/>
        <v>100</v>
      </c>
    </row>
    <row r="353" spans="1:11" ht="15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1"/>
        <v>100</v>
      </c>
    </row>
    <row r="354" spans="1:11" ht="15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1"/>
        <v>100</v>
      </c>
    </row>
    <row r="355" spans="1:11" ht="15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1"/>
        <v>100</v>
      </c>
    </row>
    <row r="356" spans="1:11" ht="15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1"/>
        <v>100</v>
      </c>
    </row>
    <row r="357" spans="1:11" ht="15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1"/>
        <v>100</v>
      </c>
    </row>
    <row r="358" spans="1:11" ht="15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1"/>
        <v>100</v>
      </c>
    </row>
    <row r="359" spans="1:11" ht="15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1"/>
        <v>100</v>
      </c>
    </row>
    <row r="360" spans="1:11" ht="15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1"/>
        <v>100</v>
      </c>
    </row>
    <row r="361" spans="1:11" ht="15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1"/>
        <v>100</v>
      </c>
    </row>
    <row r="362" spans="1:11" ht="15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1"/>
        <v>100</v>
      </c>
    </row>
    <row r="363" spans="1:11" ht="15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1"/>
        <v>100</v>
      </c>
    </row>
    <row r="364" spans="1:11" ht="15" customHeight="1" x14ac:dyDescent="0.15"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ref="K364:K427" si="13">_xlfn.IFS(J363="借",K363+H364-I364,J363="贷",H364-I364-K363)</f>
        <v>100</v>
      </c>
    </row>
    <row r="365" spans="1:11" ht="15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3"/>
        <v>100</v>
      </c>
    </row>
    <row r="366" spans="1:11" ht="15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3"/>
        <v>100</v>
      </c>
    </row>
    <row r="367" spans="1:11" ht="15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3"/>
        <v>100</v>
      </c>
    </row>
    <row r="368" spans="1:11" ht="15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si="13"/>
        <v>100</v>
      </c>
    </row>
    <row r="369" spans="2:11" ht="15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100</v>
      </c>
    </row>
    <row r="370" spans="2:11" ht="15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100</v>
      </c>
    </row>
    <row r="371" spans="2:11" ht="15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100</v>
      </c>
    </row>
    <row r="372" spans="2:11" ht="15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100</v>
      </c>
    </row>
    <row r="373" spans="2:11" ht="15" customHeight="1" x14ac:dyDescent="0.15">
      <c r="B373" s="5">
        <v>4</v>
      </c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100</v>
      </c>
    </row>
    <row r="374" spans="2:11" ht="15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ref="J374:J437" si="14">IF((K373+H374-I374)&gt;0,"借","贷")</f>
        <v>借</v>
      </c>
      <c r="K374" s="9">
        <f t="shared" si="13"/>
        <v>100</v>
      </c>
    </row>
    <row r="375" spans="2:11" ht="15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4"/>
        <v>借</v>
      </c>
      <c r="K375" s="9">
        <f t="shared" si="13"/>
        <v>100</v>
      </c>
    </row>
    <row r="376" spans="2:11" ht="15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4"/>
        <v>借</v>
      </c>
      <c r="K376" s="9">
        <f t="shared" si="13"/>
        <v>100</v>
      </c>
    </row>
    <row r="377" spans="2:11" ht="15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4"/>
        <v>借</v>
      </c>
      <c r="K377" s="9">
        <f t="shared" si="13"/>
        <v>100</v>
      </c>
    </row>
    <row r="378" spans="2:11" ht="15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4"/>
        <v>借</v>
      </c>
      <c r="K378" s="9">
        <f t="shared" si="13"/>
        <v>100</v>
      </c>
    </row>
    <row r="379" spans="2:11" ht="15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4"/>
        <v>借</v>
      </c>
      <c r="K379" s="9">
        <f t="shared" si="13"/>
        <v>100</v>
      </c>
    </row>
    <row r="380" spans="2:11" ht="15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4"/>
        <v>借</v>
      </c>
      <c r="K380" s="9">
        <f t="shared" si="13"/>
        <v>100</v>
      </c>
    </row>
    <row r="381" spans="2:11" ht="15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4"/>
        <v>借</v>
      </c>
      <c r="K381" s="9">
        <f t="shared" si="13"/>
        <v>100</v>
      </c>
    </row>
    <row r="382" spans="2:11" ht="15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4"/>
        <v>借</v>
      </c>
      <c r="K382" s="9">
        <f t="shared" si="13"/>
        <v>100</v>
      </c>
    </row>
    <row r="383" spans="2:11" ht="15" customHeight="1" x14ac:dyDescent="0.15">
      <c r="B383" s="5">
        <v>4</v>
      </c>
      <c r="C383" s="10"/>
      <c r="D383" s="10"/>
      <c r="E383" s="10"/>
      <c r="F383" s="10"/>
      <c r="G383" s="10"/>
      <c r="H383" s="8"/>
      <c r="I383" s="8"/>
      <c r="J383" s="8" t="str">
        <f t="shared" si="14"/>
        <v>借</v>
      </c>
      <c r="K383" s="9">
        <f t="shared" si="13"/>
        <v>100</v>
      </c>
    </row>
    <row r="384" spans="2:11" ht="15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4"/>
        <v>借</v>
      </c>
      <c r="K384" s="9">
        <f t="shared" si="13"/>
        <v>100</v>
      </c>
    </row>
    <row r="385" spans="2:11" ht="15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4"/>
        <v>借</v>
      </c>
      <c r="K385" s="9">
        <f t="shared" si="13"/>
        <v>100</v>
      </c>
    </row>
    <row r="386" spans="2:11" ht="15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4"/>
        <v>借</v>
      </c>
      <c r="K386" s="9">
        <f t="shared" si="13"/>
        <v>100</v>
      </c>
    </row>
    <row r="387" spans="2:11" ht="15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4"/>
        <v>借</v>
      </c>
      <c r="K387" s="9">
        <f t="shared" si="13"/>
        <v>100</v>
      </c>
    </row>
    <row r="388" spans="2:11" ht="15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4"/>
        <v>借</v>
      </c>
      <c r="K388" s="9">
        <f t="shared" si="13"/>
        <v>100</v>
      </c>
    </row>
    <row r="389" spans="2:11" ht="15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4"/>
        <v>借</v>
      </c>
      <c r="K389" s="9">
        <f t="shared" si="13"/>
        <v>100</v>
      </c>
    </row>
    <row r="390" spans="2:11" ht="15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si="14"/>
        <v>借</v>
      </c>
      <c r="K390" s="9">
        <f t="shared" si="13"/>
        <v>100</v>
      </c>
    </row>
    <row r="391" spans="2:11" ht="15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4"/>
        <v>借</v>
      </c>
      <c r="K391" s="9">
        <f t="shared" si="13"/>
        <v>100</v>
      </c>
    </row>
    <row r="392" spans="2:11" ht="15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4"/>
        <v>借</v>
      </c>
      <c r="K392" s="9">
        <f t="shared" si="13"/>
        <v>100</v>
      </c>
    </row>
    <row r="393" spans="2:11" ht="15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4"/>
        <v>借</v>
      </c>
      <c r="K393" s="9">
        <f t="shared" si="13"/>
        <v>100</v>
      </c>
    </row>
    <row r="394" spans="2:11" ht="15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3"/>
        <v>100</v>
      </c>
    </row>
    <row r="395" spans="2:11" ht="15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3"/>
        <v>100</v>
      </c>
    </row>
    <row r="396" spans="2:11" ht="15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3"/>
        <v>100</v>
      </c>
    </row>
    <row r="397" spans="2:11" ht="15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3"/>
        <v>100</v>
      </c>
    </row>
    <row r="398" spans="2:11" ht="15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3"/>
        <v>100</v>
      </c>
    </row>
    <row r="399" spans="2:11" ht="15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3"/>
        <v>100</v>
      </c>
    </row>
    <row r="400" spans="2:11" ht="15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3"/>
        <v>100</v>
      </c>
    </row>
    <row r="401" spans="2:11" ht="15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3"/>
        <v>100</v>
      </c>
    </row>
    <row r="402" spans="2:11" ht="15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3"/>
        <v>100</v>
      </c>
    </row>
    <row r="403" spans="2:11" ht="15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3"/>
        <v>100</v>
      </c>
    </row>
    <row r="404" spans="2:11" ht="15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3"/>
        <v>100</v>
      </c>
    </row>
    <row r="405" spans="2:11" ht="15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3"/>
        <v>100</v>
      </c>
    </row>
    <row r="406" spans="2:11" ht="15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3"/>
        <v>100</v>
      </c>
    </row>
    <row r="407" spans="2:11" ht="15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3"/>
        <v>100</v>
      </c>
    </row>
    <row r="408" spans="2:11" ht="15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3"/>
        <v>100</v>
      </c>
    </row>
    <row r="409" spans="2:11" ht="15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3"/>
        <v>100</v>
      </c>
    </row>
    <row r="410" spans="2:11" ht="15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3"/>
        <v>100</v>
      </c>
    </row>
    <row r="411" spans="2:11" ht="15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3"/>
        <v>100</v>
      </c>
    </row>
    <row r="412" spans="2:11" ht="15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3"/>
        <v>100</v>
      </c>
    </row>
    <row r="413" spans="2:11" ht="15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3"/>
        <v>100</v>
      </c>
    </row>
    <row r="414" spans="2:11" ht="15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3"/>
        <v>100</v>
      </c>
    </row>
    <row r="415" spans="2:11" ht="15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3"/>
        <v>100</v>
      </c>
    </row>
    <row r="416" spans="2:11" ht="15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3"/>
        <v>100</v>
      </c>
    </row>
    <row r="417" spans="2:11" ht="15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3"/>
        <v>100</v>
      </c>
    </row>
    <row r="418" spans="2:11" ht="15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3"/>
        <v>100</v>
      </c>
    </row>
    <row r="419" spans="2:11" ht="15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3"/>
        <v>100</v>
      </c>
    </row>
    <row r="420" spans="2:11" ht="15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3"/>
        <v>100</v>
      </c>
    </row>
    <row r="421" spans="2:11" ht="15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3"/>
        <v>100</v>
      </c>
    </row>
    <row r="422" spans="2:11" ht="15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3"/>
        <v>100</v>
      </c>
    </row>
    <row r="423" spans="2:11" ht="15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3"/>
        <v>100</v>
      </c>
    </row>
    <row r="424" spans="2:11" ht="15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3"/>
        <v>100</v>
      </c>
    </row>
    <row r="425" spans="2:11" ht="15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3"/>
        <v>100</v>
      </c>
    </row>
    <row r="426" spans="2:11" ht="15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3"/>
        <v>100</v>
      </c>
    </row>
    <row r="427" spans="2:11" ht="15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3"/>
        <v>100</v>
      </c>
    </row>
    <row r="428" spans="2:11" ht="15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ref="K428:K491" si="15">_xlfn.IFS(J427="借",K427+H428-I428,J427="贷",H428-I428-K427)</f>
        <v>100</v>
      </c>
    </row>
    <row r="429" spans="2:11" ht="15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5"/>
        <v>100</v>
      </c>
    </row>
    <row r="430" spans="2:11" ht="15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5"/>
        <v>100</v>
      </c>
    </row>
    <row r="431" spans="2:11" ht="15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5"/>
        <v>100</v>
      </c>
    </row>
    <row r="432" spans="2:11" ht="15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si="15"/>
        <v>100</v>
      </c>
    </row>
    <row r="433" spans="2:11" ht="15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100</v>
      </c>
    </row>
    <row r="434" spans="2:11" ht="15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100</v>
      </c>
    </row>
    <row r="435" spans="2:11" ht="15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100</v>
      </c>
    </row>
    <row r="436" spans="2:11" ht="15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100</v>
      </c>
    </row>
    <row r="437" spans="2:11" ht="15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100</v>
      </c>
    </row>
    <row r="438" spans="2:11" ht="15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ref="J438:J496" si="16">IF((K437+H438-I438)&gt;0,"借","贷")</f>
        <v>借</v>
      </c>
      <c r="K438" s="9">
        <f t="shared" si="15"/>
        <v>100</v>
      </c>
    </row>
    <row r="439" spans="2:11" ht="15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6"/>
        <v>借</v>
      </c>
      <c r="K439" s="9">
        <f t="shared" si="15"/>
        <v>100</v>
      </c>
    </row>
    <row r="440" spans="2:11" ht="15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6"/>
        <v>借</v>
      </c>
      <c r="K440" s="9">
        <f t="shared" si="15"/>
        <v>100</v>
      </c>
    </row>
    <row r="441" spans="2:11" ht="15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6"/>
        <v>借</v>
      </c>
      <c r="K441" s="9">
        <f t="shared" si="15"/>
        <v>100</v>
      </c>
    </row>
    <row r="442" spans="2:11" ht="15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6"/>
        <v>借</v>
      </c>
      <c r="K442" s="9">
        <f t="shared" si="15"/>
        <v>100</v>
      </c>
    </row>
    <row r="443" spans="2:11" ht="15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6"/>
        <v>借</v>
      </c>
      <c r="K443" s="9">
        <f t="shared" si="15"/>
        <v>100</v>
      </c>
    </row>
    <row r="444" spans="2:11" ht="15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6"/>
        <v>借</v>
      </c>
      <c r="K444" s="9">
        <f t="shared" si="15"/>
        <v>100</v>
      </c>
    </row>
    <row r="445" spans="2:11" ht="15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6"/>
        <v>借</v>
      </c>
      <c r="K445" s="9">
        <f t="shared" si="15"/>
        <v>100</v>
      </c>
    </row>
    <row r="446" spans="2:11" ht="15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6"/>
        <v>借</v>
      </c>
      <c r="K446" s="9">
        <f t="shared" si="15"/>
        <v>100</v>
      </c>
    </row>
    <row r="447" spans="2:11" ht="15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6"/>
        <v>借</v>
      </c>
      <c r="K447" s="9">
        <f t="shared" si="15"/>
        <v>100</v>
      </c>
    </row>
    <row r="448" spans="2:11" ht="15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6"/>
        <v>借</v>
      </c>
      <c r="K448" s="9">
        <f t="shared" si="15"/>
        <v>100</v>
      </c>
    </row>
    <row r="449" spans="2:11" ht="15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6"/>
        <v>借</v>
      </c>
      <c r="K449" s="9">
        <f t="shared" si="15"/>
        <v>100</v>
      </c>
    </row>
    <row r="450" spans="2:11" ht="15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6"/>
        <v>借</v>
      </c>
      <c r="K450" s="9">
        <f t="shared" si="15"/>
        <v>100</v>
      </c>
    </row>
    <row r="451" spans="2:11" ht="15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6"/>
        <v>借</v>
      </c>
      <c r="K451" s="9">
        <f t="shared" si="15"/>
        <v>100</v>
      </c>
    </row>
    <row r="452" spans="2:11" ht="15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6"/>
        <v>借</v>
      </c>
      <c r="K452" s="9">
        <f t="shared" si="15"/>
        <v>100</v>
      </c>
    </row>
    <row r="453" spans="2:11" ht="15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6"/>
        <v>借</v>
      </c>
      <c r="K453" s="9">
        <f t="shared" si="15"/>
        <v>100</v>
      </c>
    </row>
    <row r="454" spans="2:11" ht="15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si="16"/>
        <v>借</v>
      </c>
      <c r="K454" s="9">
        <f t="shared" si="15"/>
        <v>100</v>
      </c>
    </row>
    <row r="455" spans="2:11" ht="15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6"/>
        <v>借</v>
      </c>
      <c r="K455" s="9">
        <f t="shared" si="15"/>
        <v>100</v>
      </c>
    </row>
    <row r="456" spans="2:11" ht="15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6"/>
        <v>借</v>
      </c>
      <c r="K456" s="9">
        <f t="shared" si="15"/>
        <v>100</v>
      </c>
    </row>
    <row r="457" spans="2:11" ht="15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6"/>
        <v>借</v>
      </c>
      <c r="K457" s="9">
        <f t="shared" si="15"/>
        <v>100</v>
      </c>
    </row>
    <row r="458" spans="2:11" ht="15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5"/>
        <v>100</v>
      </c>
    </row>
    <row r="459" spans="2:11" ht="15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5"/>
        <v>100</v>
      </c>
    </row>
    <row r="460" spans="2:11" ht="15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5"/>
        <v>100</v>
      </c>
    </row>
    <row r="461" spans="2:11" ht="15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5"/>
        <v>100</v>
      </c>
    </row>
    <row r="462" spans="2:11" ht="15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5"/>
        <v>100</v>
      </c>
    </row>
    <row r="463" spans="2:11" ht="15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5"/>
        <v>100</v>
      </c>
    </row>
    <row r="464" spans="2:11" ht="15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5"/>
        <v>100</v>
      </c>
    </row>
    <row r="465" spans="2:11" ht="15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5"/>
        <v>100</v>
      </c>
    </row>
    <row r="466" spans="2:11" ht="15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5"/>
        <v>100</v>
      </c>
    </row>
    <row r="467" spans="2:11" ht="15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5"/>
        <v>100</v>
      </c>
    </row>
    <row r="468" spans="2:11" ht="15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5"/>
        <v>100</v>
      </c>
    </row>
    <row r="469" spans="2:11" ht="15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5"/>
        <v>100</v>
      </c>
    </row>
    <row r="470" spans="2:11" ht="15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5"/>
        <v>100</v>
      </c>
    </row>
    <row r="471" spans="2:11" ht="15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5"/>
        <v>100</v>
      </c>
    </row>
    <row r="472" spans="2:11" ht="15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5"/>
        <v>100</v>
      </c>
    </row>
    <row r="473" spans="2:11" ht="15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5"/>
        <v>100</v>
      </c>
    </row>
    <row r="474" spans="2:11" ht="15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5"/>
        <v>100</v>
      </c>
    </row>
    <row r="475" spans="2:11" ht="15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5"/>
        <v>100</v>
      </c>
    </row>
    <row r="476" spans="2:11" ht="15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5"/>
        <v>100</v>
      </c>
    </row>
    <row r="477" spans="2:11" ht="15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5"/>
        <v>100</v>
      </c>
    </row>
    <row r="478" spans="2:11" ht="15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5"/>
        <v>100</v>
      </c>
    </row>
    <row r="479" spans="2:11" ht="15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5"/>
        <v>100</v>
      </c>
    </row>
    <row r="480" spans="2:11" ht="15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5"/>
        <v>100</v>
      </c>
    </row>
    <row r="481" spans="2:11" ht="15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5"/>
        <v>100</v>
      </c>
    </row>
    <row r="482" spans="2:11" ht="15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5"/>
        <v>100</v>
      </c>
    </row>
    <row r="483" spans="2:11" ht="15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5"/>
        <v>100</v>
      </c>
    </row>
    <row r="484" spans="2:11" ht="15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5"/>
        <v>100</v>
      </c>
    </row>
    <row r="485" spans="2:11" ht="15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5"/>
        <v>100</v>
      </c>
    </row>
    <row r="486" spans="2:11" ht="15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5"/>
        <v>100</v>
      </c>
    </row>
    <row r="487" spans="2:11" ht="15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5"/>
        <v>100</v>
      </c>
    </row>
    <row r="488" spans="2:11" ht="15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5"/>
        <v>100</v>
      </c>
    </row>
    <row r="489" spans="2:11" ht="15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5"/>
        <v>100</v>
      </c>
    </row>
    <row r="490" spans="2:11" ht="15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5"/>
        <v>100</v>
      </c>
    </row>
    <row r="491" spans="2:11" ht="15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5"/>
        <v>100</v>
      </c>
    </row>
    <row r="492" spans="2:11" ht="15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ref="K492:K496" si="17">_xlfn.IFS(J491="借",K491+H492-I492,J491="贷",H492-I492-K491)</f>
        <v>100</v>
      </c>
    </row>
    <row r="493" spans="2:11" ht="15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7"/>
        <v>100</v>
      </c>
    </row>
    <row r="494" spans="2:11" ht="15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7"/>
        <v>100</v>
      </c>
    </row>
    <row r="495" spans="2:11" ht="15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7"/>
        <v>100</v>
      </c>
    </row>
    <row r="496" spans="2:11" ht="15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si="17"/>
        <v>100</v>
      </c>
    </row>
  </sheetData>
  <mergeCells count="2">
    <mergeCell ref="A1:K1"/>
    <mergeCell ref="A2:K2"/>
  </mergeCells>
  <phoneticPr fontId="21" type="noConversion"/>
  <dataValidations count="1">
    <dataValidation type="list" allowBlank="1" showInputMessage="1" showErrorMessage="1" sqref="G5:G1048576" xr:uid="{00000000-0002-0000-2200-000000000000}">
      <formula1>#REF!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497"/>
  <sheetViews>
    <sheetView topLeftCell="B1" workbookViewId="0">
      <selection activeCell="F17" sqref="F17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94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1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497"/>
  <sheetViews>
    <sheetView workbookViewId="0">
      <selection activeCell="D15" sqref="D15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95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96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1" type="noConversion"/>
  <pageMargins left="0.75" right="0.75" top="1" bottom="1" header="0.5" footer="0.5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499"/>
  <sheetViews>
    <sheetView topLeftCell="B1" workbookViewId="0">
      <selection activeCell="F10" sqref="F10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97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28" si="0">IF((K5+H6-I6)&gt;0,"借","贷")</f>
        <v>借</v>
      </c>
      <c r="K6" s="9">
        <f t="shared" ref="K6:K28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ref="J29:J71" si="2">IF((K28+H29-I29)&gt;0,"借","贷")</f>
        <v>借</v>
      </c>
      <c r="K29" s="9">
        <f t="shared" ref="K29:K71" si="3">K28+H29-I29</f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2"/>
        <v>借</v>
      </c>
      <c r="K30" s="9">
        <f t="shared" si="3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2"/>
        <v>借</v>
      </c>
      <c r="K33" s="9">
        <f t="shared" si="3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si="2"/>
        <v>借</v>
      </c>
      <c r="K70" s="9">
        <f t="shared" si="3"/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ref="J72:J135" si="4">IF((K71+H72-I72)&gt;0,"借","贷")</f>
        <v>借</v>
      </c>
      <c r="K72" s="9">
        <f t="shared" ref="K72:K135" si="5">K71+H72-I72</f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4"/>
        <v>借</v>
      </c>
      <c r="K78" s="9">
        <f t="shared" si="5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4"/>
        <v>借</v>
      </c>
      <c r="K79" s="9">
        <f t="shared" si="5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4"/>
        <v>借</v>
      </c>
      <c r="K80" s="9">
        <f t="shared" si="5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4"/>
        <v>借</v>
      </c>
      <c r="K81" s="9">
        <f t="shared" si="5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4"/>
        <v>借</v>
      </c>
      <c r="K82" s="9">
        <f t="shared" si="5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4"/>
        <v>借</v>
      </c>
      <c r="K83" s="9">
        <f t="shared" si="5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4"/>
        <v>借</v>
      </c>
      <c r="K84" s="9">
        <f t="shared" si="5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4"/>
        <v>借</v>
      </c>
      <c r="K85" s="9">
        <f t="shared" si="5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4"/>
        <v>借</v>
      </c>
      <c r="K86" s="9">
        <f t="shared" si="5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4"/>
        <v>借</v>
      </c>
      <c r="K87" s="9">
        <f t="shared" si="5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4"/>
        <v>借</v>
      </c>
      <c r="K88" s="9">
        <f t="shared" si="5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4"/>
        <v>借</v>
      </c>
      <c r="K89" s="9">
        <f t="shared" si="5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4"/>
        <v>借</v>
      </c>
      <c r="K90" s="9">
        <f t="shared" si="5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4"/>
        <v>借</v>
      </c>
      <c r="K91" s="9">
        <f t="shared" si="5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4"/>
        <v>借</v>
      </c>
      <c r="K92" s="9">
        <f t="shared" si="5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4"/>
        <v>借</v>
      </c>
      <c r="K93" s="9">
        <f t="shared" si="5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4"/>
        <v>借</v>
      </c>
      <c r="K94" s="9">
        <f t="shared" si="5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4"/>
        <v>借</v>
      </c>
      <c r="K95" s="9">
        <f t="shared" si="5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4"/>
        <v>借</v>
      </c>
      <c r="K96" s="9">
        <f t="shared" si="5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4"/>
        <v>借</v>
      </c>
      <c r="K97" s="9">
        <f t="shared" si="5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4"/>
        <v>借</v>
      </c>
      <c r="K100" s="9">
        <f t="shared" si="5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4"/>
        <v>借</v>
      </c>
      <c r="K107" s="9">
        <f t="shared" si="5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4"/>
        <v>借</v>
      </c>
      <c r="K108" s="9">
        <f t="shared" si="5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4"/>
        <v>借</v>
      </c>
      <c r="K109" s="9">
        <f t="shared" si="5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4"/>
        <v>借</v>
      </c>
      <c r="K110" s="9">
        <f t="shared" si="5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4"/>
        <v>借</v>
      </c>
      <c r="K111" s="9">
        <f t="shared" si="5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4"/>
        <v>借</v>
      </c>
      <c r="K124" s="9">
        <f t="shared" si="5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4"/>
        <v>借</v>
      </c>
      <c r="K125" s="9">
        <f t="shared" si="5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4"/>
        <v>借</v>
      </c>
      <c r="K128" s="9">
        <f t="shared" si="5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5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5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4"/>
        <v>借</v>
      </c>
      <c r="K131" s="9">
        <f t="shared" si="5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4"/>
        <v>借</v>
      </c>
      <c r="K132" s="9">
        <f t="shared" si="5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4"/>
        <v>借</v>
      </c>
      <c r="K133" s="9">
        <f t="shared" si="5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4"/>
        <v>借</v>
      </c>
      <c r="K134" s="9">
        <f t="shared" si="5"/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ref="J136:J199" si="6">IF((K135+H136-I136)&gt;0,"借","贷")</f>
        <v>借</v>
      </c>
      <c r="K136" s="9">
        <f t="shared" ref="K136:K174" si="7">K135+H136-I136</f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6"/>
        <v>借</v>
      </c>
      <c r="K137" s="9">
        <f t="shared" si="7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6"/>
        <v>借</v>
      </c>
      <c r="K138" s="9">
        <f t="shared" si="7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6"/>
        <v>借</v>
      </c>
      <c r="K139" s="9">
        <f t="shared" si="7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6"/>
        <v>借</v>
      </c>
      <c r="K142" s="9">
        <f t="shared" si="7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6"/>
        <v>借</v>
      </c>
      <c r="K143" s="9">
        <f t="shared" si="7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6"/>
        <v>借</v>
      </c>
      <c r="K144" s="9">
        <f t="shared" si="7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6"/>
        <v>借</v>
      </c>
      <c r="K145" s="9">
        <f t="shared" si="7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6"/>
        <v>借</v>
      </c>
      <c r="K146" s="9">
        <f t="shared" si="7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6"/>
        <v>借</v>
      </c>
      <c r="K147" s="9">
        <f t="shared" si="7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6"/>
        <v>借</v>
      </c>
      <c r="K148" s="9">
        <f t="shared" si="7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6"/>
        <v>借</v>
      </c>
      <c r="K149" s="9">
        <f t="shared" si="7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6"/>
        <v>借</v>
      </c>
      <c r="K150" s="9">
        <f t="shared" si="7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6"/>
        <v>借</v>
      </c>
      <c r="K151" s="9">
        <f t="shared" si="7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6"/>
        <v>借</v>
      </c>
      <c r="K152" s="9">
        <f t="shared" si="7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6"/>
        <v>借</v>
      </c>
      <c r="K153" s="9">
        <f t="shared" si="7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6"/>
        <v>借</v>
      </c>
      <c r="K163" s="9">
        <f t="shared" si="7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6"/>
        <v>借</v>
      </c>
      <c r="K164" s="9">
        <f t="shared" si="7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6"/>
        <v>借</v>
      </c>
      <c r="K165" s="9">
        <f t="shared" si="7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6"/>
        <v>借</v>
      </c>
      <c r="K166" s="9">
        <f t="shared" si="7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6"/>
        <v>借</v>
      </c>
      <c r="K167" s="9">
        <f t="shared" si="7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6"/>
        <v>借</v>
      </c>
      <c r="K168" s="9">
        <f t="shared" si="7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6"/>
        <v>借</v>
      </c>
      <c r="K169" s="9">
        <f t="shared" si="7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6"/>
        <v>借</v>
      </c>
      <c r="K170" s="9">
        <f t="shared" si="7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6"/>
        <v>借</v>
      </c>
      <c r="K171" s="9">
        <f t="shared" si="7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6"/>
        <v>借</v>
      </c>
      <c r="K172" s="9">
        <f t="shared" si="7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6"/>
        <v>借</v>
      </c>
      <c r="K173" s="9">
        <f t="shared" si="7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6"/>
        <v>借</v>
      </c>
      <c r="K174" s="9">
        <f t="shared" si="7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6"/>
        <v>借</v>
      </c>
      <c r="K175" s="9">
        <f t="shared" ref="K175:K238" si="8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6"/>
        <v>借</v>
      </c>
      <c r="K176" s="9">
        <f t="shared" si="8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6"/>
        <v>借</v>
      </c>
      <c r="K177" s="9">
        <f t="shared" si="8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6"/>
        <v>借</v>
      </c>
      <c r="K178" s="9">
        <f t="shared" si="8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6"/>
        <v>借</v>
      </c>
      <c r="K179" s="9">
        <f t="shared" si="8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6"/>
        <v>借</v>
      </c>
      <c r="K180" s="9">
        <f t="shared" si="8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6"/>
        <v>借</v>
      </c>
      <c r="K181" s="9">
        <f t="shared" si="8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6"/>
        <v>借</v>
      </c>
      <c r="K182" s="9">
        <f t="shared" si="8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6"/>
        <v>借</v>
      </c>
      <c r="K183" s="9">
        <f t="shared" si="8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6"/>
        <v>借</v>
      </c>
      <c r="K184" s="9">
        <f t="shared" si="8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6"/>
        <v>借</v>
      </c>
      <c r="K185" s="9">
        <f t="shared" si="8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6"/>
        <v>借</v>
      </c>
      <c r="K186" s="9">
        <f t="shared" si="8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8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8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8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8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6"/>
        <v>借</v>
      </c>
      <c r="K191" s="9">
        <f t="shared" si="8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8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8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8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8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8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8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8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8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ref="J200:J263" si="9">IF((K199+H200-I200)&gt;0,"借","贷")</f>
        <v>借</v>
      </c>
      <c r="K200" s="9">
        <f t="shared" si="8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9"/>
        <v>借</v>
      </c>
      <c r="K201" s="9">
        <f t="shared" si="8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9"/>
        <v>借</v>
      </c>
      <c r="K202" s="9">
        <f t="shared" si="8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9"/>
        <v>借</v>
      </c>
      <c r="K203" s="9">
        <f t="shared" si="8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9"/>
        <v>借</v>
      </c>
      <c r="K204" s="9">
        <f t="shared" si="8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9"/>
        <v>借</v>
      </c>
      <c r="K205" s="9">
        <f t="shared" si="8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9"/>
        <v>借</v>
      </c>
      <c r="K206" s="9">
        <f t="shared" si="8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9"/>
        <v>借</v>
      </c>
      <c r="K207" s="9">
        <f t="shared" si="8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9"/>
        <v>借</v>
      </c>
      <c r="K208" s="9">
        <f t="shared" si="8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9"/>
        <v>借</v>
      </c>
      <c r="K209" s="9">
        <f t="shared" si="8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9"/>
        <v>借</v>
      </c>
      <c r="K210" s="9">
        <f t="shared" si="8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9"/>
        <v>借</v>
      </c>
      <c r="K211" s="9">
        <f t="shared" si="8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9"/>
        <v>借</v>
      </c>
      <c r="K212" s="9">
        <f t="shared" si="8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9"/>
        <v>借</v>
      </c>
      <c r="K213" s="9">
        <f t="shared" si="8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9"/>
        <v>借</v>
      </c>
      <c r="K214" s="9">
        <f t="shared" si="8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9"/>
        <v>借</v>
      </c>
      <c r="K215" s="9">
        <f t="shared" si="8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9"/>
        <v>借</v>
      </c>
      <c r="K216" s="9">
        <f t="shared" si="8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9"/>
        <v>借</v>
      </c>
      <c r="K217" s="9">
        <f t="shared" si="8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9"/>
        <v>借</v>
      </c>
      <c r="K218" s="9">
        <f t="shared" si="8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9"/>
        <v>借</v>
      </c>
      <c r="K219" s="9">
        <f t="shared" si="8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9"/>
        <v>借</v>
      </c>
      <c r="K220" s="9">
        <f t="shared" si="8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9"/>
        <v>借</v>
      </c>
      <c r="K221" s="9">
        <f t="shared" si="8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9"/>
        <v>借</v>
      </c>
      <c r="K222" s="9">
        <f t="shared" si="8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9"/>
        <v>借</v>
      </c>
      <c r="K223" s="9">
        <f t="shared" si="8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9"/>
        <v>借</v>
      </c>
      <c r="K224" s="9">
        <f t="shared" si="8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9"/>
        <v>借</v>
      </c>
      <c r="K225" s="9">
        <f t="shared" si="8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9"/>
        <v>借</v>
      </c>
      <c r="K226" s="9">
        <f t="shared" si="8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9"/>
        <v>借</v>
      </c>
      <c r="K227" s="9">
        <f t="shared" si="8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9"/>
        <v>借</v>
      </c>
      <c r="K228" s="9">
        <f t="shared" si="8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9"/>
        <v>借</v>
      </c>
      <c r="K229" s="9">
        <f t="shared" si="8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9"/>
        <v>借</v>
      </c>
      <c r="K230" s="9">
        <f t="shared" si="8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9"/>
        <v>借</v>
      </c>
      <c r="K231" s="9">
        <f t="shared" si="8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9"/>
        <v>借</v>
      </c>
      <c r="K232" s="21">
        <f t="shared" si="8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9"/>
        <v>借</v>
      </c>
      <c r="K233" s="9">
        <f t="shared" si="8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9"/>
        <v>借</v>
      </c>
      <c r="K234" s="9">
        <f t="shared" si="8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9"/>
        <v>借</v>
      </c>
      <c r="K235" s="9">
        <f t="shared" si="8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9"/>
        <v>借</v>
      </c>
      <c r="K236" s="21">
        <f t="shared" si="8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9"/>
        <v>借</v>
      </c>
      <c r="K237" s="9">
        <f t="shared" si="8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9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9"/>
        <v>借</v>
      </c>
      <c r="K239" s="9">
        <f t="shared" ref="K239:K302" si="10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9"/>
        <v>借</v>
      </c>
      <c r="K240" s="9">
        <f t="shared" si="10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9"/>
        <v>借</v>
      </c>
      <c r="K241" s="9">
        <f t="shared" si="10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9"/>
        <v>借</v>
      </c>
      <c r="K242" s="9">
        <f t="shared" si="10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9"/>
        <v>借</v>
      </c>
      <c r="K243" s="9">
        <f t="shared" si="10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9"/>
        <v>借</v>
      </c>
      <c r="K244" s="9">
        <f t="shared" si="10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9"/>
        <v>借</v>
      </c>
      <c r="K245" s="9">
        <f t="shared" si="10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9"/>
        <v>借</v>
      </c>
      <c r="K246" s="9">
        <f t="shared" si="10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9"/>
        <v>借</v>
      </c>
      <c r="K247" s="9">
        <f t="shared" si="10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9"/>
        <v>借</v>
      </c>
      <c r="K248" s="9">
        <f t="shared" si="10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9"/>
        <v>借</v>
      </c>
      <c r="K249" s="9">
        <f t="shared" si="10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9"/>
        <v>借</v>
      </c>
      <c r="K250" s="9">
        <f t="shared" si="10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9"/>
        <v>借</v>
      </c>
      <c r="K251" s="9">
        <f t="shared" si="10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9"/>
        <v>借</v>
      </c>
      <c r="K252" s="9">
        <f t="shared" si="10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9"/>
        <v>借</v>
      </c>
      <c r="K253" s="9">
        <f t="shared" si="10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9"/>
        <v>借</v>
      </c>
      <c r="K254" s="9">
        <f t="shared" si="10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9"/>
        <v>借</v>
      </c>
      <c r="K255" s="9">
        <f t="shared" si="10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9"/>
        <v>借</v>
      </c>
      <c r="K256" s="9">
        <f t="shared" si="10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9"/>
        <v>借</v>
      </c>
      <c r="K257" s="9">
        <f t="shared" si="10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9"/>
        <v>借</v>
      </c>
      <c r="K258" s="9">
        <f t="shared" si="10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9"/>
        <v>借</v>
      </c>
      <c r="K259" s="9">
        <f t="shared" si="10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9"/>
        <v>借</v>
      </c>
      <c r="K260" s="9">
        <f t="shared" si="10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9"/>
        <v>借</v>
      </c>
      <c r="K261" s="9">
        <f t="shared" si="10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9"/>
        <v>借</v>
      </c>
      <c r="K262" s="9">
        <f t="shared" si="10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10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327" si="11">IF((K263+H264-I264)&gt;0,"借","贷")</f>
        <v>借</v>
      </c>
      <c r="K264" s="9">
        <f t="shared" si="10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1"/>
        <v>借</v>
      </c>
      <c r="K265" s="9">
        <f t="shared" si="10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1"/>
        <v>借</v>
      </c>
      <c r="K266" s="9">
        <f t="shared" si="10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1"/>
        <v>借</v>
      </c>
      <c r="K267" s="9">
        <f t="shared" si="10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1"/>
        <v>借</v>
      </c>
      <c r="K268" s="9">
        <f t="shared" si="10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1"/>
        <v>借</v>
      </c>
      <c r="K269" s="9">
        <f t="shared" si="10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1"/>
        <v>借</v>
      </c>
      <c r="K270" s="9">
        <f t="shared" si="10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1"/>
        <v>借</v>
      </c>
      <c r="K271" s="9">
        <f t="shared" si="10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1"/>
        <v>借</v>
      </c>
      <c r="K272" s="9">
        <f t="shared" si="10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1"/>
        <v>借</v>
      </c>
      <c r="K273" s="9">
        <f t="shared" si="10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1"/>
        <v>借</v>
      </c>
      <c r="K274" s="9">
        <f t="shared" si="10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1"/>
        <v>借</v>
      </c>
      <c r="K275" s="9">
        <f t="shared" si="10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1"/>
        <v>借</v>
      </c>
      <c r="K276" s="9">
        <f t="shared" si="10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1"/>
        <v>借</v>
      </c>
      <c r="K277" s="9">
        <f t="shared" si="10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1"/>
        <v>借</v>
      </c>
      <c r="K278" s="9">
        <f t="shared" si="10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1"/>
        <v>借</v>
      </c>
      <c r="K279" s="9">
        <f t="shared" si="10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1"/>
        <v>借</v>
      </c>
      <c r="K280" s="9">
        <f t="shared" si="10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1"/>
        <v>借</v>
      </c>
      <c r="K281" s="9">
        <f t="shared" si="10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1"/>
        <v>借</v>
      </c>
      <c r="K282" s="9">
        <f t="shared" si="10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1"/>
        <v>借</v>
      </c>
      <c r="K283" s="9">
        <f t="shared" si="10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1"/>
        <v>借</v>
      </c>
      <c r="K284" s="9">
        <f t="shared" si="10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1"/>
        <v>借</v>
      </c>
      <c r="K285" s="9">
        <f t="shared" si="10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1"/>
        <v>借</v>
      </c>
      <c r="K286" s="9">
        <f t="shared" si="10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1"/>
        <v>借</v>
      </c>
      <c r="K287" s="9">
        <f t="shared" si="10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1"/>
        <v>借</v>
      </c>
      <c r="K288" s="9">
        <f t="shared" si="10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1"/>
        <v>借</v>
      </c>
      <c r="K289" s="9">
        <f t="shared" si="10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1"/>
        <v>借</v>
      </c>
      <c r="K290" s="9">
        <f t="shared" si="10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1"/>
        <v>借</v>
      </c>
      <c r="K291" s="9">
        <f t="shared" si="10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1"/>
        <v>借</v>
      </c>
      <c r="K292" s="9">
        <f t="shared" si="10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1"/>
        <v>借</v>
      </c>
      <c r="K293" s="9">
        <f t="shared" si="10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1"/>
        <v>借</v>
      </c>
      <c r="K294" s="9">
        <f t="shared" si="10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1"/>
        <v>借</v>
      </c>
      <c r="K295" s="9">
        <f t="shared" si="10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1"/>
        <v>借</v>
      </c>
      <c r="K296" s="9">
        <f t="shared" si="10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1"/>
        <v>借</v>
      </c>
      <c r="K297" s="9">
        <f t="shared" si="10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1"/>
        <v>借</v>
      </c>
      <c r="K298" s="9">
        <f t="shared" si="10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1"/>
        <v>借</v>
      </c>
      <c r="K299" s="9">
        <f t="shared" si="10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1"/>
        <v>借</v>
      </c>
      <c r="K300" s="9">
        <f t="shared" si="10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1"/>
        <v>借</v>
      </c>
      <c r="K301" s="9">
        <f t="shared" si="10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1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1"/>
        <v>借</v>
      </c>
      <c r="K303" s="9">
        <f t="shared" ref="K303:K366" si="12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1"/>
        <v>借</v>
      </c>
      <c r="K304" s="9">
        <f t="shared" si="12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1"/>
        <v>借</v>
      </c>
      <c r="K305" s="9">
        <f t="shared" si="12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1"/>
        <v>借</v>
      </c>
      <c r="K306" s="9">
        <f t="shared" si="12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1"/>
        <v>借</v>
      </c>
      <c r="K307" s="9">
        <f t="shared" si="12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1"/>
        <v>借</v>
      </c>
      <c r="K308" s="9">
        <f t="shared" si="12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1"/>
        <v>借</v>
      </c>
      <c r="K309" s="9">
        <f t="shared" si="12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1"/>
        <v>借</v>
      </c>
      <c r="K310" s="9">
        <f t="shared" si="12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1"/>
        <v>借</v>
      </c>
      <c r="K311" s="9">
        <f t="shared" si="12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1"/>
        <v>借</v>
      </c>
      <c r="K312" s="9">
        <f t="shared" si="12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1"/>
        <v>借</v>
      </c>
      <c r="K313" s="9">
        <f t="shared" si="12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1"/>
        <v>借</v>
      </c>
      <c r="K314" s="9">
        <f t="shared" si="12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1"/>
        <v>借</v>
      </c>
      <c r="K315" s="9">
        <f t="shared" si="12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1"/>
        <v>借</v>
      </c>
      <c r="K316" s="9">
        <f t="shared" si="12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1"/>
        <v>借</v>
      </c>
      <c r="K317" s="9">
        <f t="shared" si="12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1"/>
        <v>借</v>
      </c>
      <c r="K318" s="9">
        <f t="shared" si="12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1"/>
        <v>借</v>
      </c>
      <c r="K319" s="9">
        <f t="shared" si="12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1"/>
        <v>借</v>
      </c>
      <c r="K320" s="9">
        <f t="shared" si="12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1"/>
        <v>借</v>
      </c>
      <c r="K321" s="9">
        <f t="shared" si="12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1"/>
        <v>借</v>
      </c>
      <c r="K322" s="9">
        <f t="shared" si="12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1"/>
        <v>借</v>
      </c>
      <c r="K323" s="9">
        <f t="shared" si="12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1"/>
        <v>借</v>
      </c>
      <c r="K324" s="9">
        <f t="shared" si="12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1"/>
        <v>借</v>
      </c>
      <c r="K325" s="9">
        <f t="shared" si="12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1"/>
        <v>借</v>
      </c>
      <c r="K326" s="9">
        <f t="shared" si="12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2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ref="J328:J391" si="13">IF((K327+H328-I328)&gt;0,"借","贷")</f>
        <v>借</v>
      </c>
      <c r="K328" s="9">
        <f t="shared" si="12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3"/>
        <v>借</v>
      </c>
      <c r="K329" s="9">
        <f t="shared" si="12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3"/>
        <v>借</v>
      </c>
      <c r="K330" s="9">
        <f t="shared" si="12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3"/>
        <v>借</v>
      </c>
      <c r="K331" s="9">
        <f t="shared" si="12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3"/>
        <v>借</v>
      </c>
      <c r="K332" s="9">
        <f t="shared" si="12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3"/>
        <v>借</v>
      </c>
      <c r="K333" s="9">
        <f t="shared" si="12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3"/>
        <v>借</v>
      </c>
      <c r="K334" s="9">
        <f t="shared" si="12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3"/>
        <v>借</v>
      </c>
      <c r="K335" s="9">
        <f t="shared" si="12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3"/>
        <v>借</v>
      </c>
      <c r="K336" s="9">
        <f t="shared" si="12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3"/>
        <v>借</v>
      </c>
      <c r="K337" s="9">
        <f t="shared" si="12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3"/>
        <v>借</v>
      </c>
      <c r="K338" s="9">
        <f t="shared" si="12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3"/>
        <v>借</v>
      </c>
      <c r="K339" s="9">
        <f t="shared" si="12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3"/>
        <v>借</v>
      </c>
      <c r="K340" s="9">
        <f t="shared" si="12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3"/>
        <v>借</v>
      </c>
      <c r="K341" s="9">
        <f t="shared" si="12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3"/>
        <v>借</v>
      </c>
      <c r="K342" s="9">
        <f t="shared" si="12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3"/>
        <v>借</v>
      </c>
      <c r="K343" s="9">
        <f t="shared" si="12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3"/>
        <v>借</v>
      </c>
      <c r="K344" s="9">
        <f t="shared" si="12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3"/>
        <v>借</v>
      </c>
      <c r="K345" s="9">
        <f t="shared" si="12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3"/>
        <v>借</v>
      </c>
      <c r="K346" s="9">
        <f t="shared" si="12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3"/>
        <v>借</v>
      </c>
      <c r="K347" s="9">
        <f t="shared" si="12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3"/>
        <v>借</v>
      </c>
      <c r="K348" s="9">
        <f t="shared" si="12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3"/>
        <v>借</v>
      </c>
      <c r="K349" s="9">
        <f t="shared" si="12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3"/>
        <v>借</v>
      </c>
      <c r="K350" s="9">
        <f t="shared" si="12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3"/>
        <v>借</v>
      </c>
      <c r="K351" s="9">
        <f t="shared" si="12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3"/>
        <v>借</v>
      </c>
      <c r="K352" s="9">
        <f t="shared" si="12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3"/>
        <v>借</v>
      </c>
      <c r="K353" s="9">
        <f t="shared" si="12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3"/>
        <v>借</v>
      </c>
      <c r="K354" s="9">
        <f t="shared" si="12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3"/>
        <v>借</v>
      </c>
      <c r="K355" s="9">
        <f t="shared" si="12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3"/>
        <v>借</v>
      </c>
      <c r="K356" s="9">
        <f t="shared" si="12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3"/>
        <v>借</v>
      </c>
      <c r="K357" s="9">
        <f t="shared" si="12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3"/>
        <v>借</v>
      </c>
      <c r="K358" s="9">
        <f t="shared" si="12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3"/>
        <v>借</v>
      </c>
      <c r="K359" s="9">
        <f t="shared" si="12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3"/>
        <v>借</v>
      </c>
      <c r="K360" s="9">
        <f t="shared" si="12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3"/>
        <v>借</v>
      </c>
      <c r="K361" s="9">
        <f t="shared" si="12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3"/>
        <v>借</v>
      </c>
      <c r="K362" s="9">
        <f t="shared" si="12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3"/>
        <v>借</v>
      </c>
      <c r="K363" s="9">
        <f t="shared" si="12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3"/>
        <v>借</v>
      </c>
      <c r="K364" s="9">
        <f t="shared" si="12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3"/>
        <v>借</v>
      </c>
      <c r="K365" s="9">
        <f t="shared" si="12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3"/>
        <v>借</v>
      </c>
      <c r="K366" s="9">
        <f t="shared" si="12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3"/>
        <v>借</v>
      </c>
      <c r="K367" s="9">
        <f t="shared" ref="K367:K430" si="14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3"/>
        <v>借</v>
      </c>
      <c r="K368" s="9">
        <f t="shared" si="14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3"/>
        <v>借</v>
      </c>
      <c r="K369" s="9">
        <f t="shared" si="14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3"/>
        <v>借</v>
      </c>
      <c r="K370" s="9">
        <f t="shared" si="14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3"/>
        <v>借</v>
      </c>
      <c r="K371" s="9">
        <f t="shared" si="14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3"/>
        <v>借</v>
      </c>
      <c r="K372" s="9">
        <f t="shared" si="14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3"/>
        <v>借</v>
      </c>
      <c r="K373" s="9">
        <f t="shared" si="14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3"/>
        <v>借</v>
      </c>
      <c r="K374" s="9">
        <f t="shared" si="14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3"/>
        <v>借</v>
      </c>
      <c r="K375" s="9">
        <f t="shared" si="14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3"/>
        <v>借</v>
      </c>
      <c r="K376" s="9">
        <f t="shared" si="14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3"/>
        <v>借</v>
      </c>
      <c r="K377" s="9">
        <f t="shared" si="14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3"/>
        <v>借</v>
      </c>
      <c r="K378" s="9">
        <f t="shared" si="14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3"/>
        <v>借</v>
      </c>
      <c r="K379" s="9">
        <f t="shared" si="14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3"/>
        <v>借</v>
      </c>
      <c r="K380" s="9">
        <f t="shared" si="14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3"/>
        <v>借</v>
      </c>
      <c r="K381" s="9">
        <f t="shared" si="14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3"/>
        <v>借</v>
      </c>
      <c r="K382" s="9">
        <f t="shared" si="14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3"/>
        <v>借</v>
      </c>
      <c r="K383" s="9">
        <f t="shared" si="14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3"/>
        <v>借</v>
      </c>
      <c r="K384" s="9">
        <f t="shared" si="14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3"/>
        <v>借</v>
      </c>
      <c r="K385" s="9">
        <f t="shared" si="14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3"/>
        <v>借</v>
      </c>
      <c r="K386" s="9">
        <f t="shared" si="14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3"/>
        <v>借</v>
      </c>
      <c r="K387" s="9">
        <f t="shared" si="14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3"/>
        <v>借</v>
      </c>
      <c r="K388" s="9">
        <f t="shared" si="14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3"/>
        <v>借</v>
      </c>
      <c r="K389" s="9">
        <f t="shared" si="14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3"/>
        <v>借</v>
      </c>
      <c r="K390" s="9">
        <f t="shared" si="14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4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ref="J392:J455" si="15">IF((K391+H392-I392)&gt;0,"借","贷")</f>
        <v>借</v>
      </c>
      <c r="K392" s="9">
        <f t="shared" si="14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5"/>
        <v>借</v>
      </c>
      <c r="K393" s="9">
        <f t="shared" si="14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5"/>
        <v>借</v>
      </c>
      <c r="K394" s="9">
        <f t="shared" si="14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5"/>
        <v>借</v>
      </c>
      <c r="K395" s="9">
        <f t="shared" si="14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5"/>
        <v>借</v>
      </c>
      <c r="K396" s="9">
        <f t="shared" si="14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5"/>
        <v>借</v>
      </c>
      <c r="K397" s="9">
        <f t="shared" si="14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5"/>
        <v>借</v>
      </c>
      <c r="K398" s="9">
        <f t="shared" si="14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5"/>
        <v>借</v>
      </c>
      <c r="K399" s="9">
        <f t="shared" si="14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5"/>
        <v>借</v>
      </c>
      <c r="K400" s="9">
        <f t="shared" si="14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5"/>
        <v>借</v>
      </c>
      <c r="K401" s="9">
        <f t="shared" si="14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5"/>
        <v>借</v>
      </c>
      <c r="K402" s="9">
        <f t="shared" si="14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5"/>
        <v>借</v>
      </c>
      <c r="K403" s="9">
        <f t="shared" si="14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5"/>
        <v>借</v>
      </c>
      <c r="K404" s="9">
        <f t="shared" si="14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5"/>
        <v>借</v>
      </c>
      <c r="K405" s="9">
        <f t="shared" si="14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5"/>
        <v>借</v>
      </c>
      <c r="K406" s="9">
        <f t="shared" si="14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5"/>
        <v>借</v>
      </c>
      <c r="K407" s="9">
        <f t="shared" si="14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5"/>
        <v>借</v>
      </c>
      <c r="K408" s="9">
        <f t="shared" si="14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5"/>
        <v>借</v>
      </c>
      <c r="K409" s="9">
        <f t="shared" si="14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5"/>
        <v>借</v>
      </c>
      <c r="K410" s="9">
        <f t="shared" si="14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5"/>
        <v>借</v>
      </c>
      <c r="K411" s="9">
        <f t="shared" si="14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5"/>
        <v>借</v>
      </c>
      <c r="K412" s="9">
        <f t="shared" si="14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5"/>
        <v>借</v>
      </c>
      <c r="K413" s="9">
        <f t="shared" si="14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5"/>
        <v>借</v>
      </c>
      <c r="K414" s="9">
        <f t="shared" si="14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5"/>
        <v>借</v>
      </c>
      <c r="K415" s="9">
        <f t="shared" si="14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5"/>
        <v>借</v>
      </c>
      <c r="K416" s="9">
        <f t="shared" si="14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5"/>
        <v>借</v>
      </c>
      <c r="K417" s="9">
        <f t="shared" si="14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5"/>
        <v>借</v>
      </c>
      <c r="K418" s="9">
        <f t="shared" si="14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5"/>
        <v>借</v>
      </c>
      <c r="K419" s="9">
        <f t="shared" si="14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5"/>
        <v>借</v>
      </c>
      <c r="K420" s="9">
        <f t="shared" si="14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5"/>
        <v>借</v>
      </c>
      <c r="K421" s="9">
        <f t="shared" si="14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5"/>
        <v>借</v>
      </c>
      <c r="K422" s="9">
        <f t="shared" si="14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5"/>
        <v>借</v>
      </c>
      <c r="K423" s="9">
        <f t="shared" si="14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5"/>
        <v>借</v>
      </c>
      <c r="K424" s="9">
        <f t="shared" si="14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5"/>
        <v>借</v>
      </c>
      <c r="K425" s="9">
        <f t="shared" si="14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5"/>
        <v>借</v>
      </c>
      <c r="K426" s="9">
        <f t="shared" si="14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5"/>
        <v>借</v>
      </c>
      <c r="K427" s="9">
        <f t="shared" si="14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5"/>
        <v>借</v>
      </c>
      <c r="K428" s="9">
        <f t="shared" si="14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5"/>
        <v>借</v>
      </c>
      <c r="K429" s="9">
        <f t="shared" si="14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5"/>
        <v>借</v>
      </c>
      <c r="K430" s="9">
        <f t="shared" si="14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5"/>
        <v>借</v>
      </c>
      <c r="K431" s="9">
        <f t="shared" ref="K431:K494" si="16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5"/>
        <v>借</v>
      </c>
      <c r="K432" s="9">
        <f t="shared" si="16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5"/>
        <v>借</v>
      </c>
      <c r="K433" s="9">
        <f t="shared" si="16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5"/>
        <v>借</v>
      </c>
      <c r="K434" s="9">
        <f t="shared" si="16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5"/>
        <v>借</v>
      </c>
      <c r="K435" s="9">
        <f t="shared" si="16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5"/>
        <v>借</v>
      </c>
      <c r="K436" s="9">
        <f t="shared" si="16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5"/>
        <v>借</v>
      </c>
      <c r="K437" s="9">
        <f t="shared" si="16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5"/>
        <v>借</v>
      </c>
      <c r="K438" s="9">
        <f t="shared" si="16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5"/>
        <v>借</v>
      </c>
      <c r="K439" s="9">
        <f t="shared" si="16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5"/>
        <v>借</v>
      </c>
      <c r="K440" s="9">
        <f t="shared" si="16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5"/>
        <v>借</v>
      </c>
      <c r="K441" s="9">
        <f t="shared" si="16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5"/>
        <v>借</v>
      </c>
      <c r="K442" s="9">
        <f t="shared" si="16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5"/>
        <v>借</v>
      </c>
      <c r="K443" s="9">
        <f t="shared" si="16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5"/>
        <v>借</v>
      </c>
      <c r="K444" s="9">
        <f t="shared" si="16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5"/>
        <v>借</v>
      </c>
      <c r="K445" s="9">
        <f t="shared" si="16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5"/>
        <v>借</v>
      </c>
      <c r="K446" s="9">
        <f t="shared" si="16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5"/>
        <v>借</v>
      </c>
      <c r="K447" s="9">
        <f t="shared" si="16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5"/>
        <v>借</v>
      </c>
      <c r="K448" s="9">
        <f t="shared" si="16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5"/>
        <v>借</v>
      </c>
      <c r="K449" s="9">
        <f t="shared" si="16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5"/>
        <v>借</v>
      </c>
      <c r="K450" s="9">
        <f t="shared" si="16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5"/>
        <v>借</v>
      </c>
      <c r="K451" s="9">
        <f t="shared" si="16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5"/>
        <v>借</v>
      </c>
      <c r="K452" s="9">
        <f t="shared" si="16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5"/>
        <v>借</v>
      </c>
      <c r="K453" s="9">
        <f t="shared" si="16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5"/>
        <v>借</v>
      </c>
      <c r="K454" s="9">
        <f t="shared" si="16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6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ref="J456:J499" si="17">IF((K455+H456-I456)&gt;0,"借","贷")</f>
        <v>借</v>
      </c>
      <c r="K456" s="9">
        <f t="shared" si="16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7"/>
        <v>借</v>
      </c>
      <c r="K457" s="9">
        <f t="shared" si="16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7"/>
        <v>借</v>
      </c>
      <c r="K458" s="9">
        <f t="shared" si="16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7"/>
        <v>借</v>
      </c>
      <c r="K459" s="9">
        <f t="shared" si="16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7"/>
        <v>借</v>
      </c>
      <c r="K460" s="9">
        <f t="shared" si="16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7"/>
        <v>借</v>
      </c>
      <c r="K461" s="9">
        <f t="shared" si="16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7"/>
        <v>借</v>
      </c>
      <c r="K462" s="9">
        <f t="shared" si="16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7"/>
        <v>借</v>
      </c>
      <c r="K463" s="9">
        <f t="shared" si="16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7"/>
        <v>借</v>
      </c>
      <c r="K464" s="9">
        <f t="shared" si="16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7"/>
        <v>借</v>
      </c>
      <c r="K465" s="9">
        <f t="shared" si="16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7"/>
        <v>借</v>
      </c>
      <c r="K466" s="9">
        <f t="shared" si="16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7"/>
        <v>借</v>
      </c>
      <c r="K467" s="9">
        <f t="shared" si="16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7"/>
        <v>借</v>
      </c>
      <c r="K468" s="9">
        <f t="shared" si="16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7"/>
        <v>借</v>
      </c>
      <c r="K469" s="9">
        <f t="shared" si="16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7"/>
        <v>借</v>
      </c>
      <c r="K470" s="9">
        <f t="shared" si="16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7"/>
        <v>借</v>
      </c>
      <c r="K471" s="9">
        <f t="shared" si="16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7"/>
        <v>借</v>
      </c>
      <c r="K472" s="9">
        <f t="shared" si="16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7"/>
        <v>借</v>
      </c>
      <c r="K473" s="9">
        <f t="shared" si="16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7"/>
        <v>借</v>
      </c>
      <c r="K474" s="9">
        <f t="shared" si="16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7"/>
        <v>借</v>
      </c>
      <c r="K475" s="9">
        <f t="shared" si="16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7"/>
        <v>借</v>
      </c>
      <c r="K476" s="9">
        <f t="shared" si="16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7"/>
        <v>借</v>
      </c>
      <c r="K477" s="9">
        <f t="shared" si="16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7"/>
        <v>借</v>
      </c>
      <c r="K478" s="9">
        <f t="shared" si="16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7"/>
        <v>借</v>
      </c>
      <c r="K479" s="9">
        <f t="shared" si="16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7"/>
        <v>借</v>
      </c>
      <c r="K480" s="9">
        <f t="shared" si="16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7"/>
        <v>借</v>
      </c>
      <c r="K481" s="9">
        <f t="shared" si="16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7"/>
        <v>借</v>
      </c>
      <c r="K482" s="9">
        <f t="shared" si="16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7"/>
        <v>借</v>
      </c>
      <c r="K483" s="9">
        <f t="shared" si="16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7"/>
        <v>借</v>
      </c>
      <c r="K484" s="9">
        <f t="shared" si="16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7"/>
        <v>借</v>
      </c>
      <c r="K485" s="9">
        <f t="shared" si="16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7"/>
        <v>借</v>
      </c>
      <c r="K486" s="9">
        <f t="shared" si="16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7"/>
        <v>借</v>
      </c>
      <c r="K487" s="9">
        <f t="shared" si="16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7"/>
        <v>借</v>
      </c>
      <c r="K488" s="9">
        <f t="shared" si="16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7"/>
        <v>借</v>
      </c>
      <c r="K489" s="9">
        <f t="shared" si="16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7"/>
        <v>借</v>
      </c>
      <c r="K490" s="9">
        <f t="shared" si="16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7"/>
        <v>借</v>
      </c>
      <c r="K491" s="9">
        <f t="shared" si="16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7"/>
        <v>借</v>
      </c>
      <c r="K492" s="9">
        <f t="shared" si="16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7"/>
        <v>借</v>
      </c>
      <c r="K493" s="9">
        <f t="shared" si="16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7"/>
        <v>借</v>
      </c>
      <c r="K494" s="9">
        <f t="shared" si="16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7"/>
        <v>借</v>
      </c>
      <c r="K495" s="9">
        <f t="shared" ref="K495:K499" si="18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7"/>
        <v>借</v>
      </c>
      <c r="K496" s="9">
        <f t="shared" si="18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7"/>
        <v>借</v>
      </c>
      <c r="K497" s="9">
        <f t="shared" si="18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7"/>
        <v>借</v>
      </c>
      <c r="K498" s="9">
        <f t="shared" si="18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7"/>
        <v>借</v>
      </c>
      <c r="K499" s="9">
        <f t="shared" si="18"/>
        <v>100</v>
      </c>
    </row>
  </sheetData>
  <autoFilter ref="A4:L499" xr:uid="{00000000-0009-0000-0000-000025000000}"/>
  <mergeCells count="2">
    <mergeCell ref="A1:K1"/>
    <mergeCell ref="A2:K2"/>
  </mergeCells>
  <phoneticPr fontId="21" type="noConversion"/>
  <pageMargins left="0.75" right="0.75" top="1" bottom="1" header="0.5" footer="0.5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497"/>
  <sheetViews>
    <sheetView workbookViewId="0">
      <selection activeCell="H11" sqref="H11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16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75" t="s">
        <v>98</v>
      </c>
      <c r="B2" s="67"/>
      <c r="C2" s="67"/>
      <c r="D2" s="67"/>
      <c r="E2" s="67"/>
      <c r="F2" s="69"/>
      <c r="G2" s="69"/>
      <c r="H2" s="69"/>
      <c r="I2" s="67"/>
      <c r="L2" t="s">
        <v>26</v>
      </c>
    </row>
    <row r="3" spans="1:12" ht="20.100000000000001" customHeight="1" x14ac:dyDescent="0.15">
      <c r="A3" s="22"/>
      <c r="B3" s="3"/>
      <c r="C3" s="3"/>
      <c r="D3" s="3"/>
      <c r="E3" s="3"/>
      <c r="F3" s="4"/>
      <c r="G3" s="4"/>
      <c r="H3" s="4">
        <f>SUM(H5:H13000)</f>
        <v>0.45</v>
      </c>
      <c r="I3" s="4">
        <f>SUM(I5:I13000)</f>
        <v>0</v>
      </c>
      <c r="K3">
        <f>K5+H3-I3</f>
        <v>100.45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>
        <v>0</v>
      </c>
      <c r="C6" s="5">
        <v>21</v>
      </c>
      <c r="D6" s="10" t="s">
        <v>99</v>
      </c>
      <c r="E6" s="10"/>
      <c r="F6" s="10" t="s">
        <v>49</v>
      </c>
      <c r="G6" s="10" t="s">
        <v>49</v>
      </c>
      <c r="H6" s="8">
        <v>0.22</v>
      </c>
      <c r="I6" s="8"/>
      <c r="J6" s="8" t="str">
        <f t="shared" ref="J6:J69" si="0">IF((K5+H6-I6)&gt;0,"借","贷")</f>
        <v>借</v>
      </c>
      <c r="K6" s="9">
        <f>K5+H6-I6</f>
        <v>100.22</v>
      </c>
    </row>
    <row r="7" spans="1:12" ht="20.100000000000001" customHeight="1" x14ac:dyDescent="0.15">
      <c r="A7" s="5"/>
      <c r="B7" s="5">
        <v>6</v>
      </c>
      <c r="C7" s="5">
        <v>21</v>
      </c>
      <c r="D7" s="10" t="s">
        <v>99</v>
      </c>
      <c r="E7" s="10"/>
      <c r="F7" s="10" t="s">
        <v>49</v>
      </c>
      <c r="G7" s="10" t="s">
        <v>49</v>
      </c>
      <c r="H7" s="8">
        <v>0.23</v>
      </c>
      <c r="I7" s="8"/>
      <c r="J7" s="8" t="str">
        <f t="shared" si="0"/>
        <v>借</v>
      </c>
      <c r="K7" s="9">
        <f t="shared" ref="K7:K70" si="1">K6+H7-I7</f>
        <v>100.45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100.45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100.45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100.45</v>
      </c>
    </row>
    <row r="11" spans="1:12" ht="20.100000000000001" customHeight="1" x14ac:dyDescent="0.15">
      <c r="A11" s="5"/>
      <c r="B11" s="10"/>
      <c r="C11" s="10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100.45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100.45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100.45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100.45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100.45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100.45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100.45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100.45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100.45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100.45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100.45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100.45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100.45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100.45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100.45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100.45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100.45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100.45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100.45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100.45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100.45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100.45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100.45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100.45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100.45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100.45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100.45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100.45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100.45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100.45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100.45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100.45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100.45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100.45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100.45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100.45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100.45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100.45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100.45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100.45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100.45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100.45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100.45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100.45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100.45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100.45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100.45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100.45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100.45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100.45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100.45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100.45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100.45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100.45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100.45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100.45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100.45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100.45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100.45</v>
      </c>
    </row>
    <row r="70" spans="1:11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si="1"/>
        <v>100.45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ref="K71:K134" si="3">K70+H71-I71</f>
        <v>100.45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100.45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100.45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100.45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100.45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100.45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100.45</v>
      </c>
    </row>
    <row r="78" spans="1:11" ht="20.100000000000001" customHeight="1" x14ac:dyDescent="0.15">
      <c r="A78" s="10"/>
      <c r="B78" s="5"/>
      <c r="C78" s="5"/>
      <c r="D78" s="10"/>
      <c r="E78" s="10"/>
      <c r="F78" s="10"/>
      <c r="G78" s="10"/>
      <c r="H78" s="8"/>
      <c r="I78" s="8"/>
      <c r="J78" s="8" t="str">
        <f t="shared" si="2"/>
        <v>借</v>
      </c>
      <c r="K78" s="9">
        <f t="shared" si="3"/>
        <v>100.45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100.45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100.45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100.45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100.45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100.45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100.45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100.45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15"/>
      <c r="J86" s="8" t="str">
        <f t="shared" si="2"/>
        <v>借</v>
      </c>
      <c r="K86" s="9">
        <f t="shared" si="3"/>
        <v>100.45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100.45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100.45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100.45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100.45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100.45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100.45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100.45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100.45</v>
      </c>
    </row>
    <row r="95" spans="1:11" ht="20.100000000000001" customHeight="1" x14ac:dyDescent="0.15">
      <c r="A95" s="5"/>
      <c r="B95" s="5"/>
      <c r="C95" s="10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100.45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100.45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100.45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100.45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100.45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100.45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100.45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100.45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100.45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100.45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100.45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100.45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100.45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100.45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100.45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100.45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100.45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100.45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100.45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100.45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100.45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100.45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100.45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100.45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100.45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100.45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100.45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100.45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100.45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100.45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100.45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100.45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100.45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100.45</v>
      </c>
    </row>
    <row r="129" spans="1:11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100.45</v>
      </c>
    </row>
    <row r="130" spans="1:11" ht="20.100000000000001" customHeight="1" x14ac:dyDescent="0.15">
      <c r="A130" s="10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100.45</v>
      </c>
    </row>
    <row r="131" spans="1:11" ht="20.100000000000001" customHeight="1" x14ac:dyDescent="0.15">
      <c r="A131" s="10"/>
      <c r="B131" s="5"/>
      <c r="C131" s="5"/>
      <c r="D131" s="10"/>
      <c r="E131" s="10"/>
      <c r="F131" s="10"/>
      <c r="G131" s="10"/>
      <c r="H131" s="8"/>
      <c r="I131" s="8"/>
      <c r="J131" s="8" t="str">
        <f t="shared" si="2"/>
        <v>借</v>
      </c>
      <c r="K131" s="9">
        <f t="shared" si="3"/>
        <v>100.45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100.45</v>
      </c>
    </row>
    <row r="133" spans="1:11" ht="20.100000000000001" customHeight="1" x14ac:dyDescent="0.15"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100.45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si="3"/>
        <v>100.45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ref="K135:K198" si="5">K134+H135-I135</f>
        <v>100.45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100.45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100.45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100.45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100.45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100.45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100.45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100.45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100.45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100.45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100.45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100.45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100.45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100.45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100.45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100.45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100.45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100.45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100.45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100.45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100.45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100.45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100.45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100.45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100.45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100.45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100.45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100.45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100.45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100.45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100.45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100.45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100.45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100.45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100.45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100.45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100.45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100.45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100.45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100.45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5"/>
        <v>100.45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5"/>
        <v>100.45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5"/>
        <v>100.45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5"/>
        <v>100.45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5"/>
        <v>100.45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5"/>
        <v>100.45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5"/>
        <v>100.45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100.45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100.45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100.45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100.45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100.45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100.45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100.45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5"/>
        <v>100.45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5"/>
        <v>100.45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100.45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100.45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100.45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100.45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100.45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100.45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100.45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si="5"/>
        <v>100.45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ref="K199:K262" si="7">K198+H199-I199</f>
        <v>100.45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100.45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100.45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100.45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100.45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100.45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100.45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100.45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100.45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100.45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100.45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100.45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100.45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6"/>
        <v>借</v>
      </c>
      <c r="K212" s="9">
        <f t="shared" si="7"/>
        <v>100.45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6"/>
        <v>借</v>
      </c>
      <c r="K213" s="9">
        <f t="shared" si="7"/>
        <v>100.45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100.45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100.45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100.45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100.45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100.45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100.45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100.45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100.45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100.45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100.45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100.45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100.45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100.45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100.45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100.45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100.45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100.45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100.45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100.45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100.45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100.45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100.45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100.45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100.45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100.45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100.45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100.45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100.45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6"/>
        <v>借</v>
      </c>
      <c r="K242" s="9">
        <f t="shared" si="7"/>
        <v>100.45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100.45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100.45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100.45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100.45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100.45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6"/>
        <v>借</v>
      </c>
      <c r="K248" s="9">
        <f t="shared" si="7"/>
        <v>100.45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100.45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100.45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100.45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100.45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100.45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100.45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100.45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100.45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100.45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100.45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100.45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100.45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100.45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si="7"/>
        <v>100.45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ref="K263:K326" si="9">K262+H263-I263</f>
        <v>100.45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100.45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100.45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100.45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100.45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100.45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100.45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100.45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100.45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100.45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100.45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100.45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100.45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100.45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100.45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100.45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100.45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100.45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100.45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100.45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100.45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100.45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100.45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100.45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100.45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100.45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100.45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100.45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100.45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100.45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100.45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100.45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100.45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100.45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100.45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100.45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100.45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100.45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100.45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100.45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100.45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100.45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100.45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100.45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100.45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100.45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100.45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100.45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100.45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100.45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100.45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100.45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100.45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100.45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100.45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100.45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100.45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100.45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100.45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100.45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100.45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100.45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100.45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si="9"/>
        <v>100.45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ref="K327:K390" si="11">K326+H327-I327</f>
        <v>100.45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100.45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100.45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100.45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100.45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100.45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100.45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100.45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100.45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100.45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100.45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100.45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100.45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100.45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100.45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100.45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100.45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100.45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100.45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100.45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100.45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100.45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100.45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100.45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100.45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100.45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100.45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100.45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100.45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100.45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100.45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100.45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100.45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100.45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100.45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100.45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100.45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100.45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100.45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100.45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100.45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100.45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100.45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100.45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100.45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100.45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100.45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100.45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100.45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100.45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100.45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100.45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100.45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100.45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100.45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100.45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100.45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100.45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100.45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100.45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100.45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100.45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100.45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si="11"/>
        <v>100.45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ref="K391:K454" si="13">K390+H391-I391</f>
        <v>100.45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100.45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100.45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100.45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100.45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100.45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100.45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100.45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100.45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100.45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100.45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100.45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100.45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100.45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100.45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100.45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100.45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100.45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100.45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100.45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100.45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100.45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100.45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100.45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100.45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100.45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100.45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100.45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100.45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100.45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100.45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100.45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100.45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100.45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100.45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100.45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100.45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100.45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100.45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100.45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100.45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100.45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100.45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100.45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100.45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100.45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100.45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100.45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100.45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100.45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100.45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100.45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100.45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100.45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100.45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100.45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100.45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100.45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100.45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100.45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100.45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100.45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100.45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7" si="14">IF((K453+H454-I454)&gt;0,"借","贷")</f>
        <v>借</v>
      </c>
      <c r="K454" s="9">
        <f t="shared" si="13"/>
        <v>100.45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ref="K455:K497" si="15">K454+H455-I455</f>
        <v>100.45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100.45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100.45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100.45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100.45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100.45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100.45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100.45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100.45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100.45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100.45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100.45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100.45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100.45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100.45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100.45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100.45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100.45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100.45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100.45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100.45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100.45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100.45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100.45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100.45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100.45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100.45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100.45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100.45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100.45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100.45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100.45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100.45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100.45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100.45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100.45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100.45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100.45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100.45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100.45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100.45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100.45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100.45</v>
      </c>
    </row>
  </sheetData>
  <autoFilter ref="A4:L497" xr:uid="{00000000-0009-0000-0000-000026000000}"/>
  <mergeCells count="2">
    <mergeCell ref="A1:K1"/>
    <mergeCell ref="A2:I2"/>
  </mergeCells>
  <phoneticPr fontId="21" type="noConversion"/>
  <dataValidations count="1">
    <dataValidation type="list" allowBlank="1" showInputMessage="1" showErrorMessage="1" sqref="G5:G1048576" xr:uid="{00000000-0002-0000-26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497"/>
  <sheetViews>
    <sheetView workbookViewId="0">
      <selection activeCell="H15" sqref="H15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28.75" customWidth="1"/>
    <col min="5" max="5" width="17.2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66" t="s">
        <v>24</v>
      </c>
      <c r="B1" s="66"/>
      <c r="C1" s="66"/>
      <c r="D1" s="66"/>
      <c r="E1" s="66"/>
      <c r="F1" s="66"/>
      <c r="G1" s="66"/>
      <c r="H1" s="68"/>
      <c r="I1" s="68"/>
      <c r="J1" s="68"/>
      <c r="K1" s="66"/>
    </row>
    <row r="2" spans="1:12" ht="20.100000000000001" customHeight="1" x14ac:dyDescent="0.15">
      <c r="A2" s="67" t="s">
        <v>100</v>
      </c>
      <c r="B2" s="67"/>
      <c r="C2" s="67"/>
      <c r="D2" s="67"/>
      <c r="E2" s="67"/>
      <c r="F2" s="67"/>
      <c r="G2" s="67"/>
      <c r="H2" s="69"/>
      <c r="I2" s="69"/>
      <c r="J2" s="69"/>
      <c r="K2" s="67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SUM(H5:H9000)</f>
        <v>0</v>
      </c>
      <c r="I3" s="4">
        <f>SUM(I5:I9000)</f>
        <v>0</v>
      </c>
      <c r="J3" s="4"/>
      <c r="K3" s="3">
        <f>K5+H3-I3</f>
        <v>100</v>
      </c>
      <c r="L3" t="s">
        <v>61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101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10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">
        <v>39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">
        <v>39</v>
      </c>
      <c r="K9" s="9">
        <f t="shared" si="1"/>
        <v>100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">
        <v>39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ref="J12:J16" si="2">IF((K11+H12-I12)&gt;0,"借","贷")</f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">
        <v>39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2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">
        <v>39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2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">
        <v>39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ref="J18:J22" si="3">IF((K17+H18-I18)&gt;0,"借","贷")</f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">
        <v>39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3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">
        <v>39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3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">
        <v>39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ref="J24:J28" si="4">IF((K23+H24-I24)&gt;0,"借","贷")</f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">
        <v>39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4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">
        <v>39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4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">
        <v>39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ref="J30:J34" si="5">IF((K29+H30-I30)&gt;0,"借","贷")</f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">
        <v>39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5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">
        <v>39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5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">
        <v>39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ref="J36:J40" si="6">IF((K35+H36-I36)&gt;0,"借","贷")</f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">
        <v>39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6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1"/>
      <c r="F39" s="10"/>
      <c r="G39" s="10"/>
      <c r="H39" s="8"/>
      <c r="I39" s="8"/>
      <c r="J39" s="8" t="s">
        <v>39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6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2"/>
      <c r="H41" s="8"/>
      <c r="I41" s="8"/>
      <c r="J41" s="8" t="s">
        <v>39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ref="J42:J46" si="7">IF((K41+H42-I42)&gt;0,"借","贷")</f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">
        <v>39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7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">
        <v>39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7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">
        <v>39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ref="J48:J52" si="8">IF((K47+H48-I48)&gt;0,"借","贷")</f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">
        <v>39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8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">
        <v>39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8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">
        <v>39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ref="J54:J58" si="9">IF((K53+H54-I54)&gt;0,"借","贷")</f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">
        <v>39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9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">
        <v>39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9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">
        <v>39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ref="J60:J64" si="10">IF((K59+H60-I60)&gt;0,"借","贷")</f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">
        <v>39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1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">
        <v>39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1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">
        <v>39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ref="J66:J70" si="11">IF((K65+H66-I66)&gt;0,"借","贷")</f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">
        <v>39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11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">
        <v>39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si="11"/>
        <v>借</v>
      </c>
      <c r="K70" s="9">
        <f t="shared" ref="K70:K76" si="12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">
        <v>39</v>
      </c>
      <c r="K71" s="9">
        <f t="shared" si="12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ref="J72:J76" si="13">IF((K71+H72-I72)&gt;0,"借","贷")</f>
        <v>借</v>
      </c>
      <c r="K72" s="9">
        <f t="shared" si="12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">
        <v>39</v>
      </c>
      <c r="K73" s="9">
        <f t="shared" si="12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13"/>
        <v>借</v>
      </c>
      <c r="K74" s="9">
        <f t="shared" si="12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">
        <v>39</v>
      </c>
      <c r="K75" s="9">
        <f t="shared" si="12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13"/>
        <v>借</v>
      </c>
      <c r="K76" s="9">
        <f t="shared" si="12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ref="J77:J108" si="14">IF((K76+H77-I77)&gt;0,"借","贷")</f>
        <v>借</v>
      </c>
      <c r="K77" s="9">
        <f t="shared" ref="K77:K108" si="15">K76+H77-I77</f>
        <v>100</v>
      </c>
    </row>
    <row r="78" spans="1:11" ht="20.100000000000001" customHeight="1" x14ac:dyDescent="0.15">
      <c r="A78" s="10"/>
      <c r="B78" s="5"/>
      <c r="C78" s="10"/>
      <c r="D78" s="10"/>
      <c r="E78" s="10"/>
      <c r="F78" s="14"/>
      <c r="G78" s="14"/>
      <c r="H78" s="8"/>
      <c r="I78" s="8"/>
      <c r="J78" s="8" t="str">
        <f t="shared" si="14"/>
        <v>借</v>
      </c>
      <c r="K78" s="9">
        <f t="shared" si="15"/>
        <v>100</v>
      </c>
    </row>
    <row r="79" spans="1:11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14"/>
        <v>借</v>
      </c>
      <c r="K79" s="9">
        <f t="shared" si="15"/>
        <v>100</v>
      </c>
    </row>
    <row r="80" spans="1:11" ht="20.100000000000001" customHeight="1" x14ac:dyDescent="0.15">
      <c r="A80" s="5"/>
      <c r="B80" s="5"/>
      <c r="C80" s="10"/>
      <c r="D80" s="10"/>
      <c r="E80" s="10"/>
      <c r="F80" s="14"/>
      <c r="G80" s="14"/>
      <c r="H80" s="8"/>
      <c r="I80" s="15"/>
      <c r="J80" s="8" t="str">
        <f t="shared" si="14"/>
        <v>借</v>
      </c>
      <c r="K80" s="9">
        <f t="shared" si="15"/>
        <v>100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15"/>
      <c r="J81" s="8" t="str">
        <f t="shared" si="14"/>
        <v>借</v>
      </c>
      <c r="K81" s="9">
        <f t="shared" si="15"/>
        <v>100</v>
      </c>
    </row>
    <row r="82" spans="1:11" ht="20.100000000000001" customHeight="1" x14ac:dyDescent="0.15">
      <c r="A82" s="5"/>
      <c r="B82" s="5"/>
      <c r="C82" s="10"/>
      <c r="D82" s="10"/>
      <c r="E82" s="10"/>
      <c r="F82" s="10"/>
      <c r="G82" s="14"/>
      <c r="H82" s="8"/>
      <c r="I82" s="8"/>
      <c r="J82" s="8" t="str">
        <f t="shared" si="14"/>
        <v>借</v>
      </c>
      <c r="K82" s="9">
        <f t="shared" si="15"/>
        <v>100</v>
      </c>
    </row>
    <row r="83" spans="1:11" ht="20.100000000000001" customHeight="1" x14ac:dyDescent="0.15">
      <c r="A83" s="5"/>
      <c r="B83" s="5"/>
      <c r="C83" s="10"/>
      <c r="D83" s="10"/>
      <c r="E83" s="10"/>
      <c r="F83" s="10"/>
      <c r="G83" s="10"/>
      <c r="H83" s="8"/>
      <c r="I83" s="8"/>
      <c r="J83" s="8" t="str">
        <f t="shared" si="14"/>
        <v>借</v>
      </c>
      <c r="K83" s="9">
        <f t="shared" si="15"/>
        <v>100</v>
      </c>
    </row>
    <row r="84" spans="1:11" ht="20.100000000000001" customHeight="1" x14ac:dyDescent="0.15">
      <c r="A84" s="5"/>
      <c r="B84" s="5"/>
      <c r="C84" s="10"/>
      <c r="D84" s="10"/>
      <c r="E84" s="10"/>
      <c r="F84" s="10"/>
      <c r="G84" s="10"/>
      <c r="H84" s="8"/>
      <c r="I84" s="8"/>
      <c r="J84" s="8" t="str">
        <f t="shared" si="14"/>
        <v>借</v>
      </c>
      <c r="K84" s="9">
        <f t="shared" si="15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14"/>
        <v>借</v>
      </c>
      <c r="K85" s="9">
        <f t="shared" si="15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14"/>
        <v>借</v>
      </c>
      <c r="K86" s="9">
        <f t="shared" si="15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14"/>
        <v>借</v>
      </c>
      <c r="K87" s="9">
        <f t="shared" si="15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14"/>
        <v>借</v>
      </c>
      <c r="K88" s="9">
        <f t="shared" si="15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14"/>
        <v>借</v>
      </c>
      <c r="K89" s="9">
        <f t="shared" si="15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14"/>
        <v>借</v>
      </c>
      <c r="K90" s="9">
        <f t="shared" si="15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14"/>
        <v>借</v>
      </c>
      <c r="K91" s="9">
        <f t="shared" si="15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14"/>
        <v>借</v>
      </c>
      <c r="K92" s="9">
        <f t="shared" si="15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14"/>
        <v>借</v>
      </c>
      <c r="K93" s="9">
        <f t="shared" si="15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14"/>
        <v>借</v>
      </c>
      <c r="K94" s="9">
        <f t="shared" si="15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14"/>
        <v>借</v>
      </c>
      <c r="K95" s="9">
        <f t="shared" si="15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14"/>
        <v>借</v>
      </c>
      <c r="K96" s="9">
        <f t="shared" si="15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14"/>
        <v>借</v>
      </c>
      <c r="K97" s="9">
        <f t="shared" si="15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14"/>
        <v>借</v>
      </c>
      <c r="K98" s="9">
        <f t="shared" si="15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14"/>
        <v>借</v>
      </c>
      <c r="K99" s="9">
        <f t="shared" si="15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14"/>
        <v>借</v>
      </c>
      <c r="K100" s="9">
        <f t="shared" si="15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14"/>
        <v>借</v>
      </c>
      <c r="K101" s="9">
        <f t="shared" si="15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14"/>
        <v>借</v>
      </c>
      <c r="K102" s="9">
        <f t="shared" si="15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14"/>
        <v>借</v>
      </c>
      <c r="K103" s="9">
        <f t="shared" si="15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14"/>
        <v>借</v>
      </c>
      <c r="K104" s="9">
        <f t="shared" si="15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14"/>
        <v>借</v>
      </c>
      <c r="K105" s="9">
        <f t="shared" si="15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14"/>
        <v>借</v>
      </c>
      <c r="K106" s="9">
        <f t="shared" si="15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14"/>
        <v>借</v>
      </c>
      <c r="K107" s="9">
        <f t="shared" si="15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14"/>
        <v>借</v>
      </c>
      <c r="K108" s="9">
        <f t="shared" si="15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ref="J109:J140" si="16">IF((K108+H109-I109)&gt;0,"借","贷")</f>
        <v>借</v>
      </c>
      <c r="K109" s="9">
        <f t="shared" ref="K109:K140" si="17">K108+H109-I109</f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16"/>
        <v>借</v>
      </c>
      <c r="K110" s="9">
        <f t="shared" si="17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16"/>
        <v>借</v>
      </c>
      <c r="K111" s="9">
        <f t="shared" si="17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16"/>
        <v>借</v>
      </c>
      <c r="K112" s="9">
        <f t="shared" si="17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16"/>
        <v>借</v>
      </c>
      <c r="K113" s="9">
        <f t="shared" si="17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16"/>
        <v>借</v>
      </c>
      <c r="K114" s="9">
        <f t="shared" si="17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16"/>
        <v>借</v>
      </c>
      <c r="K115" s="9">
        <f t="shared" si="17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16"/>
        <v>借</v>
      </c>
      <c r="K116" s="9">
        <f t="shared" si="17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16"/>
        <v>借</v>
      </c>
      <c r="K117" s="9">
        <f t="shared" si="17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16"/>
        <v>借</v>
      </c>
      <c r="K118" s="9">
        <f t="shared" si="17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16"/>
        <v>借</v>
      </c>
      <c r="K119" s="9">
        <f t="shared" si="17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16"/>
        <v>借</v>
      </c>
      <c r="K120" s="9">
        <f t="shared" si="17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16"/>
        <v>借</v>
      </c>
      <c r="K121" s="9">
        <f t="shared" si="17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16"/>
        <v>借</v>
      </c>
      <c r="K122" s="9">
        <f t="shared" si="17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16"/>
        <v>借</v>
      </c>
      <c r="K123" s="9">
        <f t="shared" si="17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16"/>
        <v>借</v>
      </c>
      <c r="K124" s="9">
        <f t="shared" si="17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16"/>
        <v>借</v>
      </c>
      <c r="K125" s="9">
        <f t="shared" si="17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16"/>
        <v>借</v>
      </c>
      <c r="K126" s="9">
        <f t="shared" si="17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16"/>
        <v>借</v>
      </c>
      <c r="K127" s="9">
        <f t="shared" si="17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16"/>
        <v>借</v>
      </c>
      <c r="K128" s="9">
        <f t="shared" si="17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16"/>
        <v>借</v>
      </c>
      <c r="K129" s="9">
        <f t="shared" si="17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16"/>
        <v>借</v>
      </c>
      <c r="K130" s="9">
        <f t="shared" si="17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16"/>
        <v>借</v>
      </c>
      <c r="K131" s="9">
        <f t="shared" si="17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16"/>
        <v>借</v>
      </c>
      <c r="K132" s="9">
        <f t="shared" si="17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16"/>
        <v>借</v>
      </c>
      <c r="K133" s="9">
        <f t="shared" si="17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16"/>
        <v>借</v>
      </c>
      <c r="K134" s="9">
        <f t="shared" si="17"/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16"/>
        <v>借</v>
      </c>
      <c r="K135" s="9">
        <f t="shared" si="17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16"/>
        <v>借</v>
      </c>
      <c r="K136" s="9">
        <f t="shared" si="17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16"/>
        <v>借</v>
      </c>
      <c r="K137" s="9">
        <f t="shared" si="17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16"/>
        <v>借</v>
      </c>
      <c r="K138" s="9">
        <f t="shared" si="17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16"/>
        <v>借</v>
      </c>
      <c r="K139" s="9">
        <f t="shared" si="17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16"/>
        <v>借</v>
      </c>
      <c r="K140" s="9">
        <f t="shared" si="17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ref="J141:J169" si="18">IF((K140+H141-I141)&gt;0,"借","贷")</f>
        <v>借</v>
      </c>
      <c r="K141" s="9">
        <f t="shared" ref="K141:K172" si="19">K140+H141-I141</f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18"/>
        <v>借</v>
      </c>
      <c r="K142" s="9">
        <f t="shared" si="19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18"/>
        <v>借</v>
      </c>
      <c r="K143" s="9">
        <f t="shared" si="19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18"/>
        <v>借</v>
      </c>
      <c r="K144" s="9">
        <f t="shared" si="19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18"/>
        <v>借</v>
      </c>
      <c r="K145" s="9">
        <f t="shared" si="19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18"/>
        <v>借</v>
      </c>
      <c r="K146" s="9">
        <f t="shared" si="19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18"/>
        <v>借</v>
      </c>
      <c r="K147" s="9">
        <f t="shared" si="19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18"/>
        <v>借</v>
      </c>
      <c r="K148" s="9">
        <f t="shared" si="19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18"/>
        <v>借</v>
      </c>
      <c r="K149" s="9">
        <f t="shared" si="19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18"/>
        <v>借</v>
      </c>
      <c r="K150" s="9">
        <f t="shared" si="19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18"/>
        <v>借</v>
      </c>
      <c r="K151" s="9">
        <f t="shared" si="19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18"/>
        <v>借</v>
      </c>
      <c r="K152" s="9">
        <f t="shared" si="19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18"/>
        <v>借</v>
      </c>
      <c r="K153" s="9">
        <f t="shared" si="19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18"/>
        <v>借</v>
      </c>
      <c r="K154" s="9">
        <f t="shared" si="19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18"/>
        <v>借</v>
      </c>
      <c r="K155" s="9">
        <f t="shared" si="19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18"/>
        <v>借</v>
      </c>
      <c r="K156" s="9">
        <f t="shared" si="19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18"/>
        <v>借</v>
      </c>
      <c r="K157" s="9">
        <f t="shared" si="19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18"/>
        <v>借</v>
      </c>
      <c r="K158" s="9">
        <f t="shared" si="19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18"/>
        <v>借</v>
      </c>
      <c r="K159" s="9">
        <f t="shared" si="19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18"/>
        <v>借</v>
      </c>
      <c r="K160" s="9">
        <f t="shared" si="19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18"/>
        <v>借</v>
      </c>
      <c r="K161" s="9">
        <f t="shared" si="19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18"/>
        <v>借</v>
      </c>
      <c r="K162" s="9">
        <f t="shared" si="19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18"/>
        <v>借</v>
      </c>
      <c r="K163" s="9">
        <f t="shared" si="19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18"/>
        <v>借</v>
      </c>
      <c r="K164" s="9">
        <f t="shared" si="19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18"/>
        <v>借</v>
      </c>
      <c r="K165" s="9">
        <f t="shared" si="19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18"/>
        <v>借</v>
      </c>
      <c r="K166" s="9">
        <f t="shared" si="19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18"/>
        <v>借</v>
      </c>
      <c r="K167" s="9">
        <f t="shared" si="19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18"/>
        <v>借</v>
      </c>
      <c r="K168" s="9">
        <f t="shared" si="19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18"/>
        <v>借</v>
      </c>
      <c r="K169" s="9">
        <f t="shared" si="19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ref="J170:J172" si="20">IF((K169+H170-I170)&gt;0,"借","贷")</f>
        <v>借</v>
      </c>
      <c r="K170" s="9">
        <f t="shared" si="19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">
        <v>39</v>
      </c>
      <c r="K171" s="9">
        <f t="shared" si="19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20"/>
        <v>借</v>
      </c>
      <c r="K172" s="9">
        <f t="shared" si="19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">
        <v>39</v>
      </c>
      <c r="K173" s="9">
        <f t="shared" ref="K173:K236" si="21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ref="J174:J178" si="22">IF((K173+H174-I174)&gt;0,"借","贷")</f>
        <v>借</v>
      </c>
      <c r="K174" s="9">
        <f t="shared" si="21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">
        <v>39</v>
      </c>
      <c r="K175" s="9">
        <f t="shared" si="21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22"/>
        <v>借</v>
      </c>
      <c r="K176" s="9">
        <f t="shared" si="21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">
        <v>39</v>
      </c>
      <c r="K177" s="9">
        <f t="shared" si="21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22"/>
        <v>借</v>
      </c>
      <c r="K178" s="9">
        <f t="shared" si="21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">
        <v>39</v>
      </c>
      <c r="K179" s="9">
        <f t="shared" si="21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ref="J180:J184" si="23">IF((K179+H180-I180)&gt;0,"借","贷")</f>
        <v>借</v>
      </c>
      <c r="K180" s="9">
        <f t="shared" si="21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">
        <v>39</v>
      </c>
      <c r="K181" s="9">
        <f t="shared" si="21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23"/>
        <v>借</v>
      </c>
      <c r="K182" s="9">
        <f t="shared" si="21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">
        <v>39</v>
      </c>
      <c r="K183" s="9">
        <f t="shared" si="21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23"/>
        <v>借</v>
      </c>
      <c r="K184" s="9">
        <f t="shared" si="21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">
        <v>39</v>
      </c>
      <c r="K185" s="9">
        <f t="shared" si="21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ref="J186:J190" si="24">IF((K185+H186-I186)&gt;0,"借","贷")</f>
        <v>借</v>
      </c>
      <c r="K186" s="9">
        <f t="shared" si="21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">
        <v>39</v>
      </c>
      <c r="K187" s="9">
        <f t="shared" si="21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24"/>
        <v>借</v>
      </c>
      <c r="K188" s="9">
        <f t="shared" si="21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">
        <v>39</v>
      </c>
      <c r="K189" s="9">
        <f t="shared" si="21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24"/>
        <v>借</v>
      </c>
      <c r="K190" s="9">
        <f t="shared" si="21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">
        <v>39</v>
      </c>
      <c r="K191" s="9">
        <f t="shared" si="21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ref="J192:J196" si="25">IF((K191+H192-I192)&gt;0,"借","贷")</f>
        <v>借</v>
      </c>
      <c r="K192" s="9">
        <f t="shared" si="21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">
        <v>39</v>
      </c>
      <c r="K193" s="9">
        <f t="shared" si="21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25"/>
        <v>借</v>
      </c>
      <c r="K194" s="9">
        <f t="shared" si="21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">
        <v>39</v>
      </c>
      <c r="K195" s="9">
        <f t="shared" si="21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25"/>
        <v>借</v>
      </c>
      <c r="K196" s="9">
        <f t="shared" si="21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">
        <v>39</v>
      </c>
      <c r="K197" s="9">
        <f t="shared" si="21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02" si="26">IF((K197+H198-I198)&gt;0,"借","贷")</f>
        <v>借</v>
      </c>
      <c r="K198" s="9">
        <f t="shared" si="21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">
        <v>39</v>
      </c>
      <c r="K199" s="9">
        <f t="shared" si="21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26"/>
        <v>借</v>
      </c>
      <c r="K200" s="9">
        <f t="shared" si="21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">
        <v>39</v>
      </c>
      <c r="K201" s="9">
        <f t="shared" si="21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26"/>
        <v>借</v>
      </c>
      <c r="K202" s="9">
        <f t="shared" si="21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">
        <v>39</v>
      </c>
      <c r="K203" s="9">
        <f t="shared" si="21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ref="J204:J208" si="27">IF((K203+H204-I204)&gt;0,"借","贷")</f>
        <v>借</v>
      </c>
      <c r="K204" s="9">
        <f t="shared" si="21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">
        <v>39</v>
      </c>
      <c r="K205" s="9">
        <f t="shared" si="21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27"/>
        <v>借</v>
      </c>
      <c r="K206" s="9">
        <f t="shared" si="21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">
        <v>39</v>
      </c>
      <c r="K207" s="9">
        <f t="shared" si="21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27"/>
        <v>借</v>
      </c>
      <c r="K208" s="9">
        <f t="shared" si="21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">
        <v>39</v>
      </c>
      <c r="K209" s="9">
        <f t="shared" si="21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ref="J210:J214" si="28">IF((K209+H210-I210)&gt;0,"借","贷")</f>
        <v>借</v>
      </c>
      <c r="K210" s="9">
        <f t="shared" si="21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">
        <v>39</v>
      </c>
      <c r="K211" s="9">
        <f t="shared" si="21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28"/>
        <v>借</v>
      </c>
      <c r="K212" s="9">
        <f t="shared" si="21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">
        <v>39</v>
      </c>
      <c r="K213" s="9">
        <f t="shared" si="21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28"/>
        <v>借</v>
      </c>
      <c r="K214" s="9">
        <f t="shared" si="21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">
        <v>39</v>
      </c>
      <c r="K215" s="9">
        <f t="shared" si="21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ref="J216:J220" si="29">IF((K215+H216-I216)&gt;0,"借","贷")</f>
        <v>借</v>
      </c>
      <c r="K216" s="9">
        <f t="shared" si="21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">
        <v>39</v>
      </c>
      <c r="K217" s="9">
        <f t="shared" si="21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29"/>
        <v>借</v>
      </c>
      <c r="K218" s="9">
        <f t="shared" si="21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">
        <v>39</v>
      </c>
      <c r="K219" s="9">
        <f t="shared" si="21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29"/>
        <v>借</v>
      </c>
      <c r="K220" s="9">
        <f t="shared" si="21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">
        <v>39</v>
      </c>
      <c r="K221" s="9">
        <f t="shared" si="21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ref="J222:J226" si="30">IF((K221+H222-I222)&gt;0,"借","贷")</f>
        <v>借</v>
      </c>
      <c r="K222" s="9">
        <f t="shared" si="21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">
        <v>39</v>
      </c>
      <c r="K223" s="9">
        <f t="shared" si="21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30"/>
        <v>借</v>
      </c>
      <c r="K224" s="9">
        <f t="shared" si="21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">
        <v>39</v>
      </c>
      <c r="K225" s="9">
        <f t="shared" si="21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30"/>
        <v>借</v>
      </c>
      <c r="K226" s="9">
        <f t="shared" si="21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">
        <v>39</v>
      </c>
      <c r="K227" s="9">
        <f t="shared" si="21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ref="J228:J232" si="31">IF((K227+H228-I228)&gt;0,"借","贷")</f>
        <v>借</v>
      </c>
      <c r="K228" s="9">
        <f t="shared" si="21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">
        <v>39</v>
      </c>
      <c r="K229" s="9">
        <f t="shared" si="21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31"/>
        <v>借</v>
      </c>
      <c r="K230" s="21">
        <f t="shared" si="21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">
        <v>39</v>
      </c>
      <c r="K231" s="9">
        <f t="shared" si="21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31"/>
        <v>借</v>
      </c>
      <c r="K232" s="9">
        <f t="shared" si="21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">
        <v>39</v>
      </c>
      <c r="K233" s="9">
        <f t="shared" si="21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ref="J234:J238" si="32">IF((K233+H234-I234)&gt;0,"借","贷")</f>
        <v>借</v>
      </c>
      <c r="K234" s="21">
        <f t="shared" si="21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">
        <v>39</v>
      </c>
      <c r="K235" s="9">
        <f t="shared" si="21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32"/>
        <v>借</v>
      </c>
      <c r="K236" s="9">
        <f t="shared" si="21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">
        <v>39</v>
      </c>
      <c r="K237" s="9">
        <f t="shared" ref="K237:K300" si="33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32"/>
        <v>借</v>
      </c>
      <c r="K238" s="9">
        <f t="shared" si="33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">
        <v>39</v>
      </c>
      <c r="K239" s="9">
        <f t="shared" si="33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ref="J240:J244" si="34">IF((K239+H240-I240)&gt;0,"借","贷")</f>
        <v>借</v>
      </c>
      <c r="K240" s="9">
        <f t="shared" si="33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">
        <v>39</v>
      </c>
      <c r="K241" s="9">
        <f t="shared" si="33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34"/>
        <v>借</v>
      </c>
      <c r="K242" s="9">
        <f t="shared" si="33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">
        <v>39</v>
      </c>
      <c r="K243" s="9">
        <f t="shared" si="33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34"/>
        <v>借</v>
      </c>
      <c r="K244" s="9">
        <f t="shared" si="33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">
        <v>39</v>
      </c>
      <c r="K245" s="9">
        <f t="shared" si="33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ref="J246:J250" si="35">IF((K245+H246-I246)&gt;0,"借","贷")</f>
        <v>借</v>
      </c>
      <c r="K246" s="9">
        <f t="shared" si="33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">
        <v>39</v>
      </c>
      <c r="K247" s="9">
        <f t="shared" si="33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35"/>
        <v>借</v>
      </c>
      <c r="K248" s="9">
        <f t="shared" si="33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">
        <v>39</v>
      </c>
      <c r="K249" s="9">
        <f t="shared" si="33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35"/>
        <v>借</v>
      </c>
      <c r="K250" s="9">
        <f t="shared" si="33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">
        <v>39</v>
      </c>
      <c r="K251" s="9">
        <f t="shared" si="33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ref="J252:J256" si="36">IF((K251+H252-I252)&gt;0,"借","贷")</f>
        <v>借</v>
      </c>
      <c r="K252" s="9">
        <f t="shared" si="33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">
        <v>39</v>
      </c>
      <c r="K253" s="9">
        <f t="shared" si="33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36"/>
        <v>借</v>
      </c>
      <c r="K254" s="9">
        <f t="shared" si="33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">
        <v>39</v>
      </c>
      <c r="K255" s="9">
        <f t="shared" si="33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36"/>
        <v>借</v>
      </c>
      <c r="K256" s="9">
        <f t="shared" si="33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">
        <v>39</v>
      </c>
      <c r="K257" s="9">
        <f t="shared" si="33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ref="J258:J262" si="37">IF((K257+H258-I258)&gt;0,"借","贷")</f>
        <v>借</v>
      </c>
      <c r="K258" s="9">
        <f t="shared" si="33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">
        <v>39</v>
      </c>
      <c r="K259" s="9">
        <f t="shared" si="33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37"/>
        <v>借</v>
      </c>
      <c r="K260" s="9">
        <f t="shared" si="33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">
        <v>39</v>
      </c>
      <c r="K261" s="9">
        <f t="shared" si="33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37"/>
        <v>借</v>
      </c>
      <c r="K262" s="9">
        <f t="shared" si="33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">
        <v>39</v>
      </c>
      <c r="K263" s="9">
        <f t="shared" si="33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268" si="38">IF((K263+H264-I264)&gt;0,"借","贷")</f>
        <v>借</v>
      </c>
      <c r="K264" s="9">
        <f t="shared" si="33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">
        <v>39</v>
      </c>
      <c r="K265" s="9">
        <f t="shared" si="33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38"/>
        <v>借</v>
      </c>
      <c r="K266" s="9">
        <f t="shared" si="33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">
        <v>39</v>
      </c>
      <c r="K267" s="9">
        <f t="shared" si="33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38"/>
        <v>借</v>
      </c>
      <c r="K268" s="9">
        <f t="shared" si="33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">
        <v>39</v>
      </c>
      <c r="K269" s="9">
        <f t="shared" si="33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ref="J270:J274" si="39">IF((K269+H270-I270)&gt;0,"借","贷")</f>
        <v>借</v>
      </c>
      <c r="K270" s="9">
        <f t="shared" si="33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">
        <v>39</v>
      </c>
      <c r="K271" s="9">
        <f t="shared" si="33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39"/>
        <v>借</v>
      </c>
      <c r="K272" s="9">
        <f t="shared" si="33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">
        <v>39</v>
      </c>
      <c r="K273" s="9">
        <f t="shared" si="33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39"/>
        <v>借</v>
      </c>
      <c r="K274" s="9">
        <f t="shared" si="33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">
        <v>39</v>
      </c>
      <c r="K275" s="9">
        <f t="shared" si="33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ref="J276:J280" si="40">IF((K275+H276-I276)&gt;0,"借","贷")</f>
        <v>借</v>
      </c>
      <c r="K276" s="9">
        <f t="shared" si="33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">
        <v>39</v>
      </c>
      <c r="K277" s="9">
        <f t="shared" si="33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40"/>
        <v>借</v>
      </c>
      <c r="K278" s="9">
        <f t="shared" si="33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">
        <v>39</v>
      </c>
      <c r="K279" s="9">
        <f t="shared" si="33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40"/>
        <v>借</v>
      </c>
      <c r="K280" s="9">
        <f t="shared" si="33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">
        <v>39</v>
      </c>
      <c r="K281" s="9">
        <f t="shared" si="33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ref="J282:J286" si="41">IF((K281+H282-I282)&gt;0,"借","贷")</f>
        <v>借</v>
      </c>
      <c r="K282" s="9">
        <f t="shared" si="33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">
        <v>39</v>
      </c>
      <c r="K283" s="9">
        <f t="shared" si="33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41"/>
        <v>借</v>
      </c>
      <c r="K284" s="9">
        <f t="shared" si="33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">
        <v>39</v>
      </c>
      <c r="K285" s="9">
        <f t="shared" si="33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41"/>
        <v>借</v>
      </c>
      <c r="K286" s="9">
        <f t="shared" si="33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">
        <v>39</v>
      </c>
      <c r="K287" s="9">
        <f t="shared" si="33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ref="J288:J292" si="42">IF((K287+H288-I288)&gt;0,"借","贷")</f>
        <v>借</v>
      </c>
      <c r="K288" s="9">
        <f t="shared" si="33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">
        <v>39</v>
      </c>
      <c r="K289" s="9">
        <f t="shared" si="33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42"/>
        <v>借</v>
      </c>
      <c r="K290" s="9">
        <f t="shared" si="33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">
        <v>39</v>
      </c>
      <c r="K291" s="9">
        <f t="shared" si="33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42"/>
        <v>借</v>
      </c>
      <c r="K292" s="9">
        <f t="shared" si="33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">
        <v>39</v>
      </c>
      <c r="K293" s="9">
        <f t="shared" si="33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ref="J294:J298" si="43">IF((K293+H294-I294)&gt;0,"借","贷")</f>
        <v>借</v>
      </c>
      <c r="K294" s="9">
        <f t="shared" si="33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">
        <v>39</v>
      </c>
      <c r="K295" s="9">
        <f t="shared" si="33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43"/>
        <v>借</v>
      </c>
      <c r="K296" s="9">
        <f t="shared" si="33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">
        <v>39</v>
      </c>
      <c r="K297" s="9">
        <f t="shared" si="33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43"/>
        <v>借</v>
      </c>
      <c r="K298" s="9">
        <f t="shared" si="33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">
        <v>39</v>
      </c>
      <c r="K299" s="9">
        <f t="shared" si="33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ref="J300:J304" si="44">IF((K299+H300-I300)&gt;0,"借","贷")</f>
        <v>借</v>
      </c>
      <c r="K300" s="9">
        <f t="shared" si="33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">
        <v>39</v>
      </c>
      <c r="K301" s="9">
        <f t="shared" ref="K301:K364" si="45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44"/>
        <v>借</v>
      </c>
      <c r="K302" s="9">
        <f t="shared" si="45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">
        <v>39</v>
      </c>
      <c r="K303" s="9">
        <f t="shared" si="45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44"/>
        <v>借</v>
      </c>
      <c r="K304" s="9">
        <f t="shared" si="45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">
        <v>39</v>
      </c>
      <c r="K305" s="9">
        <f t="shared" si="45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ref="J306:J310" si="46">IF((K305+H306-I306)&gt;0,"借","贷")</f>
        <v>借</v>
      </c>
      <c r="K306" s="9">
        <f t="shared" si="45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">
        <v>39</v>
      </c>
      <c r="K307" s="9">
        <f t="shared" si="45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46"/>
        <v>借</v>
      </c>
      <c r="K308" s="9">
        <f t="shared" si="45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">
        <v>39</v>
      </c>
      <c r="K309" s="9">
        <f t="shared" si="45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46"/>
        <v>借</v>
      </c>
      <c r="K310" s="9">
        <f t="shared" si="45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">
        <v>39</v>
      </c>
      <c r="K311" s="9">
        <f t="shared" si="45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ref="J312:J316" si="47">IF((K311+H312-I312)&gt;0,"借","贷")</f>
        <v>借</v>
      </c>
      <c r="K312" s="9">
        <f t="shared" si="45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">
        <v>39</v>
      </c>
      <c r="K313" s="9">
        <f t="shared" si="45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47"/>
        <v>借</v>
      </c>
      <c r="K314" s="9">
        <f t="shared" si="45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">
        <v>39</v>
      </c>
      <c r="K315" s="9">
        <f t="shared" si="45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47"/>
        <v>借</v>
      </c>
      <c r="K316" s="9">
        <f t="shared" si="45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">
        <v>39</v>
      </c>
      <c r="K317" s="9">
        <f t="shared" si="45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ref="J318:J322" si="48">IF((K317+H318-I318)&gt;0,"借","贷")</f>
        <v>借</v>
      </c>
      <c r="K318" s="9">
        <f t="shared" si="45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">
        <v>39</v>
      </c>
      <c r="K319" s="9">
        <f t="shared" si="45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48"/>
        <v>借</v>
      </c>
      <c r="K320" s="9">
        <f t="shared" si="45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">
        <v>39</v>
      </c>
      <c r="K321" s="9">
        <f t="shared" si="45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48"/>
        <v>借</v>
      </c>
      <c r="K322" s="9">
        <f t="shared" si="45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">
        <v>39</v>
      </c>
      <c r="K323" s="9">
        <f t="shared" si="45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ref="J324:J328" si="49">IF((K323+H324-I324)&gt;0,"借","贷")</f>
        <v>借</v>
      </c>
      <c r="K324" s="9">
        <f t="shared" si="45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">
        <v>39</v>
      </c>
      <c r="K325" s="9">
        <f t="shared" si="45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49"/>
        <v>借</v>
      </c>
      <c r="K326" s="9">
        <f t="shared" si="45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">
        <v>39</v>
      </c>
      <c r="K327" s="9">
        <f t="shared" si="45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49"/>
        <v>借</v>
      </c>
      <c r="K328" s="9">
        <f t="shared" si="45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">
        <v>39</v>
      </c>
      <c r="K329" s="9">
        <f t="shared" si="45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ref="J330:J334" si="50">IF((K329+H330-I330)&gt;0,"借","贷")</f>
        <v>借</v>
      </c>
      <c r="K330" s="9">
        <f t="shared" si="45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">
        <v>39</v>
      </c>
      <c r="K331" s="9">
        <f t="shared" si="45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50"/>
        <v>借</v>
      </c>
      <c r="K332" s="9">
        <f t="shared" si="45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">
        <v>39</v>
      </c>
      <c r="K333" s="9">
        <f t="shared" si="45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50"/>
        <v>借</v>
      </c>
      <c r="K334" s="9">
        <f t="shared" si="45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">
        <v>39</v>
      </c>
      <c r="K335" s="9">
        <f t="shared" si="45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ref="J336:J340" si="51">IF((K335+H336-I336)&gt;0,"借","贷")</f>
        <v>借</v>
      </c>
      <c r="K336" s="9">
        <f t="shared" si="45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">
        <v>39</v>
      </c>
      <c r="K337" s="9">
        <f t="shared" si="45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51"/>
        <v>借</v>
      </c>
      <c r="K338" s="9">
        <f t="shared" si="45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">
        <v>39</v>
      </c>
      <c r="K339" s="9">
        <f t="shared" si="45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51"/>
        <v>借</v>
      </c>
      <c r="K340" s="9">
        <f t="shared" si="45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">
        <v>39</v>
      </c>
      <c r="K341" s="9">
        <f t="shared" si="45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ref="J342:J346" si="52">IF((K341+H342-I342)&gt;0,"借","贷")</f>
        <v>借</v>
      </c>
      <c r="K342" s="9">
        <f t="shared" si="45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">
        <v>39</v>
      </c>
      <c r="K343" s="9">
        <f t="shared" si="45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52"/>
        <v>借</v>
      </c>
      <c r="K344" s="9">
        <f t="shared" si="45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">
        <v>39</v>
      </c>
      <c r="K345" s="9">
        <f t="shared" si="45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52"/>
        <v>借</v>
      </c>
      <c r="K346" s="9">
        <f t="shared" si="45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">
        <v>39</v>
      </c>
      <c r="K347" s="9">
        <f t="shared" si="45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ref="J348:J352" si="53">IF((K347+H348-I348)&gt;0,"借","贷")</f>
        <v>借</v>
      </c>
      <c r="K348" s="9">
        <f t="shared" si="45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">
        <v>39</v>
      </c>
      <c r="K349" s="9">
        <f t="shared" si="45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53"/>
        <v>借</v>
      </c>
      <c r="K350" s="9">
        <f t="shared" si="45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">
        <v>39</v>
      </c>
      <c r="K351" s="9">
        <f t="shared" si="45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53"/>
        <v>借</v>
      </c>
      <c r="K352" s="9">
        <f t="shared" si="45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">
        <v>39</v>
      </c>
      <c r="K353" s="9">
        <f t="shared" si="45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ref="J354:J358" si="54">IF((K353+H354-I354)&gt;0,"借","贷")</f>
        <v>借</v>
      </c>
      <c r="K354" s="9">
        <f t="shared" si="45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">
        <v>39</v>
      </c>
      <c r="K355" s="9">
        <f t="shared" si="45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54"/>
        <v>借</v>
      </c>
      <c r="K356" s="9">
        <f t="shared" si="45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">
        <v>39</v>
      </c>
      <c r="K357" s="9">
        <f t="shared" si="45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54"/>
        <v>借</v>
      </c>
      <c r="K358" s="9">
        <f t="shared" si="45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">
        <v>39</v>
      </c>
      <c r="K359" s="9">
        <f t="shared" si="45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ref="J360:J364" si="55">IF((K359+H360-I360)&gt;0,"借","贷")</f>
        <v>借</v>
      </c>
      <c r="K360" s="9">
        <f t="shared" si="45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">
        <v>39</v>
      </c>
      <c r="K361" s="9">
        <f t="shared" si="45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55"/>
        <v>借</v>
      </c>
      <c r="K362" s="9">
        <f t="shared" si="45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">
        <v>39</v>
      </c>
      <c r="K363" s="9">
        <f t="shared" si="45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55"/>
        <v>借</v>
      </c>
      <c r="K364" s="9">
        <f t="shared" si="45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">
        <v>39</v>
      </c>
      <c r="K365" s="9">
        <f t="shared" ref="K365:K428" si="56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ref="J366:J370" si="57">IF((K365+H366-I366)&gt;0,"借","贷")</f>
        <v>借</v>
      </c>
      <c r="K366" s="9">
        <f t="shared" si="56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">
        <v>39</v>
      </c>
      <c r="K367" s="9">
        <f t="shared" si="56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57"/>
        <v>借</v>
      </c>
      <c r="K368" s="9">
        <f t="shared" si="56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">
        <v>39</v>
      </c>
      <c r="K369" s="9">
        <f t="shared" si="56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57"/>
        <v>借</v>
      </c>
      <c r="K370" s="9">
        <f t="shared" si="56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">
        <v>39</v>
      </c>
      <c r="K371" s="9">
        <f t="shared" si="56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ref="J372:J376" si="58">IF((K371+H372-I372)&gt;0,"借","贷")</f>
        <v>借</v>
      </c>
      <c r="K372" s="9">
        <f t="shared" si="56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">
        <v>39</v>
      </c>
      <c r="K373" s="9">
        <f t="shared" si="56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58"/>
        <v>借</v>
      </c>
      <c r="K374" s="9">
        <f t="shared" si="56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">
        <v>39</v>
      </c>
      <c r="K375" s="9">
        <f t="shared" si="56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58"/>
        <v>借</v>
      </c>
      <c r="K376" s="9">
        <f t="shared" si="56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">
        <v>39</v>
      </c>
      <c r="K377" s="9">
        <f t="shared" si="56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ref="J378:J382" si="59">IF((K377+H378-I378)&gt;0,"借","贷")</f>
        <v>借</v>
      </c>
      <c r="K378" s="9">
        <f t="shared" si="56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">
        <v>39</v>
      </c>
      <c r="K379" s="9">
        <f t="shared" si="56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59"/>
        <v>借</v>
      </c>
      <c r="K380" s="9">
        <f t="shared" si="56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">
        <v>39</v>
      </c>
      <c r="K381" s="9">
        <f t="shared" si="56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59"/>
        <v>借</v>
      </c>
      <c r="K382" s="9">
        <f t="shared" si="56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">
        <v>39</v>
      </c>
      <c r="K383" s="9">
        <f t="shared" si="56"/>
        <v>100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ref="J384:J388" si="60">IF((K383+H384-I384)&gt;0,"借","贷")</f>
        <v>借</v>
      </c>
      <c r="K384" s="9">
        <f t="shared" si="56"/>
        <v>100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">
        <v>39</v>
      </c>
      <c r="K385" s="9">
        <f t="shared" si="56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60"/>
        <v>借</v>
      </c>
      <c r="K386" s="9">
        <f t="shared" si="56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">
        <v>39</v>
      </c>
      <c r="K387" s="9">
        <f t="shared" si="56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60"/>
        <v>借</v>
      </c>
      <c r="K388" s="9">
        <f t="shared" si="56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">
        <v>39</v>
      </c>
      <c r="K389" s="9">
        <f t="shared" si="56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394" si="61">IF((K389+H390-I390)&gt;0,"借","贷")</f>
        <v>借</v>
      </c>
      <c r="K390" s="9">
        <f t="shared" si="56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">
        <v>39</v>
      </c>
      <c r="K391" s="9">
        <f t="shared" si="56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61"/>
        <v>借</v>
      </c>
      <c r="K392" s="9">
        <f t="shared" si="56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">
        <v>39</v>
      </c>
      <c r="K393" s="9">
        <f t="shared" si="56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61"/>
        <v>借</v>
      </c>
      <c r="K394" s="9">
        <f t="shared" si="56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">
        <v>39</v>
      </c>
      <c r="K395" s="9">
        <f t="shared" si="56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ref="J396:J400" si="62">IF((K395+H396-I396)&gt;0,"借","贷")</f>
        <v>借</v>
      </c>
      <c r="K396" s="9">
        <f t="shared" si="56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">
        <v>39</v>
      </c>
      <c r="K397" s="9">
        <f t="shared" si="56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62"/>
        <v>借</v>
      </c>
      <c r="K398" s="9">
        <f t="shared" si="56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">
        <v>39</v>
      </c>
      <c r="K399" s="9">
        <f t="shared" si="56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62"/>
        <v>借</v>
      </c>
      <c r="K400" s="9">
        <f t="shared" si="56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">
        <v>39</v>
      </c>
      <c r="K401" s="9">
        <f t="shared" si="56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ref="J402:J406" si="63">IF((K401+H402-I402)&gt;0,"借","贷")</f>
        <v>借</v>
      </c>
      <c r="K402" s="9">
        <f t="shared" si="56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">
        <v>39</v>
      </c>
      <c r="K403" s="9">
        <f t="shared" si="56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63"/>
        <v>借</v>
      </c>
      <c r="K404" s="9">
        <f t="shared" si="56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">
        <v>39</v>
      </c>
      <c r="K405" s="9">
        <f t="shared" si="56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63"/>
        <v>借</v>
      </c>
      <c r="K406" s="9">
        <f t="shared" si="56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">
        <v>39</v>
      </c>
      <c r="K407" s="9">
        <f t="shared" si="56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ref="J408:J412" si="64">IF((K407+H408-I408)&gt;0,"借","贷")</f>
        <v>借</v>
      </c>
      <c r="K408" s="9">
        <f t="shared" si="56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">
        <v>39</v>
      </c>
      <c r="K409" s="9">
        <f t="shared" si="56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64"/>
        <v>借</v>
      </c>
      <c r="K410" s="9">
        <f t="shared" si="56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">
        <v>39</v>
      </c>
      <c r="K411" s="9">
        <f t="shared" si="56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64"/>
        <v>借</v>
      </c>
      <c r="K412" s="9">
        <f t="shared" si="56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">
        <v>39</v>
      </c>
      <c r="K413" s="9">
        <f t="shared" si="56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ref="J414:J418" si="65">IF((K413+H414-I414)&gt;0,"借","贷")</f>
        <v>借</v>
      </c>
      <c r="K414" s="9">
        <f t="shared" si="56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">
        <v>39</v>
      </c>
      <c r="K415" s="9">
        <f t="shared" si="56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65"/>
        <v>借</v>
      </c>
      <c r="K416" s="9">
        <f t="shared" si="56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">
        <v>39</v>
      </c>
      <c r="K417" s="9">
        <f t="shared" si="56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65"/>
        <v>借</v>
      </c>
      <c r="K418" s="9">
        <f t="shared" si="56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">
        <v>39</v>
      </c>
      <c r="K419" s="9">
        <f t="shared" si="56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ref="J420:J424" si="66">IF((K419+H420-I420)&gt;0,"借","贷")</f>
        <v>借</v>
      </c>
      <c r="K420" s="9">
        <f t="shared" si="56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">
        <v>39</v>
      </c>
      <c r="K421" s="9">
        <f t="shared" si="56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66"/>
        <v>借</v>
      </c>
      <c r="K422" s="9">
        <f t="shared" si="56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">
        <v>39</v>
      </c>
      <c r="K423" s="9">
        <f t="shared" si="56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66"/>
        <v>借</v>
      </c>
      <c r="K424" s="9">
        <f t="shared" si="56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">
        <v>39</v>
      </c>
      <c r="K425" s="9">
        <f t="shared" si="56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ref="J426:J430" si="67">IF((K425+H426-I426)&gt;0,"借","贷")</f>
        <v>借</v>
      </c>
      <c r="K426" s="9">
        <f t="shared" si="56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">
        <v>39</v>
      </c>
      <c r="K427" s="9">
        <f t="shared" si="56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67"/>
        <v>借</v>
      </c>
      <c r="K428" s="9">
        <f t="shared" si="56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">
        <v>39</v>
      </c>
      <c r="K429" s="9">
        <f t="shared" ref="K429:K492" si="68">_xlfn.IFS(J428="借",K428+H429-I429,J428="贷",H429-I429-K428)</f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67"/>
        <v>借</v>
      </c>
      <c r="K430" s="9">
        <f t="shared" si="68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">
        <v>39</v>
      </c>
      <c r="K431" s="9">
        <f t="shared" si="68"/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ref="J432:J436" si="69">IF((K431+H432-I432)&gt;0,"借","贷")</f>
        <v>借</v>
      </c>
      <c r="K432" s="9">
        <f t="shared" si="68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">
        <v>39</v>
      </c>
      <c r="K433" s="9">
        <f t="shared" si="68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69"/>
        <v>借</v>
      </c>
      <c r="K434" s="9">
        <f t="shared" si="68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">
        <v>39</v>
      </c>
      <c r="K435" s="9">
        <f t="shared" si="68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69"/>
        <v>借</v>
      </c>
      <c r="K436" s="9">
        <f t="shared" si="68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">
        <v>39</v>
      </c>
      <c r="K437" s="9">
        <f t="shared" si="68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ref="J438:J442" si="70">IF((K437+H438-I438)&gt;0,"借","贷")</f>
        <v>借</v>
      </c>
      <c r="K438" s="9">
        <f t="shared" si="68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">
        <v>39</v>
      </c>
      <c r="K439" s="9">
        <f t="shared" si="68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70"/>
        <v>借</v>
      </c>
      <c r="K440" s="9">
        <f t="shared" si="68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">
        <v>39</v>
      </c>
      <c r="K441" s="9">
        <f t="shared" si="68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70"/>
        <v>借</v>
      </c>
      <c r="K442" s="9">
        <f t="shared" si="68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">
        <v>39</v>
      </c>
      <c r="K443" s="9">
        <f t="shared" si="68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ref="J444:J448" si="71">IF((K443+H444-I444)&gt;0,"借","贷")</f>
        <v>借</v>
      </c>
      <c r="K444" s="9">
        <f t="shared" si="68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">
        <v>39</v>
      </c>
      <c r="K445" s="9">
        <f t="shared" si="68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71"/>
        <v>借</v>
      </c>
      <c r="K446" s="9">
        <f t="shared" si="68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">
        <v>39</v>
      </c>
      <c r="K447" s="9">
        <f t="shared" si="68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71"/>
        <v>借</v>
      </c>
      <c r="K448" s="9">
        <f t="shared" si="68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">
        <v>39</v>
      </c>
      <c r="K449" s="9">
        <f t="shared" si="68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ref="J450:J454" si="72">IF((K449+H450-I450)&gt;0,"借","贷")</f>
        <v>借</v>
      </c>
      <c r="K450" s="9">
        <f t="shared" si="68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">
        <v>39</v>
      </c>
      <c r="K451" s="9">
        <f t="shared" si="68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72"/>
        <v>借</v>
      </c>
      <c r="K452" s="9">
        <f t="shared" si="68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">
        <v>39</v>
      </c>
      <c r="K453" s="9">
        <f t="shared" si="68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72"/>
        <v>借</v>
      </c>
      <c r="K454" s="9">
        <f t="shared" si="68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">
        <v>39</v>
      </c>
      <c r="K455" s="9">
        <f t="shared" si="68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ref="J456:J460" si="73">IF((K455+H456-I456)&gt;0,"借","贷")</f>
        <v>借</v>
      </c>
      <c r="K456" s="9">
        <f t="shared" si="68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">
        <v>39</v>
      </c>
      <c r="K457" s="9">
        <f t="shared" si="68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73"/>
        <v>借</v>
      </c>
      <c r="K458" s="9">
        <f t="shared" si="68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">
        <v>39</v>
      </c>
      <c r="K459" s="9">
        <f t="shared" si="68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73"/>
        <v>借</v>
      </c>
      <c r="K460" s="9">
        <f t="shared" si="68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">
        <v>39</v>
      </c>
      <c r="K461" s="9">
        <f t="shared" si="68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ref="J462:J466" si="74">IF((K461+H462-I462)&gt;0,"借","贷")</f>
        <v>借</v>
      </c>
      <c r="K462" s="9">
        <f t="shared" si="68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">
        <v>39</v>
      </c>
      <c r="K463" s="9">
        <f t="shared" si="68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74"/>
        <v>借</v>
      </c>
      <c r="K464" s="9">
        <f t="shared" si="68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">
        <v>39</v>
      </c>
      <c r="K465" s="9">
        <f t="shared" si="68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74"/>
        <v>借</v>
      </c>
      <c r="K466" s="9">
        <f t="shared" si="68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">
        <v>39</v>
      </c>
      <c r="K467" s="9">
        <f t="shared" si="68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ref="J468:J472" si="75">IF((K467+H468-I468)&gt;0,"借","贷")</f>
        <v>借</v>
      </c>
      <c r="K468" s="9">
        <f t="shared" si="68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">
        <v>39</v>
      </c>
      <c r="K469" s="9">
        <f t="shared" si="68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75"/>
        <v>借</v>
      </c>
      <c r="K470" s="9">
        <f t="shared" si="68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">
        <v>39</v>
      </c>
      <c r="K471" s="9">
        <f t="shared" si="68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75"/>
        <v>借</v>
      </c>
      <c r="K472" s="9">
        <f t="shared" si="68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">
        <v>39</v>
      </c>
      <c r="K473" s="9">
        <f t="shared" si="68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ref="J474:J478" si="76">IF((K473+H474-I474)&gt;0,"借","贷")</f>
        <v>借</v>
      </c>
      <c r="K474" s="9">
        <f t="shared" si="68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">
        <v>39</v>
      </c>
      <c r="K475" s="9">
        <f t="shared" si="68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76"/>
        <v>借</v>
      </c>
      <c r="K476" s="9">
        <f t="shared" si="68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">
        <v>39</v>
      </c>
      <c r="K477" s="9">
        <f t="shared" si="68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76"/>
        <v>借</v>
      </c>
      <c r="K478" s="9">
        <f t="shared" si="68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">
        <v>39</v>
      </c>
      <c r="K479" s="9">
        <f t="shared" si="68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ref="J480:J484" si="77">IF((K479+H480-I480)&gt;0,"借","贷")</f>
        <v>借</v>
      </c>
      <c r="K480" s="9">
        <f t="shared" si="68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">
        <v>39</v>
      </c>
      <c r="K481" s="9">
        <f t="shared" si="68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77"/>
        <v>借</v>
      </c>
      <c r="K482" s="9">
        <f t="shared" si="68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">
        <v>39</v>
      </c>
      <c r="K483" s="9">
        <f t="shared" si="68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77"/>
        <v>借</v>
      </c>
      <c r="K484" s="9">
        <f t="shared" si="68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">
        <v>39</v>
      </c>
      <c r="K485" s="9">
        <f t="shared" si="68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ref="J486:J490" si="78">IF((K485+H486-I486)&gt;0,"借","贷")</f>
        <v>借</v>
      </c>
      <c r="K486" s="9">
        <f t="shared" si="68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">
        <v>39</v>
      </c>
      <c r="K487" s="9">
        <f t="shared" si="68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78"/>
        <v>借</v>
      </c>
      <c r="K488" s="9">
        <f t="shared" si="68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">
        <v>39</v>
      </c>
      <c r="K489" s="9">
        <f t="shared" si="68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78"/>
        <v>借</v>
      </c>
      <c r="K490" s="9">
        <f t="shared" si="68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">
        <v>39</v>
      </c>
      <c r="K491" s="9">
        <f t="shared" si="68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ref="J492:J496" si="79">IF((K491+H492-I492)&gt;0,"借","贷")</f>
        <v>借</v>
      </c>
      <c r="K492" s="9">
        <f t="shared" si="68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">
        <v>39</v>
      </c>
      <c r="K493" s="9">
        <f t="shared" ref="K493:K497" si="80">_xlfn.IFS(J492="借",K492+H493-I493,J492="贷",H493-I493-K492)</f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79"/>
        <v>借</v>
      </c>
      <c r="K494" s="9">
        <f t="shared" si="80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">
        <v>39</v>
      </c>
      <c r="K495" s="9">
        <f t="shared" si="80"/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79"/>
        <v>借</v>
      </c>
      <c r="K496" s="9">
        <f t="shared" si="80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">
        <v>39</v>
      </c>
      <c r="K497" s="9">
        <f t="shared" si="80"/>
        <v>100</v>
      </c>
    </row>
  </sheetData>
  <autoFilter ref="A4:L497" xr:uid="{00000000-0009-0000-0000-000027000000}"/>
  <mergeCells count="2">
    <mergeCell ref="A1:K1"/>
    <mergeCell ref="A2:K2"/>
  </mergeCells>
  <phoneticPr fontId="2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各账户余额表</vt:lpstr>
      <vt:lpstr>承兑余额表</vt:lpstr>
      <vt:lpstr>迈本石家庄招行</vt:lpstr>
      <vt:lpstr>迈本交行</vt:lpstr>
      <vt:lpstr>迈本建行</vt:lpstr>
      <vt:lpstr>迈本建行外币户</vt:lpstr>
      <vt:lpstr>迈本招行保证金户</vt:lpstr>
      <vt:lpstr>迈本石家庄承兑</vt:lpstr>
      <vt:lpstr>迈本仪器（交行）</vt:lpstr>
      <vt:lpstr>仪器交行（数币户）</vt:lpstr>
      <vt:lpstr>仪器承兑</vt:lpstr>
      <vt:lpstr>北威</vt:lpstr>
      <vt:lpstr>迈本成都</vt:lpstr>
      <vt:lpstr>迈本成都承兑</vt:lpstr>
      <vt:lpstr>迈本沈阳</vt:lpstr>
      <vt:lpstr>迈本沈阳承兑</vt:lpstr>
      <vt:lpstr>迈本苏州</vt:lpstr>
      <vt:lpstr>迈本苏州承兑</vt:lpstr>
      <vt:lpstr>长春奥强</vt:lpstr>
      <vt:lpstr>苏州澳强</vt:lpstr>
      <vt:lpstr>天津富麦</vt:lpstr>
      <vt:lpstr>迪青</vt:lpstr>
      <vt:lpstr>义岭</vt:lpstr>
      <vt:lpstr>沛能</vt:lpstr>
      <vt:lpstr>现金</vt:lpstr>
      <vt:lpstr>康丽进（银行）</vt:lpstr>
      <vt:lpstr>吴利君</vt:lpstr>
      <vt:lpstr>马蕾</vt:lpstr>
      <vt:lpstr>王建肖</vt:lpstr>
      <vt:lpstr>白秀敏</vt:lpstr>
      <vt:lpstr>雷朝霞</vt:lpstr>
      <vt:lpstr>李冬日</vt:lpstr>
      <vt:lpstr>佟丽</vt:lpstr>
      <vt:lpstr>雷杰</vt:lpstr>
      <vt:lpstr>晟才</vt:lpstr>
      <vt:lpstr>马义岭</vt:lpstr>
      <vt:lpstr>刘勇</vt:lpstr>
      <vt:lpstr>王茜</vt:lpstr>
      <vt:lpstr>李晓东</vt:lpstr>
      <vt:lpstr>刘硕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小帅 谭</cp:lastModifiedBy>
  <dcterms:created xsi:type="dcterms:W3CDTF">2022-05-24T02:44:00Z</dcterms:created>
  <dcterms:modified xsi:type="dcterms:W3CDTF">2026-08-11T06:00:22Z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50A38FF826BB4AD6AD63A4AD6553CC83_13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